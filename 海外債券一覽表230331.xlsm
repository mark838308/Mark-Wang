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"/>
    </mc:Choice>
  </mc:AlternateContent>
  <bookViews>
    <workbookView xWindow="-255" yWindow="11445" windowWidth="14640" windowHeight="1305" tabRatio="937" firstSheet="1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-UR" sheetId="41" r:id="rId8"/>
    <sheet name="Jesse-Real" sheetId="42" r:id="rId9"/>
    <sheet name="Aaron-UR" sheetId="30" r:id="rId10"/>
    <sheet name="Aaron-Real" sheetId="31" r:id="rId11"/>
    <sheet name="Mark1-UR" sheetId="50" r:id="rId12"/>
    <sheet name="Mark1-Real" sheetId="49" r:id="rId13"/>
    <sheet name="Gary-UR" sheetId="24" r:id="rId14"/>
    <sheet name="Gary-Real" sheetId="25" r:id="rId15"/>
    <sheet name="Peggy-UR" sheetId="55" r:id="rId16"/>
    <sheet name="Peggy-Real" sheetId="56" r:id="rId17"/>
    <sheet name="Pete-UR" sheetId="44" r:id="rId18"/>
    <sheet name="Pete-Real" sheetId="43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39" i="30" l="1"/>
  <c r="G47" i="50" l="1"/>
  <c r="G50" i="30"/>
  <c r="G38" i="30"/>
  <c r="G46" i="50" l="1"/>
  <c r="G51" i="30"/>
  <c r="G52" i="30"/>
  <c r="G53" i="30"/>
  <c r="G37" i="30"/>
  <c r="G63" i="55" l="1"/>
  <c r="G50" i="24"/>
  <c r="G82" i="44" l="1"/>
  <c r="G81" i="44"/>
  <c r="G80" i="44"/>
  <c r="G49" i="30"/>
  <c r="G55" i="30"/>
  <c r="G54" i="30"/>
  <c r="G67" i="44" l="1"/>
  <c r="G68" i="44"/>
  <c r="G76" i="44"/>
  <c r="G77" i="44"/>
  <c r="G78" i="44"/>
  <c r="G79" i="44"/>
  <c r="G43" i="30"/>
  <c r="G44" i="30"/>
  <c r="G69" i="44" l="1"/>
  <c r="G70" i="44"/>
  <c r="G71" i="44"/>
  <c r="G72" i="44"/>
  <c r="G49" i="24" l="1"/>
  <c r="K206" i="42" l="1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176" i="42"/>
  <c r="K177" i="42"/>
  <c r="K178" i="42"/>
  <c r="K179" i="42"/>
  <c r="K180" i="42"/>
  <c r="K181" i="42"/>
  <c r="K203" i="42"/>
  <c r="K204" i="42"/>
  <c r="K205" i="42"/>
  <c r="K172" i="42"/>
  <c r="K173" i="42"/>
  <c r="K174" i="42"/>
  <c r="K175" i="42"/>
  <c r="K171" i="42"/>
  <c r="G65" i="44" l="1"/>
  <c r="G66" i="44"/>
  <c r="G42" i="30"/>
  <c r="G51" i="24" l="1"/>
  <c r="G52" i="24"/>
  <c r="G53" i="24"/>
  <c r="J91" i="4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1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K56" i="42"/>
  <c r="K55" i="42"/>
  <c r="K54" i="42"/>
  <c r="K53" i="42"/>
  <c r="K52" i="42"/>
  <c r="G35" i="30"/>
  <c r="K35" i="30"/>
  <c r="G47" i="30"/>
  <c r="G46" i="30"/>
  <c r="G45" i="50" l="1"/>
  <c r="G75" i="44" l="1"/>
  <c r="G54" i="24" l="1"/>
  <c r="G60" i="55" l="1"/>
  <c r="G48" i="24" l="1"/>
  <c r="G48" i="50"/>
  <c r="G36" i="44" l="1"/>
  <c r="G37" i="44"/>
  <c r="G41" i="44"/>
  <c r="G40" i="44"/>
  <c r="G38" i="44" l="1"/>
  <c r="G39" i="44"/>
  <c r="G64" i="55"/>
  <c r="G56" i="24" l="1"/>
  <c r="G35" i="44" l="1"/>
  <c r="G33" i="44" l="1"/>
  <c r="G34" i="44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G83" i="44"/>
  <c r="G84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84" i="44" l="1"/>
  <c r="J83" i="44"/>
  <c r="J3" i="50" l="1"/>
  <c r="J4" i="50"/>
  <c r="G4" i="50"/>
  <c r="G57" i="53" l="1"/>
  <c r="G45" i="24" l="1"/>
  <c r="G46" i="24" l="1"/>
  <c r="F17" i="21" l="1"/>
  <c r="G58" i="30" l="1"/>
  <c r="C13" i="51" l="1"/>
  <c r="K83" i="44" l="1"/>
  <c r="J55" i="24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7" i="50" l="1"/>
  <c r="G59" i="24" l="1"/>
  <c r="K259" i="25" l="1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G55" i="24" l="1"/>
  <c r="K246" i="25" l="1"/>
  <c r="K348" i="25"/>
  <c r="K347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311" i="43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6" i="49"/>
  <c r="K315" i="49"/>
  <c r="G52" i="50" l="1"/>
  <c r="G51" i="50"/>
  <c r="K221" i="25" l="1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G60" i="24" l="1"/>
  <c r="G61" i="24" l="1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F12" i="21" l="1"/>
  <c r="K187" i="25" l="1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G53" i="50" l="1"/>
  <c r="K161" i="25" l="1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61" i="50"/>
  <c r="G60" i="50"/>
  <c r="G59" i="50"/>
  <c r="G58" i="50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86" i="25"/>
  <c r="K20" i="25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K187" i="56" l="1"/>
  <c r="K188" i="56"/>
  <c r="K189" i="56"/>
  <c r="K190" i="56"/>
  <c r="K191" i="56"/>
  <c r="K192" i="56"/>
  <c r="K193" i="56"/>
  <c r="K194" i="56"/>
  <c r="K195" i="56"/>
  <c r="K196" i="56"/>
  <c r="K197" i="56"/>
  <c r="K198" i="56"/>
  <c r="K199" i="56"/>
  <c r="K200" i="56"/>
  <c r="K201" i="56"/>
  <c r="K202" i="56"/>
  <c r="K203" i="56"/>
  <c r="K204" i="56"/>
  <c r="K205" i="56"/>
  <c r="K206" i="56"/>
  <c r="K207" i="56"/>
  <c r="K208" i="56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K186" i="56" l="1"/>
  <c r="K185" i="56" l="1"/>
  <c r="K184" i="56" l="1"/>
  <c r="K183" i="56" l="1"/>
  <c r="K181" i="56" l="1"/>
  <c r="K182" i="56"/>
  <c r="J11" i="48" l="1"/>
  <c r="K11" i="48" s="1"/>
  <c r="G11" i="48"/>
  <c r="K180" i="56" l="1"/>
  <c r="K179" i="56"/>
  <c r="K178" i="56" l="1"/>
  <c r="K177" i="56" l="1"/>
  <c r="K3" i="50" l="1"/>
  <c r="G3" i="50"/>
  <c r="J6" i="48"/>
  <c r="K6" i="48" s="1"/>
  <c r="G6" i="48"/>
  <c r="K176" i="56" l="1"/>
  <c r="J5" i="48" l="1"/>
  <c r="K5" i="48" s="1"/>
  <c r="K175" i="56" l="1"/>
  <c r="K173" i="56" l="1"/>
  <c r="K174" i="56"/>
  <c r="J10" i="48" l="1"/>
  <c r="K10" i="48" s="1"/>
  <c r="G10" i="48"/>
  <c r="K172" i="56" l="1"/>
  <c r="K171" i="56" l="1"/>
  <c r="K168" i="56" l="1"/>
  <c r="K169" i="56"/>
  <c r="K170" i="56"/>
  <c r="J9" i="48" l="1"/>
  <c r="K9" i="48" s="1"/>
  <c r="G9" i="48"/>
  <c r="G13" i="53"/>
  <c r="K161" i="56" l="1"/>
  <c r="K162" i="56"/>
  <c r="K163" i="56"/>
  <c r="K164" i="56"/>
  <c r="K165" i="56"/>
  <c r="K166" i="56"/>
  <c r="K167" i="56"/>
  <c r="K159" i="56"/>
  <c r="K160" i="56"/>
  <c r="K5" i="54" l="1"/>
  <c r="K4" i="54"/>
  <c r="G5" i="54"/>
  <c r="J8" i="53" l="1"/>
  <c r="G8" i="53"/>
  <c r="K154" i="56" l="1"/>
  <c r="K155" i="56"/>
  <c r="K156" i="56"/>
  <c r="K157" i="56"/>
  <c r="K158" i="56"/>
  <c r="G3" i="48" l="1"/>
  <c r="J4" i="53"/>
  <c r="G4" i="53"/>
  <c r="K153" i="56" l="1"/>
  <c r="K152" i="56" l="1"/>
  <c r="K151" i="56" l="1"/>
  <c r="J3" i="48"/>
  <c r="K3" i="48" s="1"/>
  <c r="J3" i="53"/>
  <c r="K150" i="56" l="1"/>
  <c r="G46" i="1" l="1"/>
  <c r="K152" i="19"/>
  <c r="K149" i="56" l="1"/>
  <c r="K148" i="56" l="1"/>
  <c r="K147" i="56" l="1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142" i="56" l="1"/>
  <c r="K140" i="56" l="1"/>
  <c r="K141" i="56"/>
  <c r="K139" i="56" l="1"/>
  <c r="K135" i="56" l="1"/>
  <c r="K136" i="56"/>
  <c r="K137" i="56"/>
  <c r="K138" i="56"/>
  <c r="K134" i="56"/>
  <c r="K132" i="56"/>
  <c r="K133" i="56"/>
  <c r="K127" i="56" l="1"/>
  <c r="K250" i="54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K23" i="56" l="1"/>
  <c r="K24" i="56"/>
  <c r="K25" i="56"/>
  <c r="K26" i="56"/>
  <c r="K27" i="56"/>
  <c r="K28" i="56"/>
  <c r="K29" i="56"/>
  <c r="K30" i="56"/>
  <c r="K31" i="56"/>
  <c r="K32" i="56"/>
  <c r="K33" i="56"/>
  <c r="K34" i="56"/>
  <c r="K35" i="56"/>
  <c r="K36" i="56"/>
  <c r="K37" i="56"/>
  <c r="K38" i="56"/>
  <c r="K39" i="56"/>
  <c r="K40" i="56"/>
  <c r="K41" i="56"/>
  <c r="K42" i="56"/>
  <c r="K43" i="56"/>
  <c r="K44" i="56"/>
  <c r="K45" i="56"/>
  <c r="K46" i="56"/>
  <c r="K47" i="56"/>
  <c r="K48" i="56"/>
  <c r="K49" i="56"/>
  <c r="K50" i="56"/>
  <c r="K51" i="56"/>
  <c r="K52" i="56"/>
  <c r="K53" i="56"/>
  <c r="K54" i="56"/>
  <c r="K55" i="56"/>
  <c r="K56" i="56"/>
  <c r="K57" i="56"/>
  <c r="K58" i="56"/>
  <c r="K59" i="56"/>
  <c r="K60" i="56"/>
  <c r="K61" i="56"/>
  <c r="K62" i="56"/>
  <c r="K63" i="56"/>
  <c r="K64" i="56"/>
  <c r="K65" i="56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K146" i="56"/>
  <c r="K145" i="56"/>
  <c r="K144" i="56"/>
  <c r="K143" i="56"/>
  <c r="K131" i="56"/>
  <c r="K130" i="56"/>
  <c r="K129" i="56"/>
  <c r="K128" i="56"/>
  <c r="K126" i="56"/>
  <c r="K125" i="56"/>
  <c r="K124" i="56"/>
  <c r="K123" i="56"/>
  <c r="K122" i="56"/>
  <c r="K121" i="56"/>
  <c r="K120" i="56"/>
  <c r="K119" i="56"/>
  <c r="K118" i="56"/>
  <c r="K117" i="56"/>
  <c r="K116" i="56"/>
  <c r="K115" i="56"/>
  <c r="K114" i="56"/>
  <c r="K113" i="56"/>
  <c r="K112" i="56"/>
  <c r="K111" i="56"/>
  <c r="K110" i="56"/>
  <c r="K109" i="56"/>
  <c r="K108" i="56"/>
  <c r="K107" i="56"/>
  <c r="K106" i="56"/>
  <c r="K105" i="56"/>
  <c r="K104" i="56"/>
  <c r="K103" i="56"/>
  <c r="K102" i="56"/>
  <c r="K101" i="56"/>
  <c r="K100" i="56"/>
  <c r="K99" i="56"/>
  <c r="K98" i="56"/>
  <c r="K97" i="56"/>
  <c r="K96" i="56"/>
  <c r="K95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22" i="56"/>
  <c r="K21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K159" i="42"/>
  <c r="K160" i="42"/>
  <c r="K161" i="42"/>
  <c r="K162" i="42"/>
  <c r="K163" i="42"/>
  <c r="K164" i="42"/>
  <c r="K165" i="42"/>
  <c r="K166" i="42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42" i="42"/>
  <c r="G24" i="51"/>
  <c r="D13" i="13"/>
  <c r="K252" i="54"/>
  <c r="K251" i="54"/>
  <c r="K136" i="42"/>
  <c r="K135" i="42"/>
  <c r="K137" i="42"/>
  <c r="K138" i="42"/>
  <c r="K139" i="42"/>
  <c r="K140" i="42"/>
  <c r="G75" i="41"/>
  <c r="G74" i="41"/>
  <c r="G76" i="41"/>
  <c r="K132" i="42"/>
  <c r="K133" i="42"/>
  <c r="K134" i="42"/>
  <c r="K141" i="42"/>
  <c r="G236" i="42"/>
  <c r="E236" i="42"/>
  <c r="K235" i="42"/>
  <c r="K234" i="42"/>
  <c r="K221" i="42"/>
  <c r="G9" i="54"/>
  <c r="K131" i="42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K121" i="42"/>
  <c r="K122" i="42"/>
  <c r="K123" i="42"/>
  <c r="K124" i="42"/>
  <c r="K125" i="42"/>
  <c r="K126" i="42"/>
  <c r="K127" i="42"/>
  <c r="K128" i="42"/>
  <c r="K129" i="42"/>
  <c r="K130" i="42"/>
  <c r="K167" i="42"/>
  <c r="K119" i="42"/>
  <c r="K120" i="42"/>
  <c r="K115" i="42"/>
  <c r="K109" i="42"/>
  <c r="K110" i="42"/>
  <c r="K111" i="42"/>
  <c r="K112" i="42"/>
  <c r="K113" i="42"/>
  <c r="K114" i="42"/>
  <c r="G73" i="41"/>
  <c r="K100" i="42"/>
  <c r="K101" i="42"/>
  <c r="K102" i="42"/>
  <c r="K103" i="42"/>
  <c r="K104" i="42"/>
  <c r="K105" i="42"/>
  <c r="K106" i="42"/>
  <c r="K107" i="42"/>
  <c r="K108" i="42"/>
  <c r="E17" i="1"/>
  <c r="C6" i="52" s="1"/>
  <c r="K96" i="42"/>
  <c r="K97" i="42"/>
  <c r="K98" i="42"/>
  <c r="K99" i="42"/>
  <c r="K116" i="42"/>
  <c r="K117" i="42"/>
  <c r="K118" i="42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168" i="42"/>
  <c r="G168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K79" i="41"/>
  <c r="K80" i="41"/>
  <c r="J51" i="30" l="1"/>
  <c r="K51" i="30" s="1"/>
  <c r="J81" i="44"/>
  <c r="K81" i="44" s="1"/>
  <c r="J82" i="44"/>
  <c r="J80" i="44"/>
  <c r="J44" i="30"/>
  <c r="J43" i="30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47" i="30"/>
  <c r="K54" i="50"/>
  <c r="K53" i="50"/>
  <c r="K55" i="50"/>
  <c r="K57" i="30"/>
  <c r="K56" i="50"/>
  <c r="K50" i="50"/>
  <c r="K49" i="50"/>
  <c r="K48" i="50"/>
  <c r="K44" i="30"/>
  <c r="J110" i="53"/>
  <c r="K110" i="53" s="1"/>
  <c r="K43" i="30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68" i="42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I14" i="52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F24" i="51" l="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H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<sst xmlns="http://schemas.openxmlformats.org/spreadsheetml/2006/main" count="11307" uniqueCount="1541">
  <si>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</si>
  <si>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</si>
  <si>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</si>
  <si>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</si>
  <si>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</si>
  <si>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</si>
  <si>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</si>
  <si>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</si>
  <si>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</si>
  <si>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</si>
  <si>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</si>
  <si>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</si>
  <si>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</si>
  <si>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</si>
  <si>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</si>
  <si>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</si>
  <si>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</si>
  <si>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</si>
  <si>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</si>
  <si>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</si>
  <si>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</si>
  <si>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</si>
  <si>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</si>
  <si>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</si>
  <si>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</si>
  <si>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</si>
  <si>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</si>
  <si>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</si>
  <si>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</si>
  <si>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</si>
  <si>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</si>
  <si>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</si>
  <si>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</si>
  <si>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</si>
  <si>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</si>
  <si>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</si>
  <si>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</si>
  <si>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</si>
  <si>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</si>
  <si>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</si>
  <si>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</si>
  <si>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</si>
  <si>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</si>
  <si>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</si>
  <si>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</si>
  <si>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</si>
  <si>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</si>
  <si>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</si>
  <si>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</si>
  <si>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</si>
  <si>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</si>
  <si>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</si>
  <si>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</si>
  <si>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</si>
  <si>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</si>
  <si>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</si>
  <si>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</si>
  <si>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</si>
  <si>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</si>
  <si>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</si>
  <si>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</si>
  <si>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</si>
  <si>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</si>
  <si>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</si>
  <si>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</si>
  <si>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</si>
  <si>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</si>
  <si>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</si>
  <si>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</si>
  <si>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</si>
  <si>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</si>
  <si>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</si>
  <si>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</si>
  <si>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</si>
  <si>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</si>
  <si>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</si>
  <si>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</si>
  <si>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</si>
  <si>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</si>
  <si>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</si>
  <si>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</si>
  <si>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</si>
  <si>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</si>
  <si>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</si>
  <si>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</si>
  <si>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</si>
  <si>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</si>
  <si>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</si>
  <si>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</si>
  <si>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</si>
  <si>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</si>
  <si>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</si>
  <si>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</si>
  <si>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</si>
  <si>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</si>
  <si>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</si>
  <si>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</si>
  <si>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</si>
  <si>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</si>
  <si>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</si>
  <si>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</si>
  <si>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</si>
  <si>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</si>
  <si>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</si>
  <si>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</si>
  <si>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</si>
  <si>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</si>
  <si>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</si>
  <si>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</si>
  <si>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</si>
  <si>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</si>
  <si>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</si>
  <si>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</si>
  <si>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</si>
  <si>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</si>
  <si>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</si>
  <si>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</si>
  <si>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</si>
  <si>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</si>
  <si>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</si>
  <si>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</si>
  <si>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</si>
  <si>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</si>
  <si>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</si>
  <si>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</si>
  <si>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</si>
  <si>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</si>
  <si>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</si>
  <si>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</si>
  <si>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</si>
  <si>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</si>
  <si>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</si>
  <si>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</si>
  <si>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</si>
  <si>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</si>
  <si>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</si>
  <si>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</si>
  <si>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</si>
  <si>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</si>
  <si>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</si>
  <si>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</si>
  <si>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</si>
  <si>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</si>
  <si>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</si>
  <si>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</si>
  <si>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</si>
  <si>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</si>
  <si>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</si>
  <si>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</si>
  <si>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</si>
  <si>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</si>
  <si>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</si>
  <si>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</si>
  <si>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</si>
  <si>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</si>
  <si>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</si>
  <si>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</si>
  <si>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</si>
  <si>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</si>
  <si>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</si>
  <si>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</si>
  <si>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</si>
  <si>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</si>
  <si>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</si>
  <si>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</si>
  <si>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</si>
  <si>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</si>
  <si>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</si>
  <si>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</si>
  <si>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</si>
  <si>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</si>
  <si>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</si>
  <si>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</si>
  <si>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</si>
  <si>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</si>
  <si>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</si>
  <si>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</si>
  <si>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</si>
  <si>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</si>
  <si>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</si>
  <si>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</si>
  <si>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</si>
  <si>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</si>
  <si>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</si>
  <si>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</si>
  <si>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</si>
  <si>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</si>
  <si>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</si>
  <si>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</si>
  <si>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</si>
  <si>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</si>
  <si>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</si>
  <si>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</si>
  <si>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</si>
  <si>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</si>
  <si>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</si>
  <si>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</si>
  <si>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</si>
  <si>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</si>
  <si>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</si>
  <si>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</si>
  <si>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</si>
  <si>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</si>
  <si>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</si>
  <si>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</si>
  <si>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</si>
  <si>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</si>
  <si>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</si>
  <si>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</si>
  <si>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</si>
  <si>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</si>
  <si>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</si>
  <si>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</si>
  <si>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</si>
  <si>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</si>
  <si>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</si>
  <si>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</si>
  <si>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</si>
  <si>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</si>
  <si>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</si>
  <si>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</si>
  <si>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</si>
  <si>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</si>
  <si>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</si>
  <si>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</si>
  <si>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</si>
  <si>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</si>
  <si>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</si>
  <si>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</si>
  <si>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</si>
  <si>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</si>
  <si>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</si>
  <si>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</si>
  <si>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</si>
  <si>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</si>
  <si>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</si>
  <si>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</si>
  <si>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</si>
  <si>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</si>
  <si>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</si>
  <si>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</si>
  <si>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</si>
  <si>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</si>
  <si>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</si>
  <si>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</si>
  <si>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</si>
  <si>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</si>
  <si>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</si>
  <si>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</si>
  <si>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</si>
  <si>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</si>
  <si>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</si>
  <si>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</si>
  <si>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</si>
  <si>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</si>
  <si>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</si>
  <si>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</si>
  <si>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</si>
  <si>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</si>
  <si>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</si>
  <si>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</si>
  <si>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</si>
  <si>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</si>
  <si>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</si>
  <si>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</si>
  <si>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</si>
  <si>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</si>
  <si>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</si>
  <si>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</si>
  <si>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</si>
  <si>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</si>
  <si>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total</t>
    <phoneticPr fontId="3" type="noConversion"/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</si>
  <si>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</si>
  <si>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</si>
  <si>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</si>
  <si>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</si>
  <si>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</si>
  <si>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</si>
  <si>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</si>
  <si>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</si>
  <si>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</si>
  <si>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</si>
  <si>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</si>
  <si>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</si>
  <si>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</si>
  <si>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</si>
  <si>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</si>
  <si>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</si>
  <si>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</si>
  <si>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</si>
  <si>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</si>
  <si>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</si>
  <si>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</si>
  <si>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</si>
  <si>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</si>
  <si>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</si>
  <si>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</si>
  <si>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</si>
  <si>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</si>
  <si>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</si>
  <si>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</si>
  <si>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</si>
  <si>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</si>
  <si>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</si>
  <si>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</si>
  <si>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</si>
  <si>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</si>
  <si>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</si>
  <si>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</si>
  <si>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</si>
  <si>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</si>
  <si>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</si>
  <si>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</si>
  <si>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</si>
  <si>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</si>
  <si>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</si>
  <si>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</si>
  <si>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</si>
  <si>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</si>
  <si>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</si>
  <si>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</si>
  <si>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</si>
  <si>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</si>
  <si>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</si>
  <si>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</si>
  <si>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</si>
  <si>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</si>
  <si>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</si>
  <si>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</si>
  <si>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</si>
  <si>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</si>
  <si>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</si>
  <si>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</si>
  <si>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</si>
  <si>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</si>
  <si>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</si>
  <si>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</si>
  <si>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</si>
  <si>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</si>
  <si>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</si>
  <si>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</si>
  <si>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</si>
  <si>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</si>
  <si>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</si>
  <si>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</si>
  <si>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</si>
  <si>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</si>
  <si>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</si>
  <si>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</si>
  <si>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</si>
  <si>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</si>
  <si>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</si>
  <si>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</si>
  <si>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</si>
  <si>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</si>
  <si>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</si>
  <si>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</si>
  <si>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</si>
  <si>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</si>
  <si>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</si>
  <si>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</si>
  <si>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</si>
  <si>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</si>
  <si>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</si>
  <si>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</si>
  <si>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</si>
  <si>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</si>
  <si>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</si>
  <si>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</si>
  <si>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</si>
  <si>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</si>
  <si>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</si>
  <si>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</si>
  <si>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</si>
  <si>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</si>
  <si>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</si>
  <si>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</si>
  <si>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</si>
  <si>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</si>
  <si>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</si>
  <si>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</si>
  <si>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</si>
  <si>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</si>
  <si>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</si>
  <si>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</si>
  <si>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</si>
  <si>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</si>
  <si>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</si>
  <si>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</si>
  <si>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</si>
  <si>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</si>
  <si>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</si>
  <si>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</si>
  <si>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</si>
  <si>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</si>
  <si>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</si>
  <si>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</si>
  <si>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</si>
  <si>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</si>
  <si>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</si>
  <si>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</si>
  <si>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</si>
  <si>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</si>
  <si>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</si>
  <si>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</si>
  <si>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</si>
  <si>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</si>
  <si>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</si>
  <si>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</si>
  <si>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</si>
  <si>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</si>
  <si>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</si>
  <si>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</si>
  <si>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</si>
  <si>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</si>
  <si>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</si>
  <si>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</si>
  <si>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</si>
  <si>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</si>
  <si>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</si>
  <si>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</si>
  <si>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</si>
  <si>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</si>
  <si>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</si>
  <si>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</si>
  <si>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</si>
  <si>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</si>
  <si>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</si>
  <si>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</si>
  <si>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</si>
  <si>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</si>
  <si>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</si>
  <si>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</si>
  <si>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</si>
  <si>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</si>
  <si>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</si>
  <si>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</si>
  <si>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</si>
  <si>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</si>
  <si>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</si>
  <si>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</si>
  <si>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</si>
  <si>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</si>
  <si>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</si>
  <si>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</si>
  <si>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</si>
  <si>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</si>
  <si>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</si>
  <si>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</si>
  <si>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</si>
  <si>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</si>
  <si>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</si>
  <si>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</si>
  <si>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</si>
  <si>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</si>
  <si>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</si>
  <si>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</si>
  <si>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</si>
  <si>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</si>
  <si>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</si>
  <si>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</si>
  <si>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</si>
  <si>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</si>
  <si>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</si>
  <si>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</si>
  <si>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</si>
  <si>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</si>
  <si>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</si>
  <si>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</si>
  <si>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</si>
  <si>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</si>
  <si>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</si>
  <si>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</si>
  <si>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</si>
  <si>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</si>
  <si>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</si>
  <si>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</si>
  <si>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</si>
  <si>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</si>
  <si>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</si>
  <si>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</si>
  <si>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</si>
  <si>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</si>
  <si>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</si>
  <si>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</si>
  <si>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</si>
  <si>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</si>
  <si>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</si>
  <si>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</si>
  <si>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</si>
  <si>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</si>
  <si>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</si>
  <si>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</si>
  <si>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>FVM1</t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</si>
  <si>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</si>
  <si>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</si>
  <si>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</si>
  <si>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</si>
  <si>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</si>
  <si>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</si>
  <si>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</si>
  <si>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</si>
  <si>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</si>
  <si>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</si>
  <si>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</si>
  <si>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</si>
  <si>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</si>
  <si>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</si>
  <si>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</si>
  <si>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</si>
  <si>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</si>
  <si>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</si>
  <si>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</si>
  <si>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</si>
  <si>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</si>
  <si>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</si>
  <si>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TUZ1</t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</si>
  <si>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</si>
  <si>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</si>
  <si>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</si>
  <si>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</si>
  <si>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</si>
  <si>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</si>
  <si>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</si>
  <si>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</si>
  <si>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</si>
  <si>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</si>
  <si>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</si>
  <si>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</si>
  <si>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TUH2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</si>
  <si>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</si>
  <si>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</si>
  <si>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</si>
  <si>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</si>
  <si>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</si>
  <si>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</si>
  <si>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</si>
  <si>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</si>
  <si>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</si>
  <si>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</si>
  <si>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</si>
  <si>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</si>
  <si>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</si>
  <si>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</si>
  <si>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</si>
  <si>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</si>
  <si>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2022/01/19</t>
  </si>
  <si>
    <t>2022011900016</t>
  </si>
  <si>
    <t>2022011900017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</si>
  <si>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</si>
  <si>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</si>
  <si>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</si>
  <si>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</si>
  <si>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</si>
  <si>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</si>
  <si>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</si>
  <si>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</si>
  <si>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</si>
  <si>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</si>
  <si>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</si>
  <si>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</si>
  <si>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</si>
  <si>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</si>
  <si>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</si>
  <si>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</si>
  <si>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</si>
  <si>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</si>
  <si>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</si>
  <si>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</si>
  <si>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</si>
  <si>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</si>
  <si>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</si>
  <si>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</si>
  <si>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</si>
  <si>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</si>
  <si>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</si>
  <si>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</si>
  <si>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</si>
  <si>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</si>
  <si>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</si>
  <si>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</si>
  <si>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</si>
  <si>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</si>
  <si>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</si>
  <si>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</si>
  <si>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</si>
  <si>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</si>
  <si>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</si>
  <si>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USU2</t>
  </si>
  <si>
    <t>TUU2</t>
  </si>
  <si>
    <t>FVU2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</si>
  <si>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</si>
  <si>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</si>
  <si>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</si>
  <si>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</si>
  <si>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</si>
  <si>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</si>
  <si>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</si>
  <si>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</si>
  <si>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</si>
  <si>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</si>
  <si>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</si>
  <si>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</si>
  <si>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</si>
  <si>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</si>
  <si>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</si>
  <si>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</si>
  <si>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FVZ2</t>
  </si>
  <si>
    <t>USZ2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</si>
  <si>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</si>
  <si>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</si>
  <si>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</si>
  <si>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</si>
  <si>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</si>
  <si>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</si>
  <si>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</si>
  <si>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</si>
  <si>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</si>
  <si>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</si>
  <si>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</si>
  <si>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</si>
  <si>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</si>
  <si>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</si>
  <si>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</si>
  <si>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</si>
  <si>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</si>
  <si>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</si>
  <si>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</si>
  <si>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</si>
  <si>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</si>
  <si>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</si>
  <si>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</si>
  <si>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</si>
  <si>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</si>
  <si>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</si>
  <si>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</si>
  <si>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</si>
  <si>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</si>
  <si>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</si>
  <si>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</si>
  <si>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</si>
  <si>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</si>
  <si>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</si>
  <si>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</si>
  <si>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</si>
  <si>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</si>
  <si>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</si>
  <si>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</si>
  <si>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</si>
  <si>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</si>
  <si>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</si>
  <si>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</si>
  <si>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</si>
  <si>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</si>
  <si>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</si>
  <si>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</si>
  <si>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</si>
  <si>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</si>
  <si>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</si>
  <si>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</si>
  <si>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</si>
  <si>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</si>
  <si>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USH3</t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</si>
  <si>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</si>
  <si>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</si>
  <si>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</si>
  <si>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</si>
  <si>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</si>
  <si>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</si>
  <si>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</si>
  <si>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</si>
  <si>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</si>
  <si>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</si>
  <si>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</si>
  <si>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</si>
  <si>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</si>
  <si>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</si>
  <si>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</si>
  <si>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</si>
  <si>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</si>
  <si>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</si>
  <si>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</si>
  <si>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</si>
  <si>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</si>
  <si>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</si>
  <si>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</si>
  <si>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</si>
  <si>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</si>
  <si>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</si>
  <si>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</si>
  <si>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</si>
  <si>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</si>
  <si>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</si>
  <si>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</si>
  <si>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</si>
  <si>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</si>
  <si>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</si>
  <si>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</si>
  <si>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</si>
  <si>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</si>
  <si>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</si>
  <si>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</si>
  <si>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</si>
  <si>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</si>
  <si>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</si>
  <si>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</si>
  <si>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</si>
  <si>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</si>
  <si>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</si>
  <si>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</si>
  <si>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</si>
  <si>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</si>
  <si>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</si>
  <si>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</si>
  <si>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</si>
  <si>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</si>
  <si>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</si>
  <si>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</si>
  <si>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</si>
  <si>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</si>
  <si>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</si>
  <si>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</si>
  <si>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</si>
  <si>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</si>
  <si>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</si>
  <si>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</si>
  <si>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</si>
  <si>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</si>
  <si>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</si>
  <si>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</si>
  <si>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</si>
  <si>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</si>
  <si>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</si>
  <si>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</si>
  <si>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</si>
  <si>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</si>
  <si>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</si>
  <si>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</si>
  <si>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</si>
  <si>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</si>
  <si>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</si>
  <si>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</si>
  <si>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</si>
  <si>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</si>
  <si>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</si>
  <si>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</si>
  <si>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</si>
  <si>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</si>
  <si>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</si>
  <si>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</si>
  <si>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</si>
  <si>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</si>
  <si>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</si>
  <si>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</si>
  <si>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</si>
  <si>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</si>
  <si>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</si>
  <si>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</si>
  <si>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</si>
  <si>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</si>
  <si>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</si>
  <si>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</si>
  <si>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</si>
  <si>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</si>
  <si>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</si>
  <si>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</si>
  <si>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</si>
  <si>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</si>
  <si>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</si>
  <si>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</si>
  <si>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</si>
  <si>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</si>
  <si>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</si>
  <si>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</si>
  <si>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</si>
  <si>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</si>
  <si>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</si>
  <si>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</si>
  <si>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</si>
  <si>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</si>
  <si>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</si>
  <si>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</si>
  <si>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</si>
  <si>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</si>
  <si>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</si>
  <si>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</si>
  <si>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</si>
  <si>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</si>
  <si>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</si>
  <si>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</si>
  <si>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</si>
  <si>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</si>
  <si>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</si>
  <si>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</si>
  <si>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</si>
  <si>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</si>
  <si>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</si>
  <si>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</si>
  <si>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</si>
  <si>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</si>
  <si>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</si>
  <si>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</si>
  <si>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</si>
  <si>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</si>
  <si>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</si>
  <si>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</si>
  <si>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</si>
  <si>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</si>
  <si>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</si>
  <si>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</si>
  <si>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</si>
  <si>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</si>
  <si>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</si>
  <si>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</si>
  <si>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</si>
  <si>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</si>
  <si>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</si>
  <si>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</si>
  <si>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</si>
  <si>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</si>
  <si>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</si>
  <si>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</si>
  <si>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</si>
  <si>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</si>
  <si>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</si>
  <si>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</si>
  <si>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</si>
  <si>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</si>
  <si>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</si>
  <si>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</si>
  <si>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</si>
  <si>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</si>
  <si>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</si>
  <si>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</si>
  <si>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</si>
  <si>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</si>
  <si>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</si>
  <si>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</si>
  <si>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</si>
  <si>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</si>
  <si>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</si>
  <si>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</si>
  <si>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</si>
  <si>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</si>
  <si>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</si>
  <si>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</si>
  <si>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</si>
  <si>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</si>
  <si>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</si>
  <si>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</si>
  <si>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</si>
  <si>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</si>
  <si>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</si>
  <si>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</si>
  <si>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</si>
  <si>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</si>
  <si>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</si>
  <si>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</si>
  <si>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</si>
  <si>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</si>
  <si>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</si>
  <si>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</si>
  <si>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</si>
  <si>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</si>
  <si>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</si>
  <si>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</si>
  <si>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</si>
  <si>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</si>
  <si>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</si>
  <si>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</si>
  <si>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</si>
  <si>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</si>
  <si>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</si>
  <si>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</si>
  <si>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</si>
  <si>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</si>
  <si>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</si>
  <si>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</si>
  <si>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</si>
  <si>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</si>
  <si>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</si>
  <si>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</si>
  <si>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</si>
  <si>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</si>
  <si>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</si>
  <si>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</si>
  <si>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</si>
  <si>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</si>
  <si>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</si>
  <si>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</si>
  <si>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</si>
  <si>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</si>
  <si>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</si>
  <si>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</si>
  <si>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</si>
  <si>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</si>
  <si>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</si>
  <si>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</si>
  <si>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</si>
  <si>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</si>
  <si>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</si>
  <si>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</si>
  <si>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</si>
  <si>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</si>
  <si>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</si>
  <si>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</si>
  <si>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</si>
  <si>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</si>
  <si>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</si>
  <si>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</si>
  <si>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</si>
  <si>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</si>
  <si>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</si>
  <si>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</si>
  <si>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</si>
  <si>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</si>
  <si>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</si>
  <si>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</si>
  <si>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</si>
  <si>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</si>
  <si>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</si>
  <si>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</si>
  <si>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</si>
  <si>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</si>
  <si>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</si>
  <si>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</si>
  <si>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</si>
  <si>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</si>
  <si>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</si>
  <si>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</si>
  <si>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</si>
  <si>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</si>
  <si>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</si>
  <si>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</si>
  <si>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</si>
  <si>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</si>
  <si>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</si>
  <si>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</si>
  <si>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</si>
  <si>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</si>
  <si>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</si>
  <si>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</si>
  <si>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</si>
  <si>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</si>
  <si>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</si>
  <si>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</si>
  <si>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</si>
  <si>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</si>
  <si>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</si>
  <si>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</si>
  <si>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</si>
  <si>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</si>
  <si>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</si>
  <si>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</si>
  <si>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</si>
  <si>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</si>
  <si>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</si>
  <si>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</si>
  <si>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</si>
  <si>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</si>
  <si>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</si>
  <si>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</si>
  <si>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</si>
  <si>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</si>
  <si>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</si>
  <si>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</si>
  <si>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</si>
  <si>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</si>
  <si>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</si>
  <si>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</si>
  <si>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</si>
  <si>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</si>
  <si>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</si>
  <si>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</si>
  <si>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</si>
  <si>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</si>
  <si>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</si>
  <si>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</si>
  <si>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</si>
  <si>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</si>
  <si>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</si>
  <si>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</si>
  <si>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</si>
  <si>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</si>
  <si>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</si>
  <si>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</si>
  <si>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</si>
  <si>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</si>
  <si>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</si>
  <si>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</si>
  <si>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</si>
  <si>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</si>
  <si>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</si>
  <si>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</si>
  <si>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</si>
  <si>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</si>
  <si>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</si>
  <si>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</si>
  <si>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</si>
  <si>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</si>
  <si>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</si>
  <si>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</si>
  <si>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</si>
  <si>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</si>
  <si>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</si>
  <si>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</si>
  <si>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</si>
  <si>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</si>
  <si>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</si>
  <si>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</si>
  <si>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</si>
  <si>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</si>
  <si>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</si>
  <si>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</si>
  <si>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</si>
  <si>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</si>
  <si>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</si>
  <si>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</si>
  <si>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</si>
  <si>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</si>
  <si>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</si>
  <si>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</si>
  <si>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</si>
  <si>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</si>
  <si>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</si>
  <si>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</si>
  <si>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</si>
  <si>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</si>
  <si>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</si>
  <si>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</si>
  <si>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</si>
  <si>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</si>
  <si>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</si>
  <si>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</si>
  <si>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</si>
  <si>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</si>
  <si>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</si>
  <si>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</si>
  <si>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</si>
  <si>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</si>
  <si>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</si>
  <si>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</si>
  <si>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</si>
  <si>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</si>
  <si>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</si>
  <si>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</si>
  <si>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</si>
  <si>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</si>
  <si>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</si>
  <si>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</si>
  <si>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</si>
  <si>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</si>
  <si>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</si>
  <si>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</si>
  <si>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</si>
  <si>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</si>
  <si>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</si>
  <si>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</si>
  <si>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</si>
  <si>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</si>
  <si>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</si>
  <si>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</si>
  <si>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</si>
  <si>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</si>
  <si>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</si>
  <si>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</si>
  <si>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</si>
  <si>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</si>
  <si>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</si>
  <si>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</si>
  <si>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</si>
  <si>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</si>
  <si>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</si>
  <si>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</si>
  <si>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</si>
  <si>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</si>
  <si>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</si>
  <si>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</si>
  <si>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</si>
  <si>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</si>
  <si>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</si>
  <si>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</si>
  <si>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</si>
  <si>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</si>
  <si>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</si>
  <si>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</si>
  <si>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</si>
  <si>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</si>
  <si>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</si>
  <si>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</si>
  <si>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</si>
  <si>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</si>
  <si>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</si>
  <si>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</si>
  <si>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</si>
  <si>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</si>
  <si>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</si>
  <si>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</si>
  <si>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</si>
  <si>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</si>
  <si>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</si>
  <si>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</si>
  <si>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</si>
  <si>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</si>
  <si>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</si>
  <si>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</si>
  <si>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</si>
  <si>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</si>
  <si>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</si>
  <si>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</si>
  <si>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</si>
  <si>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</si>
  <si>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</si>
  <si>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</si>
  <si>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</si>
  <si>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</si>
  <si>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</si>
  <si>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</si>
  <si>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</si>
  <si>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</si>
  <si>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</si>
  <si>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</si>
  <si>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</si>
  <si>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</si>
  <si>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</si>
  <si>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</si>
  <si>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</si>
  <si>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</si>
  <si>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</si>
  <si>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</si>
  <si>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</si>
  <si>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</si>
  <si>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</si>
  <si>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</si>
  <si>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</si>
  <si>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</si>
  <si>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</si>
  <si>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</si>
  <si>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</si>
  <si>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</si>
  <si>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</si>
  <si>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</si>
  <si>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</si>
  <si>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</si>
  <si>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</si>
  <si>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</si>
  <si>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</si>
  <si>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</si>
  <si>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</si>
  <si>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</si>
  <si>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</si>
  <si>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</si>
  <si>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</si>
  <si>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</si>
  <si>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</si>
  <si>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</si>
  <si>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</si>
  <si>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</si>
  <si>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</si>
  <si>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</si>
  <si>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</si>
  <si>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</si>
  <si>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</si>
  <si>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</si>
  <si>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</si>
  <si>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</si>
  <si>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</si>
  <si>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</si>
  <si>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</si>
  <si>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</si>
  <si>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</si>
  <si>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</si>
  <si>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</si>
  <si>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</si>
  <si>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</si>
  <si>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</si>
  <si>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</si>
  <si>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</si>
  <si>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</si>
  <si>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</si>
  <si>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</si>
  <si>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</si>
  <si>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</si>
  <si>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</si>
  <si>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</si>
  <si>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</si>
  <si>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</si>
  <si>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</si>
  <si>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</si>
  <si>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</si>
  <si>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</si>
  <si>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</si>
  <si>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</si>
  <si>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</si>
  <si>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</si>
  <si>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</si>
  <si>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</si>
  <si>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</si>
  <si>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</si>
  <si>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</si>
  <si>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</si>
  <si>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</si>
  <si>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</si>
  <si>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</si>
  <si>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</si>
  <si>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</si>
  <si>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</si>
  <si>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</si>
  <si>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</si>
  <si>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</si>
  <si>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</si>
  <si>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</si>
  <si>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</si>
  <si>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</si>
  <si>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</si>
  <si>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</si>
  <si>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</si>
  <si>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</si>
  <si>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</si>
  <si>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</si>
  <si>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</si>
  <si>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</si>
  <si>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</si>
  <si>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</si>
  <si>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</si>
  <si>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</si>
  <si>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</si>
  <si>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</si>
  <si>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</si>
  <si>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</si>
  <si>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</si>
  <si>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</si>
  <si>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</si>
  <si>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</si>
  <si>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</si>
  <si>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</si>
  <si>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</si>
  <si>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</si>
  <si>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</si>
  <si>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</si>
  <si>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</si>
  <si>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</si>
  <si>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</si>
  <si>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</si>
  <si>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</si>
  <si>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</si>
  <si>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</si>
  <si>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</si>
  <si>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</si>
  <si>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</si>
  <si>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</si>
  <si>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</si>
  <si>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</si>
  <si>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</si>
  <si>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</si>
  <si>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</si>
  <si>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</si>
  <si>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</si>
  <si>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</si>
  <si>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</si>
  <si>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</si>
  <si>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</si>
  <si>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</si>
  <si>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</si>
  <si>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</si>
  <si>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</si>
  <si>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</si>
  <si>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</si>
  <si>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</si>
  <si>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</si>
  <si>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</si>
  <si>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</si>
  <si>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</si>
  <si>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</si>
  <si>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</si>
  <si>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</si>
  <si>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</si>
  <si>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</si>
  <si>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</si>
  <si>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</si>
  <si>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closed date</t>
    <phoneticPr fontId="3" type="noConversion"/>
  </si>
  <si>
    <t>Ticket Number</t>
    <phoneticPr fontId="3" type="noConversion"/>
  </si>
  <si>
    <t>closed PX</t>
    <phoneticPr fontId="3" type="noConversion"/>
  </si>
  <si>
    <t xml:space="preserve"> MTM P&amp;L</t>
    <phoneticPr fontId="3" type="noConversion"/>
  </si>
  <si>
    <t>Amount</t>
    <phoneticPr fontId="3" type="noConversion"/>
  </si>
  <si>
    <t>Maturity</t>
    <phoneticPr fontId="3" type="noConversion"/>
  </si>
  <si>
    <t>Cost</t>
    <phoneticPr fontId="3" type="noConversion"/>
  </si>
  <si>
    <t xml:space="preserve"> MTM P&amp;L</t>
    <phoneticPr fontId="3" type="noConversion"/>
  </si>
  <si>
    <t>Trade Date</t>
    <phoneticPr fontId="3" type="noConversion"/>
  </si>
  <si>
    <t>closed date</t>
    <phoneticPr fontId="3" type="noConversion"/>
  </si>
  <si>
    <t>Cost</t>
    <phoneticPr fontId="3" type="noConversion"/>
  </si>
  <si>
    <t>MKT Price</t>
    <phoneticPr fontId="3" type="noConversion"/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</si>
  <si>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</si>
  <si>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</si>
  <si>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</si>
  <si>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</si>
  <si>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</si>
  <si>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</si>
  <si>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</si>
  <si>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</si>
  <si>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</si>
  <si>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</si>
  <si>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</si>
  <si>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</si>
  <si>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</si>
  <si>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</si>
  <si>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</si>
  <si>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</si>
  <si>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</si>
  <si>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</si>
  <si>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</si>
  <si>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</si>
  <si>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</si>
  <si>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</si>
  <si>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</si>
  <si>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</si>
  <si>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</si>
  <si>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</si>
  <si>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</si>
  <si>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</si>
  <si>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</si>
  <si>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</si>
  <si>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</si>
  <si>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</si>
  <si>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</si>
  <si>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</si>
  <si>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</si>
  <si>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</si>
  <si>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</si>
  <si>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</si>
  <si>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</si>
  <si>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</si>
  <si>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</si>
  <si>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</si>
  <si>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</si>
  <si>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</si>
  <si>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</si>
  <si>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</si>
  <si>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</si>
  <si>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</si>
  <si>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</si>
  <si>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</si>
  <si>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</si>
  <si>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</si>
  <si>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</si>
  <si>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</si>
  <si>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</si>
  <si>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</si>
  <si>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</si>
  <si>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</si>
  <si>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</si>
  <si>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</si>
  <si>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</si>
  <si>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</si>
  <si>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</si>
  <si>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</si>
  <si>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</si>
  <si>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</si>
  <si>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</si>
  <si>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</si>
  <si>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</si>
  <si>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</si>
  <si>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</si>
  <si>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</si>
  <si>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</si>
  <si>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</si>
  <si>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</si>
  <si>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</si>
  <si>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</si>
  <si>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</si>
  <si>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</si>
  <si>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</si>
  <si>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</si>
  <si>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</si>
  <si>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</si>
  <si>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</si>
  <si>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</si>
  <si>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</si>
  <si>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</si>
  <si>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</si>
  <si>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</si>
  <si>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</si>
  <si>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</si>
  <si>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</si>
  <si>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</si>
  <si>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</si>
  <si>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</si>
  <si>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</si>
  <si>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</si>
  <si>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</si>
  <si>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</si>
  <si>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</si>
  <si>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</si>
  <si>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</si>
  <si>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</si>
  <si>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</si>
  <si>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</si>
  <si>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</si>
  <si>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</si>
  <si>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</si>
  <si>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</si>
  <si>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</si>
  <si>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</si>
  <si>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</si>
  <si>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</si>
  <si>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</si>
  <si>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</si>
  <si>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</si>
  <si>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</si>
  <si>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</si>
  <si>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</si>
  <si>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</si>
  <si>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</si>
  <si>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</si>
  <si>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</si>
  <si>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</si>
  <si>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</si>
  <si>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</si>
  <si>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</si>
  <si>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</si>
  <si>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</si>
  <si>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</si>
  <si>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</si>
  <si>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</si>
  <si>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</si>
  <si>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</si>
  <si>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</si>
  <si>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</si>
  <si>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</si>
  <si>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</si>
  <si>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</si>
  <si>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</si>
  <si>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</si>
  <si>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</si>
  <si>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</si>
  <si>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</si>
  <si>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</si>
  <si>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</si>
  <si>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</si>
  <si>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</si>
  <si>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</si>
  <si>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</si>
  <si>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</si>
  <si>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</si>
  <si>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</si>
  <si>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</si>
  <si>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</si>
  <si>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</si>
  <si>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</si>
  <si>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</si>
  <si>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</si>
  <si>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</si>
  <si>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</si>
  <si>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</si>
  <si>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</si>
  <si>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</si>
  <si>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</si>
  <si>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</si>
  <si>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</si>
  <si>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</si>
  <si>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</si>
  <si>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</si>
  <si>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</si>
  <si>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</si>
  <si>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</si>
  <si>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</si>
  <si>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</si>
  <si>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</si>
  <si>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</si>
  <si>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</si>
  <si>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</si>
  <si>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</si>
  <si>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</si>
  <si>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</si>
  <si>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</si>
  <si>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</si>
  <si>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</si>
  <si>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</si>
  <si>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</si>
  <si>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</si>
  <si>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</si>
  <si>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</si>
  <si>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</si>
  <si>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</si>
  <si>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</si>
  <si>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</si>
  <si>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</si>
  <si>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</si>
  <si>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</si>
  <si>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</si>
  <si>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</si>
  <si>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</si>
  <si>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</si>
  <si>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</si>
  <si>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</si>
  <si>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</si>
  <si>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</si>
  <si>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</si>
  <si>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</si>
  <si>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</si>
  <si>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</si>
  <si>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2023032900039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</si>
  <si>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</si>
  <si>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</si>
  <si>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</si>
  <si>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</si>
  <si>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</si>
  <si>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</si>
  <si>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</si>
  <si>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</si>
  <si>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</si>
  <si>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</si>
  <si>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</si>
  <si>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</si>
  <si>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</si>
  <si>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</si>
  <si>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</si>
  <si>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</si>
  <si>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</si>
  <si>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</si>
  <si>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</si>
  <si>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</si>
  <si>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</si>
  <si>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</si>
  <si>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</si>
  <si>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</si>
  <si>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</si>
  <si>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</si>
  <si>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</si>
  <si>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</si>
  <si>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</si>
  <si>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</si>
  <si>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</si>
  <si>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2023/3/31已完成</t>
  </si>
  <si>
    <t>Step1</t>
    <phoneticPr fontId="3" type="noConversion"/>
  </si>
  <si>
    <t>2023033000060</t>
  </si>
  <si>
    <t>2023033000057</t>
  </si>
  <si>
    <t>2023033000061</t>
  </si>
  <si>
    <t>2023033000062</t>
  </si>
  <si>
    <t>Step2</t>
    <phoneticPr fontId="3" type="noConversion"/>
  </si>
  <si>
    <t>Step5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</si>
</sst>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6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 vertical="center"/>
    </xf>
    <xf numFmtId="183" fontId="4" fillId="9" borderId="6" xfId="3" applyNumberFormat="1" applyFont="1" applyFill="1" applyBorder="1" applyAlignment="1">
      <alignment horizontal="center" vertical="center"/>
    </xf>
    <xf numFmtId="177" fontId="4" fillId="9" borderId="6" xfId="0" applyNumberFormat="1" applyFont="1" applyFill="1" applyBorder="1" applyAlignment="1">
      <alignment horizontal="center"/>
    </xf>
    <xf numFmtId="180" fontId="6" fillId="9" borderId="6" xfId="0" applyNumberFormat="1" applyFont="1" applyFill="1" applyBorder="1" applyAlignment="1">
      <alignment horizontal="center" vertical="center"/>
    </xf>
    <xf numFmtId="185" fontId="41" fillId="9" borderId="6" xfId="0" applyNumberFormat="1" applyFont="1" applyFill="1" applyBorder="1" applyAlignment="1">
      <alignment horizontal="center"/>
    </xf>
    <xf numFmtId="0" fontId="41" fillId="9" borderId="6" xfId="0" applyFont="1" applyFill="1" applyBorder="1" applyAlignment="1">
      <alignment horizont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178" fontId="27" fillId="25" borderId="1" xfId="0" applyNumberFormat="1" applyFont="1" applyFill="1" applyBorder="1" applyAlignment="1">
      <alignment horizontal="center" vertic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30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 vertical="center"/>
    </xf>
    <xf numFmtId="180" fontId="30" fillId="26" borderId="1" xfId="0" applyNumberFormat="1" applyFont="1" applyFill="1" applyBorder="1" applyAlignment="1">
      <alignment horizontal="center" vertical="center"/>
    </xf>
    <xf numFmtId="195" fontId="30" fillId="26" borderId="1" xfId="0" applyNumberFormat="1" applyFont="1" applyFill="1" applyBorder="1" applyAlignment="1">
      <alignment horizontal="center" wrapText="1"/>
    </xf>
    <xf numFmtId="185" fontId="31" fillId="26" borderId="1" xfId="0" applyNumberFormat="1" applyFont="1" applyFill="1" applyBorder="1" applyAlignment="1">
      <alignment horizontal="center"/>
    </xf>
    <xf numFmtId="14" fontId="27" fillId="26" borderId="1" xfId="0" applyNumberFormat="1" applyFont="1" applyFill="1" applyBorder="1" applyAlignment="1">
      <alignment horizontal="center" vertical="center"/>
    </xf>
    <xf numFmtId="185" fontId="11" fillId="26" borderId="1" xfId="0" applyNumberFormat="1" applyFont="1" applyFill="1" applyBorder="1" applyAlignment="1">
      <alignment horizontal="center"/>
    </xf>
    <xf numFmtId="195" fontId="27" fillId="26" borderId="1" xfId="0" applyNumberFormat="1" applyFont="1" applyFill="1" applyBorder="1" applyAlignment="1">
      <alignment horizontal="center" wrapText="1"/>
    </xf>
    <xf numFmtId="185" fontId="65" fillId="26" borderId="1" xfId="0" applyNumberFormat="1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/>
    </xf>
    <xf numFmtId="183" fontId="27" fillId="26" borderId="1" xfId="3" applyNumberFormat="1" applyFont="1" applyFill="1" applyBorder="1" applyAlignment="1">
      <alignment horizontal="center" vertical="center"/>
    </xf>
    <xf numFmtId="177" fontId="27" fillId="26" borderId="1" xfId="0" applyNumberFormat="1" applyFont="1" applyFill="1" applyBorder="1" applyAlignment="1">
      <alignment horizontal="center"/>
    </xf>
    <xf numFmtId="177" fontId="27" fillId="26" borderId="1" xfId="0" applyNumberFormat="1" applyFont="1" applyFill="1" applyBorder="1" applyAlignment="1">
      <alignment horizontal="center" vertical="center"/>
    </xf>
    <xf numFmtId="180" fontId="27" fillId="26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7" borderId="1" xfId="0" applyFont="1" applyFill="1" applyBorder="1" applyAlignment="1">
      <alignment horizontal="center"/>
    </xf>
    <xf numFmtId="14" fontId="30" fillId="27" borderId="1" xfId="0" applyNumberFormat="1" applyFont="1" applyFill="1" applyBorder="1" applyAlignment="1">
      <alignment horizontal="center" vertical="center"/>
    </xf>
    <xf numFmtId="183" fontId="30" fillId="27" borderId="1" xfId="3" applyNumberFormat="1" applyFont="1" applyFill="1" applyBorder="1" applyAlignment="1">
      <alignment horizontal="center" vertical="center"/>
    </xf>
    <xf numFmtId="177" fontId="77" fillId="27" borderId="1" xfId="0" applyNumberFormat="1" applyFont="1" applyFill="1" applyBorder="1" applyAlignment="1">
      <alignment horizontal="center"/>
    </xf>
    <xf numFmtId="177" fontId="30" fillId="27" borderId="1" xfId="0" applyNumberFormat="1" applyFont="1" applyFill="1" applyBorder="1" applyAlignment="1">
      <alignment horizontal="center"/>
    </xf>
    <xf numFmtId="180" fontId="30" fillId="27" borderId="1" xfId="0" applyNumberFormat="1" applyFont="1" applyFill="1" applyBorder="1" applyAlignment="1">
      <alignment horizontal="center" vertical="center"/>
    </xf>
    <xf numFmtId="185" fontId="31" fillId="27" borderId="1" xfId="0" applyNumberFormat="1" applyFont="1" applyFill="1" applyBorder="1" applyAlignment="1">
      <alignment horizontal="center"/>
    </xf>
    <xf numFmtId="195" fontId="30" fillId="27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45016</v>
      </c>
      <c r="K1" s="401"/>
      <c r="L1" s="402"/>
      <c r="M1" s="444"/>
    </row>
    <row r="2" spans="2:31" s="408" customFormat="1" ht="20.100000000000001" customHeight="1">
      <c r="B2" s="889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0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-719441.63854301069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-457072.68585208402</v>
      </c>
      <c r="I6" s="420">
        <f>J6-M6</f>
        <v>27647.282320294762</v>
      </c>
      <c r="J6" s="454">
        <f>SUM(E6:G6)</f>
        <v>-719441.63854301069</v>
      </c>
      <c r="K6" s="429"/>
      <c r="L6" s="631">
        <v>-262368.95269092667</v>
      </c>
      <c r="M6" s="631">
        <v>-747088.92086330545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320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-11724552.078125</v>
      </c>
      <c r="F8" s="426">
        <f>'Report-USD'!F7*'market px'!$C$23+'Report-EUR'!F7*'market px'!$C$23*'market px'!$C$24</f>
        <v>-761350</v>
      </c>
      <c r="G8" s="530"/>
      <c r="H8" s="427">
        <f>J8-L8</f>
        <v>-54244.4296875</v>
      </c>
      <c r="I8" s="427">
        <f>J8-M8</f>
        <v>-8894500.828125</v>
      </c>
      <c r="J8" s="456">
        <f>SUM(E8:G8)</f>
        <v>-12485902.078125</v>
      </c>
      <c r="K8" s="429"/>
      <c r="L8" s="630">
        <v>-12431657.6484375</v>
      </c>
      <c r="M8" s="636">
        <v>-3591401.25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338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1998308.6451200335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320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342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320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491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320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-70348.740000000005</v>
      </c>
      <c r="D19" s="523">
        <f>'Report-USD'!D15+'Report-EUR'!D15*'market px'!$C$24</f>
        <v>-2310</v>
      </c>
      <c r="E19" s="426">
        <f>'Report-USD'!E15*'market px'!$C$23+'Report-EUR'!E15*'market px'!$C$23*'market px'!$C$24</f>
        <v>4307099.703125</v>
      </c>
      <c r="F19" s="426">
        <f>'Report-USD'!F15*'market px'!$C$23+'Report-EUR'!F15*'market px'!C23*'market px'!C24</f>
        <v>-2127021.5625</v>
      </c>
      <c r="G19" s="530"/>
      <c r="H19" s="427">
        <f>J19-L19</f>
        <v>261273.1171875</v>
      </c>
      <c r="I19" s="427">
        <f t="shared" si="0"/>
        <v>3795756.265625</v>
      </c>
      <c r="J19" s="456">
        <f>SUM(E19:G19)-AE19</f>
        <v>2180078.140625</v>
      </c>
      <c r="K19" s="429"/>
      <c r="L19" s="630">
        <v>1918805.0234375</v>
      </c>
      <c r="M19" s="636">
        <v>-1615678.125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558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138499.91936</v>
      </c>
      <c r="D21" s="523">
        <f>'Report-USD'!D17+'Report-EUR'!D17*'market px'!$C$24</f>
        <v>4547.84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-2259735.5264000166</v>
      </c>
      <c r="G21" s="530"/>
      <c r="H21" s="427">
        <f>J21-L21</f>
        <v>1415524.2441999507</v>
      </c>
      <c r="I21" s="427">
        <f t="shared" si="0"/>
        <v>-2259735.5264000166</v>
      </c>
      <c r="J21" s="456">
        <f>SUM(E21:G21)</f>
        <v>-2259735.5264000166</v>
      </c>
      <c r="K21" s="429"/>
      <c r="L21" s="630">
        <v>-3675259.7705999673</v>
      </c>
      <c r="M21" s="636">
        <v>0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331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-449651.02408938162</v>
      </c>
      <c r="G22" s="522">
        <f>'Report-USD'!G18*'market px'!$C$23</f>
        <v>0</v>
      </c>
      <c r="H22" s="419">
        <f t="shared" ref="H22:H27" si="1">J22-L22</f>
        <v>-285670.42865755246</v>
      </c>
      <c r="I22" s="420">
        <f t="shared" si="0"/>
        <v>-1397.6715713983867</v>
      </c>
      <c r="J22" s="454">
        <f>SUM(E22:G22)-AE22</f>
        <v>-449651.02408938162</v>
      </c>
      <c r="K22" s="429"/>
      <c r="L22" s="631">
        <v>-163980.59543182916</v>
      </c>
      <c r="M22" s="612">
        <v>-448253.35251798324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-26007.716</v>
      </c>
      <c r="D23" s="523">
        <f>'Report-USD'!D19+'Report-EUR'!D19*'market px'!$C$24</f>
        <v>-854</v>
      </c>
      <c r="E23" s="426">
        <f>'Report-USD'!E19*'market px'!$C$23+'Report-EUR'!E19*'market px'!$C$23*'market px'!$C$24</f>
        <v>-345700.484375</v>
      </c>
      <c r="F23" s="426">
        <f>'Report-USD'!F19*'market px'!$C$23+'Report-EUR'!F19*'market px'!C23*'market px'!C24</f>
        <v>-97547.96875</v>
      </c>
      <c r="G23" s="530"/>
      <c r="H23" s="427">
        <f>J23-L23</f>
        <v>-18936.2421875</v>
      </c>
      <c r="I23" s="427">
        <f t="shared" si="0"/>
        <v>-571597.828125</v>
      </c>
      <c r="J23" s="456">
        <f>SUM(E23:G23)-AE23</f>
        <v>-443248.453125</v>
      </c>
      <c r="K23" s="429"/>
      <c r="L23" s="630">
        <v>-424312.2109375</v>
      </c>
      <c r="M23" s="636">
        <v>128349.375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612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-1724695.671875</v>
      </c>
      <c r="F25" s="426">
        <f>'Report-USD'!F21*'market px'!$C$23+'Report-EUR'!F21*'market px'!$C$23*'market px'!$C$24</f>
        <v>0</v>
      </c>
      <c r="G25" s="530"/>
      <c r="H25" s="427">
        <f>J25-L25</f>
        <v>396.4296875</v>
      </c>
      <c r="I25" s="427">
        <f>J25-M25</f>
        <v>-250701.921875</v>
      </c>
      <c r="J25" s="456">
        <f>SUM(E25:G25)-AE25</f>
        <v>-1724695.671875</v>
      </c>
      <c r="K25" s="429"/>
      <c r="L25" s="630">
        <v>-1725092.1015625</v>
      </c>
      <c r="M25" s="636">
        <v>-1473993.75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-3992329.0625</v>
      </c>
      <c r="F27" s="426">
        <f>'Report-USD'!F23*'market px'!$C$23+'Report-EUR'!F23*'market px'!C26*'market px'!C24</f>
        <v>0</v>
      </c>
      <c r="G27" s="530"/>
      <c r="H27" s="427">
        <f t="shared" si="1"/>
        <v>10436.71875</v>
      </c>
      <c r="I27" s="427">
        <f>J27-M27</f>
        <v>-853841.5625</v>
      </c>
      <c r="J27" s="456">
        <f>SUM(E27:G27)-AE27</f>
        <v>-3992329.0625</v>
      </c>
      <c r="K27" s="429"/>
      <c r="L27" s="630">
        <v>-4002765.78125</v>
      </c>
      <c r="M27" s="636">
        <v>-3138487.5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42143.463359999994</v>
      </c>
      <c r="D28" s="524">
        <f t="shared" si="3"/>
        <v>1383.8400000000001</v>
      </c>
      <c r="E28" s="459">
        <f t="shared" si="3"/>
        <v>-12201310.587172976</v>
      </c>
      <c r="F28" s="459">
        <f t="shared" ca="1" si="3"/>
        <v>-5695306.0817393987</v>
      </c>
      <c r="G28" s="524">
        <f t="shared" si="3"/>
        <v>0</v>
      </c>
      <c r="H28" s="460">
        <f t="shared" ca="1" si="3"/>
        <v>871706.72344031418</v>
      </c>
      <c r="I28" s="460">
        <f t="shared" ca="1" si="3"/>
        <v>-9008371.7906511202</v>
      </c>
      <c r="J28" s="461">
        <f t="shared" ca="1" si="3"/>
        <v>-19894925.314032406</v>
      </c>
      <c r="K28" s="428"/>
      <c r="L28" s="632">
        <v>-20766632.037472725</v>
      </c>
      <c r="M28" s="637">
        <v>-10886553.523381289</v>
      </c>
      <c r="AE28" s="408">
        <v>0</v>
      </c>
    </row>
    <row r="29" spans="2:31">
      <c r="L29" s="446"/>
      <c r="M29" s="447"/>
    </row>
    <row r="30" spans="2:31" ht="16.5" thickBot="1">
      <c r="B30" s="398" t="s">
        <v>321</v>
      </c>
    </row>
    <row r="31" spans="2:31">
      <c r="B31" s="891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7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2"/>
      <c r="C32" s="747" t="s">
        <v>190</v>
      </c>
      <c r="D32" s="748" t="s">
        <v>327</v>
      </c>
      <c r="E32" s="749" t="s">
        <v>191</v>
      </c>
      <c r="F32" s="750" t="s">
        <v>192</v>
      </c>
      <c r="G32" s="808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322</v>
      </c>
      <c r="C33" s="734">
        <f>D33*'market px'!$C$23/'market px'!$C$25</f>
        <v>-208389.99185383451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-719441.63854301069</v>
      </c>
      <c r="G33" s="734"/>
      <c r="H33" s="753">
        <f t="shared" ref="H33:H41" si="4">J33-L33</f>
        <v>-719441.63854301069</v>
      </c>
      <c r="I33" s="754">
        <f t="shared" ref="I33:I41" si="5">J33-M33</f>
        <v>-719441.63854301069</v>
      </c>
      <c r="J33" s="755">
        <f>SUM(E33:G33)-AE33</f>
        <v>-719441.63854301069</v>
      </c>
      <c r="L33" s="728">
        <v>0</v>
      </c>
      <c r="M33" s="731">
        <v>0</v>
      </c>
      <c r="AE33" s="433">
        <v>0</v>
      </c>
    </row>
    <row r="34" spans="2:31" ht="16.5">
      <c r="B34" s="725" t="s">
        <v>323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344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345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490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324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331</v>
      </c>
      <c r="C39" s="809">
        <f>D39*'market px'!$C$23/'market px'!$C$25</f>
        <v>-130243.74490864658</v>
      </c>
      <c r="D39" s="809">
        <f>'Report-CNY'!D16</f>
        <v>-29400</v>
      </c>
      <c r="E39" s="812">
        <f>'Report-CNY'!E16*'market px'!$C$23/'market px'!$C$25</f>
        <v>0</v>
      </c>
      <c r="F39" s="736">
        <f>'Report-CNY'!F16*'market px'!$C$23/'market px'!$C$25</f>
        <v>-449651.02408938162</v>
      </c>
      <c r="G39" s="809">
        <v>0</v>
      </c>
      <c r="H39" s="756">
        <f>J39-L39</f>
        <v>-449651.02408938162</v>
      </c>
      <c r="I39" s="757">
        <f>J39-M39</f>
        <v>-449651.02408938162</v>
      </c>
      <c r="J39" s="758">
        <f t="shared" si="6"/>
        <v>-449651.02408938162</v>
      </c>
      <c r="L39" s="810"/>
      <c r="M39" s="811"/>
      <c r="AE39" s="433">
        <v>0</v>
      </c>
    </row>
    <row r="40" spans="2:31" ht="16.5">
      <c r="B40" s="725" t="s">
        <v>420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325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-338633.7367624811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-1169092.6626323923</v>
      </c>
      <c r="G42" s="767">
        <f t="shared" si="7"/>
        <v>0</v>
      </c>
      <c r="H42" s="768">
        <f t="shared" si="7"/>
        <v>-1169092.6626323923</v>
      </c>
      <c r="I42" s="763">
        <f t="shared" si="7"/>
        <v>-1169092.6626323923</v>
      </c>
      <c r="J42" s="763">
        <f t="shared" si="7"/>
        <v>-1169092.6626323923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45016</v>
      </c>
      <c r="L1" s="369"/>
      <c r="M1" s="369"/>
    </row>
    <row r="2" spans="2:13" s="194" customFormat="1" ht="20.100000000000001" customHeight="1">
      <c r="B2" s="893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4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'Aaron-UR'!E23</f>
        <v>0</v>
      </c>
      <c r="D6" s="388">
        <f>'Aaron-UR'!G23</f>
        <v>0</v>
      </c>
      <c r="E6" s="392">
        <f>'Aaron-Real'!K10</f>
        <v>0</v>
      </c>
      <c r="F6" s="217">
        <f>'Aaron-UR'!K23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'Aaron-UR'!E58</f>
        <v>0</v>
      </c>
      <c r="D7" s="389">
        <f>'Aaron-UR'!G58</f>
        <v>0</v>
      </c>
      <c r="E7" s="393">
        <f>'Aaron-Real'!K1417</f>
        <v>-384992.1875</v>
      </c>
      <c r="F7" s="506">
        <f>'Aaron-UR'!K58</f>
        <v>-25000</v>
      </c>
      <c r="G7" s="504"/>
      <c r="H7" s="220">
        <f>J7-L7</f>
        <v>-1875</v>
      </c>
      <c r="I7" s="512">
        <f t="shared" si="1"/>
        <v>-292164.0625</v>
      </c>
      <c r="J7" s="517">
        <f>SUM(E7:G7)</f>
        <v>-409992.1875</v>
      </c>
      <c r="L7" s="625">
        <v>-408117.1875</v>
      </c>
      <c r="M7" s="625">
        <v>-117828.125</v>
      </c>
    </row>
    <row r="8" spans="2:13" ht="20.100000000000001" customHeight="1">
      <c r="B8" s="215" t="s">
        <v>555</v>
      </c>
      <c r="C8" s="217">
        <f>'Jesse-UR'!E56</f>
        <v>0</v>
      </c>
      <c r="D8" s="388">
        <f>'Jesse-UR'!G56</f>
        <v>0</v>
      </c>
      <c r="E8" s="392">
        <f>'Jesse-Real'!K40</f>
        <v>0</v>
      </c>
      <c r="F8" s="217">
        <f>'Jesse-UR'!K56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342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490</v>
      </c>
      <c r="C14" s="217">
        <f>'Pete-UR'!E21</f>
        <v>0</v>
      </c>
      <c r="D14" s="388">
        <f>'Pete-UR'!G21</f>
        <v>0</v>
      </c>
      <c r="E14" s="392">
        <f>'Pete-Real'!K11</f>
        <v>0</v>
      </c>
      <c r="F14" s="217">
        <f>'Pete-UR'!K21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'Pete-UR'!E88</f>
        <v>30</v>
      </c>
      <c r="D15" s="389">
        <f>'Pete-UR'!G88</f>
        <v>-2310</v>
      </c>
      <c r="E15" s="393">
        <f>'Pete-Real'!K485</f>
        <v>141429.6875</v>
      </c>
      <c r="F15" s="506">
        <f>'Pete-UR'!K88</f>
        <v>-69843.75</v>
      </c>
      <c r="G15" s="504"/>
      <c r="H15" s="220">
        <f t="shared" si="2"/>
        <v>8593.75</v>
      </c>
      <c r="I15" s="512">
        <f t="shared" si="3"/>
        <v>124593.75</v>
      </c>
      <c r="J15" s="517">
        <f>SUM(E15:G15)</f>
        <v>71585.9375</v>
      </c>
      <c r="L15" s="625">
        <v>62992.1875</v>
      </c>
      <c r="M15" s="625">
        <v>-53007.8125</v>
      </c>
    </row>
    <row r="16" spans="2:13" ht="20.100000000000001" customHeight="1">
      <c r="B16" s="385" t="s">
        <v>1293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'Jesse-UR'!G81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332</v>
      </c>
      <c r="C18" s="217">
        <f>'Mark1-UR'!E27</f>
        <v>0</v>
      </c>
      <c r="D18" s="388">
        <f>'Mark1-UR'!G27</f>
        <v>0</v>
      </c>
      <c r="E18" s="392">
        <f>'Mark1-Real'!K21</f>
        <v>0</v>
      </c>
      <c r="F18" s="217">
        <f>'Mark1-UR'!K27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'Mark1-UR'!E62</f>
        <v>20</v>
      </c>
      <c r="D19" s="389">
        <f>'Mark1-UR'!G62</f>
        <v>-854</v>
      </c>
      <c r="E19" s="393">
        <f>'Mark1-Real'!K429</f>
        <v>-11351.5625</v>
      </c>
      <c r="F19" s="506">
        <f>'Mark1-UR'!K62</f>
        <v>-3203.125</v>
      </c>
      <c r="G19" s="504"/>
      <c r="H19" s="220">
        <f t="shared" si="2"/>
        <v>-625</v>
      </c>
      <c r="I19" s="512">
        <f t="shared" si="3"/>
        <v>-18765.625</v>
      </c>
      <c r="J19" s="517">
        <f t="shared" si="4"/>
        <v>-14554.6875</v>
      </c>
      <c r="L19" s="625">
        <v>-13929.6875</v>
      </c>
      <c r="M19" s="625">
        <v>4210.9375</v>
      </c>
    </row>
    <row r="20" spans="2:13" ht="20.100000000000001" customHeight="1">
      <c r="B20" s="215" t="s">
        <v>675</v>
      </c>
      <c r="C20" s="217">
        <f>'Peggy-UR'!E48</f>
        <v>0</v>
      </c>
      <c r="D20" s="388">
        <f>'Peggy-UR'!G48</f>
        <v>0</v>
      </c>
      <c r="E20" s="392">
        <f>'Peggy-Real'!K9</f>
        <v>0</v>
      </c>
      <c r="F20" s="217">
        <f>'Peggy-UR'!K48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'Peggy-UR'!E73</f>
        <v>0</v>
      </c>
      <c r="D21" s="389">
        <f>'Peggy-UR'!G73</f>
        <v>0</v>
      </c>
      <c r="E21" s="393">
        <f>'Peggy-Real'!K209</f>
        <v>-56632.8125</v>
      </c>
      <c r="F21" s="506">
        <f>'Peggy-UR'!K73</f>
        <v>0</v>
      </c>
      <c r="G21" s="504"/>
      <c r="H21" s="220">
        <f t="shared" si="2"/>
        <v>0</v>
      </c>
      <c r="I21" s="512">
        <f t="shared" si="3"/>
        <v>-8273.4375</v>
      </c>
      <c r="J21" s="517">
        <f>SUM(E21:G21)</f>
        <v>-56632.8125</v>
      </c>
      <c r="L21" s="625">
        <v>-56632.8125</v>
      </c>
      <c r="M21" s="625">
        <v>-48359.375</v>
      </c>
    </row>
    <row r="22" spans="2:13" ht="20.100000000000001" customHeight="1">
      <c r="B22" s="385" t="s">
        <v>251</v>
      </c>
      <c r="C22" s="217">
        <f>'Gary-UR'!E33</f>
        <v>0</v>
      </c>
      <c r="D22" s="388">
        <f>'Gary-UR'!G21</f>
        <v>0</v>
      </c>
      <c r="E22" s="392">
        <f>'Gary-Real'!K8</f>
        <v>0</v>
      </c>
      <c r="F22" s="217">
        <f ca="1">'Gary-UR'!K33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'Gary-UR'!E61</f>
        <v>0</v>
      </c>
      <c r="D23" s="464">
        <f>'Gary-UR'!G61</f>
        <v>0</v>
      </c>
      <c r="E23" s="465">
        <f>'Gary-Real'!K349</f>
        <v>-131093.75</v>
      </c>
      <c r="F23" s="507">
        <f>'Gary-UR'!K61</f>
        <v>0</v>
      </c>
      <c r="G23" s="505"/>
      <c r="H23" s="615">
        <f t="shared" si="2"/>
        <v>312.5</v>
      </c>
      <c r="I23" s="616">
        <f t="shared" si="3"/>
        <v>-28125</v>
      </c>
      <c r="J23" s="617">
        <f>SUM(E23:G23)</f>
        <v>-131093.75</v>
      </c>
      <c r="L23" s="626">
        <v>-131406.25</v>
      </c>
      <c r="M23" s="626">
        <v>-102968.75</v>
      </c>
    </row>
    <row r="24" spans="2:13" ht="20.100000000000001" customHeight="1" thickBot="1">
      <c r="B24" s="614" t="s">
        <v>89</v>
      </c>
      <c r="C24" s="214">
        <f t="shared" ref="C24:I24" si="5">SUM(C4:C23)</f>
        <v>50</v>
      </c>
      <c r="D24" s="214">
        <f t="shared" si="5"/>
        <v>-3164</v>
      </c>
      <c r="E24" s="214">
        <f t="shared" si="5"/>
        <v>-442640.625</v>
      </c>
      <c r="F24" s="214">
        <f t="shared" ca="1" si="5"/>
        <v>-98046.875</v>
      </c>
      <c r="G24" s="214">
        <f t="shared" si="5"/>
        <v>0</v>
      </c>
      <c r="H24" s="214">
        <f t="shared" ca="1" si="5"/>
        <v>6406.25</v>
      </c>
      <c r="I24" s="513">
        <f t="shared" ca="1" si="5"/>
        <v>-222734.375</v>
      </c>
      <c r="J24" s="462">
        <f ca="1">SUM(J4:J23)</f>
        <v>-540687.5</v>
      </c>
      <c r="L24" s="627">
        <v>-547093.75</v>
      </c>
      <c r="M24" s="627">
        <v>-317953.125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45016</v>
      </c>
      <c r="K1" s="369"/>
      <c r="L1" s="369"/>
    </row>
    <row r="2" spans="2:12" s="194" customFormat="1" ht="20.100000000000001" customHeight="1">
      <c r="B2" s="893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5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'Aaron-UR'!E32</f>
        <v>0</v>
      </c>
      <c r="D6" s="516">
        <f>'Aaron-UR'!G32</f>
        <v>0</v>
      </c>
      <c r="E6" s="217">
        <f>'Aaron-Real'!K19</f>
        <v>0</v>
      </c>
      <c r="F6" s="528">
        <f>'Aaron-UR'!K32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'Aaron-UR'!E67</f>
        <v>0</v>
      </c>
      <c r="D7" s="462">
        <f>'Aaron-UR'!G67</f>
        <v>0</v>
      </c>
      <c r="E7" s="214">
        <f>'Aaron-Real'!K1426</f>
        <v>0</v>
      </c>
      <c r="F7" s="527">
        <f>'Aaron-UR'!K67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338</v>
      </c>
      <c r="C8" s="211">
        <f>'Jesse-UR'!E65</f>
        <v>0</v>
      </c>
      <c r="D8" s="525">
        <f>'Jesse-UR'!G65</f>
        <v>0</v>
      </c>
      <c r="E8" s="211">
        <f>'Jesse-Real'!K49</f>
        <v>0</v>
      </c>
      <c r="F8" s="529">
        <f>'Jesse-UR'!K65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'Jesse-Real'!K206</f>
        <v>60310.000000001004</v>
      </c>
      <c r="F9" s="527">
        <v>0</v>
      </c>
      <c r="G9" s="219">
        <v>0</v>
      </c>
      <c r="H9" s="504">
        <f>+I9-L9</f>
        <v>60310.000000001004</v>
      </c>
      <c r="I9" s="504">
        <f>SUM(E9:F9)</f>
        <v>60310.000000001004</v>
      </c>
      <c r="K9" s="625">
        <v>60310.000000001004</v>
      </c>
      <c r="L9" s="625">
        <v>0</v>
      </c>
    </row>
    <row r="10" spans="2:12" ht="20.100000000000001" customHeight="1">
      <c r="B10" s="297" t="s">
        <v>558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342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490</v>
      </c>
      <c r="C14" s="217">
        <f>'Pete-UR'!E30</f>
        <v>0</v>
      </c>
      <c r="D14" s="516">
        <f>'Pete-UR'!G30</f>
        <v>0</v>
      </c>
      <c r="E14" s="217">
        <f>'Pete-Real'!K29</f>
        <v>0</v>
      </c>
      <c r="F14" s="528">
        <f>'Pete-UR'!K30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'Pete-UR'!E97</f>
        <v>0</v>
      </c>
      <c r="D15" s="462">
        <f>'Pete-UR'!G97</f>
        <v>0</v>
      </c>
      <c r="E15" s="214">
        <f>'Pete-Real'!K494</f>
        <v>0</v>
      </c>
      <c r="F15" s="527">
        <f>'Pete-UR'!K97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1294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'Jesse-UR'!E112</f>
        <v>-220</v>
      </c>
      <c r="D17" s="462">
        <f>'Jesse-UR'!G112</f>
        <v>4180</v>
      </c>
      <c r="E17" s="214">
        <f>'Ryan-Real'!K337</f>
        <v>0</v>
      </c>
      <c r="F17" s="527">
        <f>'Jesse-UR'!K112</f>
        <v>-68200.000000000495</v>
      </c>
      <c r="G17" s="219">
        <f t="shared" si="0"/>
        <v>42899.999999998516</v>
      </c>
      <c r="H17" s="504">
        <f t="shared" si="1"/>
        <v>-68200.000000000495</v>
      </c>
      <c r="I17" s="504">
        <f t="shared" si="2"/>
        <v>-68200.000000000495</v>
      </c>
      <c r="K17" s="625">
        <v>-111099.99999999901</v>
      </c>
      <c r="L17" s="625">
        <v>0</v>
      </c>
    </row>
    <row r="18" spans="2:12" ht="20.100000000000001" customHeight="1">
      <c r="B18" s="215" t="s">
        <v>233</v>
      </c>
      <c r="C18" s="217">
        <f>'Mark1-UR'!E36</f>
        <v>0</v>
      </c>
      <c r="D18" s="516">
        <f>'Mark1-UR'!G36</f>
        <v>0</v>
      </c>
      <c r="E18" s="217">
        <f>'Mark1-Real'!K30</f>
        <v>0</v>
      </c>
      <c r="F18" s="528">
        <f>'Mark1-UR'!K36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'Mark1-UR'!E76</f>
        <v>0</v>
      </c>
      <c r="D19" s="462">
        <f>'Mark1-UR'!G76</f>
        <v>0</v>
      </c>
      <c r="E19" s="214">
        <f>'Mark1-Real'!K442</f>
        <v>0</v>
      </c>
      <c r="F19" s="527">
        <f>'Mark1-UR'!K76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675</v>
      </c>
      <c r="C20" s="211">
        <f>'Peggy-UR'!E57</f>
        <v>0</v>
      </c>
      <c r="D20" s="525">
        <f>'Peggy-UR'!G57</f>
        <v>0</v>
      </c>
      <c r="E20" s="211">
        <f>'Peggy-Real'!K18</f>
        <v>0</v>
      </c>
      <c r="F20" s="529">
        <f>'Peggy-UR'!K57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'Peggy-UR'!E96</f>
        <v>0</v>
      </c>
      <c r="D21" s="462">
        <f>'Roger-UR'!G68</f>
        <v>0</v>
      </c>
      <c r="E21" s="214">
        <f>'Peggy-Real'!K231</f>
        <v>0</v>
      </c>
      <c r="F21" s="527">
        <f>'Peggy-UR'!K96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'Gary-UR'!E42</f>
        <v>0</v>
      </c>
      <c r="D22" s="516">
        <f>'Gary-UR'!G42</f>
        <v>0</v>
      </c>
      <c r="E22" s="217">
        <f>'Gary-Real'!K17</f>
        <v>0</v>
      </c>
      <c r="F22" s="528">
        <f>'Gary-UR'!K42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'Gary-UR'!E70</f>
        <v>0</v>
      </c>
      <c r="D23" s="462">
        <f>'Gary-UR'!G70</f>
        <v>0</v>
      </c>
      <c r="E23" s="214">
        <f>'Gary-Real'!K358</f>
        <v>0</v>
      </c>
      <c r="F23" s="527">
        <f>'Gary-UR'!K70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-68200.000000000495</v>
      </c>
      <c r="G24" s="197">
        <f t="shared" si="3"/>
        <v>42899.999999998516</v>
      </c>
      <c r="H24" s="197">
        <f t="shared" si="3"/>
        <v>-7889.9999999994907</v>
      </c>
      <c r="I24" s="643">
        <f t="shared" si="3"/>
        <v>-7889.9999999994907</v>
      </c>
      <c r="K24" s="628">
        <v>-50789.999999998006</v>
      </c>
      <c r="L24" s="628">
        <v>0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45016</v>
      </c>
      <c r="L1" s="369"/>
      <c r="M1" s="369"/>
    </row>
    <row r="2" spans="2:13" s="194" customFormat="1" ht="20.100000000000001" customHeight="1">
      <c r="B2" s="896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7"/>
      <c r="C3" s="391" t="s">
        <v>320</v>
      </c>
      <c r="D3" s="515" t="s">
        <v>320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-'Aaron-UR'!E12</f>
        <v>-80000000</v>
      </c>
      <c r="D4" s="218">
        <f>'Aaron-UR'!G12</f>
        <v>-47040</v>
      </c>
      <c r="E4" s="392">
        <f>'Aaron-Real'!K1434</f>
        <v>0</v>
      </c>
      <c r="F4" s="217">
        <f>'Aaron-UR'!K12</f>
        <v>-162400.00000000236</v>
      </c>
      <c r="G4" s="218">
        <f>'total carry-USD'!C1</f>
        <v>0</v>
      </c>
      <c r="H4" s="217">
        <f>J4-L4</f>
        <v>-162400.00000000236</v>
      </c>
      <c r="I4" s="388">
        <f>J4-M4</f>
        <v>-162400.00000000236</v>
      </c>
      <c r="J4" s="516">
        <f>SUM(E4:G4)</f>
        <v>-162400.00000000236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558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338</v>
      </c>
      <c r="C8" s="392">
        <f>'Jesse-UR'!E21</f>
        <v>0</v>
      </c>
      <c r="D8" s="218">
        <f>'Jesse-UR'!G21</f>
        <v>0</v>
      </c>
      <c r="E8" s="392">
        <f>'Jesse-Real'!K236</f>
        <v>0</v>
      </c>
      <c r="F8" s="217">
        <f>'Jesse-UR'!K21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306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490</v>
      </c>
      <c r="C12" s="392">
        <f>'Pete-UR'!E12</f>
        <v>0</v>
      </c>
      <c r="D12" s="218">
        <f>'Pete-UR'!G12</f>
        <v>0</v>
      </c>
      <c r="E12" s="394">
        <f>'Pete-Real'!K502</f>
        <v>0</v>
      </c>
      <c r="F12" s="217">
        <f>'Pete-UR'!K12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558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369</v>
      </c>
      <c r="C16" s="392">
        <f>'Mark1-UR'!E15</f>
        <v>50000000</v>
      </c>
      <c r="D16" s="218">
        <f>'Mark1-UR'!G15</f>
        <v>-29400</v>
      </c>
      <c r="E16" s="392">
        <f>'Mark1-Real'!K464</f>
        <v>0</v>
      </c>
      <c r="F16" s="217">
        <f>'Mark1-UR'!K15</f>
        <v>-101500.00000000147</v>
      </c>
      <c r="G16" s="218">
        <f>'total carry-USD'!F9</f>
        <v>0</v>
      </c>
      <c r="H16" s="217">
        <f>J16-L16</f>
        <v>-101500.00000000147</v>
      </c>
      <c r="I16" s="388">
        <f>J16-M16</f>
        <v>-101500.00000000147</v>
      </c>
      <c r="J16" s="516">
        <f>SUM(E16:G16)</f>
        <v>-101500.00000000147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419</v>
      </c>
      <c r="C18" s="392">
        <f>'Peggy-UR'!E17</f>
        <v>0</v>
      </c>
      <c r="D18" s="218">
        <f>'Peggy-UR'!G17</f>
        <v>0</v>
      </c>
      <c r="E18" s="392">
        <f>'Peggy-Real'!K248</f>
        <v>0</v>
      </c>
      <c r="F18" s="217">
        <f>'Peggy-UR'!K17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'Gary-UR'!E13</f>
        <v>0</v>
      </c>
      <c r="D20" s="218">
        <f>'Gary-UR'!G21</f>
        <v>0</v>
      </c>
      <c r="E20" s="392">
        <f>'Gary-Real'!K367</f>
        <v>0</v>
      </c>
      <c r="F20" s="217">
        <f>'Gary-UR'!K13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-263900.00000000384</v>
      </c>
      <c r="G22" s="722">
        <f t="shared" si="0"/>
        <v>0</v>
      </c>
      <c r="H22" s="214">
        <f t="shared" si="0"/>
        <v>-263900.00000000384</v>
      </c>
      <c r="I22" s="513">
        <f t="shared" si="0"/>
        <v>-263900.00000000384</v>
      </c>
      <c r="J22" s="462">
        <f t="shared" si="0"/>
        <v>-263900.00000000384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P35" sqref="P35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358</v>
      </c>
      <c r="K1" s="368" t="s">
        <v>209</v>
      </c>
      <c r="L1" s="377" t="s">
        <v>179</v>
      </c>
      <c r="M1" s="377" t="s">
        <v>204</v>
      </c>
      <c r="N1" s="93"/>
      <c r="P1" t="s">
        <v>355</v>
      </c>
    </row>
    <row r="2" spans="2:17">
      <c r="B2" s="822" t="s">
        <v>640</v>
      </c>
      <c r="C2" s="823">
        <v>1500</v>
      </c>
      <c r="D2" s="799">
        <v>124</v>
      </c>
      <c r="E2" s="799">
        <v>22</v>
      </c>
      <c r="F2" s="803">
        <f>D2+E2/32</f>
        <v>124.6875</v>
      </c>
      <c r="G2" s="500" t="s">
        <v>1310</v>
      </c>
      <c r="H2" s="547">
        <v>190</v>
      </c>
      <c r="I2" s="491">
        <v>98.79</v>
      </c>
      <c r="J2" t="s">
        <v>442</v>
      </c>
      <c r="K2" s="501" t="s">
        <v>365</v>
      </c>
      <c r="L2" s="830">
        <v>3.4500000000000003E-2</v>
      </c>
      <c r="M2" s="831">
        <v>82</v>
      </c>
      <c r="N2" s="501"/>
      <c r="O2" s="501"/>
      <c r="Q2" s="569"/>
    </row>
    <row r="3" spans="2:17">
      <c r="B3" s="824" t="s">
        <v>641</v>
      </c>
      <c r="C3" s="825">
        <v>900</v>
      </c>
      <c r="D3" s="800">
        <v>111</v>
      </c>
      <c r="E3" s="800">
        <v>9</v>
      </c>
      <c r="F3" s="804">
        <f>D3+E3/32</f>
        <v>111.28125</v>
      </c>
      <c r="G3" s="501" t="s">
        <v>372</v>
      </c>
      <c r="H3" s="169">
        <v>83</v>
      </c>
      <c r="I3" s="492">
        <v>160.49</v>
      </c>
      <c r="J3" t="s">
        <v>443</v>
      </c>
      <c r="K3" s="501" t="s">
        <v>367</v>
      </c>
      <c r="L3" s="830">
        <v>1.125E-2</v>
      </c>
      <c r="M3" s="831">
        <v>295</v>
      </c>
      <c r="N3" s="501"/>
      <c r="O3" s="501"/>
      <c r="P3">
        <v>100.42700000000001</v>
      </c>
      <c r="Q3" s="569">
        <v>100.464</v>
      </c>
    </row>
    <row r="4" spans="2:17">
      <c r="B4" s="824" t="s">
        <v>634</v>
      </c>
      <c r="C4" s="825">
        <v>300</v>
      </c>
      <c r="D4" s="800">
        <v>106</v>
      </c>
      <c r="E4" s="800">
        <v>26.5</v>
      </c>
      <c r="F4" s="804">
        <f>D4+E4/32</f>
        <v>106.828125</v>
      </c>
      <c r="G4" s="501" t="s">
        <v>285</v>
      </c>
      <c r="H4" s="169">
        <v>44</v>
      </c>
      <c r="I4" s="492">
        <v>117.91</v>
      </c>
      <c r="J4" t="s">
        <v>444</v>
      </c>
      <c r="K4" s="832" t="s">
        <v>363</v>
      </c>
      <c r="L4" s="830">
        <v>2.6800000000000001E-2</v>
      </c>
      <c r="M4" s="831">
        <v>862</v>
      </c>
      <c r="N4" s="501"/>
      <c r="O4" s="501"/>
      <c r="P4" s="834">
        <v>97.667400000000001</v>
      </c>
      <c r="Q4" s="569">
        <v>97.283840379801759</v>
      </c>
    </row>
    <row r="5" spans="2:17" ht="17.25" thickBot="1">
      <c r="B5" s="824" t="s">
        <v>642</v>
      </c>
      <c r="C5" s="825">
        <v>200</v>
      </c>
      <c r="D5" s="800">
        <v>101</v>
      </c>
      <c r="E5" s="800">
        <v>24.625</v>
      </c>
      <c r="F5" s="804">
        <f>D5+E5/32</f>
        <v>101.76953125</v>
      </c>
      <c r="G5" s="501" t="s">
        <v>286</v>
      </c>
      <c r="H5" s="501">
        <v>19</v>
      </c>
      <c r="I5" s="492">
        <v>108.84</v>
      </c>
      <c r="J5" t="s">
        <v>445</v>
      </c>
      <c r="K5" s="832" t="s">
        <v>364</v>
      </c>
      <c r="L5" s="830">
        <v>2.5000000000000001E-2</v>
      </c>
      <c r="M5" s="831">
        <v>97</v>
      </c>
      <c r="N5" s="501"/>
      <c r="O5" s="501"/>
      <c r="P5">
        <v>100.425</v>
      </c>
      <c r="Q5" s="569" t="s">
        <v>502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446</v>
      </c>
      <c r="K6" s="501" t="s">
        <v>366</v>
      </c>
      <c r="L6" s="830">
        <v>2.9600000000000001E-2</v>
      </c>
      <c r="M6" s="831">
        <v>840</v>
      </c>
      <c r="N6" s="501"/>
      <c r="O6" s="501"/>
      <c r="P6" s="834">
        <v>97.118600000000001</v>
      </c>
      <c r="Q6" s="569">
        <v>96.747894738967034</v>
      </c>
    </row>
    <row r="7" spans="2:17">
      <c r="B7" s="652" t="s">
        <v>646</v>
      </c>
      <c r="C7" s="501">
        <v>1500</v>
      </c>
      <c r="D7" s="800">
        <v>130</v>
      </c>
      <c r="E7" s="800">
        <v>5</v>
      </c>
      <c r="F7" s="804">
        <f>D7+E7/32</f>
        <v>130.15625</v>
      </c>
      <c r="G7" s="500" t="s">
        <v>1302</v>
      </c>
      <c r="H7" s="547">
        <v>190</v>
      </c>
      <c r="I7" s="495">
        <v>140.24</v>
      </c>
      <c r="J7" t="s">
        <v>447</v>
      </c>
      <c r="K7" s="501" t="s">
        <v>368</v>
      </c>
      <c r="L7" s="830">
        <v>3.09E-2</v>
      </c>
      <c r="M7" s="831">
        <v>823</v>
      </c>
      <c r="N7" s="501"/>
      <c r="O7" s="501"/>
      <c r="P7" s="834">
        <v>98.219200000000001</v>
      </c>
      <c r="Q7" s="569">
        <v>97.702958402197083</v>
      </c>
    </row>
    <row r="8" spans="2:17">
      <c r="B8" s="652" t="s">
        <v>644</v>
      </c>
      <c r="C8" s="501">
        <v>900</v>
      </c>
      <c r="D8" s="800">
        <v>114</v>
      </c>
      <c r="E8" s="800">
        <v>15.5</v>
      </c>
      <c r="F8" s="804">
        <f>D8+E8/32</f>
        <v>114.484375</v>
      </c>
      <c r="G8" s="652" t="s">
        <v>1308</v>
      </c>
      <c r="H8" s="501">
        <v>83</v>
      </c>
      <c r="I8" s="495">
        <v>135.34</v>
      </c>
      <c r="J8" t="s">
        <v>448</v>
      </c>
      <c r="K8" s="93" t="s">
        <v>373</v>
      </c>
      <c r="L8" s="830">
        <v>0.01</v>
      </c>
      <c r="M8" s="831">
        <v>294</v>
      </c>
      <c r="N8" s="93"/>
      <c r="O8" s="93"/>
      <c r="P8">
        <v>100.2</v>
      </c>
      <c r="Q8" s="569">
        <v>100.596</v>
      </c>
    </row>
    <row r="9" spans="2:17">
      <c r="B9" s="652" t="s">
        <v>648</v>
      </c>
      <c r="C9" s="501">
        <v>300</v>
      </c>
      <c r="D9" s="800">
        <v>109</v>
      </c>
      <c r="E9" s="800">
        <v>5.25</v>
      </c>
      <c r="F9" s="804">
        <f>D9+E9/32</f>
        <v>109.1640625</v>
      </c>
      <c r="G9" s="501" t="s">
        <v>253</v>
      </c>
      <c r="H9" s="169">
        <v>44</v>
      </c>
      <c r="I9" s="495">
        <v>117.57</v>
      </c>
      <c r="J9" t="s">
        <v>449</v>
      </c>
      <c r="K9" s="93" t="s">
        <v>376</v>
      </c>
      <c r="L9" s="830">
        <v>0.01</v>
      </c>
      <c r="M9" s="831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649</v>
      </c>
      <c r="C10" s="501">
        <v>200</v>
      </c>
      <c r="D10" s="800">
        <v>103</v>
      </c>
      <c r="E10" s="800">
        <v>2.25</v>
      </c>
      <c r="F10" s="804">
        <f>D10+E10/32</f>
        <v>103.0703125</v>
      </c>
      <c r="G10" s="501" t="s">
        <v>254</v>
      </c>
      <c r="H10" s="501">
        <v>19</v>
      </c>
      <c r="I10" s="495">
        <v>105.62</v>
      </c>
      <c r="J10" t="s">
        <v>450</v>
      </c>
      <c r="K10" s="833" t="s">
        <v>377</v>
      </c>
      <c r="L10" s="830">
        <v>1.0495000000000001E-2</v>
      </c>
      <c r="M10" s="831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451</v>
      </c>
      <c r="K11" s="93" t="s">
        <v>378</v>
      </c>
      <c r="L11" s="830">
        <v>1.10413E-2</v>
      </c>
      <c r="M11" s="831">
        <v>10</v>
      </c>
      <c r="N11" s="93"/>
      <c r="O11" s="93"/>
      <c r="P11">
        <v>100.26</v>
      </c>
      <c r="Q11" s="569">
        <v>100.416</v>
      </c>
    </row>
    <row r="12" spans="2:17">
      <c r="B12" s="841" t="s">
        <v>650</v>
      </c>
      <c r="C12" s="842">
        <v>1500</v>
      </c>
      <c r="D12" s="800">
        <v>139</v>
      </c>
      <c r="E12" s="800">
        <v>24</v>
      </c>
      <c r="F12" s="805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452</v>
      </c>
      <c r="K12" s="93" t="s">
        <v>453</v>
      </c>
      <c r="L12" s="830">
        <v>9.3474999999999999E-3</v>
      </c>
      <c r="M12" s="831">
        <v>10</v>
      </c>
      <c r="N12" s="93"/>
      <c r="O12" s="93"/>
      <c r="P12">
        <v>100.075</v>
      </c>
      <c r="Q12" s="569">
        <v>100.242</v>
      </c>
    </row>
    <row r="13" spans="2:17">
      <c r="B13" s="843" t="s">
        <v>651</v>
      </c>
      <c r="C13" s="844">
        <v>900</v>
      </c>
      <c r="D13" s="800">
        <v>118</v>
      </c>
      <c r="E13" s="800">
        <v>18</v>
      </c>
      <c r="F13" s="805">
        <f>D13+E13/32</f>
        <v>118.5625</v>
      </c>
      <c r="G13" s="501" t="s">
        <v>337</v>
      </c>
      <c r="H13" s="501">
        <v>83</v>
      </c>
      <c r="I13" s="497">
        <v>177.66</v>
      </c>
      <c r="J13" s="93" t="s">
        <v>451</v>
      </c>
      <c r="K13" s="93" t="s">
        <v>454</v>
      </c>
      <c r="L13" s="830">
        <v>1.1361300000000001E-2</v>
      </c>
      <c r="M13" s="831">
        <v>10</v>
      </c>
      <c r="N13" s="93"/>
      <c r="O13" s="93"/>
      <c r="P13">
        <v>100.376</v>
      </c>
      <c r="Q13" s="569">
        <v>100.512</v>
      </c>
    </row>
    <row r="14" spans="2:17">
      <c r="B14" s="843" t="s">
        <v>652</v>
      </c>
      <c r="C14" s="844">
        <v>300</v>
      </c>
      <c r="D14" s="800">
        <v>111</v>
      </c>
      <c r="E14" s="800">
        <v>28.5</v>
      </c>
      <c r="F14" s="805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455</v>
      </c>
      <c r="K14" s="93" t="s">
        <v>456</v>
      </c>
      <c r="L14" s="830">
        <v>8.9438E-3</v>
      </c>
      <c r="M14" s="831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43" t="s">
        <v>653</v>
      </c>
      <c r="C15" s="844">
        <v>200</v>
      </c>
      <c r="D15" s="800">
        <v>104</v>
      </c>
      <c r="E15" s="800">
        <v>19.875</v>
      </c>
      <c r="F15" s="805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457</v>
      </c>
      <c r="K15" s="93" t="s">
        <v>458</v>
      </c>
      <c r="L15" s="830">
        <v>1.098E-2</v>
      </c>
      <c r="M15" s="831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451</v>
      </c>
      <c r="K16" s="93" t="s">
        <v>393</v>
      </c>
      <c r="L16" s="830">
        <v>1.078E-2</v>
      </c>
      <c r="M16" s="831"/>
      <c r="N16" s="501"/>
      <c r="O16" s="501"/>
      <c r="P16">
        <v>100.336</v>
      </c>
      <c r="Q16" s="569">
        <v>100.69499999999999</v>
      </c>
    </row>
    <row r="17" spans="2:17">
      <c r="B17" s="813" t="s">
        <v>654</v>
      </c>
      <c r="C17" s="814">
        <v>1500</v>
      </c>
      <c r="D17" s="800">
        <v>129</v>
      </c>
      <c r="E17" s="848">
        <v>15</v>
      </c>
      <c r="F17" s="804">
        <f>D17+E17/32</f>
        <v>129.46875</v>
      </c>
      <c r="G17" s="500" t="s">
        <v>252</v>
      </c>
      <c r="H17" s="547">
        <v>190</v>
      </c>
      <c r="I17" s="498">
        <v>134.53</v>
      </c>
      <c r="J17" t="s">
        <v>452</v>
      </c>
      <c r="K17" s="93" t="s">
        <v>394</v>
      </c>
      <c r="L17" s="830">
        <v>1.04475E-2</v>
      </c>
      <c r="M17" s="831">
        <v>10</v>
      </c>
      <c r="N17" s="93"/>
      <c r="O17" s="93"/>
      <c r="P17">
        <v>100.071</v>
      </c>
      <c r="Q17" s="569">
        <v>100.867</v>
      </c>
    </row>
    <row r="18" spans="2:17">
      <c r="B18" s="813" t="s">
        <v>655</v>
      </c>
      <c r="C18" s="815">
        <v>900</v>
      </c>
      <c r="D18" s="800">
        <v>114</v>
      </c>
      <c r="E18" s="848">
        <v>11.5</v>
      </c>
      <c r="F18" s="804">
        <f>D18+E18/32</f>
        <v>114.359375</v>
      </c>
      <c r="G18" s="501" t="s">
        <v>310</v>
      </c>
      <c r="H18" s="501">
        <v>83</v>
      </c>
      <c r="I18" s="498">
        <v>163.16999999999999</v>
      </c>
      <c r="J18" t="s">
        <v>459</v>
      </c>
      <c r="K18" s="93" t="s">
        <v>460</v>
      </c>
      <c r="L18" s="830">
        <v>3.0299999999999997E-2</v>
      </c>
      <c r="M18" s="831">
        <v>104</v>
      </c>
      <c r="N18" s="93"/>
      <c r="O18" s="93"/>
      <c r="P18" s="834">
        <v>100.42570000000001</v>
      </c>
      <c r="Q18" s="569">
        <v>100.38566395791116</v>
      </c>
    </row>
    <row r="19" spans="2:17" s="169" customFormat="1">
      <c r="B19" s="813" t="s">
        <v>656</v>
      </c>
      <c r="C19" s="815">
        <v>300</v>
      </c>
      <c r="D19" s="800">
        <v>109</v>
      </c>
      <c r="E19" s="848">
        <v>1.25</v>
      </c>
      <c r="F19" s="804">
        <f>D19+E19/32</f>
        <v>109.0390625</v>
      </c>
      <c r="G19" s="501" t="s">
        <v>257</v>
      </c>
      <c r="H19" s="169">
        <v>44</v>
      </c>
      <c r="I19" s="498">
        <v>119.84</v>
      </c>
      <c r="J19" t="s">
        <v>461</v>
      </c>
      <c r="K19" s="93" t="s">
        <v>462</v>
      </c>
      <c r="L19" s="830">
        <v>2.69E-2</v>
      </c>
      <c r="M19" s="831">
        <v>115</v>
      </c>
      <c r="N19" s="828"/>
      <c r="O19" s="828"/>
      <c r="P19" s="834">
        <v>100.35039999999999</v>
      </c>
      <c r="Q19" s="569">
        <v>100.3711491303935</v>
      </c>
    </row>
    <row r="20" spans="2:17" ht="17.25" thickBot="1">
      <c r="B20" s="816" t="s">
        <v>657</v>
      </c>
      <c r="C20" s="817">
        <v>200</v>
      </c>
      <c r="D20" s="801">
        <v>102</v>
      </c>
      <c r="E20" s="850">
        <v>24.625</v>
      </c>
      <c r="F20" s="806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463</v>
      </c>
      <c r="K20" s="93" t="s">
        <v>402</v>
      </c>
      <c r="L20" s="830">
        <v>2.8900000000000002E-2</v>
      </c>
      <c r="M20" s="831">
        <v>87.13</v>
      </c>
      <c r="N20" s="828"/>
      <c r="O20" s="828"/>
      <c r="P20" s="834">
        <v>100.33669999999999</v>
      </c>
      <c r="Q20" s="569">
        <v>100.32415104388103</v>
      </c>
    </row>
    <row r="21" spans="2:17">
      <c r="J21" t="s">
        <v>464</v>
      </c>
      <c r="K21" s="93" t="s">
        <v>509</v>
      </c>
      <c r="L21" s="830">
        <v>2.9600000000000001E-2</v>
      </c>
      <c r="M21" s="831">
        <v>109</v>
      </c>
      <c r="N21" s="828"/>
      <c r="O21" s="828"/>
      <c r="P21" s="834">
        <v>100.4131</v>
      </c>
      <c r="Q21" s="569">
        <v>100.4058026049307</v>
      </c>
    </row>
    <row r="22" spans="2:17" ht="21.75" thickBot="1">
      <c r="B22" s="854" t="s">
        <v>709</v>
      </c>
      <c r="J22" t="s">
        <v>465</v>
      </c>
      <c r="K22" s="93" t="s">
        <v>415</v>
      </c>
      <c r="L22" s="830">
        <v>3.27E-2</v>
      </c>
      <c r="M22" s="831">
        <v>849</v>
      </c>
      <c r="N22" s="828"/>
      <c r="O22" s="828"/>
      <c r="P22" s="834">
        <v>102.9756</v>
      </c>
      <c r="Q22" s="569">
        <v>102.52874753232855</v>
      </c>
    </row>
    <row r="23" spans="2:17">
      <c r="B23" s="623" t="s">
        <v>173</v>
      </c>
      <c r="C23" s="852">
        <v>30.454000000000001</v>
      </c>
      <c r="D23" s="169"/>
      <c r="E23" s="169"/>
      <c r="H23" t="s">
        <v>622</v>
      </c>
      <c r="I23" s="51">
        <f>'Report in NTD'!H4</f>
        <v>0</v>
      </c>
      <c r="J23" t="s">
        <v>466</v>
      </c>
      <c r="K23" s="93" t="s">
        <v>403</v>
      </c>
      <c r="L23" s="830">
        <v>8.5000000000000006E-3</v>
      </c>
      <c r="M23" s="831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674</v>
      </c>
      <c r="C24" s="853">
        <v>1.0880000000000001</v>
      </c>
      <c r="G24"/>
      <c r="H24" t="s">
        <v>623</v>
      </c>
      <c r="I24" s="51">
        <f>'Report in NTD'!H10</f>
        <v>0</v>
      </c>
      <c r="J24" t="s">
        <v>467</v>
      </c>
      <c r="K24" s="93" t="s">
        <v>468</v>
      </c>
      <c r="L24" s="830">
        <v>8.7500000000000008E-3</v>
      </c>
      <c r="M24" s="831">
        <v>294</v>
      </c>
      <c r="N24" s="828"/>
      <c r="O24" s="828"/>
      <c r="P24">
        <v>99.17</v>
      </c>
      <c r="Q24" s="569">
        <v>100.291</v>
      </c>
    </row>
    <row r="25" spans="2:17">
      <c r="B25" s="601" t="s">
        <v>328</v>
      </c>
      <c r="C25" s="853">
        <v>6.8743999999999996</v>
      </c>
      <c r="G25"/>
      <c r="H25" t="s">
        <v>624</v>
      </c>
      <c r="I25" s="51">
        <f>'Report in NTD'!H16</f>
        <v>0</v>
      </c>
      <c r="J25" t="s">
        <v>469</v>
      </c>
      <c r="K25" s="93" t="s">
        <v>470</v>
      </c>
      <c r="L25" s="830">
        <v>1.2E-2</v>
      </c>
      <c r="M25" s="831">
        <v>446</v>
      </c>
      <c r="N25" s="828"/>
      <c r="O25" s="828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1292</v>
      </c>
      <c r="I26" s="51">
        <f>'Report in NTD'!H21</f>
        <v>1415524.2441999507</v>
      </c>
      <c r="J26" t="s">
        <v>471</v>
      </c>
      <c r="K26" s="93" t="s">
        <v>421</v>
      </c>
      <c r="L26" s="830">
        <v>1.375E-2</v>
      </c>
      <c r="M26" s="831">
        <v>482</v>
      </c>
      <c r="N26" s="828"/>
      <c r="O26" s="828"/>
      <c r="P26" s="93">
        <v>97</v>
      </c>
      <c r="Q26" s="569">
        <v>99.381</v>
      </c>
    </row>
    <row r="27" spans="2:17">
      <c r="G27" s="51"/>
      <c r="H27" t="s">
        <v>625</v>
      </c>
      <c r="I27" s="51">
        <f>'Report in NTD'!H23+'Report in NTD'!H22</f>
        <v>-304606.67084505246</v>
      </c>
      <c r="J27" t="s">
        <v>450</v>
      </c>
      <c r="K27" s="93" t="s">
        <v>416</v>
      </c>
      <c r="L27" s="830">
        <v>1.375E-2</v>
      </c>
      <c r="M27" s="831">
        <v>10</v>
      </c>
      <c r="N27" s="828"/>
      <c r="O27" s="828"/>
      <c r="P27">
        <v>100.256</v>
      </c>
      <c r="Q27" s="569">
        <v>100.42400000000001</v>
      </c>
    </row>
    <row r="28" spans="2:17">
      <c r="G28" s="851"/>
      <c r="H28" t="s">
        <v>626</v>
      </c>
      <c r="I28" s="51">
        <f>'Report in NTD'!H6+'Report in NTD'!H8</f>
        <v>-511317.11553958402</v>
      </c>
      <c r="J28" t="s">
        <v>452</v>
      </c>
      <c r="K28" s="93" t="s">
        <v>472</v>
      </c>
      <c r="L28" s="830">
        <v>1.375E-2</v>
      </c>
      <c r="M28" s="831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627</v>
      </c>
      <c r="I29" s="51">
        <f>'Report in NTD'!H13</f>
        <v>0</v>
      </c>
      <c r="J29" s="826" t="s">
        <v>473</v>
      </c>
      <c r="K29" s="93" t="s">
        <v>474</v>
      </c>
      <c r="L29" s="830">
        <v>9.5999999999999992E-3</v>
      </c>
      <c r="M29" s="831">
        <v>10</v>
      </c>
      <c r="N29" s="93"/>
      <c r="O29" s="93"/>
      <c r="P29">
        <v>100.193</v>
      </c>
      <c r="Q29" s="569">
        <v>100.5</v>
      </c>
    </row>
    <row r="30" spans="2:17">
      <c r="H30" t="s">
        <v>489</v>
      </c>
      <c r="I30" s="51">
        <f>'Report in NTD'!H19</f>
        <v>261273.1171875</v>
      </c>
      <c r="J30" s="826" t="s">
        <v>663</v>
      </c>
      <c r="K30" s="93" t="s">
        <v>428</v>
      </c>
      <c r="L30" s="830">
        <v>5.0000000000000001E-3</v>
      </c>
      <c r="M30" s="831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628</v>
      </c>
      <c r="I31" s="51">
        <f ca="1">'Report in NTD'!H27+'Report in NTD'!H26</f>
        <v>10436.71875</v>
      </c>
      <c r="J31" t="s">
        <v>475</v>
      </c>
      <c r="K31" s="829" t="s">
        <v>432</v>
      </c>
      <c r="L31" s="827"/>
      <c r="M31" s="831">
        <v>428</v>
      </c>
      <c r="N31" s="828"/>
      <c r="O31" s="828"/>
      <c r="P31" s="834">
        <v>101.30629999999999</v>
      </c>
      <c r="Q31" s="569">
        <v>101.10247633520262</v>
      </c>
    </row>
    <row r="32" spans="2:17">
      <c r="H32" t="s">
        <v>679</v>
      </c>
      <c r="I32" s="51">
        <f>'Report in NTD'!H25+'Report in NTD'!H24</f>
        <v>396.4296875</v>
      </c>
      <c r="K32" s="501" t="s">
        <v>494</v>
      </c>
      <c r="L32" s="501"/>
      <c r="M32" s="831">
        <v>296</v>
      </c>
      <c r="N32" s="501"/>
      <c r="O32" s="501"/>
      <c r="P32">
        <v>99.95</v>
      </c>
      <c r="Q32" s="569">
        <v>100.265</v>
      </c>
    </row>
    <row r="33" spans="10:17">
      <c r="K33" s="829" t="s">
        <v>495</v>
      </c>
      <c r="M33" s="831">
        <v>100</v>
      </c>
      <c r="P33">
        <v>102.062</v>
      </c>
      <c r="Q33" s="569">
        <v>101.601</v>
      </c>
    </row>
    <row r="34" spans="10:17">
      <c r="J34" t="s">
        <v>506</v>
      </c>
      <c r="K34" t="s">
        <v>496</v>
      </c>
      <c r="M34" s="831">
        <v>809</v>
      </c>
      <c r="P34" s="93">
        <v>102.4503</v>
      </c>
      <c r="Q34">
        <v>102.43474923735606</v>
      </c>
    </row>
    <row r="35" spans="10:17">
      <c r="J35" t="s">
        <v>519</v>
      </c>
      <c r="K35" s="826" t="s">
        <v>508</v>
      </c>
      <c r="L35" s="836">
        <v>3.6600000000000001E-2</v>
      </c>
      <c r="M35" s="831">
        <v>845</v>
      </c>
      <c r="P35" s="93">
        <v>104.7786</v>
      </c>
    </row>
    <row r="36" spans="10:17">
      <c r="J36" t="s">
        <v>513</v>
      </c>
      <c r="K36" t="s">
        <v>515</v>
      </c>
      <c r="L36" s="836">
        <v>3.4799999999999998E-2</v>
      </c>
      <c r="M36" s="831">
        <v>651</v>
      </c>
      <c r="P36" s="93">
        <v>102.6726</v>
      </c>
    </row>
    <row r="37" spans="10:17">
      <c r="J37" t="s">
        <v>616</v>
      </c>
      <c r="K37" t="s">
        <v>556</v>
      </c>
      <c r="L37" s="836">
        <v>3.6499999999999998E-2</v>
      </c>
      <c r="M37" s="831">
        <v>588</v>
      </c>
      <c r="P37" s="849">
        <v>103.646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E32" sqref="E32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45016</v>
      </c>
    </row>
    <row r="3" spans="2:11" ht="27.6" customHeight="1">
      <c r="B3" s="580" t="s">
        <v>505</v>
      </c>
      <c r="C3" s="651" t="s">
        <v>1533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1534</v>
      </c>
      <c r="C5" s="589" t="s">
        <v>1533</v>
      </c>
      <c r="D5" s="579" t="s">
        <v>242</v>
      </c>
    </row>
    <row r="6" spans="2:11" ht="27.6" customHeight="1" thickTop="1" thickBot="1">
      <c r="B6" s="578" t="s">
        <v>1539</v>
      </c>
      <c r="C6" s="589" t="s">
        <v>1533</v>
      </c>
      <c r="D6" s="579" t="s">
        <v>239</v>
      </c>
    </row>
    <row r="7" spans="2:11" ht="27.6" customHeight="1" thickTop="1" thickBot="1">
      <c r="B7" s="578" t="s">
        <v>609</v>
      </c>
      <c r="C7" s="589" t="s">
        <v>1533</v>
      </c>
      <c r="D7" s="579" t="s">
        <v>708</v>
      </c>
    </row>
    <row r="8" spans="2:11" ht="27.6" customHeight="1" thickTop="1" thickBot="1">
      <c r="B8" s="578" t="s">
        <v>552</v>
      </c>
      <c r="C8" s="589" t="s">
        <v>1533</v>
      </c>
      <c r="D8" s="579" t="s">
        <v>240</v>
      </c>
    </row>
    <row r="9" spans="2:11" ht="27.6" customHeight="1" thickTop="1" thickBot="1">
      <c r="B9" s="578" t="s">
        <v>1540</v>
      </c>
      <c r="C9" s="589" t="s">
        <v>1533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635</v>
      </c>
      <c r="D12" s="584" t="s">
        <v>633</v>
      </c>
      <c r="E12" s="584" t="s">
        <v>636</v>
      </c>
      <c r="F12" s="584" t="s">
        <v>1295</v>
      </c>
      <c r="G12" s="584" t="s">
        <v>637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551</v>
      </c>
      <c r="K14" s="14" t="s">
        <v>488</v>
      </c>
    </row>
    <row r="15" spans="2:11" ht="24" hidden="1" customHeight="1" thickBot="1">
      <c r="B15" s="587" t="s">
        <v>554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553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4547.84</v>
      </c>
      <c r="J17" s="592"/>
      <c r="K17" s="14" t="s">
        <v>613</v>
      </c>
    </row>
    <row r="18" spans="2:11" ht="24" hidden="1" customHeight="1" thickBot="1">
      <c r="B18" s="587" t="s">
        <v>341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489</v>
      </c>
      <c r="C19" s="576">
        <f>'Report-USD'!C15</f>
        <v>30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-2310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330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-854</v>
      </c>
    </row>
    <row r="22" spans="2:11" ht="24" customHeight="1" thickBot="1">
      <c r="B22" s="587" t="s">
        <v>676</v>
      </c>
      <c r="C22" s="576">
        <f>'Report-USD'!C21</f>
        <v>0</v>
      </c>
      <c r="D22" s="877">
        <v>0</v>
      </c>
      <c r="E22" s="877">
        <v>0</v>
      </c>
      <c r="F22" s="877">
        <v>0</v>
      </c>
      <c r="G22" s="877">
        <v>0</v>
      </c>
      <c r="H22" s="594">
        <f>'Report in NTD'!D25</f>
        <v>0</v>
      </c>
    </row>
    <row r="23" spans="2:11" ht="24" customHeight="1" thickBot="1">
      <c r="B23" s="587" t="s">
        <v>309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50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1383.8400000000001</v>
      </c>
    </row>
    <row r="25" spans="2:11" ht="17.25" thickTop="1"/>
    <row r="31" spans="2:11">
      <c r="G31" s="570" t="s">
        <v>21</v>
      </c>
    </row>
    <row r="32" spans="2:11">
      <c r="F32" s="570" t="s">
        <v>283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4" priority="7" stopIfTrue="1" operator="equal">
      <formula>0</formula>
    </cfRule>
  </conditionalFormatting>
  <conditionalFormatting sqref="D22:H22">
    <cfRule type="cellIs" dxfId="43" priority="3" stopIfTrue="1" operator="equal">
      <formula>0</formula>
    </cfRule>
  </conditionalFormatting>
  <conditionalFormatting sqref="C22">
    <cfRule type="cellIs" dxfId="42" priority="2" stopIfTrue="1" operator="equal">
      <formula>0</formula>
    </cfRule>
  </conditionalFormatting>
  <conditionalFormatting sqref="C23:H23">
    <cfRule type="cellIs" dxfId="41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288</v>
      </c>
      <c r="B2" s="599">
        <f>'John-UR'!G3</f>
        <v>0</v>
      </c>
      <c r="C2" s="600" t="e">
        <f>+'Aaron-UR'!#REF!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299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290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291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290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296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297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298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292</v>
      </c>
      <c r="P11" s="194" t="s">
        <v>293</v>
      </c>
      <c r="R11" s="194" t="s">
        <v>294</v>
      </c>
      <c r="S11" s="194" t="s">
        <v>295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82" zoomScale="90" zoomScaleNormal="90" workbookViewId="0">
      <selection activeCell="E110" sqref="E110:E111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399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368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368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368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400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496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35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363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373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373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393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400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415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368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415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35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496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415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415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364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367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367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376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373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377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378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383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21" t="s">
        <v>385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21" t="s">
        <v>387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389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390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21" t="s">
        <v>392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21" t="s">
        <v>395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377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373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373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404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408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410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373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393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412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416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417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421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423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494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495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427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429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428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164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99</v>
      </c>
      <c r="B67" s="207" t="s">
        <v>1288</v>
      </c>
      <c r="C67" s="207" t="s">
        <v>1289</v>
      </c>
      <c r="D67" s="535" t="s">
        <v>170</v>
      </c>
      <c r="E67" s="208" t="s">
        <v>11</v>
      </c>
      <c r="F67" s="207" t="s">
        <v>2</v>
      </c>
      <c r="G67" s="209" t="s">
        <v>12</v>
      </c>
      <c r="H67" s="482" t="s">
        <v>18</v>
      </c>
      <c r="I67" s="209" t="s">
        <v>1290</v>
      </c>
      <c r="J67" s="207" t="s">
        <v>1291</v>
      </c>
      <c r="K67" s="260" t="s">
        <v>1283</v>
      </c>
      <c r="L67" s="381"/>
    </row>
    <row r="68" spans="1:19" s="270" customFormat="1">
      <c r="A68" s="325" t="s">
        <v>643</v>
      </c>
      <c r="B68" s="333" t="s">
        <v>1148</v>
      </c>
      <c r="C68" s="333" t="s">
        <v>339</v>
      </c>
      <c r="D68" s="819" t="s">
        <v>339</v>
      </c>
      <c r="E68" s="872">
        <v>0</v>
      </c>
      <c r="F68" s="331" t="s">
        <v>304</v>
      </c>
      <c r="G68" s="332">
        <f t="shared" ref="G68:G72" si="2">-77*E68</f>
        <v>0</v>
      </c>
      <c r="H68" s="334" t="s">
        <v>1151</v>
      </c>
      <c r="I68" s="820">
        <v>110.859375</v>
      </c>
      <c r="J68" s="335">
        <v>110.875</v>
      </c>
      <c r="K68" s="845">
        <f>IF(LEFT(A68,2)="TU",(J68-I68)*E68/100*100000*2,(J68-I68)*E68/100*100000)</f>
        <v>0</v>
      </c>
      <c r="L68" s="381"/>
    </row>
    <row r="69" spans="1:19" s="270" customFormat="1">
      <c r="A69" s="325" t="s">
        <v>643</v>
      </c>
      <c r="B69" s="328" t="s">
        <v>1174</v>
      </c>
      <c r="C69" s="328" t="s">
        <v>339</v>
      </c>
      <c r="D69" s="542" t="s">
        <v>339</v>
      </c>
      <c r="E69" s="872">
        <v>0</v>
      </c>
      <c r="F69" s="331" t="s">
        <v>304</v>
      </c>
      <c r="G69" s="332">
        <f t="shared" si="2"/>
        <v>0</v>
      </c>
      <c r="H69" s="483" t="s">
        <v>1175</v>
      </c>
      <c r="I69" s="335">
        <v>112.328125</v>
      </c>
      <c r="J69" s="335">
        <f>_xlfn.IFNA(VLOOKUP(A69,'market px'!$B$2:$F$20,5,FALSE),0)</f>
        <v>114.484375</v>
      </c>
      <c r="K69" s="845">
        <f>IF(LEFT(A69,2)="TU",(J69-I69)*E69/100*100000*2,(J69-I69)*E69/100*100000)</f>
        <v>0</v>
      </c>
      <c r="L69" s="381"/>
    </row>
    <row r="70" spans="1:19" s="270" customFormat="1">
      <c r="A70" s="325" t="s">
        <v>643</v>
      </c>
      <c r="B70" s="328" t="s">
        <v>1115</v>
      </c>
      <c r="C70" s="328" t="s">
        <v>339</v>
      </c>
      <c r="D70" s="542" t="s">
        <v>339</v>
      </c>
      <c r="E70" s="872">
        <v>0</v>
      </c>
      <c r="F70" s="331" t="s">
        <v>304</v>
      </c>
      <c r="G70" s="332">
        <f t="shared" si="2"/>
        <v>0</v>
      </c>
      <c r="H70" s="483" t="s">
        <v>1129</v>
      </c>
      <c r="I70" s="335">
        <v>110.796875</v>
      </c>
      <c r="J70" s="335">
        <f>_xlfn.IFNA(VLOOKUP(A70,'market px'!$B$2:$F$20,5,FALSE),0)</f>
        <v>114.484375</v>
      </c>
      <c r="K70" s="845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643</v>
      </c>
      <c r="B71" s="328" t="s">
        <v>1148</v>
      </c>
      <c r="C71" s="328" t="s">
        <v>339</v>
      </c>
      <c r="D71" s="542" t="s">
        <v>339</v>
      </c>
      <c r="E71" s="872">
        <v>0</v>
      </c>
      <c r="F71" s="331" t="s">
        <v>304</v>
      </c>
      <c r="G71" s="332">
        <f t="shared" si="2"/>
        <v>0</v>
      </c>
      <c r="H71" s="483" t="s">
        <v>1160</v>
      </c>
      <c r="I71" s="335">
        <v>111.234375</v>
      </c>
      <c r="J71" s="335">
        <f>_xlfn.IFNA(VLOOKUP(A71,'market px'!$B$2:$F$20,5,FALSE),0)</f>
        <v>114.484375</v>
      </c>
      <c r="K71" s="845">
        <f t="shared" si="3"/>
        <v>0</v>
      </c>
      <c r="L71" s="381"/>
    </row>
    <row r="72" spans="1:19" s="270" customFormat="1">
      <c r="A72" s="325" t="s">
        <v>643</v>
      </c>
      <c r="B72" s="328" t="s">
        <v>1174</v>
      </c>
      <c r="C72" s="328" t="s">
        <v>339</v>
      </c>
      <c r="D72" s="542" t="s">
        <v>339</v>
      </c>
      <c r="E72" s="872">
        <v>0</v>
      </c>
      <c r="F72" s="331" t="s">
        <v>304</v>
      </c>
      <c r="G72" s="332">
        <f t="shared" si="2"/>
        <v>0</v>
      </c>
      <c r="H72" s="483" t="s">
        <v>1186</v>
      </c>
      <c r="I72" s="335">
        <v>112.578125</v>
      </c>
      <c r="J72" s="335">
        <f>_xlfn.IFNA(VLOOKUP(A72,'market px'!$B$2:$F$20,5,FALSE),0)</f>
        <v>114.484375</v>
      </c>
      <c r="K72" s="845">
        <f t="shared" si="3"/>
        <v>0</v>
      </c>
      <c r="L72" s="381"/>
    </row>
    <row r="73" spans="1:19" s="270" customFormat="1">
      <c r="A73" s="325" t="s">
        <v>629</v>
      </c>
      <c r="B73" s="328" t="s">
        <v>351</v>
      </c>
      <c r="C73" s="328" t="s">
        <v>339</v>
      </c>
      <c r="D73" s="542" t="s">
        <v>339</v>
      </c>
      <c r="E73" s="872">
        <v>0</v>
      </c>
      <c r="F73" s="331" t="s">
        <v>304</v>
      </c>
      <c r="G73" s="332">
        <f t="shared" ref="G73:G78" si="4">-77*E73</f>
        <v>0</v>
      </c>
      <c r="H73" s="483" t="s">
        <v>352</v>
      </c>
      <c r="I73" s="335">
        <v>138.875</v>
      </c>
      <c r="J73" s="335">
        <f>VLOOKUP(A73,'market px'!$B$2:$F$20,5,FALSE)</f>
        <v>111.28125</v>
      </c>
      <c r="K73" s="845">
        <f t="shared" ref="K73:K78" si="5">(J73-I73)*E73/100*100000</f>
        <v>0</v>
      </c>
      <c r="L73" s="381"/>
    </row>
    <row r="74" spans="1:19" s="270" customFormat="1">
      <c r="A74" s="325" t="s">
        <v>629</v>
      </c>
      <c r="B74" s="328" t="s">
        <v>351</v>
      </c>
      <c r="C74" s="328" t="s">
        <v>339</v>
      </c>
      <c r="D74" s="542" t="s">
        <v>339</v>
      </c>
      <c r="E74" s="872">
        <v>0</v>
      </c>
      <c r="F74" s="331" t="s">
        <v>304</v>
      </c>
      <c r="G74" s="332">
        <f t="shared" si="4"/>
        <v>0</v>
      </c>
      <c r="H74" s="483" t="s">
        <v>353</v>
      </c>
      <c r="I74" s="335">
        <v>139.0625</v>
      </c>
      <c r="J74" s="335">
        <f>VLOOKUP(A74,'market px'!$B$2:$F$20,5,FALSE)</f>
        <v>111.28125</v>
      </c>
      <c r="K74" s="845">
        <f t="shared" si="5"/>
        <v>0</v>
      </c>
      <c r="L74" s="381"/>
    </row>
    <row r="75" spans="1:19" s="270" customFormat="1">
      <c r="A75" s="325" t="s">
        <v>629</v>
      </c>
      <c r="B75" s="328" t="s">
        <v>360</v>
      </c>
      <c r="C75" s="328" t="s">
        <v>339</v>
      </c>
      <c r="D75" s="542" t="s">
        <v>339</v>
      </c>
      <c r="E75" s="872">
        <v>0</v>
      </c>
      <c r="F75" s="331" t="s">
        <v>304</v>
      </c>
      <c r="G75" s="332">
        <f t="shared" si="4"/>
        <v>0</v>
      </c>
      <c r="H75" s="483" t="s">
        <v>362</v>
      </c>
      <c r="I75" s="335">
        <v>139.5</v>
      </c>
      <c r="J75" s="335">
        <f>VLOOKUP(A75,'market px'!$B$2:$F$20,5,FALSE)</f>
        <v>111.28125</v>
      </c>
      <c r="K75" s="845">
        <f t="shared" si="5"/>
        <v>0</v>
      </c>
      <c r="L75" s="381"/>
    </row>
    <row r="76" spans="1:19" s="270" customFormat="1">
      <c r="A76" s="325" t="s">
        <v>629</v>
      </c>
      <c r="B76" s="328" t="s">
        <v>359</v>
      </c>
      <c r="C76" s="328" t="s">
        <v>339</v>
      </c>
      <c r="D76" s="542" t="s">
        <v>339</v>
      </c>
      <c r="E76" s="872">
        <v>0</v>
      </c>
      <c r="F76" s="331" t="s">
        <v>304</v>
      </c>
      <c r="G76" s="332">
        <f t="shared" si="4"/>
        <v>0</v>
      </c>
      <c r="H76" s="483" t="s">
        <v>361</v>
      </c>
      <c r="I76" s="335">
        <v>139.3125</v>
      </c>
      <c r="J76" s="335">
        <f>VLOOKUP(A76,'market px'!$B$2:$F$20,5,FALSE)</f>
        <v>111.28125</v>
      </c>
      <c r="K76" s="845">
        <f t="shared" si="5"/>
        <v>0</v>
      </c>
      <c r="L76" s="381"/>
    </row>
    <row r="77" spans="1:19" s="270" customFormat="1">
      <c r="A77" s="325" t="s">
        <v>629</v>
      </c>
      <c r="B77" s="328" t="s">
        <v>380</v>
      </c>
      <c r="C77" s="328" t="s">
        <v>339</v>
      </c>
      <c r="D77" s="542" t="s">
        <v>339</v>
      </c>
      <c r="E77" s="872">
        <v>0</v>
      </c>
      <c r="F77" s="331" t="s">
        <v>304</v>
      </c>
      <c r="G77" s="332">
        <f t="shared" si="4"/>
        <v>0</v>
      </c>
      <c r="H77" s="483" t="s">
        <v>381</v>
      </c>
      <c r="I77" s="335">
        <v>138.90625</v>
      </c>
      <c r="J77" s="335">
        <f>VLOOKUP(A77,'market px'!$B$2:$F$20,5,FALSE)</f>
        <v>111.28125</v>
      </c>
      <c r="K77" s="845">
        <f t="shared" si="5"/>
        <v>0</v>
      </c>
      <c r="L77" s="381"/>
    </row>
    <row r="78" spans="1:19" s="93" customFormat="1">
      <c r="A78" s="325" t="s">
        <v>629</v>
      </c>
      <c r="B78" s="328" t="s">
        <v>424</v>
      </c>
      <c r="C78" s="328" t="s">
        <v>339</v>
      </c>
      <c r="D78" s="542" t="s">
        <v>339</v>
      </c>
      <c r="E78" s="872">
        <v>0</v>
      </c>
      <c r="F78" s="331" t="s">
        <v>304</v>
      </c>
      <c r="G78" s="332">
        <f t="shared" si="4"/>
        <v>0</v>
      </c>
      <c r="H78" s="483" t="s">
        <v>425</v>
      </c>
      <c r="I78" s="335">
        <v>136.8125</v>
      </c>
      <c r="J78" s="335">
        <f>VLOOKUP(A78,'market px'!$B$2:$F$20,5,FALSE)</f>
        <v>111.28125</v>
      </c>
      <c r="K78" s="845">
        <f t="shared" si="5"/>
        <v>0</v>
      </c>
      <c r="L78" s="377"/>
      <c r="S78" s="131" t="s">
        <v>21</v>
      </c>
    </row>
    <row r="79" spans="1:19" s="93" customFormat="1">
      <c r="A79" s="325" t="s">
        <v>529</v>
      </c>
      <c r="B79" s="328"/>
      <c r="C79" s="328"/>
      <c r="D79" s="542"/>
      <c r="E79" s="872"/>
      <c r="F79" s="331"/>
      <c r="G79" s="332"/>
      <c r="H79" s="483"/>
      <c r="I79" s="335"/>
      <c r="J79" s="335"/>
      <c r="K79" s="845">
        <f>(J79-I79)*E79/100*100000</f>
        <v>0</v>
      </c>
      <c r="L79" s="377"/>
    </row>
    <row r="80" spans="1:19" s="93" customFormat="1">
      <c r="A80" s="325"/>
      <c r="B80" s="328"/>
      <c r="C80" s="328"/>
      <c r="D80" s="542"/>
      <c r="E80" s="872"/>
      <c r="F80" s="331"/>
      <c r="G80" s="332"/>
      <c r="H80" s="483"/>
      <c r="I80" s="335"/>
      <c r="J80" s="335"/>
      <c r="K80" s="845">
        <f>(J80-I80)*E80/100*100000</f>
        <v>0</v>
      </c>
      <c r="L80" s="377"/>
    </row>
    <row r="81" spans="1:12" s="93" customFormat="1">
      <c r="A81" s="349" t="s">
        <v>166</v>
      </c>
      <c r="B81" s="350"/>
      <c r="C81" s="351"/>
      <c r="D81" s="545"/>
      <c r="E81" s="874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169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99</v>
      </c>
      <c r="B83" s="207" t="s">
        <v>7</v>
      </c>
      <c r="C83" s="207" t="s">
        <v>171</v>
      </c>
      <c r="D83" s="535" t="s">
        <v>170</v>
      </c>
      <c r="E83" s="208" t="s">
        <v>11</v>
      </c>
      <c r="F83" s="207" t="s">
        <v>2</v>
      </c>
      <c r="G83" s="209" t="s">
        <v>12</v>
      </c>
      <c r="H83" s="567" t="s">
        <v>18</v>
      </c>
      <c r="I83" s="209" t="s">
        <v>213</v>
      </c>
      <c r="J83" s="207" t="s">
        <v>214</v>
      </c>
      <c r="K83" s="260" t="s">
        <v>215</v>
      </c>
      <c r="L83" s="377"/>
    </row>
    <row r="84" spans="1:12" s="270" customFormat="1">
      <c r="A84" s="325" t="s">
        <v>1301</v>
      </c>
      <c r="B84" s="328" t="s">
        <v>1263</v>
      </c>
      <c r="C84" s="329" t="s">
        <v>339</v>
      </c>
      <c r="D84" s="542" t="s">
        <v>339</v>
      </c>
      <c r="E84" s="880">
        <v>0</v>
      </c>
      <c r="F84" s="331" t="s">
        <v>638</v>
      </c>
      <c r="G84" s="332">
        <f>-190*E84</f>
        <v>0</v>
      </c>
      <c r="H84" s="561" t="s">
        <v>1314</v>
      </c>
      <c r="I84" s="335">
        <v>140.4</v>
      </c>
      <c r="J84" s="335">
        <f>VLOOKUP(A84,'market px'!$G$2:$I$20,3,FALSE)</f>
        <v>140.24</v>
      </c>
      <c r="K84" s="336">
        <f>(J84-I84)*E84/100*100000</f>
        <v>0</v>
      </c>
      <c r="L84" s="381"/>
    </row>
    <row r="85" spans="1:12" s="270" customFormat="1">
      <c r="A85" s="325" t="s">
        <v>1301</v>
      </c>
      <c r="B85" s="328" t="s">
        <v>1263</v>
      </c>
      <c r="C85" s="329" t="s">
        <v>339</v>
      </c>
      <c r="D85" s="542" t="s">
        <v>339</v>
      </c>
      <c r="E85" s="880">
        <v>0</v>
      </c>
      <c r="F85" s="331" t="s">
        <v>638</v>
      </c>
      <c r="G85" s="332">
        <f t="shared" ref="G85:G89" si="6">-190*E85</f>
        <v>0</v>
      </c>
      <c r="H85" s="561" t="s">
        <v>1315</v>
      </c>
      <c r="I85" s="335">
        <v>140.4</v>
      </c>
      <c r="J85" s="335">
        <f>VLOOKUP(A85,'market px'!$G$2:$I$20,3,FALSE)</f>
        <v>140.24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1301</v>
      </c>
      <c r="B86" s="328" t="s">
        <v>1263</v>
      </c>
      <c r="C86" s="329" t="s">
        <v>339</v>
      </c>
      <c r="D86" s="542" t="s">
        <v>339</v>
      </c>
      <c r="E86" s="880">
        <v>0</v>
      </c>
      <c r="F86" s="331" t="s">
        <v>638</v>
      </c>
      <c r="G86" s="332">
        <f t="shared" si="6"/>
        <v>0</v>
      </c>
      <c r="H86" s="561" t="s">
        <v>1316</v>
      </c>
      <c r="I86" s="335">
        <v>140.41999999999999</v>
      </c>
      <c r="J86" s="335">
        <f>VLOOKUP(A86,'market px'!$G$2:$I$20,3,FALSE)</f>
        <v>140.24</v>
      </c>
      <c r="K86" s="336">
        <f t="shared" si="7"/>
        <v>0</v>
      </c>
      <c r="L86" s="381"/>
    </row>
    <row r="87" spans="1:12" s="270" customFormat="1">
      <c r="A87" s="325" t="s">
        <v>1301</v>
      </c>
      <c r="B87" s="328"/>
      <c r="C87" s="329"/>
      <c r="D87" s="542"/>
      <c r="E87" s="880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140.24</v>
      </c>
      <c r="K87" s="336">
        <f t="shared" si="7"/>
        <v>0</v>
      </c>
      <c r="L87" s="381"/>
    </row>
    <row r="88" spans="1:12" s="270" customFormat="1">
      <c r="A88" s="325" t="s">
        <v>1301</v>
      </c>
      <c r="B88" s="328"/>
      <c r="C88" s="329"/>
      <c r="D88" s="542"/>
      <c r="E88" s="880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140.24</v>
      </c>
      <c r="K88" s="336">
        <f t="shared" si="7"/>
        <v>0</v>
      </c>
      <c r="L88" s="381"/>
    </row>
    <row r="89" spans="1:12" s="270" customFormat="1">
      <c r="A89" s="325" t="s">
        <v>1301</v>
      </c>
      <c r="B89" s="328"/>
      <c r="C89" s="329"/>
      <c r="D89" s="542"/>
      <c r="E89" s="880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140.24</v>
      </c>
      <c r="K89" s="336">
        <f t="shared" si="7"/>
        <v>0</v>
      </c>
      <c r="L89" s="381"/>
    </row>
    <row r="90" spans="1:12" s="270" customFormat="1">
      <c r="A90" s="325" t="s">
        <v>1298</v>
      </c>
      <c r="B90" s="328">
        <v>40995</v>
      </c>
      <c r="C90" s="329"/>
      <c r="D90" s="542"/>
      <c r="E90" s="880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117.57</v>
      </c>
      <c r="K90" s="336">
        <f t="shared" si="7"/>
        <v>0</v>
      </c>
      <c r="L90" s="381"/>
    </row>
    <row r="91" spans="1:12" s="270" customFormat="1">
      <c r="A91" s="325" t="s">
        <v>1298</v>
      </c>
      <c r="B91" s="328"/>
      <c r="C91" s="329"/>
      <c r="D91" s="542"/>
      <c r="E91" s="880"/>
      <c r="F91" s="331"/>
      <c r="G91" s="332"/>
      <c r="H91" s="561"/>
      <c r="I91" s="335"/>
      <c r="J91" s="335">
        <f>VLOOKUP(A91,'market px'!$G$2:$I$20,3,FALSE)</f>
        <v>117.57</v>
      </c>
      <c r="K91" s="336">
        <f t="shared" si="7"/>
        <v>0</v>
      </c>
      <c r="L91" s="381"/>
    </row>
    <row r="92" spans="1:12" s="270" customFormat="1">
      <c r="A92" s="325" t="s">
        <v>1298</v>
      </c>
      <c r="B92" s="328"/>
      <c r="C92" s="329"/>
      <c r="D92" s="542"/>
      <c r="E92" s="880"/>
      <c r="F92" s="331"/>
      <c r="G92" s="332"/>
      <c r="H92" s="561"/>
      <c r="I92" s="335"/>
      <c r="J92" s="335">
        <f>VLOOKUP(A92,'market px'!$G$2:$I$20,3,FALSE)</f>
        <v>117.57</v>
      </c>
      <c r="K92" s="336">
        <f t="shared" si="7"/>
        <v>0</v>
      </c>
      <c r="L92" s="381"/>
    </row>
    <row r="93" spans="1:12" s="270" customFormat="1">
      <c r="A93" s="325" t="s">
        <v>1298</v>
      </c>
      <c r="B93" s="328"/>
      <c r="C93" s="329"/>
      <c r="D93" s="542"/>
      <c r="E93" s="880"/>
      <c r="F93" s="331"/>
      <c r="G93" s="332"/>
      <c r="H93" s="561"/>
      <c r="I93" s="335"/>
      <c r="J93" s="335">
        <f>VLOOKUP(A93,'market px'!$G$2:$I$20,3,FALSE)</f>
        <v>117.57</v>
      </c>
      <c r="K93" s="336">
        <f t="shared" si="7"/>
        <v>0</v>
      </c>
      <c r="L93" s="381"/>
    </row>
    <row r="94" spans="1:12" s="270" customFormat="1">
      <c r="A94" s="325" t="s">
        <v>1298</v>
      </c>
      <c r="B94" s="328"/>
      <c r="C94" s="329"/>
      <c r="D94" s="542"/>
      <c r="E94" s="880"/>
      <c r="F94" s="331"/>
      <c r="G94" s="332"/>
      <c r="H94" s="561"/>
      <c r="I94" s="335"/>
      <c r="J94" s="335">
        <f>VLOOKUP(A94,'market px'!$G$2:$I$20,3,FALSE)</f>
        <v>117.57</v>
      </c>
      <c r="K94" s="336">
        <f t="shared" si="7"/>
        <v>0</v>
      </c>
      <c r="L94" s="381"/>
    </row>
    <row r="95" spans="1:12" s="270" customFormat="1">
      <c r="A95" s="325" t="s">
        <v>1298</v>
      </c>
      <c r="B95" s="328"/>
      <c r="C95" s="329"/>
      <c r="D95" s="542"/>
      <c r="E95" s="880"/>
      <c r="F95" s="331"/>
      <c r="G95" s="332"/>
      <c r="H95" s="561"/>
      <c r="I95" s="335"/>
      <c r="J95" s="335">
        <f>VLOOKUP(A95,'market px'!$G$2:$I$20,3,FALSE)</f>
        <v>117.57</v>
      </c>
      <c r="K95" s="336">
        <f t="shared" si="7"/>
        <v>0</v>
      </c>
      <c r="L95" s="381"/>
    </row>
    <row r="96" spans="1:12" s="270" customFormat="1">
      <c r="A96" s="325" t="s">
        <v>1298</v>
      </c>
      <c r="B96" s="328"/>
      <c r="C96" s="329"/>
      <c r="D96" s="542"/>
      <c r="E96" s="880"/>
      <c r="F96" s="331"/>
      <c r="G96" s="332"/>
      <c r="H96" s="561"/>
      <c r="I96" s="335"/>
      <c r="J96" s="335">
        <f>VLOOKUP(A96,'market px'!$G$2:$I$20,3,FALSE)</f>
        <v>117.57</v>
      </c>
      <c r="K96" s="336">
        <f t="shared" si="7"/>
        <v>0</v>
      </c>
      <c r="L96" s="381"/>
    </row>
    <row r="97" spans="1:17" s="270" customFormat="1">
      <c r="A97" s="325" t="s">
        <v>1298</v>
      </c>
      <c r="B97" s="328"/>
      <c r="C97" s="329"/>
      <c r="D97" s="542"/>
      <c r="E97" s="880"/>
      <c r="F97" s="331"/>
      <c r="G97" s="332"/>
      <c r="H97" s="561"/>
      <c r="I97" s="335"/>
      <c r="J97" s="335">
        <f>VLOOKUP(A97,'market px'!$G$2:$I$20,3,FALSE)</f>
        <v>117.57</v>
      </c>
      <c r="K97" s="336">
        <f t="shared" si="7"/>
        <v>0</v>
      </c>
      <c r="L97" s="381"/>
    </row>
    <row r="98" spans="1:17" s="270" customFormat="1">
      <c r="A98" s="325" t="s">
        <v>1298</v>
      </c>
      <c r="B98" s="328"/>
      <c r="C98" s="329"/>
      <c r="D98" s="542"/>
      <c r="E98" s="880"/>
      <c r="F98" s="331"/>
      <c r="G98" s="332"/>
      <c r="H98" s="561"/>
      <c r="I98" s="335"/>
      <c r="J98" s="335">
        <f>VLOOKUP(A98,'market px'!$G$2:$I$20,3,FALSE)</f>
        <v>117.57</v>
      </c>
      <c r="K98" s="336">
        <f t="shared" si="7"/>
        <v>0</v>
      </c>
      <c r="L98" s="381"/>
    </row>
    <row r="99" spans="1:17" s="270" customFormat="1">
      <c r="A99" s="325" t="s">
        <v>1298</v>
      </c>
      <c r="B99" s="328"/>
      <c r="C99" s="329"/>
      <c r="D99" s="542"/>
      <c r="E99" s="880"/>
      <c r="F99" s="331"/>
      <c r="G99" s="332"/>
      <c r="H99" s="561"/>
      <c r="I99" s="335"/>
      <c r="J99" s="335">
        <f>VLOOKUP(A99,'market px'!$G$2:$I$20,3,FALSE)</f>
        <v>117.57</v>
      </c>
      <c r="K99" s="336">
        <f t="shared" si="7"/>
        <v>0</v>
      </c>
      <c r="L99" s="381"/>
    </row>
    <row r="100" spans="1:17" s="270" customFormat="1">
      <c r="A100" s="325" t="s">
        <v>1298</v>
      </c>
      <c r="B100" s="328"/>
      <c r="C100" s="329"/>
      <c r="D100" s="542"/>
      <c r="E100" s="880"/>
      <c r="F100" s="331"/>
      <c r="G100" s="332"/>
      <c r="H100" s="561"/>
      <c r="I100" s="335"/>
      <c r="J100" s="335">
        <f>VLOOKUP(A100,'market px'!$G$2:$I$20,3,FALSE)</f>
        <v>117.57</v>
      </c>
      <c r="K100" s="336">
        <f t="shared" si="7"/>
        <v>0</v>
      </c>
      <c r="L100" s="381"/>
    </row>
    <row r="101" spans="1:17" s="270" customFormat="1">
      <c r="A101" s="325" t="s">
        <v>1298</v>
      </c>
      <c r="B101" s="328"/>
      <c r="C101" s="329"/>
      <c r="D101" s="542"/>
      <c r="E101" s="880"/>
      <c r="F101" s="331"/>
      <c r="G101" s="332"/>
      <c r="H101" s="561"/>
      <c r="I101" s="335"/>
      <c r="J101" s="335">
        <f>VLOOKUP(A101,'market px'!$G$2:$I$20,3,FALSE)</f>
        <v>117.57</v>
      </c>
      <c r="K101" s="336">
        <f t="shared" si="7"/>
        <v>0</v>
      </c>
      <c r="L101" s="381"/>
    </row>
    <row r="102" spans="1:17" s="270" customFormat="1">
      <c r="A102" s="325" t="s">
        <v>1298</v>
      </c>
      <c r="B102" s="328"/>
      <c r="C102" s="329"/>
      <c r="D102" s="542"/>
      <c r="E102" s="880"/>
      <c r="F102" s="331"/>
      <c r="G102" s="332"/>
      <c r="H102" s="561"/>
      <c r="I102" s="335"/>
      <c r="J102" s="335">
        <f>VLOOKUP(A102,'market px'!$G$2:$I$20,3,FALSE)</f>
        <v>117.57</v>
      </c>
      <c r="K102" s="336">
        <f t="shared" si="7"/>
        <v>0</v>
      </c>
      <c r="L102" s="381"/>
    </row>
    <row r="103" spans="1:17" s="270" customFormat="1">
      <c r="A103" s="325" t="s">
        <v>1298</v>
      </c>
      <c r="B103" s="328"/>
      <c r="C103" s="329"/>
      <c r="D103" s="542"/>
      <c r="E103" s="880"/>
      <c r="F103" s="331"/>
      <c r="G103" s="332"/>
      <c r="H103" s="561"/>
      <c r="I103" s="335"/>
      <c r="J103" s="335">
        <f>VLOOKUP(A103,'market px'!$G$2:$I$20,3,FALSE)</f>
        <v>117.57</v>
      </c>
      <c r="K103" s="336">
        <f t="shared" si="7"/>
        <v>0</v>
      </c>
      <c r="L103" s="381"/>
    </row>
    <row r="104" spans="1:17" s="270" customFormat="1">
      <c r="A104" s="325" t="s">
        <v>1298</v>
      </c>
      <c r="B104" s="328"/>
      <c r="C104" s="329"/>
      <c r="D104" s="542"/>
      <c r="E104" s="880"/>
      <c r="F104" s="331"/>
      <c r="G104" s="332"/>
      <c r="H104" s="561"/>
      <c r="I104" s="335"/>
      <c r="J104" s="335">
        <f>VLOOKUP(A104,'market px'!$G$2:$I$20,3,FALSE)</f>
        <v>117.57</v>
      </c>
      <c r="K104" s="336">
        <f t="shared" si="7"/>
        <v>0</v>
      </c>
      <c r="L104" s="381"/>
    </row>
    <row r="105" spans="1:17" s="270" customFormat="1">
      <c r="A105" s="325" t="s">
        <v>1298</v>
      </c>
      <c r="B105" s="328"/>
      <c r="C105" s="329"/>
      <c r="D105" s="542"/>
      <c r="E105" s="880"/>
      <c r="F105" s="331"/>
      <c r="G105" s="332"/>
      <c r="H105" s="561"/>
      <c r="I105" s="335"/>
      <c r="J105" s="335">
        <f>VLOOKUP(A105,'market px'!$G$2:$I$20,3,FALSE)</f>
        <v>117.57</v>
      </c>
      <c r="K105" s="336">
        <f t="shared" si="7"/>
        <v>0</v>
      </c>
      <c r="L105" s="381"/>
    </row>
    <row r="106" spans="1:17" s="270" customFormat="1">
      <c r="A106" s="325" t="s">
        <v>1298</v>
      </c>
      <c r="B106" s="328"/>
      <c r="C106" s="329"/>
      <c r="D106" s="542"/>
      <c r="E106" s="880"/>
      <c r="F106" s="331"/>
      <c r="G106" s="332"/>
      <c r="H106" s="561"/>
      <c r="I106" s="335"/>
      <c r="J106" s="335">
        <f>VLOOKUP(A106,'market px'!$G$2:$I$20,3,FALSE)</f>
        <v>117.57</v>
      </c>
      <c r="K106" s="336">
        <f t="shared" si="7"/>
        <v>0</v>
      </c>
      <c r="L106" s="381"/>
    </row>
    <row r="107" spans="1:17" s="270" customFormat="1">
      <c r="A107" s="325" t="s">
        <v>1298</v>
      </c>
      <c r="B107" s="328"/>
      <c r="C107" s="329"/>
      <c r="D107" s="542"/>
      <c r="E107" s="880"/>
      <c r="F107" s="331"/>
      <c r="G107" s="332"/>
      <c r="H107" s="561"/>
      <c r="I107" s="335"/>
      <c r="J107" s="335">
        <f>VLOOKUP(A107,'market px'!$G$2:$I$20,3,FALSE)</f>
        <v>117.57</v>
      </c>
      <c r="K107" s="336">
        <f t="shared" si="7"/>
        <v>0</v>
      </c>
      <c r="L107" s="381"/>
    </row>
    <row r="108" spans="1:17" s="93" customFormat="1">
      <c r="A108" s="325" t="s">
        <v>1298</v>
      </c>
      <c r="B108" s="328" t="s">
        <v>1263</v>
      </c>
      <c r="C108" s="329" t="s">
        <v>339</v>
      </c>
      <c r="D108" s="542" t="s">
        <v>339</v>
      </c>
      <c r="E108" s="880">
        <v>0</v>
      </c>
      <c r="F108" s="331" t="s">
        <v>638</v>
      </c>
      <c r="G108" s="332">
        <f>-44*E108</f>
        <v>0</v>
      </c>
      <c r="H108" s="561" t="s">
        <v>1313</v>
      </c>
      <c r="I108" s="335">
        <v>117.6</v>
      </c>
      <c r="J108" s="335">
        <f>VLOOKUP(A108,'market px'!$G$2:$I$20,3,FALSE)</f>
        <v>117.57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285</v>
      </c>
      <c r="B109" s="328">
        <v>38954</v>
      </c>
      <c r="C109" s="329"/>
      <c r="D109" s="542"/>
      <c r="E109" s="880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1296</v>
      </c>
      <c r="B110" s="328" t="s">
        <v>1263</v>
      </c>
      <c r="C110" s="329" t="s">
        <v>339</v>
      </c>
      <c r="D110" s="542" t="s">
        <v>339</v>
      </c>
      <c r="E110" s="880">
        <v>-200</v>
      </c>
      <c r="F110" s="331" t="s">
        <v>638</v>
      </c>
      <c r="G110" s="332">
        <f>-19*E110</f>
        <v>3800</v>
      </c>
      <c r="H110" s="561" t="s">
        <v>1307</v>
      </c>
      <c r="I110" s="335">
        <v>105.31</v>
      </c>
      <c r="J110" s="335">
        <f>VLOOKUP(A110,'market px'!$G$2:$I$20,3,FALSE)</f>
        <v>105.62</v>
      </c>
      <c r="K110" s="336">
        <f t="shared" si="7"/>
        <v>-62000.000000000451</v>
      </c>
    </row>
    <row r="111" spans="1:17">
      <c r="A111" s="325" t="s">
        <v>1296</v>
      </c>
      <c r="B111" s="328" t="s">
        <v>1263</v>
      </c>
      <c r="C111" s="329" t="s">
        <v>339</v>
      </c>
      <c r="D111" s="542" t="s">
        <v>339</v>
      </c>
      <c r="E111" s="880">
        <v>-20</v>
      </c>
      <c r="F111" s="331" t="s">
        <v>638</v>
      </c>
      <c r="G111" s="332">
        <f>-19*E111</f>
        <v>380</v>
      </c>
      <c r="H111" s="561" t="s">
        <v>1311</v>
      </c>
      <c r="I111" s="335">
        <v>105.31</v>
      </c>
      <c r="J111" s="335">
        <f>VLOOKUP(A111,'market px'!$G$2:$I$20,3,FALSE)</f>
        <v>105.62</v>
      </c>
      <c r="K111" s="336">
        <f t="shared" si="7"/>
        <v>-6200.0000000000455</v>
      </c>
    </row>
    <row r="112" spans="1:17">
      <c r="A112" s="349" t="s">
        <v>166</v>
      </c>
      <c r="B112" s="350"/>
      <c r="C112" s="351"/>
      <c r="D112" s="545"/>
      <c r="E112" s="874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-68200.000000000495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9" t="s">
        <v>1345</v>
      </c>
      <c r="G114" s="14"/>
      <c r="H114" s="565"/>
      <c r="L114"/>
    </row>
    <row r="115" spans="1:12">
      <c r="E115" s="878" t="s">
        <v>1303</v>
      </c>
      <c r="F115" s="879">
        <v>19</v>
      </c>
      <c r="G115" s="14"/>
      <c r="H115" s="565"/>
      <c r="L115"/>
    </row>
    <row r="116" spans="1:12">
      <c r="E116" s="878" t="s">
        <v>1304</v>
      </c>
      <c r="F116" s="879">
        <v>44</v>
      </c>
      <c r="G116" s="14"/>
      <c r="H116" s="565"/>
      <c r="L116"/>
    </row>
    <row r="117" spans="1:12">
      <c r="B117"/>
      <c r="C117"/>
      <c r="D117"/>
      <c r="E117" s="193" t="s">
        <v>1305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8" t="s">
        <v>1306</v>
      </c>
      <c r="F118" s="879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0" priority="5">
      <formula>AND(IF(E68&lt;&gt;0,1),IF(G68=0,1))</formula>
    </cfRule>
  </conditionalFormatting>
  <conditionalFormatting sqref="K68:K72">
    <cfRule type="expression" dxfId="39" priority="4">
      <formula>LEFT(A68,2)="TU"</formula>
    </cfRule>
  </conditionalFormatting>
  <conditionalFormatting sqref="G73:G80">
    <cfRule type="expression" dxfId="38" priority="3">
      <formula>AND(IF(E73&lt;&gt;0,1),IF(G73=0,1))</formula>
    </cfRule>
  </conditionalFormatting>
  <conditionalFormatting sqref="K73:K80">
    <cfRule type="expression" dxfId="37" priority="2">
      <formula>LEFT(A73,2)="TU"</formula>
    </cfRule>
  </conditionalFormatting>
  <conditionalFormatting sqref="G84:G111">
    <cfRule type="expression" dxfId="36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79" zoomScale="90" zoomScaleNormal="90" workbookViewId="0">
      <selection activeCell="O193" sqref="O19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421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402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364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289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367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289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367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376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289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373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377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378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453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454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456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456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456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458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394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377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373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373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403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468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470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373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393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421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416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472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421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474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494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495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415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415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415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415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426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428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289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428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164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99</v>
      </c>
      <c r="B51" s="207" t="s">
        <v>7</v>
      </c>
      <c r="C51" s="207" t="s">
        <v>1280</v>
      </c>
      <c r="D51" s="535" t="s">
        <v>170</v>
      </c>
      <c r="E51" s="208" t="s">
        <v>1284</v>
      </c>
      <c r="F51" s="207" t="s">
        <v>1285</v>
      </c>
      <c r="G51" s="209" t="s">
        <v>12</v>
      </c>
      <c r="H51" s="482" t="s">
        <v>1281</v>
      </c>
      <c r="I51" s="209" t="s">
        <v>1286</v>
      </c>
      <c r="J51" s="207" t="s">
        <v>1282</v>
      </c>
      <c r="K51" s="260" t="s">
        <v>1287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67" t="s">
        <v>629</v>
      </c>
      <c r="B52" s="863" t="s">
        <v>680</v>
      </c>
      <c r="C52" s="863" t="s">
        <v>339</v>
      </c>
      <c r="D52" s="868" t="s">
        <v>339</v>
      </c>
      <c r="E52" s="869"/>
      <c r="F52" s="870"/>
      <c r="G52" s="871"/>
      <c r="H52" s="864"/>
      <c r="I52" s="865"/>
      <c r="J52" s="295"/>
      <c r="K52" s="296">
        <f t="shared" ref="K52:K56" si="2">IF(LEFT(A52,2)="TU",(J52-I52)*E52/100*100000*2,(J52-I52)*E52/100*100000)</f>
        <v>0</v>
      </c>
      <c r="L52" s="381"/>
    </row>
    <row r="53" spans="1:19" s="270" customFormat="1">
      <c r="A53" s="867" t="s">
        <v>629</v>
      </c>
      <c r="B53" s="863" t="s">
        <v>687</v>
      </c>
      <c r="C53" s="863" t="s">
        <v>339</v>
      </c>
      <c r="D53" s="868" t="s">
        <v>339</v>
      </c>
      <c r="E53" s="869"/>
      <c r="F53" s="870"/>
      <c r="G53" s="871"/>
      <c r="H53" s="864"/>
      <c r="I53" s="865"/>
      <c r="J53" s="295"/>
      <c r="K53" s="296">
        <f t="shared" si="2"/>
        <v>0</v>
      </c>
      <c r="L53" s="381"/>
    </row>
    <row r="54" spans="1:19" s="270" customFormat="1">
      <c r="A54" s="867" t="s">
        <v>629</v>
      </c>
      <c r="B54" s="863" t="s">
        <v>687</v>
      </c>
      <c r="C54" s="863" t="s">
        <v>339</v>
      </c>
      <c r="D54" s="868" t="s">
        <v>339</v>
      </c>
      <c r="E54" s="869"/>
      <c r="F54" s="870"/>
      <c r="G54" s="871"/>
      <c r="H54" s="864"/>
      <c r="I54" s="865"/>
      <c r="J54" s="295"/>
      <c r="K54" s="296">
        <f t="shared" si="2"/>
        <v>0</v>
      </c>
      <c r="L54" s="381"/>
    </row>
    <row r="55" spans="1:19" s="93" customFormat="1">
      <c r="A55" s="867" t="s">
        <v>629</v>
      </c>
      <c r="B55" s="863" t="s">
        <v>705</v>
      </c>
      <c r="C55" s="863" t="s">
        <v>339</v>
      </c>
      <c r="D55" s="868" t="s">
        <v>339</v>
      </c>
      <c r="E55" s="869"/>
      <c r="F55" s="870"/>
      <c r="G55" s="871"/>
      <c r="H55" s="864"/>
      <c r="I55" s="865"/>
      <c r="J55" s="295"/>
      <c r="K55" s="296">
        <f t="shared" si="2"/>
        <v>0</v>
      </c>
      <c r="L55" s="377"/>
    </row>
    <row r="56" spans="1:19" s="93" customFormat="1">
      <c r="A56" s="867" t="s">
        <v>629</v>
      </c>
      <c r="B56" s="863" t="s">
        <v>705</v>
      </c>
      <c r="C56" s="863" t="s">
        <v>339</v>
      </c>
      <c r="D56" s="868" t="s">
        <v>339</v>
      </c>
      <c r="E56" s="869"/>
      <c r="F56" s="870"/>
      <c r="G56" s="871"/>
      <c r="H56" s="864"/>
      <c r="I56" s="865"/>
      <c r="J56" s="295"/>
      <c r="K56" s="296">
        <f t="shared" si="2"/>
        <v>0</v>
      </c>
      <c r="L56" s="377"/>
    </row>
    <row r="57" spans="1:19" s="93" customFormat="1">
      <c r="A57" s="867" t="s">
        <v>391</v>
      </c>
      <c r="B57" s="863"/>
      <c r="C57" s="863"/>
      <c r="D57" s="868"/>
      <c r="E57" s="869"/>
      <c r="F57" s="870"/>
      <c r="G57" s="871"/>
      <c r="H57" s="864"/>
      <c r="I57" s="865"/>
      <c r="J57" s="295"/>
      <c r="K57" s="296">
        <f t="shared" ref="K57:K95" si="3">(J57-I57)*E57/100*100000</f>
        <v>0</v>
      </c>
      <c r="L57" s="377"/>
    </row>
    <row r="58" spans="1:19" s="93" customFormat="1">
      <c r="A58" s="867" t="s">
        <v>391</v>
      </c>
      <c r="B58" s="863"/>
      <c r="C58" s="863"/>
      <c r="D58" s="868"/>
      <c r="E58" s="869"/>
      <c r="F58" s="870"/>
      <c r="G58" s="871"/>
      <c r="H58" s="864"/>
      <c r="I58" s="865"/>
      <c r="J58" s="295"/>
      <c r="K58" s="296">
        <f t="shared" si="3"/>
        <v>0</v>
      </c>
      <c r="L58" s="377"/>
    </row>
    <row r="59" spans="1:19" s="93" customFormat="1">
      <c r="A59" s="867" t="s">
        <v>391</v>
      </c>
      <c r="B59" s="863"/>
      <c r="C59" s="863"/>
      <c r="D59" s="868"/>
      <c r="E59" s="869"/>
      <c r="F59" s="870"/>
      <c r="G59" s="871"/>
      <c r="H59" s="864"/>
      <c r="I59" s="865"/>
      <c r="J59" s="295"/>
      <c r="K59" s="296">
        <f t="shared" si="3"/>
        <v>0</v>
      </c>
      <c r="L59" s="377"/>
    </row>
    <row r="60" spans="1:19" s="93" customFormat="1">
      <c r="A60" s="867" t="s">
        <v>391</v>
      </c>
      <c r="B60" s="863"/>
      <c r="C60" s="863"/>
      <c r="D60" s="868"/>
      <c r="E60" s="869"/>
      <c r="F60" s="870"/>
      <c r="G60" s="871"/>
      <c r="H60" s="864"/>
      <c r="I60" s="865"/>
      <c r="J60" s="295"/>
      <c r="K60" s="296">
        <f t="shared" si="3"/>
        <v>0</v>
      </c>
      <c r="L60" s="377"/>
    </row>
    <row r="61" spans="1:19" s="93" customFormat="1">
      <c r="A61" s="867" t="s">
        <v>391</v>
      </c>
      <c r="B61" s="863"/>
      <c r="C61" s="863"/>
      <c r="D61" s="868"/>
      <c r="E61" s="869"/>
      <c r="F61" s="870"/>
      <c r="G61" s="871"/>
      <c r="H61" s="864"/>
      <c r="I61" s="865"/>
      <c r="J61" s="295"/>
      <c r="K61" s="296">
        <f t="shared" si="3"/>
        <v>0</v>
      </c>
      <c r="L61" s="377"/>
    </row>
    <row r="62" spans="1:19" s="93" customFormat="1">
      <c r="A62" s="867" t="s">
        <v>391</v>
      </c>
      <c r="B62" s="863"/>
      <c r="C62" s="863"/>
      <c r="D62" s="868"/>
      <c r="E62" s="869"/>
      <c r="F62" s="870"/>
      <c r="G62" s="871"/>
      <c r="H62" s="864"/>
      <c r="I62" s="865"/>
      <c r="J62" s="295"/>
      <c r="K62" s="296">
        <f t="shared" si="3"/>
        <v>0</v>
      </c>
      <c r="L62" s="377"/>
    </row>
    <row r="63" spans="1:19" s="93" customFormat="1">
      <c r="A63" s="867" t="s">
        <v>391</v>
      </c>
      <c r="B63" s="863"/>
      <c r="C63" s="863"/>
      <c r="D63" s="868"/>
      <c r="E63" s="869"/>
      <c r="F63" s="870"/>
      <c r="G63" s="871"/>
      <c r="H63" s="864"/>
      <c r="I63" s="865"/>
      <c r="J63" s="295"/>
      <c r="K63" s="296">
        <f t="shared" si="3"/>
        <v>0</v>
      </c>
      <c r="L63" s="377"/>
    </row>
    <row r="64" spans="1:19" s="93" customFormat="1">
      <c r="A64" s="867" t="s">
        <v>391</v>
      </c>
      <c r="B64" s="863"/>
      <c r="C64" s="863"/>
      <c r="D64" s="868"/>
      <c r="E64" s="869"/>
      <c r="F64" s="870"/>
      <c r="G64" s="871"/>
      <c r="H64" s="864"/>
      <c r="I64" s="865"/>
      <c r="J64" s="295"/>
      <c r="K64" s="296">
        <f t="shared" si="3"/>
        <v>0</v>
      </c>
      <c r="L64" s="377"/>
    </row>
    <row r="65" spans="1:12" s="93" customFormat="1">
      <c r="A65" s="867" t="s">
        <v>431</v>
      </c>
      <c r="B65" s="863"/>
      <c r="C65" s="863"/>
      <c r="D65" s="868"/>
      <c r="E65" s="869"/>
      <c r="F65" s="870"/>
      <c r="G65" s="871"/>
      <c r="H65" s="864"/>
      <c r="I65" s="865"/>
      <c r="J65" s="295"/>
      <c r="K65" s="296">
        <f t="shared" si="3"/>
        <v>0</v>
      </c>
      <c r="L65" s="377"/>
    </row>
    <row r="66" spans="1:12" s="93" customFormat="1">
      <c r="A66" s="867" t="s">
        <v>431</v>
      </c>
      <c r="B66" s="863"/>
      <c r="C66" s="863"/>
      <c r="D66" s="868"/>
      <c r="E66" s="869"/>
      <c r="F66" s="870"/>
      <c r="G66" s="871"/>
      <c r="H66" s="864"/>
      <c r="I66" s="865"/>
      <c r="J66" s="295"/>
      <c r="K66" s="296">
        <f t="shared" si="3"/>
        <v>0</v>
      </c>
      <c r="L66" s="377"/>
    </row>
    <row r="67" spans="1:12" s="93" customFormat="1">
      <c r="A67" s="867" t="s">
        <v>431</v>
      </c>
      <c r="B67" s="863"/>
      <c r="C67" s="863"/>
      <c r="D67" s="868"/>
      <c r="E67" s="869"/>
      <c r="F67" s="870"/>
      <c r="G67" s="871"/>
      <c r="H67" s="864"/>
      <c r="I67" s="865"/>
      <c r="J67" s="295"/>
      <c r="K67" s="296">
        <f t="shared" si="3"/>
        <v>0</v>
      </c>
      <c r="L67" s="377"/>
    </row>
    <row r="68" spans="1:12" s="93" customFormat="1">
      <c r="A68" s="867" t="s">
        <v>431</v>
      </c>
      <c r="B68" s="863"/>
      <c r="C68" s="863"/>
      <c r="D68" s="868"/>
      <c r="E68" s="869"/>
      <c r="F68" s="870"/>
      <c r="G68" s="871"/>
      <c r="H68" s="864"/>
      <c r="I68" s="865"/>
      <c r="J68" s="295"/>
      <c r="K68" s="296">
        <f t="shared" si="3"/>
        <v>0</v>
      </c>
      <c r="L68" s="377"/>
    </row>
    <row r="69" spans="1:12" s="93" customFormat="1">
      <c r="A69" s="867" t="s">
        <v>431</v>
      </c>
      <c r="B69" s="863"/>
      <c r="C69" s="863"/>
      <c r="D69" s="868"/>
      <c r="E69" s="869"/>
      <c r="F69" s="870"/>
      <c r="G69" s="871"/>
      <c r="H69" s="864"/>
      <c r="I69" s="865"/>
      <c r="J69" s="295"/>
      <c r="K69" s="296">
        <f t="shared" si="3"/>
        <v>0</v>
      </c>
      <c r="L69" s="377"/>
    </row>
    <row r="70" spans="1:12" s="93" customFormat="1">
      <c r="A70" s="867" t="s">
        <v>431</v>
      </c>
      <c r="B70" s="863"/>
      <c r="C70" s="863"/>
      <c r="D70" s="868"/>
      <c r="E70" s="869"/>
      <c r="F70" s="870"/>
      <c r="G70" s="871"/>
      <c r="H70" s="864"/>
      <c r="I70" s="865"/>
      <c r="J70" s="295"/>
      <c r="K70" s="296">
        <f t="shared" si="3"/>
        <v>0</v>
      </c>
      <c r="L70" s="377"/>
    </row>
    <row r="71" spans="1:12" s="93" customFormat="1">
      <c r="A71" s="867" t="s">
        <v>431</v>
      </c>
      <c r="B71" s="863"/>
      <c r="C71" s="863"/>
      <c r="D71" s="868"/>
      <c r="E71" s="869"/>
      <c r="F71" s="870"/>
      <c r="G71" s="871"/>
      <c r="H71" s="864"/>
      <c r="I71" s="865"/>
      <c r="J71" s="295"/>
      <c r="K71" s="296">
        <f t="shared" si="3"/>
        <v>0</v>
      </c>
      <c r="L71" s="377"/>
    </row>
    <row r="72" spans="1:12" s="93" customFormat="1">
      <c r="A72" s="867" t="s">
        <v>431</v>
      </c>
      <c r="B72" s="863"/>
      <c r="C72" s="863"/>
      <c r="D72" s="868"/>
      <c r="E72" s="869"/>
      <c r="F72" s="870"/>
      <c r="G72" s="871"/>
      <c r="H72" s="864"/>
      <c r="I72" s="865"/>
      <c r="J72" s="295"/>
      <c r="K72" s="296">
        <f t="shared" si="3"/>
        <v>0</v>
      </c>
      <c r="L72" s="377"/>
    </row>
    <row r="73" spans="1:12" s="93" customFormat="1">
      <c r="A73" s="867" t="s">
        <v>431</v>
      </c>
      <c r="B73" s="863"/>
      <c r="C73" s="863"/>
      <c r="D73" s="868"/>
      <c r="E73" s="869"/>
      <c r="F73" s="870"/>
      <c r="G73" s="871"/>
      <c r="H73" s="864"/>
      <c r="I73" s="865"/>
      <c r="J73" s="295"/>
      <c r="K73" s="296">
        <f t="shared" si="3"/>
        <v>0</v>
      </c>
      <c r="L73" s="377"/>
    </row>
    <row r="74" spans="1:12" s="93" customFormat="1">
      <c r="A74" s="867" t="s">
        <v>431</v>
      </c>
      <c r="B74" s="863"/>
      <c r="C74" s="863"/>
      <c r="D74" s="868"/>
      <c r="E74" s="869"/>
      <c r="F74" s="870"/>
      <c r="G74" s="871"/>
      <c r="H74" s="864"/>
      <c r="I74" s="865"/>
      <c r="J74" s="295"/>
      <c r="K74" s="296">
        <f t="shared" si="3"/>
        <v>0</v>
      </c>
      <c r="L74" s="377"/>
    </row>
    <row r="75" spans="1:12" s="93" customFormat="1">
      <c r="A75" s="867" t="s">
        <v>431</v>
      </c>
      <c r="B75" s="863"/>
      <c r="C75" s="863"/>
      <c r="D75" s="868"/>
      <c r="E75" s="869"/>
      <c r="F75" s="870"/>
      <c r="G75" s="871"/>
      <c r="H75" s="864"/>
      <c r="I75" s="865"/>
      <c r="J75" s="295"/>
      <c r="K75" s="296">
        <f t="shared" si="3"/>
        <v>0</v>
      </c>
      <c r="L75" s="377"/>
    </row>
    <row r="76" spans="1:12" s="93" customFormat="1">
      <c r="A76" s="867" t="s">
        <v>431</v>
      </c>
      <c r="B76" s="863"/>
      <c r="C76" s="863"/>
      <c r="D76" s="868"/>
      <c r="E76" s="869"/>
      <c r="F76" s="870"/>
      <c r="G76" s="871"/>
      <c r="H76" s="864"/>
      <c r="I76" s="865"/>
      <c r="J76" s="295"/>
      <c r="K76" s="296">
        <f t="shared" si="3"/>
        <v>0</v>
      </c>
      <c r="L76" s="377"/>
    </row>
    <row r="77" spans="1:12" s="93" customFormat="1">
      <c r="A77" s="867" t="s">
        <v>431</v>
      </c>
      <c r="B77" s="863"/>
      <c r="C77" s="863"/>
      <c r="D77" s="868"/>
      <c r="E77" s="869"/>
      <c r="F77" s="870"/>
      <c r="G77" s="871"/>
      <c r="H77" s="864"/>
      <c r="I77" s="865"/>
      <c r="J77" s="295"/>
      <c r="K77" s="296">
        <f t="shared" si="3"/>
        <v>0</v>
      </c>
      <c r="L77" s="377"/>
    </row>
    <row r="78" spans="1:12" s="93" customFormat="1">
      <c r="A78" s="867" t="s">
        <v>431</v>
      </c>
      <c r="B78" s="863"/>
      <c r="C78" s="863"/>
      <c r="D78" s="868"/>
      <c r="E78" s="869"/>
      <c r="F78" s="870"/>
      <c r="G78" s="871"/>
      <c r="H78" s="864"/>
      <c r="I78" s="865"/>
      <c r="J78" s="295"/>
      <c r="K78" s="296">
        <f t="shared" si="3"/>
        <v>0</v>
      </c>
      <c r="L78" s="377"/>
    </row>
    <row r="79" spans="1:12" s="93" customFormat="1">
      <c r="A79" s="867" t="s">
        <v>431</v>
      </c>
      <c r="B79" s="863"/>
      <c r="C79" s="863"/>
      <c r="D79" s="868"/>
      <c r="E79" s="869"/>
      <c r="F79" s="870"/>
      <c r="G79" s="871"/>
      <c r="H79" s="864"/>
      <c r="I79" s="865"/>
      <c r="J79" s="295"/>
      <c r="K79" s="296">
        <f t="shared" si="3"/>
        <v>0</v>
      </c>
      <c r="L79" s="377"/>
    </row>
    <row r="80" spans="1:12" s="93" customFormat="1">
      <c r="A80" s="867" t="s">
        <v>431</v>
      </c>
      <c r="B80" s="863"/>
      <c r="C80" s="863"/>
      <c r="D80" s="868"/>
      <c r="E80" s="869"/>
      <c r="F80" s="870"/>
      <c r="G80" s="871"/>
      <c r="H80" s="864"/>
      <c r="I80" s="865"/>
      <c r="J80" s="295"/>
      <c r="K80" s="296">
        <f t="shared" si="3"/>
        <v>0</v>
      </c>
      <c r="L80" s="377"/>
    </row>
    <row r="81" spans="1:12" s="93" customFormat="1">
      <c r="A81" s="867" t="s">
        <v>431</v>
      </c>
      <c r="B81" s="863"/>
      <c r="C81" s="863"/>
      <c r="D81" s="868"/>
      <c r="E81" s="869"/>
      <c r="F81" s="870"/>
      <c r="G81" s="871"/>
      <c r="H81" s="864"/>
      <c r="I81" s="865"/>
      <c r="J81" s="295"/>
      <c r="K81" s="296">
        <f t="shared" si="3"/>
        <v>0</v>
      </c>
      <c r="L81" s="377"/>
    </row>
    <row r="82" spans="1:12" s="93" customFormat="1">
      <c r="A82" s="867" t="s">
        <v>431</v>
      </c>
      <c r="B82" s="863"/>
      <c r="C82" s="863"/>
      <c r="D82" s="868"/>
      <c r="E82" s="869"/>
      <c r="F82" s="870"/>
      <c r="G82" s="871"/>
      <c r="H82" s="864"/>
      <c r="I82" s="865"/>
      <c r="J82" s="295"/>
      <c r="K82" s="296">
        <f t="shared" si="3"/>
        <v>0</v>
      </c>
      <c r="L82" s="377"/>
    </row>
    <row r="83" spans="1:12" s="93" customFormat="1">
      <c r="A83" s="867" t="s">
        <v>431</v>
      </c>
      <c r="B83" s="863"/>
      <c r="C83" s="863"/>
      <c r="D83" s="868"/>
      <c r="E83" s="869"/>
      <c r="F83" s="870"/>
      <c r="G83" s="871"/>
      <c r="H83" s="864"/>
      <c r="I83" s="865"/>
      <c r="J83" s="295"/>
      <c r="K83" s="296">
        <f t="shared" si="3"/>
        <v>0</v>
      </c>
      <c r="L83" s="377"/>
    </row>
    <row r="84" spans="1:12" s="93" customFormat="1">
      <c r="A84" s="867" t="s">
        <v>431</v>
      </c>
      <c r="B84" s="863"/>
      <c r="C84" s="863"/>
      <c r="D84" s="868"/>
      <c r="E84" s="869"/>
      <c r="F84" s="870"/>
      <c r="G84" s="871"/>
      <c r="H84" s="864"/>
      <c r="I84" s="865"/>
      <c r="J84" s="295"/>
      <c r="K84" s="296">
        <f t="shared" si="3"/>
        <v>0</v>
      </c>
      <c r="L84" s="377"/>
    </row>
    <row r="85" spans="1:12" s="93" customFormat="1">
      <c r="A85" s="867" t="s">
        <v>431</v>
      </c>
      <c r="B85" s="863"/>
      <c r="C85" s="863"/>
      <c r="D85" s="868"/>
      <c r="E85" s="869"/>
      <c r="F85" s="870"/>
      <c r="G85" s="871"/>
      <c r="H85" s="864"/>
      <c r="I85" s="865"/>
      <c r="J85" s="295"/>
      <c r="K85" s="296">
        <f t="shared" si="3"/>
        <v>0</v>
      </c>
      <c r="L85" s="377"/>
    </row>
    <row r="86" spans="1:12" s="93" customFormat="1">
      <c r="A86" s="867" t="s">
        <v>431</v>
      </c>
      <c r="B86" s="863"/>
      <c r="C86" s="863"/>
      <c r="D86" s="868"/>
      <c r="E86" s="869"/>
      <c r="F86" s="870"/>
      <c r="G86" s="871"/>
      <c r="H86" s="864"/>
      <c r="I86" s="865"/>
      <c r="J86" s="295"/>
      <c r="K86" s="296">
        <f t="shared" si="3"/>
        <v>0</v>
      </c>
      <c r="L86" s="377"/>
    </row>
    <row r="87" spans="1:12" s="93" customFormat="1">
      <c r="A87" s="867" t="s">
        <v>431</v>
      </c>
      <c r="B87" s="863"/>
      <c r="C87" s="863"/>
      <c r="D87" s="868"/>
      <c r="E87" s="869"/>
      <c r="F87" s="870"/>
      <c r="G87" s="871"/>
      <c r="H87" s="864"/>
      <c r="I87" s="865"/>
      <c r="J87" s="295"/>
      <c r="K87" s="296">
        <f t="shared" si="3"/>
        <v>0</v>
      </c>
      <c r="L87" s="377"/>
    </row>
    <row r="88" spans="1:12" s="93" customFormat="1">
      <c r="A88" s="867" t="s">
        <v>431</v>
      </c>
      <c r="B88" s="863"/>
      <c r="C88" s="863"/>
      <c r="D88" s="868"/>
      <c r="E88" s="869"/>
      <c r="F88" s="870"/>
      <c r="G88" s="871"/>
      <c r="H88" s="864"/>
      <c r="I88" s="865"/>
      <c r="J88" s="295"/>
      <c r="K88" s="296">
        <f t="shared" si="3"/>
        <v>0</v>
      </c>
      <c r="L88" s="377"/>
    </row>
    <row r="89" spans="1:12" s="93" customFormat="1">
      <c r="A89" s="867" t="s">
        <v>431</v>
      </c>
      <c r="B89" s="863"/>
      <c r="C89" s="863"/>
      <c r="D89" s="868"/>
      <c r="E89" s="869"/>
      <c r="F89" s="870"/>
      <c r="G89" s="871"/>
      <c r="H89" s="864"/>
      <c r="I89" s="865"/>
      <c r="J89" s="295"/>
      <c r="K89" s="296">
        <f t="shared" si="3"/>
        <v>0</v>
      </c>
      <c r="L89" s="377"/>
    </row>
    <row r="90" spans="1:12" s="270" customFormat="1">
      <c r="A90" s="867" t="s">
        <v>431</v>
      </c>
      <c r="B90" s="863"/>
      <c r="C90" s="863"/>
      <c r="D90" s="868"/>
      <c r="E90" s="869"/>
      <c r="F90" s="870"/>
      <c r="G90" s="871"/>
      <c r="H90" s="864"/>
      <c r="I90" s="865"/>
      <c r="J90" s="295"/>
      <c r="K90" s="296">
        <f t="shared" si="3"/>
        <v>0</v>
      </c>
      <c r="L90" s="381"/>
    </row>
    <row r="91" spans="1:12" s="270" customFormat="1">
      <c r="A91" s="867" t="s">
        <v>431</v>
      </c>
      <c r="B91" s="863"/>
      <c r="C91" s="863"/>
      <c r="D91" s="868"/>
      <c r="E91" s="869"/>
      <c r="F91" s="870"/>
      <c r="G91" s="871"/>
      <c r="H91" s="864"/>
      <c r="I91" s="865"/>
      <c r="J91" s="295"/>
      <c r="K91" s="296">
        <f t="shared" si="3"/>
        <v>0</v>
      </c>
      <c r="L91" s="381"/>
    </row>
    <row r="92" spans="1:12" s="270" customFormat="1">
      <c r="A92" s="867" t="s">
        <v>431</v>
      </c>
      <c r="B92" s="863"/>
      <c r="C92" s="863"/>
      <c r="D92" s="868"/>
      <c r="E92" s="869"/>
      <c r="F92" s="870"/>
      <c r="G92" s="871"/>
      <c r="H92" s="864"/>
      <c r="I92" s="865"/>
      <c r="J92" s="295"/>
      <c r="K92" s="296">
        <f t="shared" si="3"/>
        <v>0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431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ref="K96:K167" si="4">(J96-I96)*E96/100*100000</f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4"/>
        <v>0</v>
      </c>
      <c r="L97" s="381"/>
    </row>
    <row r="98" spans="1:12" s="270" customFormat="1">
      <c r="A98" s="867" t="s">
        <v>431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4"/>
        <v>0</v>
      </c>
      <c r="L98" s="381"/>
    </row>
    <row r="99" spans="1:12" s="270" customFormat="1">
      <c r="A99" s="867" t="s">
        <v>431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4"/>
        <v>0</v>
      </c>
      <c r="L99" s="381"/>
    </row>
    <row r="100" spans="1:12" s="270" customFormat="1">
      <c r="A100" s="867" t="s">
        <v>493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4"/>
        <v>0</v>
      </c>
      <c r="L100" s="381"/>
    </row>
    <row r="101" spans="1:12" s="270" customFormat="1">
      <c r="A101" s="867" t="s">
        <v>431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4"/>
        <v>0</v>
      </c>
      <c r="L101" s="381"/>
    </row>
    <row r="102" spans="1:12" s="270" customFormat="1">
      <c r="A102" s="867" t="s">
        <v>431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4"/>
        <v>0</v>
      </c>
      <c r="L102" s="381"/>
    </row>
    <row r="103" spans="1:12" s="270" customFormat="1">
      <c r="A103" s="867" t="s">
        <v>431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4"/>
        <v>0</v>
      </c>
      <c r="L103" s="381"/>
    </row>
    <row r="104" spans="1:12" s="270" customFormat="1">
      <c r="A104" s="867" t="s">
        <v>431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4"/>
        <v>0</v>
      </c>
      <c r="L104" s="381"/>
    </row>
    <row r="105" spans="1:12" s="270" customFormat="1">
      <c r="A105" s="867" t="s">
        <v>431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4"/>
        <v>0</v>
      </c>
      <c r="L105" s="381"/>
    </row>
    <row r="106" spans="1:12" s="270" customFormat="1">
      <c r="A106" s="867" t="s">
        <v>431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4"/>
        <v>0</v>
      </c>
      <c r="L106" s="381"/>
    </row>
    <row r="107" spans="1:12" s="270" customFormat="1">
      <c r="A107" s="867" t="s">
        <v>431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4"/>
        <v>0</v>
      </c>
      <c r="L107" s="381"/>
    </row>
    <row r="108" spans="1:12" s="270" customFormat="1">
      <c r="A108" s="867" t="s">
        <v>431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4"/>
        <v>0</v>
      </c>
      <c r="L108" s="381"/>
    </row>
    <row r="109" spans="1:12" s="270" customFormat="1">
      <c r="A109" s="867" t="s">
        <v>431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4"/>
        <v>0</v>
      </c>
      <c r="L109" s="381"/>
    </row>
    <row r="110" spans="1:12" s="270" customFormat="1">
      <c r="A110" s="867" t="s">
        <v>493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4"/>
        <v>0</v>
      </c>
      <c r="L110" s="381"/>
    </row>
    <row r="111" spans="1:12" s="270" customFormat="1">
      <c r="A111" s="867" t="s">
        <v>431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4"/>
        <v>0</v>
      </c>
      <c r="L111" s="381"/>
    </row>
    <row r="112" spans="1:12" s="270" customFormat="1">
      <c r="A112" s="867" t="s">
        <v>431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4"/>
        <v>0</v>
      </c>
      <c r="L112" s="381"/>
    </row>
    <row r="113" spans="1:12" s="270" customFormat="1">
      <c r="A113" s="867" t="s">
        <v>431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4"/>
        <v>0</v>
      </c>
      <c r="L113" s="381"/>
    </row>
    <row r="114" spans="1:12" s="270" customFormat="1">
      <c r="A114" s="867" t="s">
        <v>431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4"/>
        <v>0</v>
      </c>
      <c r="L114" s="381"/>
    </row>
    <row r="115" spans="1:12" s="270" customFormat="1">
      <c r="A115" s="867" t="s">
        <v>431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4"/>
        <v>0</v>
      </c>
      <c r="L115" s="381"/>
    </row>
    <row r="116" spans="1:12" s="270" customFormat="1">
      <c r="A116" s="867" t="s">
        <v>431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4"/>
        <v>0</v>
      </c>
      <c r="L116" s="381"/>
    </row>
    <row r="117" spans="1:12" s="270" customFormat="1">
      <c r="A117" s="867" t="s">
        <v>431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4"/>
        <v>0</v>
      </c>
      <c r="L117" s="381"/>
    </row>
    <row r="118" spans="1:12" s="270" customFormat="1">
      <c r="A118" s="867" t="s">
        <v>431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4"/>
        <v>0</v>
      </c>
      <c r="L118" s="381"/>
    </row>
    <row r="119" spans="1:12" s="270" customFormat="1">
      <c r="A119" s="867" t="s">
        <v>497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4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4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4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4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4"/>
        <v>0</v>
      </c>
      <c r="L123" s="381"/>
    </row>
    <row r="124" spans="1:12" s="270" customFormat="1">
      <c r="A124" s="867" t="s">
        <v>497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4"/>
        <v>0</v>
      </c>
      <c r="L124" s="381"/>
    </row>
    <row r="125" spans="1:12" s="270" customFormat="1">
      <c r="A125" s="867"/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4"/>
        <v>0</v>
      </c>
      <c r="L125" s="381"/>
    </row>
    <row r="126" spans="1:12" s="270" customFormat="1">
      <c r="A126" s="867"/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4"/>
        <v>0</v>
      </c>
      <c r="L126" s="381"/>
    </row>
    <row r="127" spans="1:12" s="270" customFormat="1">
      <c r="A127" s="867"/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4"/>
        <v>0</v>
      </c>
      <c r="L127" s="381"/>
    </row>
    <row r="128" spans="1:12" s="270" customFormat="1">
      <c r="A128" s="867"/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4"/>
        <v>0</v>
      </c>
      <c r="L128" s="381"/>
    </row>
    <row r="129" spans="1:12" s="270" customFormat="1">
      <c r="A129" s="867"/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4"/>
        <v>0</v>
      </c>
      <c r="L129" s="381"/>
    </row>
    <row r="130" spans="1:12" s="270" customFormat="1">
      <c r="A130" s="867"/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4"/>
        <v>0</v>
      </c>
      <c r="L130" s="381"/>
    </row>
    <row r="131" spans="1:12" s="270" customFormat="1">
      <c r="A131" s="867"/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4"/>
        <v>0</v>
      </c>
      <c r="L131" s="381"/>
    </row>
    <row r="132" spans="1:12" s="270" customFormat="1">
      <c r="A132" s="867"/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4"/>
        <v>0</v>
      </c>
      <c r="L132" s="381"/>
    </row>
    <row r="133" spans="1:12" s="270" customFormat="1">
      <c r="A133" s="867"/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4"/>
        <v>0</v>
      </c>
      <c r="L133" s="381"/>
    </row>
    <row r="134" spans="1:12" s="270" customFormat="1">
      <c r="A134" s="867"/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4"/>
        <v>0</v>
      </c>
      <c r="L134" s="381"/>
    </row>
    <row r="135" spans="1:12" s="270" customFormat="1">
      <c r="A135" s="867"/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4"/>
        <v>0</v>
      </c>
      <c r="L135" s="381"/>
    </row>
    <row r="136" spans="1:12" s="270" customFormat="1">
      <c r="A136" s="867"/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4"/>
        <v>0</v>
      </c>
      <c r="L136" s="381"/>
    </row>
    <row r="137" spans="1:12" s="270" customFormat="1">
      <c r="A137" s="867"/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4"/>
        <v>0</v>
      </c>
      <c r="L137" s="381"/>
    </row>
    <row r="138" spans="1:12" s="270" customFormat="1">
      <c r="A138" s="867"/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4"/>
        <v>0</v>
      </c>
      <c r="L138" s="381"/>
    </row>
    <row r="139" spans="1:12" s="270" customFormat="1">
      <c r="A139" s="867"/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4"/>
        <v>0</v>
      </c>
      <c r="L139" s="381"/>
    </row>
    <row r="140" spans="1:12" s="270" customFormat="1">
      <c r="A140" s="867"/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4"/>
        <v>0</v>
      </c>
      <c r="L140" s="381"/>
    </row>
    <row r="141" spans="1:12" s="270" customFormat="1">
      <c r="A141" s="867"/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4"/>
        <v>0</v>
      </c>
      <c r="L141" s="381"/>
    </row>
    <row r="142" spans="1:12" s="270" customFormat="1">
      <c r="A142" s="867"/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4"/>
        <v>0</v>
      </c>
      <c r="L142" s="381"/>
    </row>
    <row r="143" spans="1:12" s="270" customFormat="1">
      <c r="A143" s="867"/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4"/>
        <v>0</v>
      </c>
      <c r="L143" s="381"/>
    </row>
    <row r="144" spans="1:12" s="270" customFormat="1">
      <c r="A144" s="867"/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4"/>
        <v>0</v>
      </c>
      <c r="L144" s="381"/>
    </row>
    <row r="145" spans="1:12" s="270" customFormat="1">
      <c r="A145" s="867"/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4"/>
        <v>0</v>
      </c>
      <c r="L145" s="381"/>
    </row>
    <row r="146" spans="1:12" s="270" customFormat="1">
      <c r="A146" s="867"/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4"/>
        <v>0</v>
      </c>
      <c r="L146" s="381"/>
    </row>
    <row r="147" spans="1:12" s="270" customFormat="1">
      <c r="A147" s="867"/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4"/>
        <v>0</v>
      </c>
      <c r="L147" s="381"/>
    </row>
    <row r="148" spans="1:12" s="270" customFormat="1">
      <c r="A148" s="867"/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4"/>
        <v>0</v>
      </c>
      <c r="L148" s="381"/>
    </row>
    <row r="149" spans="1:12" s="270" customFormat="1">
      <c r="A149" s="867"/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4"/>
        <v>0</v>
      </c>
      <c r="L149" s="381"/>
    </row>
    <row r="150" spans="1:12" s="270" customFormat="1">
      <c r="A150" s="867"/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4"/>
        <v>0</v>
      </c>
      <c r="L150" s="381"/>
    </row>
    <row r="151" spans="1:12" s="270" customFormat="1">
      <c r="A151" s="867"/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4"/>
        <v>0</v>
      </c>
      <c r="L151" s="381"/>
    </row>
    <row r="152" spans="1:12" s="270" customFormat="1">
      <c r="A152" s="867"/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4"/>
        <v>0</v>
      </c>
      <c r="L152" s="381"/>
    </row>
    <row r="153" spans="1:12" s="270" customFormat="1">
      <c r="A153" s="867"/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4"/>
        <v>0</v>
      </c>
      <c r="L153" s="381"/>
    </row>
    <row r="154" spans="1:12" s="270" customFormat="1">
      <c r="A154" s="867"/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4"/>
        <v>0</v>
      </c>
      <c r="L154" s="381"/>
    </row>
    <row r="155" spans="1:12" s="270" customFormat="1">
      <c r="A155" s="867"/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4"/>
        <v>0</v>
      </c>
      <c r="L155" s="381"/>
    </row>
    <row r="156" spans="1:12" s="270" customFormat="1">
      <c r="A156" s="867"/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4"/>
        <v>0</v>
      </c>
      <c r="L156" s="381"/>
    </row>
    <row r="157" spans="1:12" s="270" customFormat="1">
      <c r="A157" s="867"/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4"/>
        <v>0</v>
      </c>
      <c r="L157" s="381"/>
    </row>
    <row r="158" spans="1:12" s="270" customFormat="1">
      <c r="A158" s="867"/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4"/>
        <v>0</v>
      </c>
      <c r="L158" s="381"/>
    </row>
    <row r="159" spans="1:12" s="270" customFormat="1">
      <c r="A159" s="867"/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4"/>
        <v>0</v>
      </c>
      <c r="L159" s="381"/>
    </row>
    <row r="160" spans="1:12" s="270" customFormat="1">
      <c r="A160" s="867"/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4"/>
        <v>0</v>
      </c>
      <c r="L160" s="381"/>
    </row>
    <row r="161" spans="1:17" s="270" customFormat="1">
      <c r="A161" s="867"/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4"/>
        <v>0</v>
      </c>
      <c r="L161" s="381"/>
    </row>
    <row r="162" spans="1:17" s="270" customFormat="1">
      <c r="A162" s="867"/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7" s="270" customFormat="1">
      <c r="A163" s="867"/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7" s="270" customFormat="1">
      <c r="A164" s="867"/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7" s="270" customFormat="1">
      <c r="A165" s="867"/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7" s="270" customFormat="1">
      <c r="A166" s="867"/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7" s="270" customFormat="1">
      <c r="A167" s="867"/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 t="s">
        <v>375</v>
      </c>
    </row>
    <row r="168" spans="1:17" s="270" customFormat="1">
      <c r="A168" s="349" t="s">
        <v>166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169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99</v>
      </c>
      <c r="B170" s="207" t="s">
        <v>7</v>
      </c>
      <c r="C170" s="207" t="s">
        <v>171</v>
      </c>
      <c r="D170" s="535" t="s">
        <v>170</v>
      </c>
      <c r="E170" s="208" t="s">
        <v>11</v>
      </c>
      <c r="F170" s="207" t="s">
        <v>2</v>
      </c>
      <c r="G170" s="209" t="s">
        <v>12</v>
      </c>
      <c r="H170" s="482" t="s">
        <v>18</v>
      </c>
      <c r="I170" s="209" t="s">
        <v>210</v>
      </c>
      <c r="J170" s="207" t="s">
        <v>216</v>
      </c>
      <c r="K170" s="260" t="s">
        <v>212</v>
      </c>
    </row>
    <row r="171" spans="1:17">
      <c r="A171" s="325" t="s">
        <v>1296</v>
      </c>
      <c r="B171" s="328" t="s">
        <v>1263</v>
      </c>
      <c r="C171" s="328" t="s">
        <v>339</v>
      </c>
      <c r="D171" s="542" t="s">
        <v>339</v>
      </c>
      <c r="E171" s="330">
        <v>-4</v>
      </c>
      <c r="F171" s="331" t="s">
        <v>638</v>
      </c>
      <c r="G171" s="332">
        <v>0</v>
      </c>
      <c r="H171" s="561" t="s">
        <v>1311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1296</v>
      </c>
      <c r="B172" s="328" t="s">
        <v>1263</v>
      </c>
      <c r="C172" s="328" t="s">
        <v>339</v>
      </c>
      <c r="D172" s="542" t="s">
        <v>339</v>
      </c>
      <c r="E172" s="330">
        <v>-1</v>
      </c>
      <c r="F172" s="331" t="s">
        <v>638</v>
      </c>
      <c r="G172" s="332">
        <v>0</v>
      </c>
      <c r="H172" s="561" t="s">
        <v>1312</v>
      </c>
      <c r="I172" s="335">
        <v>105.31</v>
      </c>
      <c r="J172" s="335">
        <v>105.62</v>
      </c>
      <c r="K172" s="336">
        <f t="shared" ref="K172:K205" si="5">(J172-I172)*E172*100000/100</f>
        <v>-310.00000000000227</v>
      </c>
    </row>
    <row r="173" spans="1:17">
      <c r="A173" s="325" t="s">
        <v>1298</v>
      </c>
      <c r="B173" s="328" t="s">
        <v>1354</v>
      </c>
      <c r="C173" s="328" t="s">
        <v>339</v>
      </c>
      <c r="D173" s="542" t="s">
        <v>339</v>
      </c>
      <c r="E173" s="330">
        <v>-54</v>
      </c>
      <c r="F173" s="331" t="s">
        <v>638</v>
      </c>
      <c r="G173" s="332">
        <v>0</v>
      </c>
      <c r="H173" s="561" t="s">
        <v>1367</v>
      </c>
      <c r="I173" s="335">
        <v>119.87</v>
      </c>
      <c r="J173" s="335">
        <v>117.6</v>
      </c>
      <c r="K173" s="336">
        <f t="shared" si="5"/>
        <v>122580.00000000055</v>
      </c>
    </row>
    <row r="174" spans="1:17">
      <c r="A174" s="325" t="s">
        <v>1298</v>
      </c>
      <c r="B174" s="328" t="s">
        <v>1354</v>
      </c>
      <c r="C174" s="328" t="s">
        <v>339</v>
      </c>
      <c r="D174" s="542" t="s">
        <v>339</v>
      </c>
      <c r="E174" s="330">
        <v>-29</v>
      </c>
      <c r="F174" s="331" t="s">
        <v>638</v>
      </c>
      <c r="G174" s="332">
        <v>0</v>
      </c>
      <c r="H174" s="561" t="s">
        <v>1368</v>
      </c>
      <c r="I174" s="335">
        <v>119.87</v>
      </c>
      <c r="J174" s="335">
        <v>117.6</v>
      </c>
      <c r="K174" s="336">
        <f t="shared" si="5"/>
        <v>65830.000000000291</v>
      </c>
    </row>
    <row r="175" spans="1:17">
      <c r="A175" s="325" t="s">
        <v>1298</v>
      </c>
      <c r="B175" s="328" t="s">
        <v>1354</v>
      </c>
      <c r="C175" s="328" t="s">
        <v>339</v>
      </c>
      <c r="D175" s="542" t="s">
        <v>339</v>
      </c>
      <c r="E175" s="330">
        <v>-17</v>
      </c>
      <c r="F175" s="331" t="s">
        <v>638</v>
      </c>
      <c r="G175" s="332">
        <v>0</v>
      </c>
      <c r="H175" s="561" t="s">
        <v>1369</v>
      </c>
      <c r="I175" s="335">
        <v>119.87</v>
      </c>
      <c r="J175" s="335">
        <v>117.6</v>
      </c>
      <c r="K175" s="336">
        <f t="shared" si="5"/>
        <v>38590.000000000175</v>
      </c>
    </row>
    <row r="176" spans="1:17">
      <c r="A176" s="325" t="s">
        <v>1301</v>
      </c>
      <c r="B176" s="328" t="s">
        <v>1263</v>
      </c>
      <c r="C176" s="328" t="s">
        <v>339</v>
      </c>
      <c r="D176" s="542" t="s">
        <v>339</v>
      </c>
      <c r="E176" s="330">
        <v>-3</v>
      </c>
      <c r="F176" s="331" t="s">
        <v>638</v>
      </c>
      <c r="G176" s="332">
        <v>2280</v>
      </c>
      <c r="H176" s="561" t="s">
        <v>1314</v>
      </c>
      <c r="I176" s="335">
        <v>140.4</v>
      </c>
      <c r="J176" s="335">
        <v>149.08000000000001</v>
      </c>
      <c r="K176" s="336">
        <f t="shared" si="5"/>
        <v>-26040.000000000018</v>
      </c>
    </row>
    <row r="177" spans="1:11">
      <c r="A177" s="325" t="s">
        <v>1301</v>
      </c>
      <c r="B177" s="328" t="s">
        <v>1263</v>
      </c>
      <c r="C177" s="328" t="s">
        <v>339</v>
      </c>
      <c r="D177" s="542" t="s">
        <v>339</v>
      </c>
      <c r="E177" s="330">
        <v>-6</v>
      </c>
      <c r="F177" s="331" t="s">
        <v>638</v>
      </c>
      <c r="G177" s="332">
        <v>1140</v>
      </c>
      <c r="H177" s="561" t="s">
        <v>1315</v>
      </c>
      <c r="I177" s="335">
        <v>140.4</v>
      </c>
      <c r="J177" s="335">
        <v>149.12</v>
      </c>
      <c r="K177" s="336">
        <f t="shared" si="5"/>
        <v>-52319.999999999993</v>
      </c>
    </row>
    <row r="178" spans="1:11">
      <c r="A178" s="325" t="s">
        <v>1301</v>
      </c>
      <c r="B178" s="328" t="s">
        <v>1263</v>
      </c>
      <c r="C178" s="328" t="s">
        <v>339</v>
      </c>
      <c r="D178" s="542" t="s">
        <v>339</v>
      </c>
      <c r="E178" s="330">
        <v>-1</v>
      </c>
      <c r="F178" s="331" t="s">
        <v>638</v>
      </c>
      <c r="G178" s="332">
        <v>190</v>
      </c>
      <c r="H178" s="561" t="s">
        <v>1316</v>
      </c>
      <c r="I178" s="335">
        <v>140.41999999999999</v>
      </c>
      <c r="J178" s="335">
        <v>149.12</v>
      </c>
      <c r="K178" s="336">
        <f t="shared" si="5"/>
        <v>-8700.0000000000182</v>
      </c>
    </row>
    <row r="179" spans="1:11">
      <c r="A179" s="325" t="s">
        <v>1301</v>
      </c>
      <c r="B179" s="328" t="s">
        <v>1354</v>
      </c>
      <c r="C179" s="328" t="s">
        <v>339</v>
      </c>
      <c r="D179" s="542" t="s">
        <v>339</v>
      </c>
      <c r="E179" s="330">
        <v>-1</v>
      </c>
      <c r="F179" s="331" t="s">
        <v>638</v>
      </c>
      <c r="G179" s="332">
        <v>0</v>
      </c>
      <c r="H179" s="561" t="s">
        <v>1370</v>
      </c>
      <c r="I179" s="335">
        <v>149.12</v>
      </c>
      <c r="J179" s="335">
        <v>149.06</v>
      </c>
      <c r="K179" s="336">
        <f t="shared" si="5"/>
        <v>60.000000000002274</v>
      </c>
    </row>
    <row r="180" spans="1:11">
      <c r="A180" s="325" t="s">
        <v>1301</v>
      </c>
      <c r="B180" s="328" t="s">
        <v>1354</v>
      </c>
      <c r="C180" s="328" t="s">
        <v>339</v>
      </c>
      <c r="D180" s="542" t="s">
        <v>339</v>
      </c>
      <c r="E180" s="330">
        <v>-2</v>
      </c>
      <c r="F180" s="331" t="s">
        <v>638</v>
      </c>
      <c r="G180" s="332">
        <v>0</v>
      </c>
      <c r="H180" s="561" t="s">
        <v>1371</v>
      </c>
      <c r="I180" s="335">
        <v>149.13999999999999</v>
      </c>
      <c r="J180" s="335">
        <v>149.06</v>
      </c>
      <c r="K180" s="336">
        <f t="shared" si="5"/>
        <v>159.99999999996817</v>
      </c>
    </row>
    <row r="181" spans="1:11">
      <c r="A181" s="325" t="s">
        <v>1301</v>
      </c>
      <c r="B181" s="328" t="s">
        <v>1263</v>
      </c>
      <c r="C181" s="328" t="s">
        <v>339</v>
      </c>
      <c r="D181" s="542" t="s">
        <v>339</v>
      </c>
      <c r="E181" s="330">
        <v>-9</v>
      </c>
      <c r="F181" s="331" t="s">
        <v>638</v>
      </c>
      <c r="G181" s="332">
        <v>2280</v>
      </c>
      <c r="H181" s="561" t="s">
        <v>1314</v>
      </c>
      <c r="I181" s="335">
        <v>140.4</v>
      </c>
      <c r="J181" s="335">
        <v>149.1</v>
      </c>
      <c r="K181" s="336">
        <f t="shared" si="5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5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5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5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5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5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5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5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5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5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5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5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5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5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5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5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5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5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5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5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5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5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5"/>
        <v>0</v>
      </c>
    </row>
    <row r="204" spans="1:11">
      <c r="A204" s="325" t="s">
        <v>1297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5"/>
        <v>0</v>
      </c>
    </row>
    <row r="205" spans="1:11">
      <c r="A205" s="325" t="s">
        <v>1299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5"/>
        <v>0</v>
      </c>
    </row>
    <row r="206" spans="1:11">
      <c r="A206" s="349" t="s">
        <v>166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414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326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413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363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6">(J219-I219)*E219/100</f>
        <v>0</v>
      </c>
    </row>
    <row r="220" spans="1:11">
      <c r="A220" s="325" t="s">
        <v>368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6"/>
        <v>0</v>
      </c>
    </row>
    <row r="221" spans="1:11">
      <c r="A221" s="337" t="s">
        <v>368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6"/>
        <v>0</v>
      </c>
    </row>
    <row r="222" spans="1:11">
      <c r="A222" s="337" t="s">
        <v>460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6"/>
        <v>0</v>
      </c>
    </row>
    <row r="223" spans="1:11">
      <c r="A223" s="337" t="s">
        <v>402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6"/>
        <v>0</v>
      </c>
    </row>
    <row r="224" spans="1:11">
      <c r="A224" s="337" t="s">
        <v>415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6"/>
        <v>0</v>
      </c>
    </row>
    <row r="225" spans="1:11">
      <c r="A225" s="337" t="s">
        <v>415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6"/>
        <v>0</v>
      </c>
    </row>
    <row r="226" spans="1:11">
      <c r="A226" s="337" t="s">
        <v>415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6"/>
        <v>0</v>
      </c>
    </row>
    <row r="227" spans="1:11">
      <c r="A227" s="337" t="s">
        <v>415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6"/>
        <v>0</v>
      </c>
    </row>
    <row r="228" spans="1:11">
      <c r="A228" s="337" t="s">
        <v>460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6"/>
        <v>0</v>
      </c>
    </row>
    <row r="229" spans="1:11">
      <c r="A229" s="337" t="s">
        <v>368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6"/>
        <v>0</v>
      </c>
    </row>
    <row r="230" spans="1:11">
      <c r="A230" s="337" t="s">
        <v>368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6"/>
        <v>0</v>
      </c>
    </row>
    <row r="231" spans="1:11">
      <c r="A231" s="337" t="s">
        <v>368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6"/>
        <v>0</v>
      </c>
    </row>
    <row r="232" spans="1:11">
      <c r="A232" s="337" t="s">
        <v>413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6"/>
        <v>0</v>
      </c>
    </row>
    <row r="233" spans="1:11">
      <c r="A233" s="337" t="s">
        <v>496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6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6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6"/>
        <v>0</v>
      </c>
    </row>
    <row r="236" spans="1:11">
      <c r="A236" s="111" t="s">
        <v>329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5" priority="2">
      <formula>LEFT(A52,2)="TU"</formula>
    </cfRule>
  </conditionalFormatting>
  <conditionalFormatting sqref="K57:K167">
    <cfRule type="expression" dxfId="34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31" zoomScaleNormal="100" workbookViewId="0">
      <selection activeCell="E50" sqref="E50:E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557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103.646</v>
      </c>
      <c r="K5" s="698">
        <f>(J5-I5)*E5/100</f>
        <v>-162400.00000000236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-162400.00000000236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303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307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316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318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318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300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300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300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300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300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300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164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99</v>
      </c>
      <c r="B34" s="207" t="s">
        <v>7</v>
      </c>
      <c r="C34" s="207" t="s">
        <v>171</v>
      </c>
      <c r="D34" s="535" t="s">
        <v>170</v>
      </c>
      <c r="E34" s="208" t="s">
        <v>11</v>
      </c>
      <c r="F34" s="207" t="s">
        <v>2</v>
      </c>
      <c r="G34" s="209" t="s">
        <v>12</v>
      </c>
      <c r="H34" s="482" t="s">
        <v>18</v>
      </c>
      <c r="I34" s="209" t="s">
        <v>213</v>
      </c>
      <c r="J34" s="207" t="s">
        <v>214</v>
      </c>
      <c r="K34" s="260" t="s">
        <v>215</v>
      </c>
      <c r="L34" s="377"/>
    </row>
    <row r="35" spans="1:19" s="93" customFormat="1">
      <c r="A35" s="325" t="s">
        <v>643</v>
      </c>
      <c r="B35" s="333" t="s">
        <v>1148</v>
      </c>
      <c r="C35" s="333" t="s">
        <v>339</v>
      </c>
      <c r="D35" s="819" t="s">
        <v>339</v>
      </c>
      <c r="E35" s="872">
        <v>0</v>
      </c>
      <c r="F35" s="331" t="s">
        <v>304</v>
      </c>
      <c r="G35" s="332">
        <f t="shared" ref="G35:G45" si="2">-77*E35</f>
        <v>0</v>
      </c>
      <c r="H35" s="334" t="s">
        <v>1151</v>
      </c>
      <c r="I35" s="820">
        <v>110.859375</v>
      </c>
      <c r="J35" s="335">
        <v>110.875</v>
      </c>
      <c r="K35" s="845">
        <f>IF(LEFT(A35,2)="TU",(J35-I35)*E35/100*100000*2,(J35-I35)*E35/100*100000)</f>
        <v>0</v>
      </c>
      <c r="L35" s="377"/>
    </row>
    <row r="36" spans="1:19" s="93" customFormat="1">
      <c r="A36" s="325" t="s">
        <v>647</v>
      </c>
      <c r="B36" s="328" t="s">
        <v>1263</v>
      </c>
      <c r="C36" s="328" t="s">
        <v>339</v>
      </c>
      <c r="D36" s="542" t="s">
        <v>339</v>
      </c>
      <c r="E36" s="872">
        <v>0</v>
      </c>
      <c r="F36" s="331" t="s">
        <v>304</v>
      </c>
      <c r="G36" s="332">
        <f t="shared" ref="G36:G40" si="3">-42.7*E36</f>
        <v>0</v>
      </c>
      <c r="H36" s="483" t="s">
        <v>1322</v>
      </c>
      <c r="I36" s="335">
        <v>108.75</v>
      </c>
      <c r="J36" s="335">
        <f>_xlfn.IFNA(VLOOKUP(A36,'market px'!$B$2:$F$20,5,FALSE),0)</f>
        <v>109.1640625</v>
      </c>
      <c r="K36" s="845">
        <f>IF(LEFT(A36,2)="TU",(J36-I36)*E36/100*100000*2,(J36-I36)*E36/100*100000)</f>
        <v>0</v>
      </c>
      <c r="L36" s="377"/>
    </row>
    <row r="37" spans="1:19" s="93" customFormat="1">
      <c r="A37" s="325" t="s">
        <v>647</v>
      </c>
      <c r="B37" s="328" t="s">
        <v>1474</v>
      </c>
      <c r="C37" s="328" t="s">
        <v>339</v>
      </c>
      <c r="D37" s="542" t="s">
        <v>339</v>
      </c>
      <c r="E37" s="872">
        <v>0</v>
      </c>
      <c r="F37" s="331" t="s">
        <v>304</v>
      </c>
      <c r="G37" s="332">
        <f t="shared" si="3"/>
        <v>0</v>
      </c>
      <c r="H37" s="483" t="s">
        <v>1499</v>
      </c>
      <c r="I37" s="335">
        <v>109.34375</v>
      </c>
      <c r="J37" s="335">
        <f>_xlfn.IFNA(VLOOKUP(A37,'market px'!$B$2:$F$20,5,FALSE),0)</f>
        <v>109.1640625</v>
      </c>
      <c r="K37" s="845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647</v>
      </c>
      <c r="B38" s="328" t="s">
        <v>1493</v>
      </c>
      <c r="C38" s="328" t="s">
        <v>339</v>
      </c>
      <c r="D38" s="542" t="s">
        <v>339</v>
      </c>
      <c r="E38" s="872">
        <v>-50</v>
      </c>
      <c r="F38" s="331" t="s">
        <v>304</v>
      </c>
      <c r="G38" s="332">
        <f t="shared" si="3"/>
        <v>2135</v>
      </c>
      <c r="H38" s="483" t="s">
        <v>1522</v>
      </c>
      <c r="I38" s="335">
        <v>109.03125</v>
      </c>
      <c r="J38" s="335">
        <f>_xlfn.IFNA(VLOOKUP(A38,'market px'!$B$2:$F$20,5,FALSE),0)</f>
        <v>109.1640625</v>
      </c>
      <c r="K38" s="845">
        <f t="shared" si="4"/>
        <v>-6640.625</v>
      </c>
      <c r="L38" s="377"/>
    </row>
    <row r="39" spans="1:19" s="93" customFormat="1">
      <c r="A39" s="325" t="s">
        <v>647</v>
      </c>
      <c r="B39" s="328" t="s">
        <v>1517</v>
      </c>
      <c r="C39" s="328" t="s">
        <v>339</v>
      </c>
      <c r="D39" s="542" t="s">
        <v>339</v>
      </c>
      <c r="E39" s="872">
        <v>-30</v>
      </c>
      <c r="F39" s="331" t="s">
        <v>304</v>
      </c>
      <c r="G39" s="332">
        <f t="shared" si="3"/>
        <v>1281</v>
      </c>
      <c r="H39" s="483" t="s">
        <v>1535</v>
      </c>
      <c r="I39" s="335">
        <v>109.1328125</v>
      </c>
      <c r="J39" s="335">
        <f>_xlfn.IFNA(VLOOKUP(A39,'market px'!$B$2:$F$20,5,FALSE),0)</f>
        <v>109.1640625</v>
      </c>
      <c r="K39" s="845">
        <f t="shared" si="4"/>
        <v>-937.5</v>
      </c>
      <c r="L39" s="377"/>
    </row>
    <row r="40" spans="1:19" s="93" customFormat="1">
      <c r="A40" s="325" t="s">
        <v>647</v>
      </c>
      <c r="B40" s="328" t="s">
        <v>1263</v>
      </c>
      <c r="C40" s="328" t="s">
        <v>339</v>
      </c>
      <c r="D40" s="542" t="s">
        <v>339</v>
      </c>
      <c r="E40" s="872">
        <v>0</v>
      </c>
      <c r="F40" s="331" t="s">
        <v>304</v>
      </c>
      <c r="G40" s="332">
        <f t="shared" si="3"/>
        <v>0</v>
      </c>
      <c r="H40" s="483" t="s">
        <v>1318</v>
      </c>
      <c r="I40" s="335">
        <v>110.28125</v>
      </c>
      <c r="J40" s="335">
        <f>_xlfn.IFNA(VLOOKUP(A40,'market px'!$B$2:$F$20,5,FALSE),0)</f>
        <v>109.1640625</v>
      </c>
      <c r="K40" s="845">
        <f t="shared" si="4"/>
        <v>0</v>
      </c>
      <c r="L40" s="377"/>
    </row>
    <row r="41" spans="1:19" s="270" customFormat="1">
      <c r="A41" s="325" t="s">
        <v>647</v>
      </c>
      <c r="B41" s="328" t="s">
        <v>1263</v>
      </c>
      <c r="C41" s="328" t="s">
        <v>339</v>
      </c>
      <c r="D41" s="542" t="s">
        <v>339</v>
      </c>
      <c r="E41" s="872">
        <v>0</v>
      </c>
      <c r="F41" s="331" t="s">
        <v>304</v>
      </c>
      <c r="G41" s="332">
        <f t="shared" ref="G41" si="5">-42.7*E41</f>
        <v>0</v>
      </c>
      <c r="H41" s="542" t="s">
        <v>1319</v>
      </c>
      <c r="I41" s="335">
        <v>110.2890625</v>
      </c>
      <c r="J41" s="335">
        <f>_xlfn.IFNA(VLOOKUP(A41,'market px'!$B$2:$F$20,5,FALSE),0)</f>
        <v>109.1640625</v>
      </c>
      <c r="K41" s="845">
        <f t="shared" si="4"/>
        <v>0</v>
      </c>
      <c r="L41" s="381"/>
    </row>
    <row r="42" spans="1:19" s="270" customFormat="1">
      <c r="A42" s="325" t="s">
        <v>643</v>
      </c>
      <c r="B42" s="328" t="s">
        <v>1346</v>
      </c>
      <c r="C42" s="328" t="s">
        <v>339</v>
      </c>
      <c r="D42" s="542" t="s">
        <v>339</v>
      </c>
      <c r="E42" s="872">
        <v>0</v>
      </c>
      <c r="F42" s="330" t="s">
        <v>304</v>
      </c>
      <c r="G42" s="332">
        <f t="shared" si="2"/>
        <v>0</v>
      </c>
      <c r="H42" s="483" t="s">
        <v>1353</v>
      </c>
      <c r="I42" s="335">
        <v>115.546875</v>
      </c>
      <c r="J42" s="335">
        <f>_xlfn.IFNA(VLOOKUP(A42,'market px'!$B$2:$F$20,5,FALSE),0)</f>
        <v>114.484375</v>
      </c>
      <c r="K42" s="845">
        <f t="shared" si="4"/>
        <v>0</v>
      </c>
      <c r="L42" s="381"/>
    </row>
    <row r="43" spans="1:19" s="93" customFormat="1">
      <c r="A43" s="325" t="s">
        <v>643</v>
      </c>
      <c r="B43" s="328" t="s">
        <v>1390</v>
      </c>
      <c r="C43" s="328" t="s">
        <v>339</v>
      </c>
      <c r="D43" s="542" t="s">
        <v>339</v>
      </c>
      <c r="E43" s="872">
        <v>0</v>
      </c>
      <c r="F43" s="330" t="s">
        <v>304</v>
      </c>
      <c r="G43" s="332">
        <f t="shared" si="2"/>
        <v>0</v>
      </c>
      <c r="H43" s="483" t="s">
        <v>1412</v>
      </c>
      <c r="I43" s="335">
        <v>115.703125</v>
      </c>
      <c r="J43" s="335">
        <f>_xlfn.IFNA(VLOOKUP(A43,'market px'!$B$2:$F$20,5,FALSE),0)</f>
        <v>114.484375</v>
      </c>
      <c r="K43" s="845">
        <f t="shared" si="4"/>
        <v>0</v>
      </c>
      <c r="L43" s="377"/>
      <c r="S43" s="131" t="s">
        <v>21</v>
      </c>
    </row>
    <row r="44" spans="1:19" s="93" customFormat="1">
      <c r="A44" s="325" t="s">
        <v>643</v>
      </c>
      <c r="B44" s="328" t="s">
        <v>1408</v>
      </c>
      <c r="C44" s="328" t="s">
        <v>339</v>
      </c>
      <c r="D44" s="542" t="s">
        <v>339</v>
      </c>
      <c r="E44" s="872">
        <v>0</v>
      </c>
      <c r="F44" s="331" t="s">
        <v>304</v>
      </c>
      <c r="G44" s="332">
        <f t="shared" si="2"/>
        <v>0</v>
      </c>
      <c r="H44" s="542" t="s">
        <v>1413</v>
      </c>
      <c r="I44" s="335">
        <v>116.140625</v>
      </c>
      <c r="J44" s="335">
        <f>_xlfn.IFNA(VLOOKUP(A44,'market px'!$B$2:$F$20,5,FALSE),0)</f>
        <v>114.484375</v>
      </c>
      <c r="K44" s="845">
        <f t="shared" si="4"/>
        <v>0</v>
      </c>
      <c r="L44" s="377"/>
    </row>
    <row r="45" spans="1:19" s="93" customFormat="1">
      <c r="A45" s="325" t="s">
        <v>643</v>
      </c>
      <c r="B45" s="328" t="s">
        <v>1263</v>
      </c>
      <c r="C45" s="328" t="s">
        <v>339</v>
      </c>
      <c r="D45" s="542" t="s">
        <v>339</v>
      </c>
      <c r="E45" s="872">
        <v>0</v>
      </c>
      <c r="F45" s="331" t="s">
        <v>304</v>
      </c>
      <c r="G45" s="332">
        <f t="shared" si="2"/>
        <v>0</v>
      </c>
      <c r="H45" s="542" t="s">
        <v>1338</v>
      </c>
      <c r="I45" s="335">
        <v>115.421875</v>
      </c>
      <c r="J45" s="335">
        <f>_xlfn.IFNA(VLOOKUP(A45,'market px'!$B$2:$F$20,5,FALSE),0)</f>
        <v>114.484375</v>
      </c>
      <c r="K45" s="845">
        <f t="shared" si="4"/>
        <v>0</v>
      </c>
      <c r="L45" s="377"/>
    </row>
    <row r="46" spans="1:19" s="93" customFormat="1">
      <c r="A46" s="325" t="s">
        <v>647</v>
      </c>
      <c r="B46" s="328" t="s">
        <v>1239</v>
      </c>
      <c r="C46" s="328" t="s">
        <v>339</v>
      </c>
      <c r="D46" s="542" t="s">
        <v>339</v>
      </c>
      <c r="E46" s="872">
        <v>0</v>
      </c>
      <c r="F46" s="331" t="s">
        <v>304</v>
      </c>
      <c r="G46" s="332">
        <f t="shared" ref="G46:G53" si="6">-42.7*E46</f>
        <v>0</v>
      </c>
      <c r="H46" s="542" t="s">
        <v>1260</v>
      </c>
      <c r="I46" s="335">
        <v>108.5546875</v>
      </c>
      <c r="J46" s="335">
        <f>_xlfn.IFNA(VLOOKUP(A46,'market px'!$B$2:$F$20,5,FALSE),0)</f>
        <v>109.1640625</v>
      </c>
      <c r="K46" s="845">
        <f t="shared" si="4"/>
        <v>0</v>
      </c>
      <c r="L46" s="377"/>
    </row>
    <row r="47" spans="1:19" s="93" customFormat="1">
      <c r="A47" s="325" t="s">
        <v>647</v>
      </c>
      <c r="B47" s="328" t="s">
        <v>1239</v>
      </c>
      <c r="C47" s="328" t="s">
        <v>339</v>
      </c>
      <c r="D47" s="542" t="s">
        <v>339</v>
      </c>
      <c r="E47" s="872">
        <v>0</v>
      </c>
      <c r="F47" s="331" t="s">
        <v>304</v>
      </c>
      <c r="G47" s="332">
        <f t="shared" si="6"/>
        <v>0</v>
      </c>
      <c r="H47" s="542" t="s">
        <v>1261</v>
      </c>
      <c r="I47" s="335">
        <v>108.3671875</v>
      </c>
      <c r="J47" s="335">
        <f>_xlfn.IFNA(VLOOKUP(A47,'market px'!$B$2:$F$20,5,FALSE),0)</f>
        <v>109.1640625</v>
      </c>
      <c r="K47" s="845">
        <f t="shared" si="4"/>
        <v>0</v>
      </c>
      <c r="L47" s="377"/>
    </row>
    <row r="48" spans="1:19" s="93" customFormat="1">
      <c r="A48" s="881" t="s">
        <v>647</v>
      </c>
      <c r="B48" s="882" t="s">
        <v>1408</v>
      </c>
      <c r="C48" s="882" t="s">
        <v>339</v>
      </c>
      <c r="D48" s="883" t="s">
        <v>339</v>
      </c>
      <c r="E48" s="884">
        <v>0</v>
      </c>
      <c r="F48" s="885" t="s">
        <v>638</v>
      </c>
      <c r="G48" s="886">
        <v>0</v>
      </c>
      <c r="H48" s="887" t="s">
        <v>1433</v>
      </c>
      <c r="I48" s="888">
        <v>111.03125</v>
      </c>
      <c r="J48" s="888">
        <f>_xlfn.IFNA(VLOOKUP(A48,'market px'!$B$2:$F$20,5,FALSE),0)</f>
        <v>109.1640625</v>
      </c>
      <c r="K48" s="845">
        <f t="shared" si="4"/>
        <v>0</v>
      </c>
      <c r="L48" s="377"/>
      <c r="S48" s="131" t="s">
        <v>21</v>
      </c>
    </row>
    <row r="49" spans="1:19" s="93" customFormat="1">
      <c r="A49" s="325" t="s">
        <v>647</v>
      </c>
      <c r="B49" s="333" t="s">
        <v>1408</v>
      </c>
      <c r="C49" s="333" t="s">
        <v>339</v>
      </c>
      <c r="D49" s="819" t="s">
        <v>339</v>
      </c>
      <c r="E49" s="872">
        <v>0</v>
      </c>
      <c r="F49" s="325" t="s">
        <v>638</v>
      </c>
      <c r="G49" s="332">
        <f t="shared" si="6"/>
        <v>0</v>
      </c>
      <c r="H49" s="334" t="s">
        <v>1433</v>
      </c>
      <c r="I49" s="820">
        <v>111.03125</v>
      </c>
      <c r="J49" s="335">
        <f>_xlfn.IFNA(VLOOKUP(A49,'market px'!$B$2:$F$20,5,FALSE),0)</f>
        <v>109.1640625</v>
      </c>
      <c r="K49" s="845">
        <f t="shared" si="4"/>
        <v>0</v>
      </c>
      <c r="L49" s="377"/>
      <c r="S49" s="131"/>
    </row>
    <row r="50" spans="1:19" s="93" customFormat="1">
      <c r="A50" s="325" t="s">
        <v>647</v>
      </c>
      <c r="B50" s="328" t="s">
        <v>1493</v>
      </c>
      <c r="C50" s="328" t="s">
        <v>339</v>
      </c>
      <c r="D50" s="542" t="s">
        <v>339</v>
      </c>
      <c r="E50" s="872">
        <v>30</v>
      </c>
      <c r="F50" s="330" t="s">
        <v>638</v>
      </c>
      <c r="G50" s="332">
        <f t="shared" si="6"/>
        <v>-1281</v>
      </c>
      <c r="H50" s="483" t="s">
        <v>1523</v>
      </c>
      <c r="I50" s="335">
        <v>109.484375</v>
      </c>
      <c r="J50" s="335">
        <f>_xlfn.IFNA(VLOOKUP(A50,'market px'!$B$2:$F$20,5,FALSE),0)</f>
        <v>109.1640625</v>
      </c>
      <c r="K50" s="845">
        <f>IF(LEFT(A50,2)="TU",(J50-I50)*E50/100*100000*2,(J50-I50)*E50/100*100000)</f>
        <v>-9609.375</v>
      </c>
      <c r="L50" s="377"/>
    </row>
    <row r="51" spans="1:19" s="93" customFormat="1">
      <c r="A51" s="325" t="s">
        <v>647</v>
      </c>
      <c r="B51" s="328" t="s">
        <v>1493</v>
      </c>
      <c r="C51" s="328" t="s">
        <v>339</v>
      </c>
      <c r="D51" s="542" t="s">
        <v>339</v>
      </c>
      <c r="E51" s="872">
        <v>13</v>
      </c>
      <c r="F51" s="330" t="s">
        <v>638</v>
      </c>
      <c r="G51" s="332">
        <f t="shared" si="6"/>
        <v>-555.1</v>
      </c>
      <c r="H51" s="483" t="s">
        <v>1501</v>
      </c>
      <c r="I51" s="335">
        <v>109.3203125</v>
      </c>
      <c r="J51" s="335">
        <f>_xlfn.IFNA(VLOOKUP(A51,'market px'!$B$2:$F$20,5,FALSE),0)</f>
        <v>109.1640625</v>
      </c>
      <c r="K51" s="845">
        <f t="shared" si="4"/>
        <v>-2031.25</v>
      </c>
      <c r="L51" s="377"/>
    </row>
    <row r="52" spans="1:19" s="93" customFormat="1">
      <c r="A52" s="325" t="s">
        <v>647</v>
      </c>
      <c r="B52" s="328" t="s">
        <v>1493</v>
      </c>
      <c r="C52" s="328" t="s">
        <v>339</v>
      </c>
      <c r="D52" s="542" t="s">
        <v>339</v>
      </c>
      <c r="E52" s="872">
        <v>4</v>
      </c>
      <c r="F52" s="330" t="s">
        <v>638</v>
      </c>
      <c r="G52" s="332">
        <f t="shared" si="6"/>
        <v>-170.8</v>
      </c>
      <c r="H52" s="483" t="s">
        <v>1502</v>
      </c>
      <c r="I52" s="335">
        <v>109.3203125</v>
      </c>
      <c r="J52" s="335">
        <f>_xlfn.IFNA(VLOOKUP(A52,'market px'!$B$2:$F$20,5,FALSE),0)</f>
        <v>109.1640625</v>
      </c>
      <c r="K52" s="845">
        <f t="shared" si="4"/>
        <v>-625</v>
      </c>
      <c r="L52" s="377"/>
    </row>
    <row r="53" spans="1:19" s="93" customFormat="1">
      <c r="A53" s="325" t="s">
        <v>647</v>
      </c>
      <c r="B53" s="328" t="s">
        <v>1493</v>
      </c>
      <c r="C53" s="328" t="s">
        <v>339</v>
      </c>
      <c r="D53" s="542" t="s">
        <v>339</v>
      </c>
      <c r="E53" s="872">
        <v>33</v>
      </c>
      <c r="F53" s="330" t="s">
        <v>638</v>
      </c>
      <c r="G53" s="332">
        <f t="shared" si="6"/>
        <v>-1409.1000000000001</v>
      </c>
      <c r="H53" s="483" t="s">
        <v>1503</v>
      </c>
      <c r="I53" s="335">
        <v>109.3203125</v>
      </c>
      <c r="J53" s="335">
        <f>_xlfn.IFNA(VLOOKUP(A53,'market px'!$B$2:$F$20,5,FALSE),0)</f>
        <v>109.1640625</v>
      </c>
      <c r="K53" s="845">
        <f t="shared" si="4"/>
        <v>-5156.25</v>
      </c>
      <c r="L53" s="377"/>
    </row>
    <row r="54" spans="1:19" s="93" customFormat="1">
      <c r="A54" s="325" t="s">
        <v>643</v>
      </c>
      <c r="B54" s="328" t="s">
        <v>1263</v>
      </c>
      <c r="C54" s="328" t="s">
        <v>339</v>
      </c>
      <c r="D54" s="542" t="s">
        <v>339</v>
      </c>
      <c r="E54" s="872">
        <v>0</v>
      </c>
      <c r="F54" s="330" t="s">
        <v>638</v>
      </c>
      <c r="G54" s="332">
        <f t="shared" ref="G54:G55" si="7">-77*E54</f>
        <v>0</v>
      </c>
      <c r="H54" s="483" t="s">
        <v>1326</v>
      </c>
      <c r="I54" s="335">
        <v>115.921875</v>
      </c>
      <c r="J54" s="335">
        <f>_xlfn.IFNA(VLOOKUP(A54,'market px'!$B$2:$F$20,5,FALSE),0)</f>
        <v>114.484375</v>
      </c>
      <c r="K54" s="845">
        <f t="shared" si="4"/>
        <v>0</v>
      </c>
      <c r="L54" s="377"/>
    </row>
    <row r="55" spans="1:19" s="93" customFormat="1">
      <c r="A55" s="325" t="s">
        <v>643</v>
      </c>
      <c r="B55" s="328" t="s">
        <v>1263</v>
      </c>
      <c r="C55" s="328" t="s">
        <v>339</v>
      </c>
      <c r="D55" s="542" t="s">
        <v>339</v>
      </c>
      <c r="E55" s="872">
        <v>0</v>
      </c>
      <c r="F55" s="330" t="s">
        <v>638</v>
      </c>
      <c r="G55" s="332">
        <f t="shared" si="7"/>
        <v>0</v>
      </c>
      <c r="H55" s="483" t="s">
        <v>1326</v>
      </c>
      <c r="I55" s="335">
        <v>115.921875</v>
      </c>
      <c r="J55" s="335">
        <f>_xlfn.IFNA(VLOOKUP(A55,'market px'!$B$2:$F$20,5,FALSE),0)</f>
        <v>114.484375</v>
      </c>
      <c r="K55" s="845">
        <f t="shared" si="4"/>
        <v>0</v>
      </c>
      <c r="L55" s="377"/>
    </row>
    <row r="56" spans="1:19" s="93" customFormat="1">
      <c r="A56" s="325" t="s">
        <v>604</v>
      </c>
      <c r="B56" s="837" t="s">
        <v>617</v>
      </c>
      <c r="C56" s="837" t="s">
        <v>339</v>
      </c>
      <c r="D56" s="838" t="s">
        <v>339</v>
      </c>
      <c r="E56" s="876">
        <v>0</v>
      </c>
      <c r="F56" s="330" t="s">
        <v>638</v>
      </c>
      <c r="G56" s="332">
        <f t="shared" ref="G56:G57" si="8">-18.6*2*E56</f>
        <v>0</v>
      </c>
      <c r="H56" s="840" t="s">
        <v>619</v>
      </c>
      <c r="I56" s="839">
        <v>106.75</v>
      </c>
      <c r="J56" s="335">
        <f>_xlfn.IFNA(VLOOKUP(A56,'market px'!$B$2:$F$20,5,FALSE),0)</f>
        <v>0</v>
      </c>
      <c r="K56" s="845">
        <f t="shared" si="4"/>
        <v>0</v>
      </c>
      <c r="L56" s="377"/>
    </row>
    <row r="57" spans="1:19" s="270" customFormat="1">
      <c r="A57" s="325" t="s">
        <v>589</v>
      </c>
      <c r="B57" s="328" t="s">
        <v>617</v>
      </c>
      <c r="C57" s="328" t="s">
        <v>339</v>
      </c>
      <c r="D57" s="542" t="s">
        <v>339</v>
      </c>
      <c r="E57" s="872">
        <v>0</v>
      </c>
      <c r="F57" s="330" t="s">
        <v>638</v>
      </c>
      <c r="G57" s="332">
        <f t="shared" si="8"/>
        <v>0</v>
      </c>
      <c r="H57" s="483" t="s">
        <v>618</v>
      </c>
      <c r="I57" s="335">
        <v>106.421875</v>
      </c>
      <c r="J57" s="335">
        <f>_xlfn.IFNA(VLOOKUP(A57,'market px'!$B$2:$F$20,5,FALSE),0)</f>
        <v>0</v>
      </c>
      <c r="K57" s="845">
        <f t="shared" si="4"/>
        <v>0</v>
      </c>
      <c r="L57" s="381"/>
    </row>
    <row r="58" spans="1:19" s="270" customFormat="1">
      <c r="A58" s="349" t="s">
        <v>166</v>
      </c>
      <c r="B58" s="350"/>
      <c r="C58" s="351"/>
      <c r="D58" s="545"/>
      <c r="E58" s="875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-25000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1301</v>
      </c>
      <c r="B61" s="328">
        <v>43118</v>
      </c>
      <c r="C61" s="329"/>
      <c r="D61" s="542"/>
      <c r="E61" s="330">
        <v>0</v>
      </c>
      <c r="F61" s="330" t="s">
        <v>304</v>
      </c>
      <c r="G61" s="332">
        <f>-190*E61</f>
        <v>0</v>
      </c>
      <c r="H61" s="483"/>
      <c r="I61" s="335">
        <v>134.1</v>
      </c>
      <c r="J61" s="335">
        <f>VLOOKUP(A61,'market px'!$G$2:$I$20,3,FALSE)</f>
        <v>140.24</v>
      </c>
      <c r="K61" s="336">
        <f t="shared" ref="K61:K66" si="9">(J61-I61)*E61/100</f>
        <v>0</v>
      </c>
      <c r="L61" s="377"/>
      <c r="M61"/>
      <c r="N61"/>
      <c r="O61"/>
      <c r="P61"/>
      <c r="Q61"/>
    </row>
    <row r="62" spans="1:19">
      <c r="A62" s="325" t="s">
        <v>1300</v>
      </c>
      <c r="B62" s="328">
        <v>41547</v>
      </c>
      <c r="C62" s="329"/>
      <c r="D62" s="542"/>
      <c r="E62" s="330">
        <f>100000*0</f>
        <v>0</v>
      </c>
      <c r="F62" s="330" t="s">
        <v>1309</v>
      </c>
      <c r="G62" s="332">
        <f>-83*E62</f>
        <v>0</v>
      </c>
      <c r="H62" s="483"/>
      <c r="I62" s="335">
        <v>135.12</v>
      </c>
      <c r="J62" s="335">
        <f>VLOOKUP(A62,'market px'!$G$2:$I$20,3,FALSE)</f>
        <v>135.34</v>
      </c>
      <c r="K62" s="336">
        <f t="shared" si="9"/>
        <v>0</v>
      </c>
    </row>
    <row r="63" spans="1:19">
      <c r="A63" s="325" t="s">
        <v>1296</v>
      </c>
      <c r="B63" s="328">
        <v>41416</v>
      </c>
      <c r="C63" s="329"/>
      <c r="D63" s="542"/>
      <c r="E63" s="330">
        <f>100000*0</f>
        <v>0</v>
      </c>
      <c r="F63" s="330" t="s">
        <v>1309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105.62</v>
      </c>
      <c r="K63" s="336">
        <f t="shared" si="9"/>
        <v>0</v>
      </c>
    </row>
    <row r="64" spans="1:19">
      <c r="A64" s="325" t="s">
        <v>1298</v>
      </c>
      <c r="B64" s="328">
        <v>40995</v>
      </c>
      <c r="C64" s="329"/>
      <c r="D64" s="542"/>
      <c r="E64" s="330">
        <f>100000*0</f>
        <v>0</v>
      </c>
      <c r="F64" s="330" t="s">
        <v>1309</v>
      </c>
      <c r="G64" s="332">
        <f>-44*E64</f>
        <v>0</v>
      </c>
      <c r="H64" s="483"/>
      <c r="I64" s="335">
        <v>109.88</v>
      </c>
      <c r="J64" s="335">
        <f>VLOOKUP(A64,'market px'!$G$2:$I$20,3,FALSE)</f>
        <v>117.57</v>
      </c>
      <c r="K64" s="336">
        <f t="shared" si="9"/>
        <v>0</v>
      </c>
    </row>
    <row r="65" spans="1:11">
      <c r="A65" s="325" t="s">
        <v>287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9"/>
        <v>0</v>
      </c>
    </row>
    <row r="66" spans="1:11">
      <c r="A66" s="325" t="s">
        <v>287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9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3" priority="7">
      <formula>AND(IF(E35&lt;&gt;0,1),IF(G35=0,1))</formula>
    </cfRule>
  </conditionalFormatting>
  <conditionalFormatting sqref="K35:K57">
    <cfRule type="expression" dxfId="32" priority="6">
      <formula>LEFT(A35,2)="TU"</formula>
    </cfRule>
  </conditionalFormatting>
  <conditionalFormatting sqref="G54:G55">
    <cfRule type="expression" dxfId="31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52" activePane="bottomLeft" state="frozenSplit"/>
      <selection pane="bottomLeft" activeCell="J274" sqref="J274:J275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314</v>
      </c>
      <c r="C2" s="207" t="s">
        <v>171</v>
      </c>
      <c r="D2" s="535" t="s">
        <v>305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333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164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99</v>
      </c>
      <c r="B21" s="207" t="s">
        <v>7</v>
      </c>
      <c r="C21" s="207" t="s">
        <v>171</v>
      </c>
      <c r="D21" s="535" t="s">
        <v>170</v>
      </c>
      <c r="E21" s="208" t="s">
        <v>11</v>
      </c>
      <c r="F21" s="207" t="s">
        <v>2</v>
      </c>
      <c r="G21" s="209" t="s">
        <v>12</v>
      </c>
      <c r="H21" s="482" t="s">
        <v>18</v>
      </c>
      <c r="I21" s="209" t="s">
        <v>210</v>
      </c>
      <c r="J21" s="207" t="s">
        <v>216</v>
      </c>
      <c r="K21" s="260" t="s">
        <v>212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50</v>
      </c>
      <c r="F22" s="870" t="s">
        <v>638</v>
      </c>
      <c r="G22" s="871">
        <v>0</v>
      </c>
      <c r="H22" s="864" t="s">
        <v>682</v>
      </c>
      <c r="I22" s="865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67" t="s">
        <v>629</v>
      </c>
      <c r="B23" s="863" t="s">
        <v>687</v>
      </c>
      <c r="C23" s="863" t="s">
        <v>339</v>
      </c>
      <c r="D23" s="868" t="s">
        <v>339</v>
      </c>
      <c r="E23" s="869">
        <v>50</v>
      </c>
      <c r="F23" s="870" t="s">
        <v>638</v>
      </c>
      <c r="G23" s="871">
        <v>0</v>
      </c>
      <c r="H23" s="864" t="s">
        <v>692</v>
      </c>
      <c r="I23" s="865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50</v>
      </c>
      <c r="F24" s="870" t="s">
        <v>638</v>
      </c>
      <c r="G24" s="871">
        <v>0</v>
      </c>
      <c r="H24" s="864" t="s">
        <v>693</v>
      </c>
      <c r="I24" s="865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67" t="s">
        <v>629</v>
      </c>
      <c r="B25" s="863" t="s">
        <v>705</v>
      </c>
      <c r="C25" s="863" t="s">
        <v>339</v>
      </c>
      <c r="D25" s="868" t="s">
        <v>339</v>
      </c>
      <c r="E25" s="869">
        <v>30</v>
      </c>
      <c r="F25" s="870" t="s">
        <v>638</v>
      </c>
      <c r="G25" s="871">
        <v>0</v>
      </c>
      <c r="H25" s="864" t="s">
        <v>710</v>
      </c>
      <c r="I25" s="865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67" t="s">
        <v>629</v>
      </c>
      <c r="B26" s="863" t="s">
        <v>705</v>
      </c>
      <c r="C26" s="863" t="s">
        <v>339</v>
      </c>
      <c r="D26" s="868" t="s">
        <v>339</v>
      </c>
      <c r="E26" s="869">
        <v>20</v>
      </c>
      <c r="F26" s="870" t="s">
        <v>638</v>
      </c>
      <c r="G26" s="871">
        <v>0</v>
      </c>
      <c r="H26" s="864" t="s">
        <v>711</v>
      </c>
      <c r="I26" s="865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67" t="s">
        <v>629</v>
      </c>
      <c r="B27" s="863" t="s">
        <v>705</v>
      </c>
      <c r="C27" s="863" t="s">
        <v>339</v>
      </c>
      <c r="D27" s="868" t="s">
        <v>339</v>
      </c>
      <c r="E27" s="869">
        <v>-20</v>
      </c>
      <c r="F27" s="870" t="s">
        <v>638</v>
      </c>
      <c r="G27" s="871">
        <v>770</v>
      </c>
      <c r="H27" s="864" t="s">
        <v>712</v>
      </c>
      <c r="I27" s="865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67" t="s">
        <v>629</v>
      </c>
      <c r="B28" s="863" t="s">
        <v>705</v>
      </c>
      <c r="C28" s="863" t="s">
        <v>339</v>
      </c>
      <c r="D28" s="868" t="s">
        <v>339</v>
      </c>
      <c r="E28" s="869">
        <v>-20</v>
      </c>
      <c r="F28" s="870" t="s">
        <v>638</v>
      </c>
      <c r="G28" s="871">
        <v>770</v>
      </c>
      <c r="H28" s="864" t="s">
        <v>712</v>
      </c>
      <c r="I28" s="865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55" t="s">
        <v>629</v>
      </c>
      <c r="B29" s="856" t="s">
        <v>723</v>
      </c>
      <c r="C29" s="856" t="s">
        <v>339</v>
      </c>
      <c r="D29" s="857" t="s">
        <v>339</v>
      </c>
      <c r="E29" s="858">
        <v>30</v>
      </c>
      <c r="F29" s="858" t="s">
        <v>304</v>
      </c>
      <c r="G29" s="860">
        <v>-2310</v>
      </c>
      <c r="H29" s="862" t="s">
        <v>726</v>
      </c>
      <c r="I29" s="861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55" t="s">
        <v>629</v>
      </c>
      <c r="B30" s="856" t="s">
        <v>723</v>
      </c>
      <c r="C30" s="856" t="s">
        <v>339</v>
      </c>
      <c r="D30" s="857" t="s">
        <v>339</v>
      </c>
      <c r="E30" s="858">
        <v>20</v>
      </c>
      <c r="F30" s="858" t="s">
        <v>304</v>
      </c>
      <c r="G30" s="860">
        <v>-1540</v>
      </c>
      <c r="H30" s="862" t="s">
        <v>727</v>
      </c>
      <c r="I30" s="861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55" t="s">
        <v>629</v>
      </c>
      <c r="B31" s="856" t="s">
        <v>732</v>
      </c>
      <c r="C31" s="856" t="s">
        <v>339</v>
      </c>
      <c r="D31" s="857" t="s">
        <v>339</v>
      </c>
      <c r="E31" s="858">
        <v>30</v>
      </c>
      <c r="F31" s="858" t="s">
        <v>304</v>
      </c>
      <c r="G31" s="860">
        <v>-2310</v>
      </c>
      <c r="H31" s="862" t="s">
        <v>733</v>
      </c>
      <c r="I31" s="861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55" t="s">
        <v>629</v>
      </c>
      <c r="B32" s="856" t="s">
        <v>737</v>
      </c>
      <c r="C32" s="856" t="s">
        <v>339</v>
      </c>
      <c r="D32" s="857" t="s">
        <v>339</v>
      </c>
      <c r="E32" s="858">
        <v>-30</v>
      </c>
      <c r="F32" s="858" t="s">
        <v>304</v>
      </c>
      <c r="G32" s="860">
        <v>0</v>
      </c>
      <c r="H32" s="862" t="s">
        <v>738</v>
      </c>
      <c r="I32" s="861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55" t="s">
        <v>629</v>
      </c>
      <c r="B33" s="856" t="s">
        <v>737</v>
      </c>
      <c r="C33" s="856" t="s">
        <v>339</v>
      </c>
      <c r="D33" s="857" t="s">
        <v>339</v>
      </c>
      <c r="E33" s="858">
        <v>-20</v>
      </c>
      <c r="F33" s="858" t="s">
        <v>638</v>
      </c>
      <c r="G33" s="860">
        <v>0</v>
      </c>
      <c r="H33" s="862" t="s">
        <v>739</v>
      </c>
      <c r="I33" s="861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55" t="s">
        <v>629</v>
      </c>
      <c r="B34" s="856" t="s">
        <v>705</v>
      </c>
      <c r="C34" s="856" t="s">
        <v>339</v>
      </c>
      <c r="D34" s="857" t="s">
        <v>339</v>
      </c>
      <c r="E34" s="858">
        <v>-10</v>
      </c>
      <c r="F34" s="859" t="s">
        <v>638</v>
      </c>
      <c r="G34" s="860">
        <v>770</v>
      </c>
      <c r="H34" s="857" t="s">
        <v>712</v>
      </c>
      <c r="I34" s="861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55" t="s">
        <v>629</v>
      </c>
      <c r="B35" s="856" t="s">
        <v>744</v>
      </c>
      <c r="C35" s="856" t="s">
        <v>339</v>
      </c>
      <c r="D35" s="857" t="s">
        <v>339</v>
      </c>
      <c r="E35" s="858">
        <v>30</v>
      </c>
      <c r="F35" s="858" t="s">
        <v>638</v>
      </c>
      <c r="G35" s="860">
        <v>0</v>
      </c>
      <c r="H35" s="862" t="s">
        <v>754</v>
      </c>
      <c r="I35" s="861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67" t="s">
        <v>629</v>
      </c>
      <c r="B36" s="863" t="s">
        <v>744</v>
      </c>
      <c r="C36" s="856" t="s">
        <v>339</v>
      </c>
      <c r="D36" s="857" t="s">
        <v>339</v>
      </c>
      <c r="E36" s="869">
        <v>30</v>
      </c>
      <c r="F36" s="869" t="s">
        <v>638</v>
      </c>
      <c r="G36" s="871">
        <v>0</v>
      </c>
      <c r="H36" s="864" t="s">
        <v>755</v>
      </c>
      <c r="I36" s="865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55" t="s">
        <v>629</v>
      </c>
      <c r="B37" s="856" t="s">
        <v>741</v>
      </c>
      <c r="C37" s="856" t="s">
        <v>339</v>
      </c>
      <c r="D37" s="857" t="s">
        <v>339</v>
      </c>
      <c r="E37" s="858">
        <v>30</v>
      </c>
      <c r="F37" s="859" t="s">
        <v>638</v>
      </c>
      <c r="G37" s="860">
        <v>-2310</v>
      </c>
      <c r="H37" s="857" t="s">
        <v>747</v>
      </c>
      <c r="I37" s="861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55" t="s">
        <v>629</v>
      </c>
      <c r="B38" s="856" t="s">
        <v>757</v>
      </c>
      <c r="C38" s="856" t="s">
        <v>339</v>
      </c>
      <c r="D38" s="857" t="s">
        <v>339</v>
      </c>
      <c r="E38" s="858">
        <v>30</v>
      </c>
      <c r="F38" s="859" t="s">
        <v>304</v>
      </c>
      <c r="G38" s="860">
        <v>0</v>
      </c>
      <c r="H38" s="857" t="s">
        <v>758</v>
      </c>
      <c r="I38" s="861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55" t="s">
        <v>629</v>
      </c>
      <c r="B39" s="856" t="s">
        <v>744</v>
      </c>
      <c r="C39" s="856" t="s">
        <v>339</v>
      </c>
      <c r="D39" s="857" t="s">
        <v>339</v>
      </c>
      <c r="E39" s="858">
        <v>30</v>
      </c>
      <c r="F39" s="858" t="s">
        <v>304</v>
      </c>
      <c r="G39" s="860">
        <v>-3850</v>
      </c>
      <c r="H39" s="862" t="s">
        <v>745</v>
      </c>
      <c r="I39" s="861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55" t="s">
        <v>629</v>
      </c>
      <c r="B40" s="856" t="s">
        <v>744</v>
      </c>
      <c r="C40" s="856" t="s">
        <v>339</v>
      </c>
      <c r="D40" s="857" t="s">
        <v>339</v>
      </c>
      <c r="E40" s="858">
        <v>20</v>
      </c>
      <c r="F40" s="858" t="s">
        <v>304</v>
      </c>
      <c r="G40" s="860">
        <v>-3850</v>
      </c>
      <c r="H40" s="862" t="s">
        <v>745</v>
      </c>
      <c r="I40" s="861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55" t="s">
        <v>629</v>
      </c>
      <c r="B41" s="856" t="s">
        <v>744</v>
      </c>
      <c r="C41" s="856" t="s">
        <v>339</v>
      </c>
      <c r="D41" s="857" t="s">
        <v>339</v>
      </c>
      <c r="E41" s="858">
        <v>10</v>
      </c>
      <c r="F41" s="858" t="s">
        <v>304</v>
      </c>
      <c r="G41" s="860">
        <v>-770</v>
      </c>
      <c r="H41" s="862" t="s">
        <v>756</v>
      </c>
      <c r="I41" s="861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55" t="s">
        <v>629</v>
      </c>
      <c r="B42" s="856" t="s">
        <v>741</v>
      </c>
      <c r="C42" s="856" t="s">
        <v>339</v>
      </c>
      <c r="D42" s="857" t="s">
        <v>339</v>
      </c>
      <c r="E42" s="858">
        <v>30</v>
      </c>
      <c r="F42" s="858" t="s">
        <v>638</v>
      </c>
      <c r="G42" s="860">
        <v>-3850</v>
      </c>
      <c r="H42" s="862" t="s">
        <v>746</v>
      </c>
      <c r="I42" s="861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55" t="s">
        <v>629</v>
      </c>
      <c r="B43" s="856" t="s">
        <v>741</v>
      </c>
      <c r="C43" s="856" t="s">
        <v>339</v>
      </c>
      <c r="D43" s="857" t="s">
        <v>339</v>
      </c>
      <c r="E43" s="858">
        <v>20</v>
      </c>
      <c r="F43" s="858" t="s">
        <v>638</v>
      </c>
      <c r="G43" s="860">
        <v>-1540</v>
      </c>
      <c r="H43" s="862" t="s">
        <v>746</v>
      </c>
      <c r="I43" s="861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55" t="s">
        <v>629</v>
      </c>
      <c r="B44" s="856" t="s">
        <v>757</v>
      </c>
      <c r="C44" s="856" t="s">
        <v>339</v>
      </c>
      <c r="D44" s="857" t="s">
        <v>339</v>
      </c>
      <c r="E44" s="858">
        <v>20</v>
      </c>
      <c r="F44" s="858" t="s">
        <v>304</v>
      </c>
      <c r="G44" s="860">
        <v>-2310</v>
      </c>
      <c r="H44" s="862" t="s">
        <v>758</v>
      </c>
      <c r="I44" s="861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55" t="s">
        <v>629</v>
      </c>
      <c r="B45" s="856" t="s">
        <v>757</v>
      </c>
      <c r="C45" s="856" t="s">
        <v>339</v>
      </c>
      <c r="D45" s="857" t="s">
        <v>339</v>
      </c>
      <c r="E45" s="858">
        <v>10</v>
      </c>
      <c r="F45" s="858" t="s">
        <v>304</v>
      </c>
      <c r="G45" s="860">
        <v>-770</v>
      </c>
      <c r="H45" s="862" t="s">
        <v>758</v>
      </c>
      <c r="I45" s="861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55" t="s">
        <v>629</v>
      </c>
      <c r="B46" s="856" t="s">
        <v>786</v>
      </c>
      <c r="C46" s="856" t="s">
        <v>339</v>
      </c>
      <c r="D46" s="857" t="s">
        <v>339</v>
      </c>
      <c r="E46" s="858">
        <v>20</v>
      </c>
      <c r="F46" s="858" t="s">
        <v>304</v>
      </c>
      <c r="G46" s="860">
        <v>-2310</v>
      </c>
      <c r="H46" s="862" t="s">
        <v>796</v>
      </c>
      <c r="I46" s="861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55" t="s">
        <v>629</v>
      </c>
      <c r="B47" s="856" t="s">
        <v>797</v>
      </c>
      <c r="C47" s="856" t="s">
        <v>339</v>
      </c>
      <c r="D47" s="857" t="s">
        <v>339</v>
      </c>
      <c r="E47" s="858">
        <v>20</v>
      </c>
      <c r="F47" s="858" t="s">
        <v>304</v>
      </c>
      <c r="G47" s="860">
        <v>-2310</v>
      </c>
      <c r="H47" s="862" t="s">
        <v>798</v>
      </c>
      <c r="I47" s="861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55" t="s">
        <v>629</v>
      </c>
      <c r="B48" s="856" t="s">
        <v>797</v>
      </c>
      <c r="C48" s="863" t="s">
        <v>339</v>
      </c>
      <c r="D48" s="864" t="s">
        <v>339</v>
      </c>
      <c r="E48" s="858">
        <v>20</v>
      </c>
      <c r="F48" s="858" t="s">
        <v>304</v>
      </c>
      <c r="G48" s="860">
        <v>-1540</v>
      </c>
      <c r="H48" s="864" t="s">
        <v>799</v>
      </c>
      <c r="I48" s="865">
        <v>116.0625</v>
      </c>
      <c r="J48" s="295">
        <v>115.625</v>
      </c>
      <c r="K48" s="296">
        <f t="shared" si="1"/>
        <v>-8750</v>
      </c>
      <c r="L48"/>
    </row>
    <row r="49" spans="1:12">
      <c r="A49" s="855" t="s">
        <v>629</v>
      </c>
      <c r="B49" s="856" t="s">
        <v>797</v>
      </c>
      <c r="C49" s="856" t="s">
        <v>339</v>
      </c>
      <c r="D49" s="857" t="s">
        <v>339</v>
      </c>
      <c r="E49" s="858">
        <v>30</v>
      </c>
      <c r="F49" s="858" t="s">
        <v>304</v>
      </c>
      <c r="G49" s="860">
        <v>-2310</v>
      </c>
      <c r="H49" s="862" t="s">
        <v>800</v>
      </c>
      <c r="I49" s="861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55" t="s">
        <v>629</v>
      </c>
      <c r="B50" s="856" t="s">
        <v>786</v>
      </c>
      <c r="C50" s="856" t="s">
        <v>339</v>
      </c>
      <c r="D50" s="857" t="s">
        <v>339</v>
      </c>
      <c r="E50" s="858">
        <v>10</v>
      </c>
      <c r="F50" s="858" t="s">
        <v>304</v>
      </c>
      <c r="G50" s="860">
        <v>-2310</v>
      </c>
      <c r="H50" s="862" t="s">
        <v>796</v>
      </c>
      <c r="I50" s="861">
        <v>115.703125</v>
      </c>
      <c r="J50" s="295">
        <v>115.21875</v>
      </c>
      <c r="K50" s="296">
        <f t="shared" si="1"/>
        <v>-4843.75</v>
      </c>
      <c r="L50"/>
    </row>
    <row r="51" spans="1:12">
      <c r="A51" s="855" t="s">
        <v>629</v>
      </c>
      <c r="B51" s="856" t="s">
        <v>797</v>
      </c>
      <c r="C51" s="856" t="s">
        <v>339</v>
      </c>
      <c r="D51" s="857" t="s">
        <v>339</v>
      </c>
      <c r="E51" s="858">
        <v>10</v>
      </c>
      <c r="F51" s="858" t="s">
        <v>304</v>
      </c>
      <c r="G51" s="860">
        <v>-2310</v>
      </c>
      <c r="H51" s="862" t="s">
        <v>798</v>
      </c>
      <c r="I51" s="861">
        <v>115.96875</v>
      </c>
      <c r="J51" s="295">
        <v>115.21875</v>
      </c>
      <c r="K51" s="296">
        <f t="shared" si="1"/>
        <v>-7500</v>
      </c>
      <c r="L51"/>
    </row>
    <row r="52" spans="1:12">
      <c r="A52" s="855" t="s">
        <v>629</v>
      </c>
      <c r="B52" s="856" t="s">
        <v>817</v>
      </c>
      <c r="C52" s="856" t="s">
        <v>339</v>
      </c>
      <c r="D52" s="857" t="s">
        <v>339</v>
      </c>
      <c r="E52" s="858">
        <v>30</v>
      </c>
      <c r="F52" s="858" t="s">
        <v>304</v>
      </c>
      <c r="G52" s="860">
        <v>0</v>
      </c>
      <c r="H52" s="862" t="s">
        <v>818</v>
      </c>
      <c r="I52" s="861">
        <v>114.890625</v>
      </c>
      <c r="J52" s="295">
        <v>115.0625</v>
      </c>
      <c r="K52" s="296">
        <f t="shared" si="1"/>
        <v>5156.25</v>
      </c>
      <c r="L52"/>
    </row>
    <row r="53" spans="1:12">
      <c r="A53" s="855" t="s">
        <v>629</v>
      </c>
      <c r="B53" s="856" t="s">
        <v>819</v>
      </c>
      <c r="C53" s="856" t="s">
        <v>339</v>
      </c>
      <c r="D53" s="857" t="s">
        <v>339</v>
      </c>
      <c r="E53" s="858">
        <v>30</v>
      </c>
      <c r="F53" s="858" t="s">
        <v>304</v>
      </c>
      <c r="G53" s="860">
        <v>0</v>
      </c>
      <c r="H53" s="862" t="s">
        <v>820</v>
      </c>
      <c r="I53" s="861">
        <v>114.390625</v>
      </c>
      <c r="J53" s="295">
        <v>115.0625</v>
      </c>
      <c r="K53" s="296">
        <f t="shared" si="1"/>
        <v>20156.25</v>
      </c>
      <c r="L53"/>
    </row>
    <row r="54" spans="1:12">
      <c r="A54" s="855" t="s">
        <v>629</v>
      </c>
      <c r="B54" s="856" t="s">
        <v>797</v>
      </c>
      <c r="C54" s="856" t="s">
        <v>339</v>
      </c>
      <c r="D54" s="857" t="s">
        <v>339</v>
      </c>
      <c r="E54" s="858">
        <v>50</v>
      </c>
      <c r="F54" s="858" t="s">
        <v>304</v>
      </c>
      <c r="G54" s="860">
        <v>0</v>
      </c>
      <c r="H54" s="864" t="s">
        <v>821</v>
      </c>
      <c r="I54" s="865">
        <v>115.75</v>
      </c>
      <c r="J54" s="295">
        <v>115.0625</v>
      </c>
      <c r="K54" s="296">
        <f t="shared" si="1"/>
        <v>-34375</v>
      </c>
      <c r="L54"/>
    </row>
    <row r="55" spans="1:12">
      <c r="A55" s="855" t="s">
        <v>629</v>
      </c>
      <c r="B55" s="856" t="s">
        <v>822</v>
      </c>
      <c r="C55" s="856" t="s">
        <v>339</v>
      </c>
      <c r="D55" s="857" t="s">
        <v>339</v>
      </c>
      <c r="E55" s="858">
        <v>30</v>
      </c>
      <c r="F55" s="858" t="s">
        <v>304</v>
      </c>
      <c r="G55" s="860">
        <v>0</v>
      </c>
      <c r="H55" s="862" t="s">
        <v>823</v>
      </c>
      <c r="I55" s="861">
        <v>115.203125</v>
      </c>
      <c r="J55" s="295">
        <v>115</v>
      </c>
      <c r="K55" s="296">
        <f t="shared" si="1"/>
        <v>-6093.75</v>
      </c>
      <c r="L55"/>
    </row>
    <row r="56" spans="1:12">
      <c r="A56" s="855" t="s">
        <v>629</v>
      </c>
      <c r="B56" s="856" t="s">
        <v>854</v>
      </c>
      <c r="C56" s="856" t="s">
        <v>339</v>
      </c>
      <c r="D56" s="857" t="s">
        <v>339</v>
      </c>
      <c r="E56" s="858">
        <v>30</v>
      </c>
      <c r="F56" s="858" t="s">
        <v>304</v>
      </c>
      <c r="G56" s="860">
        <v>0</v>
      </c>
      <c r="H56" s="862" t="s">
        <v>855</v>
      </c>
      <c r="I56" s="861">
        <v>114.421875</v>
      </c>
      <c r="J56" s="295">
        <v>114.453125</v>
      </c>
      <c r="K56" s="296">
        <f t="shared" si="1"/>
        <v>937.5</v>
      </c>
      <c r="L56"/>
    </row>
    <row r="57" spans="1:12">
      <c r="A57" s="855" t="s">
        <v>629</v>
      </c>
      <c r="B57" s="856" t="s">
        <v>854</v>
      </c>
      <c r="C57" s="856" t="s">
        <v>339</v>
      </c>
      <c r="D57" s="857" t="s">
        <v>339</v>
      </c>
      <c r="E57" s="858">
        <v>20</v>
      </c>
      <c r="F57" s="858" t="s">
        <v>304</v>
      </c>
      <c r="G57" s="860">
        <v>0</v>
      </c>
      <c r="H57" s="862" t="s">
        <v>856</v>
      </c>
      <c r="I57" s="861">
        <v>114.328125</v>
      </c>
      <c r="J57" s="295">
        <v>114.453125</v>
      </c>
      <c r="K57" s="296">
        <f t="shared" si="1"/>
        <v>2500</v>
      </c>
      <c r="L57"/>
    </row>
    <row r="58" spans="1:12">
      <c r="A58" s="855" t="s">
        <v>629</v>
      </c>
      <c r="B58" s="856" t="s">
        <v>854</v>
      </c>
      <c r="C58" s="856" t="s">
        <v>339</v>
      </c>
      <c r="D58" s="857" t="s">
        <v>339</v>
      </c>
      <c r="E58" s="858">
        <v>-30</v>
      </c>
      <c r="F58" s="858" t="s">
        <v>304</v>
      </c>
      <c r="G58" s="860">
        <v>0</v>
      </c>
      <c r="H58" s="862" t="s">
        <v>857</v>
      </c>
      <c r="I58" s="861">
        <v>114.359375</v>
      </c>
      <c r="J58" s="295">
        <v>114.53125</v>
      </c>
      <c r="K58" s="296">
        <f t="shared" si="1"/>
        <v>-5156.25</v>
      </c>
      <c r="L58"/>
    </row>
    <row r="59" spans="1:12">
      <c r="A59" s="855" t="s">
        <v>629</v>
      </c>
      <c r="B59" s="856" t="s">
        <v>819</v>
      </c>
      <c r="C59" s="856" t="s">
        <v>339</v>
      </c>
      <c r="D59" s="857" t="s">
        <v>339</v>
      </c>
      <c r="E59" s="858">
        <v>-20</v>
      </c>
      <c r="F59" s="858" t="s">
        <v>304</v>
      </c>
      <c r="G59" s="860">
        <v>3850</v>
      </c>
      <c r="H59" s="862" t="s">
        <v>824</v>
      </c>
      <c r="I59" s="861">
        <v>114.421875</v>
      </c>
      <c r="J59" s="295">
        <v>114.640625</v>
      </c>
      <c r="K59" s="296">
        <f t="shared" si="1"/>
        <v>-4375</v>
      </c>
      <c r="L59"/>
    </row>
    <row r="60" spans="1:12">
      <c r="A60" s="855" t="s">
        <v>629</v>
      </c>
      <c r="B60" s="856" t="s">
        <v>819</v>
      </c>
      <c r="C60" s="856" t="s">
        <v>339</v>
      </c>
      <c r="D60" s="857" t="s">
        <v>339</v>
      </c>
      <c r="E60" s="858">
        <v>-30</v>
      </c>
      <c r="F60" s="858" t="s">
        <v>304</v>
      </c>
      <c r="G60" s="860">
        <v>2310</v>
      </c>
      <c r="H60" s="864" t="s">
        <v>824</v>
      </c>
      <c r="I60" s="865">
        <v>114.421875</v>
      </c>
      <c r="J60" s="295">
        <v>115.515625</v>
      </c>
      <c r="K60" s="296">
        <f t="shared" si="1"/>
        <v>-32812.5</v>
      </c>
      <c r="L60"/>
    </row>
    <row r="61" spans="1:12">
      <c r="A61" s="855" t="s">
        <v>629</v>
      </c>
      <c r="B61" s="856" t="s">
        <v>862</v>
      </c>
      <c r="C61" s="856" t="s">
        <v>339</v>
      </c>
      <c r="D61" s="857" t="s">
        <v>339</v>
      </c>
      <c r="E61" s="858">
        <v>30</v>
      </c>
      <c r="F61" s="858" t="s">
        <v>638</v>
      </c>
      <c r="G61" s="860">
        <v>-2310</v>
      </c>
      <c r="H61" s="862" t="s">
        <v>871</v>
      </c>
      <c r="I61" s="861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55" t="s">
        <v>629</v>
      </c>
      <c r="B62" s="856" t="s">
        <v>916</v>
      </c>
      <c r="C62" s="856" t="s">
        <v>339</v>
      </c>
      <c r="D62" s="857" t="s">
        <v>339</v>
      </c>
      <c r="E62" s="858">
        <v>-30</v>
      </c>
      <c r="F62" s="859" t="s">
        <v>304</v>
      </c>
      <c r="G62" s="860">
        <v>0</v>
      </c>
      <c r="H62" s="866" t="s">
        <v>922</v>
      </c>
      <c r="I62" s="861">
        <v>114.921875</v>
      </c>
      <c r="J62" s="295">
        <v>114.8125</v>
      </c>
      <c r="K62" s="296">
        <f t="shared" si="1"/>
        <v>3281.25</v>
      </c>
      <c r="L62"/>
    </row>
    <row r="63" spans="1:12">
      <c r="A63" s="855" t="s">
        <v>629</v>
      </c>
      <c r="B63" s="856" t="s">
        <v>916</v>
      </c>
      <c r="C63" s="856" t="s">
        <v>339</v>
      </c>
      <c r="D63" s="857" t="s">
        <v>339</v>
      </c>
      <c r="E63" s="858">
        <v>-30</v>
      </c>
      <c r="F63" s="858" t="s">
        <v>304</v>
      </c>
      <c r="G63" s="860">
        <v>0</v>
      </c>
      <c r="H63" s="862" t="s">
        <v>923</v>
      </c>
      <c r="I63" s="861">
        <v>114.890625</v>
      </c>
      <c r="J63" s="295">
        <v>114.671875</v>
      </c>
      <c r="K63" s="296">
        <f t="shared" si="1"/>
        <v>6562.5</v>
      </c>
      <c r="L63"/>
    </row>
    <row r="64" spans="1:12">
      <c r="A64" s="855" t="s">
        <v>629</v>
      </c>
      <c r="B64" s="856" t="s">
        <v>916</v>
      </c>
      <c r="C64" s="856" t="s">
        <v>339</v>
      </c>
      <c r="D64" s="857" t="s">
        <v>339</v>
      </c>
      <c r="E64" s="858">
        <v>-50</v>
      </c>
      <c r="F64" s="858" t="s">
        <v>304</v>
      </c>
      <c r="G64" s="860">
        <v>0</v>
      </c>
      <c r="H64" s="862" t="s">
        <v>924</v>
      </c>
      <c r="I64" s="861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55" t="s">
        <v>629</v>
      </c>
      <c r="B65" s="856" t="s">
        <v>935</v>
      </c>
      <c r="C65" s="856" t="s">
        <v>339</v>
      </c>
      <c r="D65" s="857" t="s">
        <v>339</v>
      </c>
      <c r="E65" s="858">
        <v>20</v>
      </c>
      <c r="F65" s="859" t="s">
        <v>304</v>
      </c>
      <c r="G65" s="860">
        <v>0</v>
      </c>
      <c r="H65" s="866" t="s">
        <v>937</v>
      </c>
      <c r="I65" s="861">
        <v>113.84375</v>
      </c>
      <c r="J65" s="295">
        <v>114.421875</v>
      </c>
      <c r="K65" s="296">
        <f t="shared" si="1"/>
        <v>11562.5</v>
      </c>
      <c r="L65"/>
    </row>
    <row r="66" spans="1:12">
      <c r="A66" s="855" t="s">
        <v>629</v>
      </c>
      <c r="B66" s="856" t="s">
        <v>935</v>
      </c>
      <c r="C66" s="856" t="s">
        <v>339</v>
      </c>
      <c r="D66" s="857" t="s">
        <v>339</v>
      </c>
      <c r="E66" s="858">
        <v>30</v>
      </c>
      <c r="F66" s="858" t="s">
        <v>304</v>
      </c>
      <c r="G66" s="860">
        <v>0</v>
      </c>
      <c r="H66" s="862" t="s">
        <v>938</v>
      </c>
      <c r="I66" s="861">
        <v>113.328125</v>
      </c>
      <c r="J66" s="295">
        <v>114.1875</v>
      </c>
      <c r="K66" s="296">
        <f t="shared" si="1"/>
        <v>25781.25</v>
      </c>
      <c r="L66"/>
    </row>
    <row r="67" spans="1:12">
      <c r="A67" s="855" t="s">
        <v>629</v>
      </c>
      <c r="B67" s="856" t="s">
        <v>939</v>
      </c>
      <c r="C67" s="856" t="s">
        <v>339</v>
      </c>
      <c r="D67" s="857" t="s">
        <v>339</v>
      </c>
      <c r="E67" s="858">
        <v>10</v>
      </c>
      <c r="F67" s="858" t="s">
        <v>304</v>
      </c>
      <c r="G67" s="860">
        <v>0</v>
      </c>
      <c r="H67" s="862" t="s">
        <v>940</v>
      </c>
      <c r="I67" s="861">
        <v>113.71875</v>
      </c>
      <c r="J67" s="295">
        <v>114.421875</v>
      </c>
      <c r="K67" s="296">
        <f t="shared" si="1"/>
        <v>7031.25</v>
      </c>
      <c r="L67"/>
    </row>
    <row r="68" spans="1:12">
      <c r="A68" s="855" t="s">
        <v>629</v>
      </c>
      <c r="B68" s="856" t="s">
        <v>935</v>
      </c>
      <c r="C68" s="856" t="s">
        <v>339</v>
      </c>
      <c r="D68" s="857" t="s">
        <v>339</v>
      </c>
      <c r="E68" s="858">
        <v>30</v>
      </c>
      <c r="F68" s="858" t="s">
        <v>638</v>
      </c>
      <c r="G68" s="860">
        <v>0</v>
      </c>
      <c r="H68" s="862" t="s">
        <v>941</v>
      </c>
      <c r="I68" s="861">
        <v>113.390625</v>
      </c>
      <c r="J68" s="295">
        <v>113.625</v>
      </c>
      <c r="K68" s="296">
        <f t="shared" si="1"/>
        <v>7031.25</v>
      </c>
      <c r="L68"/>
    </row>
    <row r="69" spans="1:12">
      <c r="A69" s="855" t="s">
        <v>629</v>
      </c>
      <c r="B69" s="856" t="s">
        <v>939</v>
      </c>
      <c r="C69" s="856" t="s">
        <v>339</v>
      </c>
      <c r="D69" s="857" t="s">
        <v>339</v>
      </c>
      <c r="E69" s="858">
        <v>-30</v>
      </c>
      <c r="F69" s="858" t="s">
        <v>304</v>
      </c>
      <c r="G69" s="860">
        <v>0</v>
      </c>
      <c r="H69" s="862" t="s">
        <v>950</v>
      </c>
      <c r="I69" s="861">
        <v>113.375</v>
      </c>
      <c r="J69" s="295">
        <v>113.21875</v>
      </c>
      <c r="K69" s="296">
        <f t="shared" si="1"/>
        <v>4687.5</v>
      </c>
      <c r="L69"/>
    </row>
    <row r="70" spans="1:12">
      <c r="A70" s="855" t="s">
        <v>629</v>
      </c>
      <c r="B70" s="856" t="s">
        <v>939</v>
      </c>
      <c r="C70" s="856" t="s">
        <v>339</v>
      </c>
      <c r="D70" s="857" t="s">
        <v>339</v>
      </c>
      <c r="E70" s="858">
        <v>30</v>
      </c>
      <c r="F70" s="858" t="s">
        <v>304</v>
      </c>
      <c r="G70" s="860">
        <v>0</v>
      </c>
      <c r="H70" s="862" t="s">
        <v>951</v>
      </c>
      <c r="I70" s="861">
        <v>113.1875</v>
      </c>
      <c r="J70" s="295">
        <v>113.421875</v>
      </c>
      <c r="K70" s="296">
        <f t="shared" si="1"/>
        <v>7031.25</v>
      </c>
      <c r="L70"/>
    </row>
    <row r="71" spans="1:12">
      <c r="A71" s="855" t="s">
        <v>629</v>
      </c>
      <c r="B71" s="856" t="s">
        <v>939</v>
      </c>
      <c r="C71" s="856" t="s">
        <v>339</v>
      </c>
      <c r="D71" s="857" t="s">
        <v>339</v>
      </c>
      <c r="E71" s="858">
        <v>30</v>
      </c>
      <c r="F71" s="859" t="s">
        <v>638</v>
      </c>
      <c r="G71" s="860">
        <v>0</v>
      </c>
      <c r="H71" s="857" t="s">
        <v>954</v>
      </c>
      <c r="I71" s="861">
        <v>113.65625</v>
      </c>
      <c r="J71" s="295">
        <v>113.640625</v>
      </c>
      <c r="K71" s="296">
        <f t="shared" si="1"/>
        <v>-468.75</v>
      </c>
      <c r="L71"/>
    </row>
    <row r="72" spans="1:12">
      <c r="A72" s="855" t="s">
        <v>629</v>
      </c>
      <c r="B72" s="856" t="s">
        <v>939</v>
      </c>
      <c r="C72" s="856" t="s">
        <v>339</v>
      </c>
      <c r="D72" s="857" t="s">
        <v>339</v>
      </c>
      <c r="E72" s="858">
        <v>20</v>
      </c>
      <c r="F72" s="859" t="s">
        <v>638</v>
      </c>
      <c r="G72" s="860">
        <v>0</v>
      </c>
      <c r="H72" s="857" t="s">
        <v>955</v>
      </c>
      <c r="I72" s="861">
        <v>113.609375</v>
      </c>
      <c r="J72" s="295">
        <v>113.640625</v>
      </c>
      <c r="K72" s="296">
        <f t="shared" si="1"/>
        <v>625</v>
      </c>
      <c r="L72"/>
    </row>
    <row r="73" spans="1:12">
      <c r="A73" s="855" t="s">
        <v>629</v>
      </c>
      <c r="B73" s="856" t="s">
        <v>961</v>
      </c>
      <c r="C73" s="856" t="s">
        <v>339</v>
      </c>
      <c r="D73" s="857" t="s">
        <v>339</v>
      </c>
      <c r="E73" s="858">
        <v>30</v>
      </c>
      <c r="F73" s="858" t="s">
        <v>638</v>
      </c>
      <c r="G73" s="860">
        <v>0</v>
      </c>
      <c r="H73" s="862" t="s">
        <v>962</v>
      </c>
      <c r="I73" s="861">
        <v>113.421875</v>
      </c>
      <c r="J73" s="295">
        <v>113.453125</v>
      </c>
      <c r="K73" s="296">
        <f t="shared" si="1"/>
        <v>937.5</v>
      </c>
      <c r="L73"/>
    </row>
    <row r="74" spans="1:12">
      <c r="A74" s="855" t="s">
        <v>639</v>
      </c>
      <c r="B74" s="856" t="s">
        <v>961</v>
      </c>
      <c r="C74" s="856" t="s">
        <v>339</v>
      </c>
      <c r="D74" s="857" t="s">
        <v>339</v>
      </c>
      <c r="E74" s="858">
        <v>30</v>
      </c>
      <c r="F74" s="858" t="s">
        <v>638</v>
      </c>
      <c r="G74" s="860">
        <v>0</v>
      </c>
      <c r="H74" s="862" t="s">
        <v>972</v>
      </c>
      <c r="I74" s="861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55" t="s">
        <v>629</v>
      </c>
      <c r="B75" s="856" t="s">
        <v>961</v>
      </c>
      <c r="C75" s="856" t="s">
        <v>339</v>
      </c>
      <c r="D75" s="857" t="s">
        <v>339</v>
      </c>
      <c r="E75" s="858">
        <v>20</v>
      </c>
      <c r="F75" s="859" t="s">
        <v>304</v>
      </c>
      <c r="G75" s="860">
        <v>0</v>
      </c>
      <c r="H75" s="857" t="s">
        <v>973</v>
      </c>
      <c r="I75" s="861">
        <v>113.65625</v>
      </c>
      <c r="J75" s="295">
        <v>113.734375</v>
      </c>
      <c r="K75" s="296">
        <f t="shared" si="2"/>
        <v>1562.5</v>
      </c>
      <c r="L75"/>
    </row>
    <row r="76" spans="1:12">
      <c r="A76" s="855" t="s">
        <v>629</v>
      </c>
      <c r="B76" s="856" t="s">
        <v>961</v>
      </c>
      <c r="C76" s="856" t="s">
        <v>339</v>
      </c>
      <c r="D76" s="857" t="s">
        <v>339</v>
      </c>
      <c r="E76" s="858">
        <v>20</v>
      </c>
      <c r="F76" s="859" t="s">
        <v>304</v>
      </c>
      <c r="G76" s="860">
        <v>0</v>
      </c>
      <c r="H76" s="857" t="s">
        <v>974</v>
      </c>
      <c r="I76" s="861">
        <v>113.609375</v>
      </c>
      <c r="J76" s="295">
        <v>113.03125</v>
      </c>
      <c r="K76" s="296">
        <f t="shared" si="2"/>
        <v>-11562.5</v>
      </c>
      <c r="L76"/>
    </row>
    <row r="77" spans="1:12">
      <c r="A77" s="855" t="s">
        <v>629</v>
      </c>
      <c r="B77" s="856" t="s">
        <v>952</v>
      </c>
      <c r="C77" s="856" t="s">
        <v>339</v>
      </c>
      <c r="D77" s="857" t="s">
        <v>339</v>
      </c>
      <c r="E77" s="858">
        <v>-30</v>
      </c>
      <c r="F77" s="858" t="s">
        <v>304</v>
      </c>
      <c r="G77" s="860">
        <v>2310</v>
      </c>
      <c r="H77" s="862" t="s">
        <v>959</v>
      </c>
      <c r="I77" s="861">
        <v>113.453125</v>
      </c>
      <c r="J77" s="295">
        <v>112.90625</v>
      </c>
      <c r="K77" s="296">
        <f t="shared" si="2"/>
        <v>16406.25</v>
      </c>
      <c r="L77"/>
    </row>
    <row r="78" spans="1:12">
      <c r="A78" s="855" t="s">
        <v>629</v>
      </c>
      <c r="B78" s="856" t="s">
        <v>952</v>
      </c>
      <c r="C78" s="856" t="s">
        <v>339</v>
      </c>
      <c r="D78" s="857" t="s">
        <v>339</v>
      </c>
      <c r="E78" s="858">
        <v>-20</v>
      </c>
      <c r="F78" s="858" t="s">
        <v>304</v>
      </c>
      <c r="G78" s="860">
        <v>1540</v>
      </c>
      <c r="H78" s="862" t="s">
        <v>960</v>
      </c>
      <c r="I78" s="861">
        <v>113.390625</v>
      </c>
      <c r="J78" s="295">
        <v>112.9375</v>
      </c>
      <c r="K78" s="296">
        <f t="shared" si="2"/>
        <v>9062.5</v>
      </c>
      <c r="L78"/>
    </row>
    <row r="79" spans="1:12">
      <c r="A79" s="855" t="s">
        <v>629</v>
      </c>
      <c r="B79" s="856" t="s">
        <v>975</v>
      </c>
      <c r="C79" s="856" t="s">
        <v>339</v>
      </c>
      <c r="D79" s="857" t="s">
        <v>339</v>
      </c>
      <c r="E79" s="858">
        <v>-30</v>
      </c>
      <c r="F79" s="858" t="s">
        <v>304</v>
      </c>
      <c r="G79" s="860">
        <v>2310</v>
      </c>
      <c r="H79" s="862" t="s">
        <v>976</v>
      </c>
      <c r="I79" s="861">
        <v>113.03125</v>
      </c>
      <c r="J79" s="295">
        <v>113.015625</v>
      </c>
      <c r="K79" s="296">
        <f t="shared" si="2"/>
        <v>468.75</v>
      </c>
      <c r="L79"/>
    </row>
    <row r="80" spans="1:12">
      <c r="A80" s="855" t="s">
        <v>629</v>
      </c>
      <c r="B80" s="856" t="s">
        <v>952</v>
      </c>
      <c r="C80" s="856" t="s">
        <v>339</v>
      </c>
      <c r="D80" s="857" t="s">
        <v>339</v>
      </c>
      <c r="E80" s="858">
        <v>-20</v>
      </c>
      <c r="F80" s="859" t="s">
        <v>304</v>
      </c>
      <c r="G80" s="860">
        <v>1540</v>
      </c>
      <c r="H80" s="857" t="s">
        <v>953</v>
      </c>
      <c r="I80" s="861">
        <v>113.421875</v>
      </c>
      <c r="J80" s="295">
        <v>112.640625</v>
      </c>
      <c r="K80" s="296">
        <f t="shared" si="2"/>
        <v>15625</v>
      </c>
      <c r="L80"/>
    </row>
    <row r="81" spans="1:12">
      <c r="A81" s="855" t="s">
        <v>629</v>
      </c>
      <c r="B81" s="856" t="s">
        <v>994</v>
      </c>
      <c r="C81" s="856" t="s">
        <v>339</v>
      </c>
      <c r="D81" s="857" t="s">
        <v>339</v>
      </c>
      <c r="E81" s="858">
        <v>30</v>
      </c>
      <c r="F81" s="859" t="s">
        <v>304</v>
      </c>
      <c r="G81" s="860">
        <v>0</v>
      </c>
      <c r="H81" s="857" t="s">
        <v>999</v>
      </c>
      <c r="I81" s="861">
        <v>113.34375</v>
      </c>
      <c r="J81" s="295">
        <v>112.609375</v>
      </c>
      <c r="K81" s="296">
        <f t="shared" si="2"/>
        <v>-22031.25</v>
      </c>
      <c r="L81"/>
    </row>
    <row r="82" spans="1:12">
      <c r="A82" s="855" t="s">
        <v>629</v>
      </c>
      <c r="B82" s="856" t="s">
        <v>994</v>
      </c>
      <c r="C82" s="856" t="s">
        <v>339</v>
      </c>
      <c r="D82" s="857" t="s">
        <v>339</v>
      </c>
      <c r="E82" s="858">
        <v>20</v>
      </c>
      <c r="F82" s="859" t="s">
        <v>304</v>
      </c>
      <c r="G82" s="860">
        <v>0</v>
      </c>
      <c r="H82" s="857" t="s">
        <v>1000</v>
      </c>
      <c r="I82" s="861">
        <v>113.140625</v>
      </c>
      <c r="J82" s="295">
        <v>112.40625</v>
      </c>
      <c r="K82" s="296">
        <f t="shared" si="2"/>
        <v>-14687.5</v>
      </c>
      <c r="L82"/>
    </row>
    <row r="83" spans="1:12">
      <c r="A83" s="855" t="s">
        <v>629</v>
      </c>
      <c r="B83" s="856" t="s">
        <v>994</v>
      </c>
      <c r="C83" s="856" t="s">
        <v>339</v>
      </c>
      <c r="D83" s="857" t="s">
        <v>339</v>
      </c>
      <c r="E83" s="858">
        <v>30</v>
      </c>
      <c r="F83" s="859" t="s">
        <v>304</v>
      </c>
      <c r="G83" s="860">
        <v>0</v>
      </c>
      <c r="H83" s="857" t="s">
        <v>1001</v>
      </c>
      <c r="I83" s="861">
        <v>112.5625</v>
      </c>
      <c r="J83" s="295">
        <v>112.40625</v>
      </c>
      <c r="K83" s="296">
        <f t="shared" si="2"/>
        <v>-4687.5</v>
      </c>
      <c r="L83"/>
    </row>
    <row r="84" spans="1:12">
      <c r="A84" s="855" t="s">
        <v>629</v>
      </c>
      <c r="B84" s="856" t="s">
        <v>994</v>
      </c>
      <c r="C84" s="856" t="s">
        <v>339</v>
      </c>
      <c r="D84" s="857" t="s">
        <v>339</v>
      </c>
      <c r="E84" s="858">
        <v>-20</v>
      </c>
      <c r="F84" s="859" t="s">
        <v>304</v>
      </c>
      <c r="G84" s="860">
        <v>1540</v>
      </c>
      <c r="H84" s="857" t="s">
        <v>1002</v>
      </c>
      <c r="I84" s="861">
        <v>112.40625</v>
      </c>
      <c r="J84" s="295">
        <v>112.28125</v>
      </c>
      <c r="K84" s="296">
        <f t="shared" si="2"/>
        <v>2500</v>
      </c>
      <c r="L84"/>
    </row>
    <row r="85" spans="1:12">
      <c r="A85" s="855" t="s">
        <v>629</v>
      </c>
      <c r="B85" s="856" t="s">
        <v>994</v>
      </c>
      <c r="C85" s="856" t="s">
        <v>339</v>
      </c>
      <c r="D85" s="857" t="s">
        <v>339</v>
      </c>
      <c r="E85" s="858">
        <v>30</v>
      </c>
      <c r="F85" s="859" t="s">
        <v>638</v>
      </c>
      <c r="G85" s="860">
        <v>-3850</v>
      </c>
      <c r="H85" s="857" t="s">
        <v>1003</v>
      </c>
      <c r="I85" s="861">
        <v>112.796875</v>
      </c>
      <c r="J85" s="295">
        <v>112.375</v>
      </c>
      <c r="K85" s="296">
        <f t="shared" si="2"/>
        <v>-12656.25</v>
      </c>
      <c r="L85"/>
    </row>
    <row r="86" spans="1:12">
      <c r="A86" s="855" t="s">
        <v>629</v>
      </c>
      <c r="B86" s="856" t="s">
        <v>1020</v>
      </c>
      <c r="C86" s="856" t="s">
        <v>339</v>
      </c>
      <c r="D86" s="857" t="s">
        <v>339</v>
      </c>
      <c r="E86" s="858">
        <v>50</v>
      </c>
      <c r="F86" s="859" t="s">
        <v>638</v>
      </c>
      <c r="G86" s="860">
        <v>0</v>
      </c>
      <c r="H86" s="857" t="s">
        <v>1025</v>
      </c>
      <c r="I86" s="861">
        <v>112.09375</v>
      </c>
      <c r="J86" s="295">
        <v>111.9375</v>
      </c>
      <c r="K86" s="296">
        <f t="shared" si="2"/>
        <v>-7812.5</v>
      </c>
      <c r="L86"/>
    </row>
    <row r="87" spans="1:12">
      <c r="A87" s="855" t="s">
        <v>629</v>
      </c>
      <c r="B87" s="856" t="s">
        <v>1026</v>
      </c>
      <c r="C87" s="856" t="s">
        <v>339</v>
      </c>
      <c r="D87" s="857" t="s">
        <v>339</v>
      </c>
      <c r="E87" s="858">
        <v>50</v>
      </c>
      <c r="F87" s="859" t="s">
        <v>304</v>
      </c>
      <c r="G87" s="860">
        <v>0</v>
      </c>
      <c r="H87" s="857" t="s">
        <v>1027</v>
      </c>
      <c r="I87" s="861">
        <v>111.53125</v>
      </c>
      <c r="J87" s="295">
        <v>111.390625</v>
      </c>
      <c r="K87" s="296">
        <f t="shared" si="2"/>
        <v>-7031.25</v>
      </c>
      <c r="L87"/>
    </row>
    <row r="88" spans="1:12">
      <c r="A88" s="855" t="s">
        <v>629</v>
      </c>
      <c r="B88" s="856" t="s">
        <v>1005</v>
      </c>
      <c r="C88" s="856" t="s">
        <v>339</v>
      </c>
      <c r="D88" s="857" t="s">
        <v>339</v>
      </c>
      <c r="E88" s="858">
        <v>10</v>
      </c>
      <c r="F88" s="859" t="s">
        <v>304</v>
      </c>
      <c r="G88" s="860">
        <v>-3850</v>
      </c>
      <c r="H88" s="857" t="s">
        <v>1015</v>
      </c>
      <c r="I88" s="861">
        <v>112.28125</v>
      </c>
      <c r="J88" s="295">
        <v>111.859375</v>
      </c>
      <c r="K88" s="296">
        <f t="shared" si="2"/>
        <v>-4218.75</v>
      </c>
      <c r="L88"/>
    </row>
    <row r="89" spans="1:12">
      <c r="A89" s="855" t="s">
        <v>629</v>
      </c>
      <c r="B89" s="856" t="s">
        <v>1020</v>
      </c>
      <c r="C89" s="856" t="s">
        <v>339</v>
      </c>
      <c r="D89" s="857" t="s">
        <v>339</v>
      </c>
      <c r="E89" s="858">
        <v>20</v>
      </c>
      <c r="F89" s="859" t="s">
        <v>304</v>
      </c>
      <c r="G89" s="860">
        <v>0</v>
      </c>
      <c r="H89" s="857" t="s">
        <v>1028</v>
      </c>
      <c r="I89" s="861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55" t="s">
        <v>629</v>
      </c>
      <c r="B90" s="856" t="s">
        <v>1020</v>
      </c>
      <c r="C90" s="856" t="s">
        <v>339</v>
      </c>
      <c r="D90" s="857" t="s">
        <v>339</v>
      </c>
      <c r="E90" s="858">
        <v>30</v>
      </c>
      <c r="F90" s="859" t="s">
        <v>304</v>
      </c>
      <c r="G90" s="860">
        <v>0</v>
      </c>
      <c r="H90" s="857" t="s">
        <v>1028</v>
      </c>
      <c r="I90" s="861">
        <v>112.03125</v>
      </c>
      <c r="J90" s="295">
        <v>111.859375</v>
      </c>
      <c r="K90" s="296">
        <f t="shared" si="2"/>
        <v>-5156.25</v>
      </c>
      <c r="L90"/>
    </row>
    <row r="91" spans="1:12">
      <c r="A91" s="855" t="s">
        <v>629</v>
      </c>
      <c r="B91" s="856" t="s">
        <v>1005</v>
      </c>
      <c r="C91" s="856" t="s">
        <v>339</v>
      </c>
      <c r="D91" s="857" t="s">
        <v>339</v>
      </c>
      <c r="E91" s="858">
        <v>30</v>
      </c>
      <c r="F91" s="859" t="s">
        <v>304</v>
      </c>
      <c r="G91" s="860">
        <v>-3850</v>
      </c>
      <c r="H91" s="857" t="s">
        <v>1015</v>
      </c>
      <c r="I91" s="861">
        <v>112.28125</v>
      </c>
      <c r="J91" s="295">
        <v>111.671875</v>
      </c>
      <c r="K91" s="296">
        <f t="shared" si="2"/>
        <v>-18281.25</v>
      </c>
      <c r="L91"/>
    </row>
    <row r="92" spans="1:12">
      <c r="A92" s="855" t="s">
        <v>629</v>
      </c>
      <c r="B92" s="856" t="s">
        <v>994</v>
      </c>
      <c r="C92" s="856" t="s">
        <v>339</v>
      </c>
      <c r="D92" s="857" t="s">
        <v>339</v>
      </c>
      <c r="E92" s="858">
        <v>20</v>
      </c>
      <c r="F92" s="859" t="s">
        <v>638</v>
      </c>
      <c r="G92" s="860">
        <v>-1540</v>
      </c>
      <c r="H92" s="857" t="s">
        <v>1003</v>
      </c>
      <c r="I92" s="861">
        <v>112.796875</v>
      </c>
      <c r="J92" s="295">
        <v>111.65625</v>
      </c>
      <c r="K92" s="296">
        <f t="shared" si="2"/>
        <v>-22812.5</v>
      </c>
      <c r="L92"/>
    </row>
    <row r="93" spans="1:12">
      <c r="A93" s="855" t="s">
        <v>629</v>
      </c>
      <c r="B93" s="856" t="s">
        <v>1026</v>
      </c>
      <c r="C93" s="856" t="s">
        <v>339</v>
      </c>
      <c r="D93" s="857" t="s">
        <v>339</v>
      </c>
      <c r="E93" s="858">
        <v>20</v>
      </c>
      <c r="F93" s="859" t="s">
        <v>304</v>
      </c>
      <c r="G93" s="860">
        <v>-2310</v>
      </c>
      <c r="H93" s="857" t="s">
        <v>1036</v>
      </c>
      <c r="I93" s="861">
        <v>111.65625</v>
      </c>
      <c r="J93" s="295">
        <v>111.859375</v>
      </c>
      <c r="K93" s="296">
        <f t="shared" si="2"/>
        <v>4062.5</v>
      </c>
      <c r="L93"/>
    </row>
    <row r="94" spans="1:12">
      <c r="A94" s="855" t="s">
        <v>643</v>
      </c>
      <c r="B94" s="856" t="s">
        <v>1042</v>
      </c>
      <c r="C94" s="856" t="s">
        <v>339</v>
      </c>
      <c r="D94" s="857" t="s">
        <v>339</v>
      </c>
      <c r="E94" s="858">
        <v>-1</v>
      </c>
      <c r="F94" s="859" t="s">
        <v>304</v>
      </c>
      <c r="G94" s="860">
        <v>0</v>
      </c>
      <c r="H94" s="857" t="s">
        <v>1047</v>
      </c>
      <c r="I94" s="861">
        <v>111.65625</v>
      </c>
      <c r="J94" s="295">
        <v>111.75</v>
      </c>
      <c r="K94" s="296">
        <f t="shared" si="2"/>
        <v>-93.75</v>
      </c>
      <c r="L94"/>
    </row>
    <row r="95" spans="1:12">
      <c r="A95" s="855" t="s">
        <v>643</v>
      </c>
      <c r="B95" s="856" t="s">
        <v>1042</v>
      </c>
      <c r="C95" s="856" t="s">
        <v>339</v>
      </c>
      <c r="D95" s="857" t="s">
        <v>339</v>
      </c>
      <c r="E95" s="858">
        <v>-19</v>
      </c>
      <c r="F95" s="859" t="s">
        <v>304</v>
      </c>
      <c r="G95" s="860">
        <v>0</v>
      </c>
      <c r="H95" s="857" t="s">
        <v>1048</v>
      </c>
      <c r="I95" s="861">
        <v>111.671875</v>
      </c>
      <c r="J95" s="295">
        <v>111.75</v>
      </c>
      <c r="K95" s="296">
        <f t="shared" si="2"/>
        <v>-1484.375</v>
      </c>
      <c r="L95"/>
    </row>
    <row r="96" spans="1:12">
      <c r="A96" s="855" t="s">
        <v>643</v>
      </c>
      <c r="B96" s="856" t="s">
        <v>1049</v>
      </c>
      <c r="C96" s="856" t="s">
        <v>339</v>
      </c>
      <c r="D96" s="857" t="s">
        <v>339</v>
      </c>
      <c r="E96" s="858">
        <v>15</v>
      </c>
      <c r="F96" s="859" t="s">
        <v>304</v>
      </c>
      <c r="G96" s="860">
        <v>0</v>
      </c>
      <c r="H96" s="857" t="s">
        <v>1050</v>
      </c>
      <c r="I96" s="861">
        <v>111.71875</v>
      </c>
      <c r="J96" s="295">
        <v>111.703125</v>
      </c>
      <c r="K96" s="296">
        <f t="shared" si="2"/>
        <v>-234.375</v>
      </c>
      <c r="L96"/>
    </row>
    <row r="97" spans="1:12">
      <c r="A97" s="855" t="s">
        <v>643</v>
      </c>
      <c r="B97" s="856" t="s">
        <v>1049</v>
      </c>
      <c r="C97" s="856" t="s">
        <v>339</v>
      </c>
      <c r="D97" s="857" t="s">
        <v>339</v>
      </c>
      <c r="E97" s="858">
        <v>30</v>
      </c>
      <c r="F97" s="859" t="s">
        <v>304</v>
      </c>
      <c r="G97" s="860">
        <v>0</v>
      </c>
      <c r="H97" s="857" t="s">
        <v>1051</v>
      </c>
      <c r="I97" s="861">
        <v>111.734375</v>
      </c>
      <c r="J97" s="295">
        <v>111.71875</v>
      </c>
      <c r="K97" s="296">
        <f t="shared" si="2"/>
        <v>-468.75</v>
      </c>
      <c r="L97"/>
    </row>
    <row r="98" spans="1:12">
      <c r="A98" s="855" t="s">
        <v>643</v>
      </c>
      <c r="B98" s="856" t="s">
        <v>1049</v>
      </c>
      <c r="C98" s="856" t="s">
        <v>339</v>
      </c>
      <c r="D98" s="857" t="s">
        <v>339</v>
      </c>
      <c r="E98" s="858">
        <v>5</v>
      </c>
      <c r="F98" s="859" t="s">
        <v>304</v>
      </c>
      <c r="G98" s="860">
        <v>0</v>
      </c>
      <c r="H98" s="857" t="s">
        <v>1051</v>
      </c>
      <c r="I98" s="861">
        <v>111.734375</v>
      </c>
      <c r="J98" s="295">
        <v>111.703125</v>
      </c>
      <c r="K98" s="296">
        <f t="shared" si="2"/>
        <v>-156.25</v>
      </c>
      <c r="L98"/>
    </row>
    <row r="99" spans="1:12">
      <c r="A99" s="855" t="s">
        <v>643</v>
      </c>
      <c r="B99" s="856" t="s">
        <v>1042</v>
      </c>
      <c r="C99" s="856" t="s">
        <v>339</v>
      </c>
      <c r="D99" s="857" t="s">
        <v>339</v>
      </c>
      <c r="E99" s="858">
        <v>50</v>
      </c>
      <c r="F99" s="859" t="s">
        <v>638</v>
      </c>
      <c r="G99" s="860">
        <v>-3850</v>
      </c>
      <c r="H99" s="857" t="s">
        <v>1052</v>
      </c>
      <c r="I99" s="861">
        <v>112.3125</v>
      </c>
      <c r="J99" s="295">
        <v>111.515625</v>
      </c>
      <c r="K99" s="296">
        <f t="shared" si="2"/>
        <v>-39843.75</v>
      </c>
      <c r="L99"/>
    </row>
    <row r="100" spans="1:12">
      <c r="A100" s="855" t="s">
        <v>629</v>
      </c>
      <c r="B100" s="856" t="s">
        <v>1060</v>
      </c>
      <c r="C100" s="856" t="s">
        <v>339</v>
      </c>
      <c r="D100" s="857" t="s">
        <v>339</v>
      </c>
      <c r="E100" s="858">
        <v>20</v>
      </c>
      <c r="F100" s="859" t="s">
        <v>304</v>
      </c>
      <c r="G100" s="860">
        <v>0</v>
      </c>
      <c r="H100" s="857" t="s">
        <v>1066</v>
      </c>
      <c r="I100" s="861">
        <v>110.921875</v>
      </c>
      <c r="J100" s="295">
        <v>110.96875</v>
      </c>
      <c r="K100" s="296">
        <f t="shared" si="2"/>
        <v>937.5</v>
      </c>
      <c r="L100"/>
    </row>
    <row r="101" spans="1:12">
      <c r="A101" s="855" t="s">
        <v>643</v>
      </c>
      <c r="B101" s="856" t="s">
        <v>1060</v>
      </c>
      <c r="C101" s="856" t="s">
        <v>339</v>
      </c>
      <c r="D101" s="857" t="s">
        <v>339</v>
      </c>
      <c r="E101" s="858">
        <v>30</v>
      </c>
      <c r="F101" s="859" t="s">
        <v>304</v>
      </c>
      <c r="G101" s="860">
        <v>0</v>
      </c>
      <c r="H101" s="857" t="s">
        <v>1067</v>
      </c>
      <c r="I101" s="861">
        <v>111.40625</v>
      </c>
      <c r="J101" s="295">
        <v>111.5625</v>
      </c>
      <c r="K101" s="296">
        <f t="shared" si="2"/>
        <v>4687.5</v>
      </c>
      <c r="L101"/>
    </row>
    <row r="102" spans="1:12">
      <c r="A102" s="855" t="s">
        <v>643</v>
      </c>
      <c r="B102" s="856" t="s">
        <v>1060</v>
      </c>
      <c r="C102" s="856" t="s">
        <v>339</v>
      </c>
      <c r="D102" s="857" t="s">
        <v>339</v>
      </c>
      <c r="E102" s="858">
        <v>-30</v>
      </c>
      <c r="F102" s="859" t="s">
        <v>304</v>
      </c>
      <c r="G102" s="860">
        <v>4620</v>
      </c>
      <c r="H102" s="857" t="s">
        <v>1061</v>
      </c>
      <c r="I102" s="861">
        <v>111.6875</v>
      </c>
      <c r="J102" s="295">
        <v>111.796875</v>
      </c>
      <c r="K102" s="296">
        <f t="shared" si="2"/>
        <v>-3281.25</v>
      </c>
      <c r="L102"/>
    </row>
    <row r="103" spans="1:12">
      <c r="A103" s="855" t="s">
        <v>643</v>
      </c>
      <c r="B103" s="856" t="s">
        <v>1060</v>
      </c>
      <c r="C103" s="856" t="s">
        <v>339</v>
      </c>
      <c r="D103" s="857" t="s">
        <v>339</v>
      </c>
      <c r="E103" s="858">
        <v>-30</v>
      </c>
      <c r="F103" s="859" t="s">
        <v>304</v>
      </c>
      <c r="G103" s="860">
        <v>4620</v>
      </c>
      <c r="H103" s="857" t="s">
        <v>1061</v>
      </c>
      <c r="I103" s="861">
        <v>111.6875</v>
      </c>
      <c r="J103" s="295">
        <v>111.984375</v>
      </c>
      <c r="K103" s="296">
        <f t="shared" si="2"/>
        <v>-8906.25</v>
      </c>
      <c r="L103"/>
    </row>
    <row r="104" spans="1:12">
      <c r="A104" s="855" t="s">
        <v>643</v>
      </c>
      <c r="B104" s="856" t="s">
        <v>1075</v>
      </c>
      <c r="C104" s="856" t="s">
        <v>339</v>
      </c>
      <c r="D104" s="857" t="s">
        <v>339</v>
      </c>
      <c r="E104" s="858">
        <v>50</v>
      </c>
      <c r="F104" s="859" t="s">
        <v>304</v>
      </c>
      <c r="G104" s="860">
        <v>0</v>
      </c>
      <c r="H104" s="857" t="s">
        <v>1076</v>
      </c>
      <c r="I104" s="861">
        <v>111.71875</v>
      </c>
      <c r="J104" s="295">
        <v>111.21875</v>
      </c>
      <c r="K104" s="296">
        <f t="shared" si="2"/>
        <v>-25000</v>
      </c>
      <c r="L104"/>
    </row>
    <row r="105" spans="1:12">
      <c r="A105" s="855" t="s">
        <v>643</v>
      </c>
      <c r="B105" s="856" t="s">
        <v>1097</v>
      </c>
      <c r="C105" s="856" t="s">
        <v>339</v>
      </c>
      <c r="D105" s="857" t="s">
        <v>339</v>
      </c>
      <c r="E105" s="858">
        <v>-30</v>
      </c>
      <c r="F105" s="859" t="s">
        <v>304</v>
      </c>
      <c r="G105" s="860">
        <v>0</v>
      </c>
      <c r="H105" s="857" t="s">
        <v>1100</v>
      </c>
      <c r="I105" s="861">
        <v>111</v>
      </c>
      <c r="J105" s="295">
        <v>111.546875</v>
      </c>
      <c r="K105" s="296">
        <f t="shared" si="2"/>
        <v>-16406.25</v>
      </c>
      <c r="L105"/>
    </row>
    <row r="106" spans="1:12">
      <c r="A106" s="855" t="s">
        <v>643</v>
      </c>
      <c r="B106" s="856" t="s">
        <v>1071</v>
      </c>
      <c r="C106" s="856" t="s">
        <v>339</v>
      </c>
      <c r="D106" s="857" t="s">
        <v>339</v>
      </c>
      <c r="E106" s="858">
        <v>-30</v>
      </c>
      <c r="F106" s="859" t="s">
        <v>304</v>
      </c>
      <c r="G106" s="860">
        <v>2310</v>
      </c>
      <c r="H106" s="857" t="s">
        <v>1077</v>
      </c>
      <c r="I106" s="861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55" t="s">
        <v>643</v>
      </c>
      <c r="B107" s="856" t="s">
        <v>1101</v>
      </c>
      <c r="C107" s="856" t="s">
        <v>339</v>
      </c>
      <c r="D107" s="857" t="s">
        <v>339</v>
      </c>
      <c r="E107" s="858">
        <v>30</v>
      </c>
      <c r="F107" s="859" t="s">
        <v>638</v>
      </c>
      <c r="G107" s="860">
        <v>0</v>
      </c>
      <c r="H107" s="857" t="s">
        <v>1102</v>
      </c>
      <c r="I107" s="861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55" t="s">
        <v>643</v>
      </c>
      <c r="B108" s="856" t="s">
        <v>1101</v>
      </c>
      <c r="C108" s="856" t="s">
        <v>339</v>
      </c>
      <c r="D108" s="857" t="s">
        <v>339</v>
      </c>
      <c r="E108" s="858">
        <v>30</v>
      </c>
      <c r="F108" s="859" t="s">
        <v>638</v>
      </c>
      <c r="G108" s="860">
        <v>0</v>
      </c>
      <c r="H108" s="857" t="s">
        <v>1103</v>
      </c>
      <c r="I108" s="861">
        <v>110.828125</v>
      </c>
      <c r="J108" s="295">
        <v>110.90625</v>
      </c>
      <c r="K108" s="296">
        <f t="shared" si="2"/>
        <v>2343.75</v>
      </c>
      <c r="L108"/>
    </row>
    <row r="109" spans="1:12">
      <c r="A109" s="855" t="s">
        <v>643</v>
      </c>
      <c r="B109" s="856" t="s">
        <v>1097</v>
      </c>
      <c r="C109" s="856" t="s">
        <v>339</v>
      </c>
      <c r="D109" s="857" t="s">
        <v>339</v>
      </c>
      <c r="E109" s="858">
        <v>30</v>
      </c>
      <c r="F109" s="859" t="s">
        <v>638</v>
      </c>
      <c r="G109" s="860">
        <v>0</v>
      </c>
      <c r="H109" s="857" t="s">
        <v>1104</v>
      </c>
      <c r="I109" s="861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55" t="s">
        <v>643</v>
      </c>
      <c r="B110" s="856" t="s">
        <v>1101</v>
      </c>
      <c r="C110" s="856" t="s">
        <v>339</v>
      </c>
      <c r="D110" s="857" t="s">
        <v>339</v>
      </c>
      <c r="E110" s="858">
        <v>-50</v>
      </c>
      <c r="F110" s="859" t="s">
        <v>638</v>
      </c>
      <c r="G110" s="860">
        <v>0</v>
      </c>
      <c r="H110" s="857" t="s">
        <v>1105</v>
      </c>
      <c r="I110" s="861">
        <v>110.671875</v>
      </c>
      <c r="J110" s="295">
        <v>110.734375</v>
      </c>
      <c r="K110" s="296">
        <f t="shared" si="2"/>
        <v>-3125</v>
      </c>
      <c r="L110"/>
    </row>
    <row r="111" spans="1:12">
      <c r="A111" s="855" t="s">
        <v>643</v>
      </c>
      <c r="B111" s="856" t="s">
        <v>1101</v>
      </c>
      <c r="C111" s="856" t="s">
        <v>339</v>
      </c>
      <c r="D111" s="857" t="s">
        <v>339</v>
      </c>
      <c r="E111" s="858">
        <v>50</v>
      </c>
      <c r="F111" s="859" t="s">
        <v>638</v>
      </c>
      <c r="G111" s="860">
        <v>-3850</v>
      </c>
      <c r="H111" s="857" t="s">
        <v>1106</v>
      </c>
      <c r="I111" s="861">
        <v>110.734375</v>
      </c>
      <c r="J111" s="295">
        <v>110.890625</v>
      </c>
      <c r="K111" s="296">
        <f t="shared" si="2"/>
        <v>7812.5</v>
      </c>
      <c r="L111"/>
    </row>
    <row r="112" spans="1:12">
      <c r="A112" s="855" t="s">
        <v>643</v>
      </c>
      <c r="B112" s="856" t="s">
        <v>1115</v>
      </c>
      <c r="C112" s="856" t="s">
        <v>339</v>
      </c>
      <c r="D112" s="857" t="s">
        <v>339</v>
      </c>
      <c r="E112" s="858">
        <v>30</v>
      </c>
      <c r="F112" s="859" t="s">
        <v>638</v>
      </c>
      <c r="G112" s="860">
        <v>0</v>
      </c>
      <c r="H112" s="857" t="s">
        <v>1114</v>
      </c>
      <c r="I112" s="861">
        <v>110.71875</v>
      </c>
      <c r="J112" s="295">
        <v>110.75</v>
      </c>
      <c r="K112" s="296">
        <f t="shared" si="2"/>
        <v>937.5</v>
      </c>
      <c r="L112"/>
    </row>
    <row r="113" spans="1:12">
      <c r="A113" s="855" t="s">
        <v>643</v>
      </c>
      <c r="B113" s="856" t="s">
        <v>1132</v>
      </c>
      <c r="C113" s="856" t="s">
        <v>339</v>
      </c>
      <c r="D113" s="857" t="s">
        <v>339</v>
      </c>
      <c r="E113" s="858">
        <v>30</v>
      </c>
      <c r="F113" s="859" t="s">
        <v>304</v>
      </c>
      <c r="G113" s="860">
        <v>0</v>
      </c>
      <c r="H113" s="857" t="s">
        <v>1138</v>
      </c>
      <c r="I113" s="861">
        <v>111.1875</v>
      </c>
      <c r="J113" s="295">
        <v>111.21875</v>
      </c>
      <c r="K113" s="296">
        <f t="shared" si="2"/>
        <v>937.5</v>
      </c>
      <c r="L113"/>
    </row>
    <row r="114" spans="1:12">
      <c r="A114" s="855" t="s">
        <v>643</v>
      </c>
      <c r="B114" s="856" t="s">
        <v>1115</v>
      </c>
      <c r="C114" s="856" t="s">
        <v>339</v>
      </c>
      <c r="D114" s="857" t="s">
        <v>339</v>
      </c>
      <c r="E114" s="858">
        <v>25</v>
      </c>
      <c r="F114" s="859" t="s">
        <v>638</v>
      </c>
      <c r="G114" s="860">
        <v>-1925</v>
      </c>
      <c r="H114" s="857" t="s">
        <v>1127</v>
      </c>
      <c r="I114" s="861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55" t="s">
        <v>643</v>
      </c>
      <c r="B115" s="856" t="s">
        <v>1115</v>
      </c>
      <c r="C115" s="856" t="s">
        <v>339</v>
      </c>
      <c r="D115" s="857" t="s">
        <v>339</v>
      </c>
      <c r="E115" s="858">
        <v>1</v>
      </c>
      <c r="F115" s="859" t="s">
        <v>638</v>
      </c>
      <c r="G115" s="860">
        <v>-77</v>
      </c>
      <c r="H115" s="857" t="s">
        <v>1128</v>
      </c>
      <c r="I115" s="861">
        <v>110.796875</v>
      </c>
      <c r="J115" s="295">
        <v>111.40625</v>
      </c>
      <c r="K115" s="296">
        <f t="shared" si="2"/>
        <v>609.375</v>
      </c>
      <c r="L115"/>
    </row>
    <row r="116" spans="1:12">
      <c r="A116" s="855" t="s">
        <v>643</v>
      </c>
      <c r="B116" s="856" t="s">
        <v>1115</v>
      </c>
      <c r="C116" s="856" t="s">
        <v>339</v>
      </c>
      <c r="D116" s="857" t="s">
        <v>339</v>
      </c>
      <c r="E116" s="858">
        <v>4</v>
      </c>
      <c r="F116" s="859" t="s">
        <v>638</v>
      </c>
      <c r="G116" s="860">
        <v>-308</v>
      </c>
      <c r="H116" s="857" t="s">
        <v>1129</v>
      </c>
      <c r="I116" s="861">
        <v>110.796875</v>
      </c>
      <c r="J116" s="295">
        <v>111.40625</v>
      </c>
      <c r="K116" s="296">
        <f t="shared" si="2"/>
        <v>2437.5</v>
      </c>
      <c r="L116"/>
    </row>
    <row r="117" spans="1:12">
      <c r="A117" s="855" t="s">
        <v>643</v>
      </c>
      <c r="B117" s="856" t="s">
        <v>1115</v>
      </c>
      <c r="C117" s="856" t="s">
        <v>339</v>
      </c>
      <c r="D117" s="857" t="s">
        <v>339</v>
      </c>
      <c r="E117" s="858">
        <v>20</v>
      </c>
      <c r="F117" s="859" t="s">
        <v>638</v>
      </c>
      <c r="G117" s="860">
        <v>-1540</v>
      </c>
      <c r="H117" s="857" t="s">
        <v>1130</v>
      </c>
      <c r="I117" s="861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55" t="s">
        <v>643</v>
      </c>
      <c r="B118" s="856" t="s">
        <v>1140</v>
      </c>
      <c r="C118" s="856" t="s">
        <v>339</v>
      </c>
      <c r="D118" s="857" t="s">
        <v>339</v>
      </c>
      <c r="E118" s="858">
        <v>-5</v>
      </c>
      <c r="F118" s="859" t="s">
        <v>304</v>
      </c>
      <c r="G118" s="860">
        <v>0</v>
      </c>
      <c r="H118" s="857" t="s">
        <v>1144</v>
      </c>
      <c r="I118" s="861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55" t="s">
        <v>643</v>
      </c>
      <c r="B119" s="856" t="s">
        <v>1140</v>
      </c>
      <c r="C119" s="856" t="s">
        <v>339</v>
      </c>
      <c r="D119" s="857" t="s">
        <v>339</v>
      </c>
      <c r="E119" s="858">
        <v>-45</v>
      </c>
      <c r="F119" s="859" t="s">
        <v>304</v>
      </c>
      <c r="G119" s="860">
        <v>0</v>
      </c>
      <c r="H119" s="857" t="s">
        <v>1145</v>
      </c>
      <c r="I119" s="861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55" t="s">
        <v>643</v>
      </c>
      <c r="B120" s="856" t="s">
        <v>1140</v>
      </c>
      <c r="C120" s="856" t="s">
        <v>339</v>
      </c>
      <c r="D120" s="857" t="s">
        <v>339</v>
      </c>
      <c r="E120" s="858">
        <v>19</v>
      </c>
      <c r="F120" s="859" t="s">
        <v>638</v>
      </c>
      <c r="G120" s="860">
        <v>0</v>
      </c>
      <c r="H120" s="857" t="s">
        <v>1146</v>
      </c>
      <c r="I120" s="861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55" t="s">
        <v>643</v>
      </c>
      <c r="B121" s="856" t="s">
        <v>1140</v>
      </c>
      <c r="C121" s="856" t="s">
        <v>339</v>
      </c>
      <c r="D121" s="857" t="s">
        <v>339</v>
      </c>
      <c r="E121" s="858">
        <v>31</v>
      </c>
      <c r="F121" s="859" t="s">
        <v>638</v>
      </c>
      <c r="G121" s="860">
        <v>0</v>
      </c>
      <c r="H121" s="857" t="s">
        <v>1147</v>
      </c>
      <c r="I121" s="861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55" t="s">
        <v>643</v>
      </c>
      <c r="B122" s="856" t="s">
        <v>1148</v>
      </c>
      <c r="C122" s="856" t="s">
        <v>339</v>
      </c>
      <c r="D122" s="857" t="s">
        <v>339</v>
      </c>
      <c r="E122" s="858">
        <v>30</v>
      </c>
      <c r="F122" s="859" t="s">
        <v>638</v>
      </c>
      <c r="G122" s="860">
        <v>0</v>
      </c>
      <c r="H122" s="857" t="s">
        <v>1149</v>
      </c>
      <c r="I122" s="861">
        <v>110.78125</v>
      </c>
      <c r="J122" s="295">
        <v>110.875</v>
      </c>
      <c r="K122" s="296">
        <f t="shared" si="2"/>
        <v>2812.5</v>
      </c>
      <c r="L122"/>
    </row>
    <row r="123" spans="1:12">
      <c r="A123" s="855" t="s">
        <v>643</v>
      </c>
      <c r="B123" s="856" t="s">
        <v>1148</v>
      </c>
      <c r="C123" s="856" t="s">
        <v>339</v>
      </c>
      <c r="D123" s="857" t="s">
        <v>339</v>
      </c>
      <c r="E123" s="858">
        <v>7</v>
      </c>
      <c r="F123" s="859" t="s">
        <v>638</v>
      </c>
      <c r="G123" s="860">
        <v>0</v>
      </c>
      <c r="H123" s="857" t="s">
        <v>1149</v>
      </c>
      <c r="I123" s="861">
        <v>110.78125</v>
      </c>
      <c r="J123" s="295">
        <v>110.875</v>
      </c>
      <c r="K123" s="296">
        <f t="shared" si="2"/>
        <v>656.25</v>
      </c>
      <c r="L123"/>
    </row>
    <row r="124" spans="1:12">
      <c r="A124" s="855" t="s">
        <v>643</v>
      </c>
      <c r="B124" s="856" t="s">
        <v>1148</v>
      </c>
      <c r="C124" s="856" t="s">
        <v>339</v>
      </c>
      <c r="D124" s="857" t="s">
        <v>339</v>
      </c>
      <c r="E124" s="858">
        <v>13</v>
      </c>
      <c r="F124" s="859" t="s">
        <v>638</v>
      </c>
      <c r="G124" s="860">
        <v>0</v>
      </c>
      <c r="H124" s="857" t="s">
        <v>1150</v>
      </c>
      <c r="I124" s="861">
        <v>110.78125</v>
      </c>
      <c r="J124" s="295">
        <v>110.875</v>
      </c>
      <c r="K124" s="296">
        <f t="shared" si="2"/>
        <v>1218.75</v>
      </c>
      <c r="L124"/>
    </row>
    <row r="125" spans="1:12">
      <c r="A125" s="855" t="s">
        <v>643</v>
      </c>
      <c r="B125" s="856" t="s">
        <v>1148</v>
      </c>
      <c r="C125" s="856" t="s">
        <v>339</v>
      </c>
      <c r="D125" s="857" t="s">
        <v>339</v>
      </c>
      <c r="E125" s="858">
        <v>-10</v>
      </c>
      <c r="F125" s="859" t="s">
        <v>638</v>
      </c>
      <c r="G125" s="860">
        <v>770</v>
      </c>
      <c r="H125" s="857" t="s">
        <v>1151</v>
      </c>
      <c r="I125" s="861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55" t="s">
        <v>643</v>
      </c>
      <c r="B126" s="856" t="s">
        <v>1148</v>
      </c>
      <c r="C126" s="856" t="s">
        <v>339</v>
      </c>
      <c r="D126" s="857" t="s">
        <v>339</v>
      </c>
      <c r="E126" s="858">
        <v>-30</v>
      </c>
      <c r="F126" s="859" t="s">
        <v>638</v>
      </c>
      <c r="G126" s="860">
        <v>2310</v>
      </c>
      <c r="H126" s="857" t="s">
        <v>1159</v>
      </c>
      <c r="I126" s="861">
        <v>110.9375</v>
      </c>
      <c r="J126" s="295">
        <v>112.125</v>
      </c>
      <c r="K126" s="296">
        <f t="shared" si="2"/>
        <v>-35625</v>
      </c>
      <c r="L126"/>
    </row>
    <row r="127" spans="1:12">
      <c r="A127" s="855" t="s">
        <v>643</v>
      </c>
      <c r="B127" s="856" t="s">
        <v>1174</v>
      </c>
      <c r="C127" s="856" t="s">
        <v>339</v>
      </c>
      <c r="D127" s="857" t="s">
        <v>339</v>
      </c>
      <c r="E127" s="858">
        <v>20</v>
      </c>
      <c r="F127" s="859" t="s">
        <v>304</v>
      </c>
      <c r="G127" s="860">
        <v>0</v>
      </c>
      <c r="H127" s="857" t="s">
        <v>1186</v>
      </c>
      <c r="I127" s="861">
        <v>112.578125</v>
      </c>
      <c r="J127" s="295">
        <v>112.8125</v>
      </c>
      <c r="K127" s="296">
        <f t="shared" si="2"/>
        <v>4687.5</v>
      </c>
      <c r="L127"/>
    </row>
    <row r="128" spans="1:12">
      <c r="A128" s="855" t="s">
        <v>647</v>
      </c>
      <c r="B128" s="856" t="s">
        <v>1213</v>
      </c>
      <c r="C128" s="856" t="s">
        <v>339</v>
      </c>
      <c r="D128" s="857" t="s">
        <v>339</v>
      </c>
      <c r="E128" s="858">
        <v>50</v>
      </c>
      <c r="F128" s="859" t="s">
        <v>638</v>
      </c>
      <c r="G128" s="860">
        <v>0</v>
      </c>
      <c r="H128" s="857" t="s">
        <v>1214</v>
      </c>
      <c r="I128" s="861">
        <v>108.2578125</v>
      </c>
      <c r="J128" s="295">
        <v>108.4453125</v>
      </c>
      <c r="K128" s="296">
        <f t="shared" si="2"/>
        <v>9375</v>
      </c>
      <c r="L128"/>
    </row>
    <row r="129" spans="1:12">
      <c r="A129" s="855" t="s">
        <v>647</v>
      </c>
      <c r="B129" s="856" t="s">
        <v>1213</v>
      </c>
      <c r="C129" s="856" t="s">
        <v>339</v>
      </c>
      <c r="D129" s="857" t="s">
        <v>339</v>
      </c>
      <c r="E129" s="858">
        <v>4</v>
      </c>
      <c r="F129" s="859" t="s">
        <v>638</v>
      </c>
      <c r="G129" s="860">
        <v>0</v>
      </c>
      <c r="H129" s="857" t="s">
        <v>1215</v>
      </c>
      <c r="I129" s="861">
        <v>108.3046875</v>
      </c>
      <c r="J129" s="295">
        <v>108.3671875</v>
      </c>
      <c r="K129" s="296">
        <f t="shared" si="2"/>
        <v>250</v>
      </c>
      <c r="L129"/>
    </row>
    <row r="130" spans="1:12">
      <c r="A130" s="855" t="s">
        <v>647</v>
      </c>
      <c r="B130" s="856" t="s">
        <v>1213</v>
      </c>
      <c r="C130" s="856" t="s">
        <v>339</v>
      </c>
      <c r="D130" s="857" t="s">
        <v>339</v>
      </c>
      <c r="E130" s="858">
        <v>26</v>
      </c>
      <c r="F130" s="859" t="s">
        <v>638</v>
      </c>
      <c r="G130" s="860">
        <v>0</v>
      </c>
      <c r="H130" s="857" t="s">
        <v>1216</v>
      </c>
      <c r="I130" s="861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55" t="s">
        <v>647</v>
      </c>
      <c r="B131" s="856" t="s">
        <v>1213</v>
      </c>
      <c r="C131" s="856" t="s">
        <v>339</v>
      </c>
      <c r="D131" s="857" t="s">
        <v>339</v>
      </c>
      <c r="E131" s="858">
        <v>50</v>
      </c>
      <c r="F131" s="859" t="s">
        <v>638</v>
      </c>
      <c r="G131" s="860">
        <v>0</v>
      </c>
      <c r="H131" s="857" t="s">
        <v>1217</v>
      </c>
      <c r="I131" s="861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55" t="s">
        <v>647</v>
      </c>
      <c r="B132" s="856" t="s">
        <v>1213</v>
      </c>
      <c r="C132" s="856" t="s">
        <v>339</v>
      </c>
      <c r="D132" s="857" t="s">
        <v>339</v>
      </c>
      <c r="E132" s="858">
        <v>30</v>
      </c>
      <c r="F132" s="859" t="s">
        <v>638</v>
      </c>
      <c r="G132" s="860">
        <v>0</v>
      </c>
      <c r="H132" s="857" t="s">
        <v>1218</v>
      </c>
      <c r="I132" s="861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55" t="s">
        <v>647</v>
      </c>
      <c r="B133" s="856" t="s">
        <v>1213</v>
      </c>
      <c r="C133" s="856" t="s">
        <v>339</v>
      </c>
      <c r="D133" s="857" t="s">
        <v>339</v>
      </c>
      <c r="E133" s="858">
        <v>20</v>
      </c>
      <c r="F133" s="859" t="s">
        <v>638</v>
      </c>
      <c r="G133" s="860">
        <v>0</v>
      </c>
      <c r="H133" s="857" t="s">
        <v>1216</v>
      </c>
      <c r="I133" s="861">
        <v>108.3125</v>
      </c>
      <c r="J133" s="295">
        <v>108.4453125</v>
      </c>
      <c r="K133" s="296">
        <f t="shared" si="2"/>
        <v>2656.25</v>
      </c>
      <c r="L133"/>
    </row>
    <row r="134" spans="1:12">
      <c r="A134" s="855" t="s">
        <v>643</v>
      </c>
      <c r="B134" s="856" t="s">
        <v>1213</v>
      </c>
      <c r="C134" s="856" t="s">
        <v>339</v>
      </c>
      <c r="D134" s="857" t="s">
        <v>339</v>
      </c>
      <c r="E134" s="858">
        <v>-10</v>
      </c>
      <c r="F134" s="859" t="s">
        <v>304</v>
      </c>
      <c r="G134" s="860">
        <v>0</v>
      </c>
      <c r="H134" s="857" t="s">
        <v>1220</v>
      </c>
      <c r="I134" s="861">
        <v>113.328125</v>
      </c>
      <c r="J134" s="295">
        <v>113.625</v>
      </c>
      <c r="K134" s="296">
        <f t="shared" si="2"/>
        <v>-2968.75</v>
      </c>
      <c r="L134"/>
    </row>
    <row r="135" spans="1:12">
      <c r="A135" s="855" t="s">
        <v>643</v>
      </c>
      <c r="B135" s="856" t="s">
        <v>1213</v>
      </c>
      <c r="C135" s="856" t="s">
        <v>339</v>
      </c>
      <c r="D135" s="857" t="s">
        <v>339</v>
      </c>
      <c r="E135" s="858">
        <v>-10</v>
      </c>
      <c r="F135" s="859" t="s">
        <v>304</v>
      </c>
      <c r="G135" s="860">
        <v>0</v>
      </c>
      <c r="H135" s="857" t="s">
        <v>1221</v>
      </c>
      <c r="I135" s="861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55" t="s">
        <v>643</v>
      </c>
      <c r="B136" s="856" t="s">
        <v>1213</v>
      </c>
      <c r="C136" s="856" t="s">
        <v>339</v>
      </c>
      <c r="D136" s="857" t="s">
        <v>339</v>
      </c>
      <c r="E136" s="858">
        <v>-20</v>
      </c>
      <c r="F136" s="859" t="s">
        <v>638</v>
      </c>
      <c r="G136" s="860">
        <v>0</v>
      </c>
      <c r="H136" s="857" t="s">
        <v>1222</v>
      </c>
      <c r="I136" s="861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55" t="s">
        <v>643</v>
      </c>
      <c r="B137" s="856" t="s">
        <v>1213</v>
      </c>
      <c r="C137" s="856" t="s">
        <v>339</v>
      </c>
      <c r="D137" s="857" t="s">
        <v>339</v>
      </c>
      <c r="E137" s="858">
        <v>-20</v>
      </c>
      <c r="F137" s="859" t="s">
        <v>638</v>
      </c>
      <c r="G137" s="860">
        <v>0</v>
      </c>
      <c r="H137" s="857" t="s">
        <v>1223</v>
      </c>
      <c r="I137" s="861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55" t="s">
        <v>643</v>
      </c>
      <c r="B138" s="856" t="s">
        <v>1213</v>
      </c>
      <c r="C138" s="856" t="s">
        <v>339</v>
      </c>
      <c r="D138" s="857" t="s">
        <v>339</v>
      </c>
      <c r="E138" s="858">
        <v>-10</v>
      </c>
      <c r="F138" s="859" t="s">
        <v>304</v>
      </c>
      <c r="G138" s="860">
        <v>0</v>
      </c>
      <c r="H138" s="857" t="s">
        <v>1224</v>
      </c>
      <c r="I138" s="861">
        <v>112.796875</v>
      </c>
      <c r="J138" s="295">
        <v>113.671875</v>
      </c>
      <c r="K138" s="296">
        <f t="shared" si="3"/>
        <v>-8750</v>
      </c>
      <c r="L138"/>
    </row>
    <row r="139" spans="1:12">
      <c r="A139" s="855" t="s">
        <v>647</v>
      </c>
      <c r="B139" s="856" t="s">
        <v>1213</v>
      </c>
      <c r="C139" s="856" t="s">
        <v>339</v>
      </c>
      <c r="D139" s="857" t="s">
        <v>339</v>
      </c>
      <c r="E139" s="858">
        <v>-30</v>
      </c>
      <c r="F139" s="859" t="s">
        <v>304</v>
      </c>
      <c r="G139" s="860">
        <v>0</v>
      </c>
      <c r="H139" s="857" t="s">
        <v>1231</v>
      </c>
      <c r="I139" s="861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55" t="s">
        <v>647</v>
      </c>
      <c r="B140" s="856" t="s">
        <v>1213</v>
      </c>
      <c r="C140" s="856" t="s">
        <v>339</v>
      </c>
      <c r="D140" s="857" t="s">
        <v>339</v>
      </c>
      <c r="E140" s="858">
        <v>-20</v>
      </c>
      <c r="F140" s="859" t="s">
        <v>304</v>
      </c>
      <c r="G140" s="860">
        <v>0</v>
      </c>
      <c r="H140" s="857" t="s">
        <v>1232</v>
      </c>
      <c r="I140" s="861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55" t="s">
        <v>647</v>
      </c>
      <c r="B141" s="856" t="s">
        <v>1213</v>
      </c>
      <c r="C141" s="856" t="s">
        <v>339</v>
      </c>
      <c r="D141" s="857" t="s">
        <v>339</v>
      </c>
      <c r="E141" s="858">
        <v>-20</v>
      </c>
      <c r="F141" s="859" t="s">
        <v>304</v>
      </c>
      <c r="G141" s="860">
        <v>0</v>
      </c>
      <c r="H141" s="857" t="s">
        <v>1233</v>
      </c>
      <c r="I141" s="861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55" t="s">
        <v>647</v>
      </c>
      <c r="B142" s="856" t="s">
        <v>1213</v>
      </c>
      <c r="C142" s="856" t="s">
        <v>339</v>
      </c>
      <c r="D142" s="857" t="s">
        <v>339</v>
      </c>
      <c r="E142" s="858">
        <v>-30</v>
      </c>
      <c r="F142" s="859" t="s">
        <v>304</v>
      </c>
      <c r="G142" s="860">
        <v>0</v>
      </c>
      <c r="H142" s="857" t="s">
        <v>1234</v>
      </c>
      <c r="I142" s="861">
        <v>109.15625</v>
      </c>
      <c r="J142" s="295">
        <v>108.953125</v>
      </c>
      <c r="K142" s="296">
        <f t="shared" si="3"/>
        <v>6093.75</v>
      </c>
      <c r="L142"/>
    </row>
    <row r="143" spans="1:12">
      <c r="A143" s="855" t="s">
        <v>647</v>
      </c>
      <c r="B143" s="856" t="s">
        <v>1213</v>
      </c>
      <c r="C143" s="856" t="s">
        <v>339</v>
      </c>
      <c r="D143" s="857" t="s">
        <v>339</v>
      </c>
      <c r="E143" s="858">
        <v>-30</v>
      </c>
      <c r="F143" s="859" t="s">
        <v>304</v>
      </c>
      <c r="G143" s="860">
        <v>0</v>
      </c>
      <c r="H143" s="857" t="s">
        <v>1235</v>
      </c>
      <c r="I143" s="861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55" t="s">
        <v>647</v>
      </c>
      <c r="B144" s="856" t="s">
        <v>1213</v>
      </c>
      <c r="C144" s="856" t="s">
        <v>339</v>
      </c>
      <c r="D144" s="857" t="s">
        <v>339</v>
      </c>
      <c r="E144" s="858">
        <v>-30</v>
      </c>
      <c r="F144" s="859" t="s">
        <v>638</v>
      </c>
      <c r="G144" s="860">
        <v>0</v>
      </c>
      <c r="H144" s="857" t="s">
        <v>1236</v>
      </c>
      <c r="I144" s="861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55" t="s">
        <v>647</v>
      </c>
      <c r="B145" s="856" t="s">
        <v>1213</v>
      </c>
      <c r="C145" s="856" t="s">
        <v>339</v>
      </c>
      <c r="D145" s="857" t="s">
        <v>339</v>
      </c>
      <c r="E145" s="858">
        <v>-71</v>
      </c>
      <c r="F145" s="859" t="s">
        <v>638</v>
      </c>
      <c r="G145" s="860">
        <v>0</v>
      </c>
      <c r="H145" s="857" t="s">
        <v>1237</v>
      </c>
      <c r="I145" s="861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55" t="s">
        <v>647</v>
      </c>
      <c r="B146" s="856" t="s">
        <v>1213</v>
      </c>
      <c r="C146" s="856" t="s">
        <v>339</v>
      </c>
      <c r="D146" s="857" t="s">
        <v>339</v>
      </c>
      <c r="E146" s="858">
        <v>-9</v>
      </c>
      <c r="F146" s="859" t="s">
        <v>638</v>
      </c>
      <c r="G146" s="860">
        <v>0</v>
      </c>
      <c r="H146" s="857" t="s">
        <v>1238</v>
      </c>
      <c r="I146" s="861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55" t="s">
        <v>647</v>
      </c>
      <c r="B147" s="856" t="s">
        <v>1239</v>
      </c>
      <c r="C147" s="856" t="s">
        <v>339</v>
      </c>
      <c r="D147" s="857" t="s">
        <v>339</v>
      </c>
      <c r="E147" s="858">
        <v>3</v>
      </c>
      <c r="F147" s="859" t="s">
        <v>638</v>
      </c>
      <c r="G147" s="860">
        <v>0</v>
      </c>
      <c r="H147" s="857" t="s">
        <v>1240</v>
      </c>
      <c r="I147" s="861">
        <v>109.8828125</v>
      </c>
      <c r="J147" s="295">
        <v>109.5</v>
      </c>
      <c r="K147" s="296">
        <f t="shared" si="3"/>
        <v>-1148.4375</v>
      </c>
      <c r="L147"/>
    </row>
    <row r="148" spans="1:12">
      <c r="A148" s="855" t="s">
        <v>647</v>
      </c>
      <c r="B148" s="856" t="s">
        <v>1239</v>
      </c>
      <c r="C148" s="856" t="s">
        <v>339</v>
      </c>
      <c r="D148" s="857" t="s">
        <v>339</v>
      </c>
      <c r="E148" s="858">
        <v>27</v>
      </c>
      <c r="F148" s="859" t="s">
        <v>638</v>
      </c>
      <c r="G148" s="860">
        <v>0</v>
      </c>
      <c r="H148" s="857" t="s">
        <v>1241</v>
      </c>
      <c r="I148" s="861">
        <v>109.890625</v>
      </c>
      <c r="J148" s="295">
        <v>109.5</v>
      </c>
      <c r="K148" s="296">
        <f t="shared" si="3"/>
        <v>-10546.875</v>
      </c>
      <c r="L148"/>
    </row>
    <row r="149" spans="1:12">
      <c r="A149" s="855" t="s">
        <v>647</v>
      </c>
      <c r="B149" s="856" t="s">
        <v>1239</v>
      </c>
      <c r="C149" s="856" t="s">
        <v>339</v>
      </c>
      <c r="D149" s="857" t="s">
        <v>339</v>
      </c>
      <c r="E149" s="858">
        <v>-20</v>
      </c>
      <c r="F149" s="859" t="s">
        <v>638</v>
      </c>
      <c r="G149" s="860">
        <v>0</v>
      </c>
      <c r="H149" s="857" t="s">
        <v>1242</v>
      </c>
      <c r="I149" s="861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55" t="s">
        <v>647</v>
      </c>
      <c r="B150" s="856" t="s">
        <v>1239</v>
      </c>
      <c r="C150" s="856" t="s">
        <v>339</v>
      </c>
      <c r="D150" s="857" t="s">
        <v>339</v>
      </c>
      <c r="E150" s="858">
        <v>-10</v>
      </c>
      <c r="F150" s="859" t="s">
        <v>638</v>
      </c>
      <c r="G150" s="860">
        <v>0</v>
      </c>
      <c r="H150" s="857" t="s">
        <v>1243</v>
      </c>
      <c r="I150" s="861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55" t="s">
        <v>647</v>
      </c>
      <c r="B151" s="856" t="s">
        <v>1239</v>
      </c>
      <c r="C151" s="856" t="s">
        <v>339</v>
      </c>
      <c r="D151" s="857" t="s">
        <v>339</v>
      </c>
      <c r="E151" s="858">
        <v>-10</v>
      </c>
      <c r="F151" s="859" t="s">
        <v>638</v>
      </c>
      <c r="G151" s="860">
        <v>0</v>
      </c>
      <c r="H151" s="857" t="s">
        <v>1243</v>
      </c>
      <c r="I151" s="861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55" t="s">
        <v>643</v>
      </c>
      <c r="B152" s="856" t="s">
        <v>1148</v>
      </c>
      <c r="C152" s="856" t="s">
        <v>339</v>
      </c>
      <c r="D152" s="857" t="s">
        <v>339</v>
      </c>
      <c r="E152" s="858">
        <v>20</v>
      </c>
      <c r="F152" s="859" t="s">
        <v>304</v>
      </c>
      <c r="G152" s="860">
        <v>-2310</v>
      </c>
      <c r="H152" s="857" t="s">
        <v>1160</v>
      </c>
      <c r="I152" s="861">
        <v>111.234375</v>
      </c>
      <c r="J152" s="295">
        <v>114.46875</v>
      </c>
      <c r="K152" s="296">
        <f t="shared" si="3"/>
        <v>64687.5</v>
      </c>
      <c r="L152"/>
    </row>
    <row r="153" spans="1:12">
      <c r="A153" s="855" t="s">
        <v>643</v>
      </c>
      <c r="B153" s="856" t="s">
        <v>1174</v>
      </c>
      <c r="C153" s="856" t="s">
        <v>339</v>
      </c>
      <c r="D153" s="857" t="s">
        <v>339</v>
      </c>
      <c r="E153" s="858">
        <v>10</v>
      </c>
      <c r="F153" s="859" t="s">
        <v>304</v>
      </c>
      <c r="G153" s="860">
        <v>-770</v>
      </c>
      <c r="H153" s="857" t="s">
        <v>1186</v>
      </c>
      <c r="I153" s="861">
        <v>112.578125</v>
      </c>
      <c r="J153" s="295">
        <v>114.875</v>
      </c>
      <c r="K153" s="296">
        <f t="shared" si="3"/>
        <v>22968.75</v>
      </c>
      <c r="L153"/>
    </row>
    <row r="154" spans="1:12">
      <c r="A154" s="855" t="s">
        <v>643</v>
      </c>
      <c r="B154" s="856" t="s">
        <v>1174</v>
      </c>
      <c r="C154" s="856" t="s">
        <v>339</v>
      </c>
      <c r="D154" s="857" t="s">
        <v>339</v>
      </c>
      <c r="E154" s="858">
        <v>20</v>
      </c>
      <c r="F154" s="859" t="s">
        <v>304</v>
      </c>
      <c r="G154" s="860">
        <v>-2310</v>
      </c>
      <c r="H154" s="857" t="s">
        <v>1188</v>
      </c>
      <c r="I154" s="861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55" t="s">
        <v>643</v>
      </c>
      <c r="B155" s="856" t="s">
        <v>1148</v>
      </c>
      <c r="C155" s="856" t="s">
        <v>339</v>
      </c>
      <c r="D155" s="857" t="s">
        <v>339</v>
      </c>
      <c r="E155" s="858">
        <v>10</v>
      </c>
      <c r="F155" s="859" t="s">
        <v>304</v>
      </c>
      <c r="G155" s="860">
        <v>-2310</v>
      </c>
      <c r="H155" s="857" t="s">
        <v>1160</v>
      </c>
      <c r="I155" s="861">
        <v>111.234375</v>
      </c>
      <c r="J155" s="295">
        <v>114.3125</v>
      </c>
      <c r="K155" s="296">
        <f t="shared" si="3"/>
        <v>30781.25</v>
      </c>
      <c r="L155"/>
    </row>
    <row r="156" spans="1:12">
      <c r="A156" s="855" t="s">
        <v>643</v>
      </c>
      <c r="B156" s="856" t="s">
        <v>1174</v>
      </c>
      <c r="C156" s="856" t="s">
        <v>339</v>
      </c>
      <c r="D156" s="857" t="s">
        <v>339</v>
      </c>
      <c r="E156" s="858">
        <v>10</v>
      </c>
      <c r="F156" s="859" t="s">
        <v>304</v>
      </c>
      <c r="G156" s="860">
        <v>-2310</v>
      </c>
      <c r="H156" s="857" t="s">
        <v>1188</v>
      </c>
      <c r="I156" s="861">
        <v>113.0625</v>
      </c>
      <c r="J156" s="295">
        <v>114.3125</v>
      </c>
      <c r="K156" s="296">
        <f t="shared" si="3"/>
        <v>12500</v>
      </c>
      <c r="L156"/>
    </row>
    <row r="157" spans="1:12">
      <c r="A157" s="855" t="s">
        <v>643</v>
      </c>
      <c r="B157" s="856" t="s">
        <v>1239</v>
      </c>
      <c r="C157" s="856" t="s">
        <v>339</v>
      </c>
      <c r="D157" s="857" t="s">
        <v>339</v>
      </c>
      <c r="E157" s="858">
        <v>-30</v>
      </c>
      <c r="F157" s="859" t="s">
        <v>638</v>
      </c>
      <c r="G157" s="860">
        <v>0</v>
      </c>
      <c r="H157" s="857" t="s">
        <v>1244</v>
      </c>
      <c r="I157" s="861">
        <v>114.234375</v>
      </c>
      <c r="J157" s="295">
        <v>114.21875</v>
      </c>
      <c r="K157" s="296">
        <f t="shared" si="3"/>
        <v>468.75</v>
      </c>
      <c r="L157"/>
    </row>
    <row r="158" spans="1:12">
      <c r="A158" s="855" t="s">
        <v>643</v>
      </c>
      <c r="B158" s="856" t="s">
        <v>1239</v>
      </c>
      <c r="C158" s="856" t="s">
        <v>339</v>
      </c>
      <c r="D158" s="857" t="s">
        <v>339</v>
      </c>
      <c r="E158" s="858">
        <v>-10</v>
      </c>
      <c r="F158" s="859" t="s">
        <v>638</v>
      </c>
      <c r="G158" s="860">
        <v>0</v>
      </c>
      <c r="H158" s="857" t="s">
        <v>1245</v>
      </c>
      <c r="I158" s="861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55" t="s">
        <v>647</v>
      </c>
      <c r="B159" s="856" t="s">
        <v>1213</v>
      </c>
      <c r="C159" s="856" t="s">
        <v>339</v>
      </c>
      <c r="D159" s="857" t="s">
        <v>339</v>
      </c>
      <c r="E159" s="858">
        <v>20</v>
      </c>
      <c r="F159" s="859" t="s">
        <v>638</v>
      </c>
      <c r="G159" s="860">
        <v>-854</v>
      </c>
      <c r="H159" s="857" t="s">
        <v>1219</v>
      </c>
      <c r="I159" s="861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55" t="s">
        <v>647</v>
      </c>
      <c r="B160" s="856" t="s">
        <v>1239</v>
      </c>
      <c r="C160" s="856" t="s">
        <v>339</v>
      </c>
      <c r="D160" s="857" t="s">
        <v>339</v>
      </c>
      <c r="E160" s="858">
        <v>20</v>
      </c>
      <c r="F160" s="859" t="s">
        <v>304</v>
      </c>
      <c r="G160" s="860">
        <v>0</v>
      </c>
      <c r="H160" s="857" t="s">
        <v>1257</v>
      </c>
      <c r="I160" s="861">
        <v>108.328125</v>
      </c>
      <c r="J160" s="295">
        <v>108.359375</v>
      </c>
      <c r="K160" s="296">
        <f t="shared" si="3"/>
        <v>625</v>
      </c>
      <c r="L160"/>
    </row>
    <row r="161" spans="1:12">
      <c r="A161" s="855" t="s">
        <v>647</v>
      </c>
      <c r="B161" s="856" t="s">
        <v>1239</v>
      </c>
      <c r="C161" s="856" t="s">
        <v>339</v>
      </c>
      <c r="D161" s="857" t="s">
        <v>339</v>
      </c>
      <c r="E161" s="858">
        <v>30</v>
      </c>
      <c r="F161" s="859" t="s">
        <v>304</v>
      </c>
      <c r="G161" s="860">
        <v>0</v>
      </c>
      <c r="H161" s="857" t="s">
        <v>1258</v>
      </c>
      <c r="I161" s="861">
        <v>108.34375</v>
      </c>
      <c r="J161" s="295">
        <v>108.359375</v>
      </c>
      <c r="K161" s="296">
        <f t="shared" si="3"/>
        <v>468.75</v>
      </c>
      <c r="L161"/>
    </row>
    <row r="162" spans="1:12">
      <c r="A162" s="855" t="s">
        <v>647</v>
      </c>
      <c r="B162" s="856" t="s">
        <v>1239</v>
      </c>
      <c r="C162" s="856" t="s">
        <v>339</v>
      </c>
      <c r="D162" s="857" t="s">
        <v>339</v>
      </c>
      <c r="E162" s="858">
        <v>50</v>
      </c>
      <c r="F162" s="859" t="s">
        <v>304</v>
      </c>
      <c r="G162" s="860">
        <v>0</v>
      </c>
      <c r="H162" s="857" t="s">
        <v>1259</v>
      </c>
      <c r="I162" s="861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55" t="s">
        <v>643</v>
      </c>
      <c r="B163" s="856" t="s">
        <v>1174</v>
      </c>
      <c r="C163" s="856" t="s">
        <v>339</v>
      </c>
      <c r="D163" s="857" t="s">
        <v>339</v>
      </c>
      <c r="E163" s="858">
        <v>10</v>
      </c>
      <c r="F163" s="859" t="s">
        <v>304</v>
      </c>
      <c r="G163" s="860">
        <v>-770</v>
      </c>
      <c r="H163" s="857" t="s">
        <v>1187</v>
      </c>
      <c r="I163" s="861">
        <v>112.78125</v>
      </c>
      <c r="J163" s="295">
        <v>114.03125</v>
      </c>
      <c r="K163" s="296">
        <f t="shared" si="3"/>
        <v>12500</v>
      </c>
      <c r="L163"/>
    </row>
    <row r="164" spans="1:12">
      <c r="A164" s="855" t="s">
        <v>643</v>
      </c>
      <c r="B164" s="856" t="s">
        <v>1213</v>
      </c>
      <c r="C164" s="856" t="s">
        <v>339</v>
      </c>
      <c r="D164" s="857" t="s">
        <v>339</v>
      </c>
      <c r="E164" s="858">
        <v>10</v>
      </c>
      <c r="F164" s="859" t="s">
        <v>304</v>
      </c>
      <c r="G164" s="860">
        <v>-2310</v>
      </c>
      <c r="H164" s="857" t="s">
        <v>1225</v>
      </c>
      <c r="I164" s="861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55" t="s">
        <v>647</v>
      </c>
      <c r="B165" s="856" t="s">
        <v>1263</v>
      </c>
      <c r="C165" s="856" t="s">
        <v>339</v>
      </c>
      <c r="D165" s="857" t="s">
        <v>339</v>
      </c>
      <c r="E165" s="858">
        <v>30</v>
      </c>
      <c r="F165" s="859" t="s">
        <v>638</v>
      </c>
      <c r="G165" s="860">
        <v>-1281</v>
      </c>
      <c r="H165" s="857" t="s">
        <v>1270</v>
      </c>
      <c r="I165" s="861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55" t="s">
        <v>647</v>
      </c>
      <c r="B166" s="856" t="s">
        <v>1263</v>
      </c>
      <c r="C166" s="856" t="s">
        <v>339</v>
      </c>
      <c r="D166" s="857" t="s">
        <v>339</v>
      </c>
      <c r="E166" s="858">
        <v>50</v>
      </c>
      <c r="F166" s="859" t="s">
        <v>304</v>
      </c>
      <c r="G166" s="860">
        <v>0</v>
      </c>
      <c r="H166" s="857" t="s">
        <v>1317</v>
      </c>
      <c r="I166" s="861">
        <v>108.484375</v>
      </c>
      <c r="J166" s="295">
        <v>108.921875</v>
      </c>
      <c r="K166" s="296">
        <f t="shared" si="3"/>
        <v>21875</v>
      </c>
      <c r="L166"/>
    </row>
    <row r="167" spans="1:12">
      <c r="A167" s="855" t="s">
        <v>647</v>
      </c>
      <c r="B167" s="856" t="s">
        <v>1263</v>
      </c>
      <c r="C167" s="856" t="s">
        <v>339</v>
      </c>
      <c r="D167" s="857" t="s">
        <v>339</v>
      </c>
      <c r="E167" s="858">
        <v>30</v>
      </c>
      <c r="F167" s="859" t="s">
        <v>304</v>
      </c>
      <c r="G167" s="860">
        <v>0</v>
      </c>
      <c r="H167" s="857" t="s">
        <v>1321</v>
      </c>
      <c r="I167" s="861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55" t="s">
        <v>647</v>
      </c>
      <c r="B168" s="856" t="s">
        <v>1263</v>
      </c>
      <c r="C168" s="856" t="s">
        <v>339</v>
      </c>
      <c r="D168" s="857" t="s">
        <v>339</v>
      </c>
      <c r="E168" s="858">
        <v>-20</v>
      </c>
      <c r="F168" s="859" t="s">
        <v>304</v>
      </c>
      <c r="G168" s="860">
        <v>0</v>
      </c>
      <c r="H168" s="857" t="s">
        <v>1320</v>
      </c>
      <c r="I168" s="861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55" t="s">
        <v>647</v>
      </c>
      <c r="B169" s="856" t="s">
        <v>1263</v>
      </c>
      <c r="C169" s="856" t="s">
        <v>339</v>
      </c>
      <c r="D169" s="857" t="s">
        <v>339</v>
      </c>
      <c r="E169" s="858">
        <v>-30</v>
      </c>
      <c r="F169" s="859" t="s">
        <v>304</v>
      </c>
      <c r="G169" s="860">
        <v>1281</v>
      </c>
      <c r="H169" s="857" t="s">
        <v>1264</v>
      </c>
      <c r="I169" s="861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55" t="s">
        <v>647</v>
      </c>
      <c r="B170" s="856" t="s">
        <v>1239</v>
      </c>
      <c r="C170" s="856" t="s">
        <v>339</v>
      </c>
      <c r="D170" s="857" t="s">
        <v>339</v>
      </c>
      <c r="E170" s="858">
        <v>-30</v>
      </c>
      <c r="F170" s="859" t="s">
        <v>304</v>
      </c>
      <c r="G170" s="860">
        <v>1281</v>
      </c>
      <c r="H170" s="857" t="s">
        <v>1260</v>
      </c>
      <c r="I170" s="861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55" t="s">
        <v>647</v>
      </c>
      <c r="B171" s="856" t="s">
        <v>1239</v>
      </c>
      <c r="C171" s="856" t="s">
        <v>339</v>
      </c>
      <c r="D171" s="857" t="s">
        <v>339</v>
      </c>
      <c r="E171" s="858">
        <v>-10</v>
      </c>
      <c r="F171" s="859" t="s">
        <v>304</v>
      </c>
      <c r="G171" s="860">
        <v>427</v>
      </c>
      <c r="H171" s="857" t="s">
        <v>1261</v>
      </c>
      <c r="I171" s="861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55" t="s">
        <v>647</v>
      </c>
      <c r="B172" s="856" t="s">
        <v>1239</v>
      </c>
      <c r="C172" s="856" t="s">
        <v>339</v>
      </c>
      <c r="D172" s="857" t="s">
        <v>339</v>
      </c>
      <c r="E172" s="858">
        <v>-30</v>
      </c>
      <c r="F172" s="859" t="s">
        <v>304</v>
      </c>
      <c r="G172" s="860">
        <v>1281</v>
      </c>
      <c r="H172" s="857" t="s">
        <v>1262</v>
      </c>
      <c r="I172" s="861">
        <v>108.375</v>
      </c>
      <c r="J172" s="295">
        <v>108.671875</v>
      </c>
      <c r="K172" s="296">
        <f t="shared" si="3"/>
        <v>-8906.25</v>
      </c>
      <c r="L172"/>
    </row>
    <row r="173" spans="1:12">
      <c r="A173" s="855" t="s">
        <v>647</v>
      </c>
      <c r="B173" s="856" t="s">
        <v>1263</v>
      </c>
      <c r="C173" s="856" t="s">
        <v>339</v>
      </c>
      <c r="D173" s="857" t="s">
        <v>339</v>
      </c>
      <c r="E173" s="858">
        <v>-50</v>
      </c>
      <c r="F173" s="859" t="s">
        <v>304</v>
      </c>
      <c r="G173" s="860">
        <v>2135</v>
      </c>
      <c r="H173" s="857" t="s">
        <v>1265</v>
      </c>
      <c r="I173" s="861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55" t="s">
        <v>647</v>
      </c>
      <c r="B174" s="856" t="s">
        <v>1263</v>
      </c>
      <c r="C174" s="856" t="s">
        <v>339</v>
      </c>
      <c r="D174" s="857" t="s">
        <v>339</v>
      </c>
      <c r="E174" s="858">
        <v>-33</v>
      </c>
      <c r="F174" s="859" t="s">
        <v>304</v>
      </c>
      <c r="G174" s="860">
        <v>2135</v>
      </c>
      <c r="H174" s="857" t="s">
        <v>1266</v>
      </c>
      <c r="I174" s="861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55" t="s">
        <v>647</v>
      </c>
      <c r="B175" s="856" t="s">
        <v>1263</v>
      </c>
      <c r="C175" s="856" t="s">
        <v>339</v>
      </c>
      <c r="D175" s="857" t="s">
        <v>339</v>
      </c>
      <c r="E175" s="858">
        <v>-17</v>
      </c>
      <c r="F175" s="859" t="s">
        <v>304</v>
      </c>
      <c r="G175" s="860">
        <v>2135</v>
      </c>
      <c r="H175" s="857" t="s">
        <v>1266</v>
      </c>
      <c r="I175" s="861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55" t="s">
        <v>647</v>
      </c>
      <c r="B176" s="856" t="s">
        <v>1263</v>
      </c>
      <c r="C176" s="856" t="s">
        <v>339</v>
      </c>
      <c r="D176" s="857" t="s">
        <v>339</v>
      </c>
      <c r="E176" s="858">
        <v>28</v>
      </c>
      <c r="F176" s="859" t="s">
        <v>304</v>
      </c>
      <c r="G176" s="860">
        <v>-2926</v>
      </c>
      <c r="H176" s="857" t="s">
        <v>1322</v>
      </c>
      <c r="I176" s="861">
        <v>108.75</v>
      </c>
      <c r="J176" s="295">
        <v>109.546875</v>
      </c>
      <c r="K176" s="296">
        <f t="shared" si="3"/>
        <v>22312.5</v>
      </c>
      <c r="L176"/>
    </row>
    <row r="177" spans="1:12">
      <c r="A177" s="855" t="s">
        <v>647</v>
      </c>
      <c r="B177" s="856" t="s">
        <v>1263</v>
      </c>
      <c r="C177" s="856" t="s">
        <v>339</v>
      </c>
      <c r="D177" s="857" t="s">
        <v>339</v>
      </c>
      <c r="E177" s="858">
        <v>2</v>
      </c>
      <c r="F177" s="859" t="s">
        <v>304</v>
      </c>
      <c r="G177" s="860">
        <v>-154</v>
      </c>
      <c r="H177" s="857" t="s">
        <v>1323</v>
      </c>
      <c r="I177" s="861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55" t="s">
        <v>643</v>
      </c>
      <c r="B178" s="856" t="s">
        <v>1263</v>
      </c>
      <c r="C178" s="856" t="s">
        <v>339</v>
      </c>
      <c r="D178" s="857" t="s">
        <v>339</v>
      </c>
      <c r="E178" s="858">
        <v>50</v>
      </c>
      <c r="F178" s="859" t="s">
        <v>304</v>
      </c>
      <c r="G178" s="860">
        <v>-2310</v>
      </c>
      <c r="H178" s="857" t="s">
        <v>1337</v>
      </c>
      <c r="I178" s="861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55" t="s">
        <v>643</v>
      </c>
      <c r="B179" s="856" t="s">
        <v>1263</v>
      </c>
      <c r="C179" s="856" t="s">
        <v>339</v>
      </c>
      <c r="D179" s="857" t="s">
        <v>339</v>
      </c>
      <c r="E179" s="858">
        <v>30</v>
      </c>
      <c r="F179" s="859" t="s">
        <v>304</v>
      </c>
      <c r="G179" s="860">
        <v>-2310</v>
      </c>
      <c r="H179" s="857" t="s">
        <v>1326</v>
      </c>
      <c r="I179" s="861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55" t="s">
        <v>643</v>
      </c>
      <c r="B180" s="856" t="s">
        <v>1263</v>
      </c>
      <c r="C180" s="856" t="s">
        <v>339</v>
      </c>
      <c r="D180" s="857" t="s">
        <v>339</v>
      </c>
      <c r="E180" s="858">
        <v>27</v>
      </c>
      <c r="F180" s="859" t="s">
        <v>304</v>
      </c>
      <c r="G180" s="860">
        <v>-2310</v>
      </c>
      <c r="H180" s="857" t="s">
        <v>1338</v>
      </c>
      <c r="I180" s="861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55" t="s">
        <v>643</v>
      </c>
      <c r="B181" s="856" t="s">
        <v>1263</v>
      </c>
      <c r="C181" s="856" t="s">
        <v>339</v>
      </c>
      <c r="D181" s="857" t="s">
        <v>339</v>
      </c>
      <c r="E181" s="858">
        <v>3</v>
      </c>
      <c r="F181" s="859" t="s">
        <v>304</v>
      </c>
      <c r="G181" s="860">
        <v>-2310</v>
      </c>
      <c r="H181" s="857" t="s">
        <v>1338</v>
      </c>
      <c r="I181" s="861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55" t="s">
        <v>647</v>
      </c>
      <c r="B182" s="856" t="s">
        <v>1263</v>
      </c>
      <c r="C182" s="856" t="s">
        <v>339</v>
      </c>
      <c r="D182" s="857" t="s">
        <v>339</v>
      </c>
      <c r="E182" s="858">
        <v>30</v>
      </c>
      <c r="F182" s="859" t="s">
        <v>304</v>
      </c>
      <c r="G182" s="860">
        <v>-1622.6000000000001</v>
      </c>
      <c r="H182" s="857" t="s">
        <v>1324</v>
      </c>
      <c r="I182" s="861">
        <v>108.8125</v>
      </c>
      <c r="J182" s="295">
        <v>109.15625</v>
      </c>
      <c r="K182" s="296">
        <f t="shared" si="3"/>
        <v>10312.5</v>
      </c>
      <c r="L182"/>
    </row>
    <row r="183" spans="1:12">
      <c r="A183" s="855" t="s">
        <v>647</v>
      </c>
      <c r="B183" s="856" t="s">
        <v>1263</v>
      </c>
      <c r="C183" s="856" t="s">
        <v>339</v>
      </c>
      <c r="D183" s="857" t="s">
        <v>339</v>
      </c>
      <c r="E183" s="858">
        <v>10</v>
      </c>
      <c r="F183" s="859" t="s">
        <v>304</v>
      </c>
      <c r="G183" s="860">
        <v>-512.40000000000009</v>
      </c>
      <c r="H183" s="857" t="s">
        <v>1325</v>
      </c>
      <c r="I183" s="861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55" t="s">
        <v>647</v>
      </c>
      <c r="B184" s="856" t="s">
        <v>1263</v>
      </c>
      <c r="C184" s="856" t="s">
        <v>339</v>
      </c>
      <c r="D184" s="857" t="s">
        <v>339</v>
      </c>
      <c r="E184" s="858">
        <v>20</v>
      </c>
      <c r="F184" s="859" t="s">
        <v>304</v>
      </c>
      <c r="G184" s="860">
        <v>-1024.8000000000002</v>
      </c>
      <c r="H184" s="857" t="s">
        <v>1318</v>
      </c>
      <c r="I184" s="861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55" t="s">
        <v>647</v>
      </c>
      <c r="B185" s="856" t="s">
        <v>1263</v>
      </c>
      <c r="C185" s="856" t="s">
        <v>339</v>
      </c>
      <c r="D185" s="857" t="s">
        <v>339</v>
      </c>
      <c r="E185" s="858">
        <v>8</v>
      </c>
      <c r="F185" s="859" t="s">
        <v>304</v>
      </c>
      <c r="G185" s="860">
        <v>-1622.6000000000001</v>
      </c>
      <c r="H185" s="857" t="s">
        <v>1324</v>
      </c>
      <c r="I185" s="861">
        <v>108.8125</v>
      </c>
      <c r="J185" s="295">
        <v>109.203125</v>
      </c>
      <c r="K185" s="296">
        <f t="shared" si="3"/>
        <v>3125</v>
      </c>
      <c r="L185"/>
    </row>
    <row r="186" spans="1:12">
      <c r="A186" s="855" t="s">
        <v>647</v>
      </c>
      <c r="B186" s="856" t="s">
        <v>1263</v>
      </c>
      <c r="C186" s="856" t="s">
        <v>339</v>
      </c>
      <c r="D186" s="857" t="s">
        <v>339</v>
      </c>
      <c r="E186" s="858">
        <v>2</v>
      </c>
      <c r="F186" s="859" t="s">
        <v>304</v>
      </c>
      <c r="G186" s="860">
        <v>-512.40000000000009</v>
      </c>
      <c r="H186" s="857" t="s">
        <v>1325</v>
      </c>
      <c r="I186" s="861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55" t="s">
        <v>643</v>
      </c>
      <c r="B187" s="856" t="s">
        <v>1339</v>
      </c>
      <c r="C187" s="856" t="s">
        <v>339</v>
      </c>
      <c r="D187" s="857" t="s">
        <v>339</v>
      </c>
      <c r="E187" s="858">
        <v>-30</v>
      </c>
      <c r="F187" s="859" t="s">
        <v>304</v>
      </c>
      <c r="G187" s="860">
        <v>2310</v>
      </c>
      <c r="H187" s="857" t="s">
        <v>1340</v>
      </c>
      <c r="I187" s="861">
        <v>114.90625</v>
      </c>
      <c r="J187" s="295">
        <v>115.46875</v>
      </c>
      <c r="K187" s="296">
        <f t="shared" si="3"/>
        <v>-16875</v>
      </c>
      <c r="L187"/>
    </row>
    <row r="188" spans="1:12">
      <c r="A188" s="855" t="s">
        <v>643</v>
      </c>
      <c r="B188" s="856" t="s">
        <v>1354</v>
      </c>
      <c r="C188" s="856" t="s">
        <v>339</v>
      </c>
      <c r="D188" s="857" t="s">
        <v>339</v>
      </c>
      <c r="E188" s="858">
        <v>-30</v>
      </c>
      <c r="F188" s="859" t="s">
        <v>638</v>
      </c>
      <c r="G188" s="860">
        <v>0</v>
      </c>
      <c r="H188" s="857" t="s">
        <v>1355</v>
      </c>
      <c r="I188" s="861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55" t="s">
        <v>643</v>
      </c>
      <c r="B189" s="856" t="s">
        <v>1354</v>
      </c>
      <c r="C189" s="856" t="s">
        <v>339</v>
      </c>
      <c r="D189" s="857" t="s">
        <v>339</v>
      </c>
      <c r="E189" s="858">
        <v>-23</v>
      </c>
      <c r="F189" s="859" t="s">
        <v>304</v>
      </c>
      <c r="G189" s="860">
        <v>0</v>
      </c>
      <c r="H189" s="857" t="s">
        <v>1372</v>
      </c>
      <c r="I189" s="861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55" t="s">
        <v>643</v>
      </c>
      <c r="B190" s="856" t="s">
        <v>1354</v>
      </c>
      <c r="C190" s="856" t="s">
        <v>339</v>
      </c>
      <c r="D190" s="857" t="s">
        <v>339</v>
      </c>
      <c r="E190" s="858">
        <v>-7</v>
      </c>
      <c r="F190" s="859" t="s">
        <v>304</v>
      </c>
      <c r="G190" s="860">
        <v>0</v>
      </c>
      <c r="H190" s="857" t="s">
        <v>1373</v>
      </c>
      <c r="I190" s="861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55" t="s">
        <v>643</v>
      </c>
      <c r="B191" s="856" t="s">
        <v>1354</v>
      </c>
      <c r="C191" s="856" t="s">
        <v>339</v>
      </c>
      <c r="D191" s="857" t="s">
        <v>339</v>
      </c>
      <c r="E191" s="858">
        <v>-30</v>
      </c>
      <c r="F191" s="859" t="s">
        <v>638</v>
      </c>
      <c r="G191" s="860">
        <v>0</v>
      </c>
      <c r="H191" s="857" t="s">
        <v>1375</v>
      </c>
      <c r="I191" s="861">
        <v>116.5</v>
      </c>
      <c r="J191" s="295">
        <v>116.125</v>
      </c>
      <c r="K191" s="296">
        <f t="shared" si="3"/>
        <v>11250</v>
      </c>
      <c r="L191"/>
    </row>
    <row r="192" spans="1:12">
      <c r="A192" s="855" t="s">
        <v>643</v>
      </c>
      <c r="B192" s="856" t="s">
        <v>1376</v>
      </c>
      <c r="C192" s="856" t="s">
        <v>339</v>
      </c>
      <c r="D192" s="857" t="s">
        <v>339</v>
      </c>
      <c r="E192" s="858">
        <v>-20</v>
      </c>
      <c r="F192" s="859" t="s">
        <v>638</v>
      </c>
      <c r="G192" s="860">
        <v>0</v>
      </c>
      <c r="H192" s="857" t="s">
        <v>1377</v>
      </c>
      <c r="I192" s="861">
        <v>114.953125</v>
      </c>
      <c r="J192" s="295">
        <v>116.125</v>
      </c>
      <c r="K192" s="296">
        <f t="shared" si="3"/>
        <v>-23437.5</v>
      </c>
      <c r="L192"/>
    </row>
    <row r="193" spans="1:12">
      <c r="A193" s="855" t="s">
        <v>643</v>
      </c>
      <c r="B193" s="856" t="s">
        <v>1376</v>
      </c>
      <c r="C193" s="856" t="s">
        <v>339</v>
      </c>
      <c r="D193" s="857" t="s">
        <v>339</v>
      </c>
      <c r="E193" s="858">
        <v>-20</v>
      </c>
      <c r="F193" s="859" t="s">
        <v>638</v>
      </c>
      <c r="G193" s="860">
        <v>0</v>
      </c>
      <c r="H193" s="857" t="s">
        <v>1378</v>
      </c>
      <c r="I193" s="861">
        <v>114.84375</v>
      </c>
      <c r="J193" s="295">
        <v>116.5625</v>
      </c>
      <c r="K193" s="296">
        <f t="shared" si="3"/>
        <v>-34375</v>
      </c>
      <c r="L193"/>
    </row>
    <row r="194" spans="1:12">
      <c r="A194" s="855" t="s">
        <v>643</v>
      </c>
      <c r="B194" s="856" t="s">
        <v>1376</v>
      </c>
      <c r="C194" s="856" t="s">
        <v>339</v>
      </c>
      <c r="D194" s="857" t="s">
        <v>339</v>
      </c>
      <c r="E194" s="858">
        <v>-10</v>
      </c>
      <c r="F194" s="859" t="s">
        <v>304</v>
      </c>
      <c r="G194" s="860">
        <v>0</v>
      </c>
      <c r="H194" s="857" t="s">
        <v>1383</v>
      </c>
      <c r="I194" s="861">
        <v>114.265625</v>
      </c>
      <c r="J194" s="295">
        <v>114.21875</v>
      </c>
      <c r="K194" s="296">
        <f t="shared" si="3"/>
        <v>468.75</v>
      </c>
      <c r="L194"/>
    </row>
    <row r="195" spans="1:12">
      <c r="A195" s="855" t="s">
        <v>643</v>
      </c>
      <c r="B195" s="856" t="s">
        <v>1354</v>
      </c>
      <c r="C195" s="856" t="s">
        <v>339</v>
      </c>
      <c r="D195" s="857" t="s">
        <v>339</v>
      </c>
      <c r="E195" s="858">
        <v>-20</v>
      </c>
      <c r="F195" s="859" t="s">
        <v>304</v>
      </c>
      <c r="G195" s="860">
        <v>1540</v>
      </c>
      <c r="H195" s="857" t="s">
        <v>1374</v>
      </c>
      <c r="I195" s="861">
        <v>115</v>
      </c>
      <c r="J195" s="295">
        <v>114.21875</v>
      </c>
      <c r="K195" s="296">
        <f t="shared" si="3"/>
        <v>15625</v>
      </c>
      <c r="L195"/>
    </row>
    <row r="196" spans="1:12">
      <c r="A196" s="855" t="s">
        <v>647</v>
      </c>
      <c r="B196" s="856" t="s">
        <v>1263</v>
      </c>
      <c r="C196" s="856" t="s">
        <v>339</v>
      </c>
      <c r="D196" s="857" t="s">
        <v>339</v>
      </c>
      <c r="E196" s="858">
        <v>4</v>
      </c>
      <c r="F196" s="859" t="s">
        <v>304</v>
      </c>
      <c r="G196" s="860">
        <v>-170.8</v>
      </c>
      <c r="H196" s="857" t="s">
        <v>1318</v>
      </c>
      <c r="I196" s="861">
        <v>110.28125</v>
      </c>
      <c r="J196" s="295">
        <v>109.796875</v>
      </c>
      <c r="K196" s="296">
        <f t="shared" si="3"/>
        <v>-1937.5</v>
      </c>
      <c r="L196"/>
    </row>
    <row r="197" spans="1:12">
      <c r="A197" s="855" t="s">
        <v>647</v>
      </c>
      <c r="B197" s="856" t="s">
        <v>1263</v>
      </c>
      <c r="C197" s="856" t="s">
        <v>339</v>
      </c>
      <c r="D197" s="857" t="s">
        <v>339</v>
      </c>
      <c r="E197" s="858">
        <v>26</v>
      </c>
      <c r="F197" s="859" t="s">
        <v>304</v>
      </c>
      <c r="G197" s="860">
        <v>-1110.2</v>
      </c>
      <c r="H197" s="857" t="s">
        <v>1319</v>
      </c>
      <c r="I197" s="861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55" t="s">
        <v>647</v>
      </c>
      <c r="B198" s="856" t="s">
        <v>1384</v>
      </c>
      <c r="C198" s="856" t="s">
        <v>339</v>
      </c>
      <c r="D198" s="857" t="s">
        <v>339</v>
      </c>
      <c r="E198" s="858">
        <v>30</v>
      </c>
      <c r="F198" s="859" t="s">
        <v>304</v>
      </c>
      <c r="G198" s="860">
        <v>0</v>
      </c>
      <c r="H198" s="857" t="s">
        <v>1389</v>
      </c>
      <c r="I198" s="861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55" t="s">
        <v>647</v>
      </c>
      <c r="B199" s="856" t="s">
        <v>1390</v>
      </c>
      <c r="C199" s="856" t="s">
        <v>339</v>
      </c>
      <c r="D199" s="857" t="s">
        <v>339</v>
      </c>
      <c r="E199" s="858">
        <v>20</v>
      </c>
      <c r="F199" s="859" t="s">
        <v>638</v>
      </c>
      <c r="G199" s="860">
        <v>0</v>
      </c>
      <c r="H199" s="857" t="s">
        <v>1391</v>
      </c>
      <c r="I199" s="861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55" t="s">
        <v>647</v>
      </c>
      <c r="B200" s="856" t="s">
        <v>1390</v>
      </c>
      <c r="C200" s="856" t="s">
        <v>339</v>
      </c>
      <c r="D200" s="857" t="s">
        <v>339</v>
      </c>
      <c r="E200" s="858">
        <v>20</v>
      </c>
      <c r="F200" s="859" t="s">
        <v>638</v>
      </c>
      <c r="G200" s="860">
        <v>0</v>
      </c>
      <c r="H200" s="857" t="s">
        <v>1392</v>
      </c>
      <c r="I200" s="861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55" t="s">
        <v>643</v>
      </c>
      <c r="B201" s="856" t="s">
        <v>1384</v>
      </c>
      <c r="C201" s="856" t="s">
        <v>339</v>
      </c>
      <c r="D201" s="857" t="s">
        <v>339</v>
      </c>
      <c r="E201" s="858">
        <v>20</v>
      </c>
      <c r="F201" s="859" t="s">
        <v>304</v>
      </c>
      <c r="G201" s="860">
        <v>0</v>
      </c>
      <c r="H201" s="857" t="s">
        <v>1393</v>
      </c>
      <c r="I201" s="861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55" t="s">
        <v>643</v>
      </c>
      <c r="B202" s="856" t="s">
        <v>1390</v>
      </c>
      <c r="C202" s="856" t="s">
        <v>339</v>
      </c>
      <c r="D202" s="857" t="s">
        <v>339</v>
      </c>
      <c r="E202" s="858">
        <v>20</v>
      </c>
      <c r="F202" s="859" t="s">
        <v>304</v>
      </c>
      <c r="G202" s="860">
        <v>0</v>
      </c>
      <c r="H202" s="857" t="s">
        <v>1394</v>
      </c>
      <c r="I202" s="861">
        <v>115.5</v>
      </c>
      <c r="J202" s="295">
        <v>115.28125</v>
      </c>
      <c r="K202" s="296">
        <f t="shared" si="4"/>
        <v>-4375</v>
      </c>
      <c r="L202"/>
    </row>
    <row r="203" spans="1:12">
      <c r="A203" s="855" t="s">
        <v>647</v>
      </c>
      <c r="B203" s="856" t="s">
        <v>1390</v>
      </c>
      <c r="C203" s="856" t="s">
        <v>339</v>
      </c>
      <c r="D203" s="857" t="s">
        <v>339</v>
      </c>
      <c r="E203" s="858">
        <v>20</v>
      </c>
      <c r="F203" s="859" t="s">
        <v>304</v>
      </c>
      <c r="G203" s="860">
        <v>0</v>
      </c>
      <c r="H203" s="857" t="s">
        <v>1407</v>
      </c>
      <c r="I203" s="861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55" t="s">
        <v>647</v>
      </c>
      <c r="B204" s="856" t="s">
        <v>1408</v>
      </c>
      <c r="C204" s="856" t="s">
        <v>339</v>
      </c>
      <c r="D204" s="857" t="s">
        <v>339</v>
      </c>
      <c r="E204" s="858">
        <v>20</v>
      </c>
      <c r="F204" s="859" t="s">
        <v>304</v>
      </c>
      <c r="G204" s="860">
        <v>0</v>
      </c>
      <c r="H204" s="857" t="s">
        <v>1409</v>
      </c>
      <c r="I204" s="861">
        <v>110.890625</v>
      </c>
      <c r="J204" s="295">
        <v>109.796875</v>
      </c>
      <c r="K204" s="296">
        <f t="shared" si="4"/>
        <v>-21875</v>
      </c>
      <c r="L204"/>
    </row>
    <row r="205" spans="1:12">
      <c r="A205" s="855" t="s">
        <v>647</v>
      </c>
      <c r="B205" s="856" t="s">
        <v>1408</v>
      </c>
      <c r="C205" s="856" t="s">
        <v>339</v>
      </c>
      <c r="D205" s="857" t="s">
        <v>339</v>
      </c>
      <c r="E205" s="858">
        <v>30</v>
      </c>
      <c r="F205" s="859" t="s">
        <v>304</v>
      </c>
      <c r="G205" s="860">
        <v>0</v>
      </c>
      <c r="H205" s="857" t="s">
        <v>1409</v>
      </c>
      <c r="I205" s="861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55" t="s">
        <v>647</v>
      </c>
      <c r="B206" s="856" t="s">
        <v>1239</v>
      </c>
      <c r="C206" s="856" t="s">
        <v>339</v>
      </c>
      <c r="D206" s="857" t="s">
        <v>339</v>
      </c>
      <c r="E206" s="858">
        <v>-8</v>
      </c>
      <c r="F206" s="859" t="s">
        <v>638</v>
      </c>
      <c r="G206" s="860">
        <v>427</v>
      </c>
      <c r="H206" s="857" t="s">
        <v>1267</v>
      </c>
      <c r="I206" s="861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55" t="s">
        <v>647</v>
      </c>
      <c r="B207" s="856" t="s">
        <v>1239</v>
      </c>
      <c r="C207" s="856" t="s">
        <v>339</v>
      </c>
      <c r="D207" s="857" t="s">
        <v>339</v>
      </c>
      <c r="E207" s="858">
        <v>-20</v>
      </c>
      <c r="F207" s="859" t="s">
        <v>638</v>
      </c>
      <c r="G207" s="860">
        <v>854</v>
      </c>
      <c r="H207" s="857" t="s">
        <v>1268</v>
      </c>
      <c r="I207" s="861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55" t="s">
        <v>647</v>
      </c>
      <c r="B208" s="856" t="s">
        <v>1263</v>
      </c>
      <c r="C208" s="856" t="s">
        <v>339</v>
      </c>
      <c r="D208" s="857" t="s">
        <v>339</v>
      </c>
      <c r="E208" s="858">
        <v>-30</v>
      </c>
      <c r="F208" s="859" t="s">
        <v>638</v>
      </c>
      <c r="G208" s="860">
        <v>1281</v>
      </c>
      <c r="H208" s="857" t="s">
        <v>1269</v>
      </c>
      <c r="I208" s="861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55" t="s">
        <v>647</v>
      </c>
      <c r="B209" s="856" t="s">
        <v>1239</v>
      </c>
      <c r="C209" s="856" t="s">
        <v>339</v>
      </c>
      <c r="D209" s="857" t="s">
        <v>339</v>
      </c>
      <c r="E209" s="858">
        <v>-2</v>
      </c>
      <c r="F209" s="859" t="s">
        <v>638</v>
      </c>
      <c r="G209" s="860">
        <v>427</v>
      </c>
      <c r="H209" s="857" t="s">
        <v>1267</v>
      </c>
      <c r="I209" s="861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55" t="s">
        <v>643</v>
      </c>
      <c r="B210" s="856" t="s">
        <v>1390</v>
      </c>
      <c r="C210" s="856" t="s">
        <v>339</v>
      </c>
      <c r="D210" s="857" t="s">
        <v>339</v>
      </c>
      <c r="E210" s="858">
        <v>-30</v>
      </c>
      <c r="F210" s="859" t="s">
        <v>304</v>
      </c>
      <c r="G210" s="860">
        <v>0</v>
      </c>
      <c r="H210" s="857" t="s">
        <v>1411</v>
      </c>
      <c r="I210" s="861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55" t="s">
        <v>643</v>
      </c>
      <c r="B211" s="856" t="s">
        <v>1390</v>
      </c>
      <c r="C211" s="856" t="s">
        <v>339</v>
      </c>
      <c r="D211" s="857" t="s">
        <v>339</v>
      </c>
      <c r="E211" s="858">
        <v>-30</v>
      </c>
      <c r="F211" s="859" t="s">
        <v>304</v>
      </c>
      <c r="G211" s="860">
        <v>2310</v>
      </c>
      <c r="H211" s="857" t="s">
        <v>1395</v>
      </c>
      <c r="I211" s="861">
        <v>115.390625</v>
      </c>
      <c r="J211" s="295">
        <v>115.765625</v>
      </c>
      <c r="K211" s="296">
        <f t="shared" si="4"/>
        <v>-11250</v>
      </c>
      <c r="L211"/>
    </row>
    <row r="212" spans="1:12">
      <c r="A212" s="855" t="s">
        <v>643</v>
      </c>
      <c r="B212" s="856" t="s">
        <v>1408</v>
      </c>
      <c r="C212" s="856" t="s">
        <v>339</v>
      </c>
      <c r="D212" s="857" t="s">
        <v>339</v>
      </c>
      <c r="E212" s="858">
        <v>20</v>
      </c>
      <c r="F212" s="859" t="s">
        <v>638</v>
      </c>
      <c r="G212" s="860">
        <v>0</v>
      </c>
      <c r="H212" s="857" t="s">
        <v>1414</v>
      </c>
      <c r="I212" s="861">
        <v>115.953125</v>
      </c>
      <c r="J212" s="295">
        <v>116.09375</v>
      </c>
      <c r="K212" s="296">
        <f t="shared" si="4"/>
        <v>2812.5</v>
      </c>
      <c r="L212"/>
    </row>
    <row r="213" spans="1:12">
      <c r="A213" s="855" t="s">
        <v>643</v>
      </c>
      <c r="B213" s="856" t="s">
        <v>1408</v>
      </c>
      <c r="C213" s="856" t="s">
        <v>339</v>
      </c>
      <c r="D213" s="857" t="s">
        <v>339</v>
      </c>
      <c r="E213" s="858">
        <v>20</v>
      </c>
      <c r="F213" s="859" t="s">
        <v>638</v>
      </c>
      <c r="G213" s="860">
        <v>0</v>
      </c>
      <c r="H213" s="857" t="s">
        <v>1415</v>
      </c>
      <c r="I213" s="861">
        <v>116.09375</v>
      </c>
      <c r="J213" s="295">
        <v>116.078125</v>
      </c>
      <c r="K213" s="296">
        <f t="shared" si="4"/>
        <v>-312.5</v>
      </c>
      <c r="L213"/>
    </row>
    <row r="214" spans="1:12">
      <c r="A214" s="855" t="s">
        <v>647</v>
      </c>
      <c r="B214" s="856" t="s">
        <v>1408</v>
      </c>
      <c r="C214" s="856" t="s">
        <v>339</v>
      </c>
      <c r="D214" s="857" t="s">
        <v>339</v>
      </c>
      <c r="E214" s="858">
        <v>3</v>
      </c>
      <c r="F214" s="859" t="s">
        <v>304</v>
      </c>
      <c r="G214" s="860">
        <v>0</v>
      </c>
      <c r="H214" s="857" t="s">
        <v>1424</v>
      </c>
      <c r="I214" s="861">
        <v>111.0078125</v>
      </c>
      <c r="J214" s="295">
        <v>111.1953125</v>
      </c>
      <c r="K214" s="296">
        <f t="shared" si="4"/>
        <v>562.5</v>
      </c>
      <c r="L214" s="834"/>
    </row>
    <row r="215" spans="1:12">
      <c r="A215" s="855" t="s">
        <v>647</v>
      </c>
      <c r="B215" s="856" t="s">
        <v>1408</v>
      </c>
      <c r="C215" s="856" t="s">
        <v>339</v>
      </c>
      <c r="D215" s="857" t="s">
        <v>339</v>
      </c>
      <c r="E215" s="858">
        <v>27</v>
      </c>
      <c r="F215" s="859" t="s">
        <v>304</v>
      </c>
      <c r="G215" s="860">
        <v>0</v>
      </c>
      <c r="H215" s="857" t="s">
        <v>1425</v>
      </c>
      <c r="I215" s="861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55" t="s">
        <v>647</v>
      </c>
      <c r="B216" s="856" t="s">
        <v>1408</v>
      </c>
      <c r="C216" s="856" t="s">
        <v>339</v>
      </c>
      <c r="D216" s="857" t="s">
        <v>339</v>
      </c>
      <c r="E216" s="858">
        <v>-30</v>
      </c>
      <c r="F216" s="859" t="s">
        <v>304</v>
      </c>
      <c r="G216" s="860">
        <v>0</v>
      </c>
      <c r="H216" s="857" t="s">
        <v>1426</v>
      </c>
      <c r="I216" s="861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55" t="s">
        <v>647</v>
      </c>
      <c r="B217" s="856" t="s">
        <v>1408</v>
      </c>
      <c r="C217" s="856" t="s">
        <v>339</v>
      </c>
      <c r="D217" s="857" t="s">
        <v>339</v>
      </c>
      <c r="E217" s="858">
        <v>20</v>
      </c>
      <c r="F217" s="859" t="s">
        <v>304</v>
      </c>
      <c r="G217" s="860">
        <v>0</v>
      </c>
      <c r="H217" s="857" t="s">
        <v>1427</v>
      </c>
      <c r="I217" s="861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55" t="s">
        <v>647</v>
      </c>
      <c r="B218" s="856" t="s">
        <v>1408</v>
      </c>
      <c r="C218" s="856" t="s">
        <v>339</v>
      </c>
      <c r="D218" s="857" t="s">
        <v>339</v>
      </c>
      <c r="E218" s="858">
        <v>-50</v>
      </c>
      <c r="F218" s="859" t="s">
        <v>304</v>
      </c>
      <c r="G218" s="860">
        <v>0</v>
      </c>
      <c r="H218" s="857" t="s">
        <v>1428</v>
      </c>
      <c r="I218" s="861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55" t="s">
        <v>647</v>
      </c>
      <c r="B219" s="856" t="s">
        <v>1408</v>
      </c>
      <c r="C219" s="856" t="s">
        <v>339</v>
      </c>
      <c r="D219" s="857" t="s">
        <v>339</v>
      </c>
      <c r="E219" s="858">
        <v>-20</v>
      </c>
      <c r="F219" s="859" t="s">
        <v>304</v>
      </c>
      <c r="G219" s="860">
        <v>0</v>
      </c>
      <c r="H219" s="857" t="s">
        <v>1429</v>
      </c>
      <c r="I219" s="861">
        <v>111.0390625</v>
      </c>
      <c r="J219" s="295">
        <v>110.7265625</v>
      </c>
      <c r="K219" s="296">
        <f t="shared" si="4"/>
        <v>6250</v>
      </c>
      <c r="L219"/>
    </row>
    <row r="220" spans="1:12">
      <c r="A220" s="855" t="s">
        <v>647</v>
      </c>
      <c r="B220" s="856" t="s">
        <v>1408</v>
      </c>
      <c r="C220" s="856" t="s">
        <v>339</v>
      </c>
      <c r="D220" s="857" t="s">
        <v>339</v>
      </c>
      <c r="E220" s="858">
        <v>-30</v>
      </c>
      <c r="F220" s="859" t="s">
        <v>304</v>
      </c>
      <c r="G220" s="860">
        <v>0</v>
      </c>
      <c r="H220" s="857" t="s">
        <v>1430</v>
      </c>
      <c r="I220" s="861">
        <v>110.75</v>
      </c>
      <c r="J220" s="295">
        <v>110.609375</v>
      </c>
      <c r="K220" s="296">
        <f t="shared" si="4"/>
        <v>4218.75</v>
      </c>
      <c r="L220"/>
    </row>
    <row r="221" spans="1:12">
      <c r="A221" s="855" t="s">
        <v>647</v>
      </c>
      <c r="B221" s="856" t="s">
        <v>1408</v>
      </c>
      <c r="C221" s="856" t="s">
        <v>339</v>
      </c>
      <c r="D221" s="857" t="s">
        <v>339</v>
      </c>
      <c r="E221" s="858">
        <v>-13</v>
      </c>
      <c r="F221" s="859" t="s">
        <v>304</v>
      </c>
      <c r="G221" s="860">
        <v>0</v>
      </c>
      <c r="H221" s="857" t="s">
        <v>1431</v>
      </c>
      <c r="I221" s="861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55" t="s">
        <v>647</v>
      </c>
      <c r="B222" s="856" t="s">
        <v>1408</v>
      </c>
      <c r="C222" s="856" t="s">
        <v>339</v>
      </c>
      <c r="D222" s="857" t="s">
        <v>339</v>
      </c>
      <c r="E222" s="858">
        <v>-17</v>
      </c>
      <c r="F222" s="859" t="s">
        <v>304</v>
      </c>
      <c r="G222" s="860">
        <v>0</v>
      </c>
      <c r="H222" s="857" t="s">
        <v>1432</v>
      </c>
      <c r="I222" s="861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55" t="s">
        <v>647</v>
      </c>
      <c r="B223" s="856" t="s">
        <v>1346</v>
      </c>
      <c r="C223" s="856" t="s">
        <v>339</v>
      </c>
      <c r="D223" s="857" t="s">
        <v>339</v>
      </c>
      <c r="E223" s="858">
        <v>30</v>
      </c>
      <c r="F223" s="859" t="s">
        <v>304</v>
      </c>
      <c r="G223" s="860">
        <v>-1281</v>
      </c>
      <c r="H223" s="857" t="s">
        <v>1352</v>
      </c>
      <c r="I223" s="861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55" t="s">
        <v>643</v>
      </c>
      <c r="B224" s="856" t="s">
        <v>1390</v>
      </c>
      <c r="C224" s="856" t="s">
        <v>339</v>
      </c>
      <c r="D224" s="857" t="s">
        <v>339</v>
      </c>
      <c r="E224" s="858">
        <v>20</v>
      </c>
      <c r="F224" s="859" t="s">
        <v>304</v>
      </c>
      <c r="G224" s="860">
        <v>-1540</v>
      </c>
      <c r="H224" s="857" t="s">
        <v>1412</v>
      </c>
      <c r="I224" s="861">
        <v>115.703125</v>
      </c>
      <c r="J224" s="295">
        <v>116.078125</v>
      </c>
      <c r="K224" s="296">
        <f t="shared" si="4"/>
        <v>7500</v>
      </c>
      <c r="L224"/>
    </row>
    <row r="225" spans="1:12">
      <c r="A225" s="855" t="s">
        <v>643</v>
      </c>
      <c r="B225" s="856" t="s">
        <v>1408</v>
      </c>
      <c r="C225" s="856" t="s">
        <v>339</v>
      </c>
      <c r="D225" s="857" t="s">
        <v>339</v>
      </c>
      <c r="E225" s="858">
        <v>20</v>
      </c>
      <c r="F225" s="859" t="s">
        <v>304</v>
      </c>
      <c r="G225" s="860">
        <v>-1540</v>
      </c>
      <c r="H225" s="857" t="s">
        <v>1413</v>
      </c>
      <c r="I225" s="861">
        <v>116.140625</v>
      </c>
      <c r="J225" s="295">
        <v>116.078125</v>
      </c>
      <c r="K225" s="296">
        <f t="shared" si="4"/>
        <v>-1250</v>
      </c>
      <c r="L225"/>
    </row>
    <row r="226" spans="1:12">
      <c r="A226" s="855" t="s">
        <v>647</v>
      </c>
      <c r="B226" s="856" t="s">
        <v>1452</v>
      </c>
      <c r="C226" s="856" t="s">
        <v>339</v>
      </c>
      <c r="D226" s="857" t="s">
        <v>339</v>
      </c>
      <c r="E226" s="858">
        <v>-20</v>
      </c>
      <c r="F226" s="859" t="s">
        <v>304</v>
      </c>
      <c r="G226" s="860">
        <v>0</v>
      </c>
      <c r="H226" s="857" t="s">
        <v>1453</v>
      </c>
      <c r="I226" s="861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55" t="s">
        <v>647</v>
      </c>
      <c r="B227" s="856" t="s">
        <v>1452</v>
      </c>
      <c r="C227" s="856" t="s">
        <v>339</v>
      </c>
      <c r="D227" s="857" t="s">
        <v>339</v>
      </c>
      <c r="E227" s="858">
        <v>-20</v>
      </c>
      <c r="F227" s="859" t="s">
        <v>304</v>
      </c>
      <c r="G227" s="860">
        <v>0</v>
      </c>
      <c r="H227" s="857" t="s">
        <v>1454</v>
      </c>
      <c r="I227" s="861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55" t="s">
        <v>647</v>
      </c>
      <c r="B228" s="856" t="s">
        <v>1452</v>
      </c>
      <c r="C228" s="856" t="s">
        <v>339</v>
      </c>
      <c r="D228" s="857" t="s">
        <v>339</v>
      </c>
      <c r="E228" s="858">
        <v>16</v>
      </c>
      <c r="F228" s="859" t="s">
        <v>304</v>
      </c>
      <c r="G228" s="860">
        <v>0</v>
      </c>
      <c r="H228" s="857" t="s">
        <v>1455</v>
      </c>
      <c r="I228" s="861">
        <v>110.375</v>
      </c>
      <c r="J228" s="295">
        <v>110.1875</v>
      </c>
      <c r="K228" s="296">
        <f t="shared" si="4"/>
        <v>-3000</v>
      </c>
      <c r="L228"/>
    </row>
    <row r="229" spans="1:12">
      <c r="A229" s="855" t="s">
        <v>647</v>
      </c>
      <c r="B229" s="856" t="s">
        <v>1452</v>
      </c>
      <c r="C229" s="856" t="s">
        <v>339</v>
      </c>
      <c r="D229" s="857" t="s">
        <v>339</v>
      </c>
      <c r="E229" s="858">
        <v>34</v>
      </c>
      <c r="F229" s="859" t="s">
        <v>304</v>
      </c>
      <c r="G229" s="860">
        <v>0</v>
      </c>
      <c r="H229" s="857" t="s">
        <v>1456</v>
      </c>
      <c r="I229" s="861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55" t="s">
        <v>647</v>
      </c>
      <c r="B230" s="856" t="s">
        <v>1452</v>
      </c>
      <c r="C230" s="856" t="s">
        <v>339</v>
      </c>
      <c r="D230" s="857" t="s">
        <v>339</v>
      </c>
      <c r="E230" s="858">
        <v>30</v>
      </c>
      <c r="F230" s="859" t="s">
        <v>304</v>
      </c>
      <c r="G230" s="860">
        <v>0</v>
      </c>
      <c r="H230" s="857" t="s">
        <v>1457</v>
      </c>
      <c r="I230" s="861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55" t="s">
        <v>647</v>
      </c>
      <c r="B231" s="856" t="s">
        <v>1452</v>
      </c>
      <c r="C231" s="856" t="s">
        <v>339</v>
      </c>
      <c r="D231" s="857" t="s">
        <v>339</v>
      </c>
      <c r="E231" s="858">
        <v>25</v>
      </c>
      <c r="F231" s="859" t="s">
        <v>304</v>
      </c>
      <c r="G231" s="860">
        <v>0</v>
      </c>
      <c r="H231" s="857" t="s">
        <v>1458</v>
      </c>
      <c r="I231" s="861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55" t="s">
        <v>647</v>
      </c>
      <c r="B232" s="856" t="s">
        <v>1452</v>
      </c>
      <c r="C232" s="856" t="s">
        <v>339</v>
      </c>
      <c r="D232" s="857" t="s">
        <v>339</v>
      </c>
      <c r="E232" s="858">
        <v>10</v>
      </c>
      <c r="F232" s="859" t="s">
        <v>304</v>
      </c>
      <c r="G232" s="860">
        <v>0</v>
      </c>
      <c r="H232" s="857" t="s">
        <v>1458</v>
      </c>
      <c r="I232" s="861">
        <v>110.203125</v>
      </c>
      <c r="J232" s="295">
        <v>110.1875</v>
      </c>
      <c r="K232" s="296">
        <f t="shared" si="4"/>
        <v>-156.25</v>
      </c>
      <c r="L232"/>
    </row>
    <row r="233" spans="1:12">
      <c r="A233" s="855" t="s">
        <v>647</v>
      </c>
      <c r="B233" s="856" t="s">
        <v>1263</v>
      </c>
      <c r="C233" s="856" t="s">
        <v>339</v>
      </c>
      <c r="D233" s="857" t="s">
        <v>339</v>
      </c>
      <c r="E233" s="858">
        <v>10</v>
      </c>
      <c r="F233" s="859" t="s">
        <v>304</v>
      </c>
      <c r="G233" s="860">
        <v>-427</v>
      </c>
      <c r="H233" s="857" t="s">
        <v>1322</v>
      </c>
      <c r="I233" s="861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55" t="s">
        <v>647</v>
      </c>
      <c r="B234" s="856" t="s">
        <v>1390</v>
      </c>
      <c r="C234" s="856" t="s">
        <v>339</v>
      </c>
      <c r="D234" s="857" t="s">
        <v>339</v>
      </c>
      <c r="E234" s="858">
        <v>10</v>
      </c>
      <c r="F234" s="859" t="s">
        <v>304</v>
      </c>
      <c r="G234" s="860">
        <v>-2562</v>
      </c>
      <c r="H234" s="857" t="s">
        <v>1410</v>
      </c>
      <c r="I234" s="861">
        <v>110.09375</v>
      </c>
      <c r="J234" s="295">
        <v>110.1875</v>
      </c>
      <c r="K234" s="296">
        <f t="shared" si="4"/>
        <v>937.5</v>
      </c>
      <c r="L234"/>
    </row>
    <row r="235" spans="1:12">
      <c r="A235" s="855" t="s">
        <v>647</v>
      </c>
      <c r="B235" s="856" t="s">
        <v>1390</v>
      </c>
      <c r="C235" s="856" t="s">
        <v>339</v>
      </c>
      <c r="D235" s="857" t="s">
        <v>339</v>
      </c>
      <c r="E235" s="858">
        <v>24</v>
      </c>
      <c r="F235" s="859" t="s">
        <v>304</v>
      </c>
      <c r="G235" s="860">
        <v>-2562</v>
      </c>
      <c r="H235" s="857" t="s">
        <v>1410</v>
      </c>
      <c r="I235" s="861">
        <v>110.09375</v>
      </c>
      <c r="J235" s="295">
        <v>110.25</v>
      </c>
      <c r="K235" s="296">
        <f t="shared" si="4"/>
        <v>3750</v>
      </c>
      <c r="L235"/>
    </row>
    <row r="236" spans="1:12">
      <c r="A236" s="855" t="s">
        <v>647</v>
      </c>
      <c r="B236" s="856" t="s">
        <v>1390</v>
      </c>
      <c r="C236" s="856" t="s">
        <v>339</v>
      </c>
      <c r="D236" s="857" t="s">
        <v>339</v>
      </c>
      <c r="E236" s="858">
        <v>26</v>
      </c>
      <c r="F236" s="859" t="s">
        <v>304</v>
      </c>
      <c r="G236" s="860">
        <v>-2562</v>
      </c>
      <c r="H236" s="857" t="s">
        <v>1410</v>
      </c>
      <c r="I236" s="861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55" t="s">
        <v>647</v>
      </c>
      <c r="B237" s="856" t="s">
        <v>1452</v>
      </c>
      <c r="C237" s="856" t="s">
        <v>339</v>
      </c>
      <c r="D237" s="857" t="s">
        <v>339</v>
      </c>
      <c r="E237" s="858">
        <v>5</v>
      </c>
      <c r="F237" s="859" t="s">
        <v>638</v>
      </c>
      <c r="G237" s="860">
        <v>0</v>
      </c>
      <c r="H237" s="857" t="s">
        <v>1460</v>
      </c>
      <c r="I237" s="861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55" t="s">
        <v>647</v>
      </c>
      <c r="B238" s="856" t="s">
        <v>1452</v>
      </c>
      <c r="C238" s="856" t="s">
        <v>339</v>
      </c>
      <c r="D238" s="857" t="s">
        <v>339</v>
      </c>
      <c r="E238" s="858">
        <v>25</v>
      </c>
      <c r="F238" s="859" t="s">
        <v>638</v>
      </c>
      <c r="G238" s="860">
        <v>0</v>
      </c>
      <c r="H238" s="857" t="s">
        <v>1461</v>
      </c>
      <c r="I238" s="861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55" t="s">
        <v>647</v>
      </c>
      <c r="B239" s="856" t="s">
        <v>1408</v>
      </c>
      <c r="C239" s="856" t="s">
        <v>339</v>
      </c>
      <c r="D239" s="857" t="s">
        <v>339</v>
      </c>
      <c r="E239" s="858">
        <v>20</v>
      </c>
      <c r="F239" s="859" t="s">
        <v>638</v>
      </c>
      <c r="G239" s="860">
        <v>-854</v>
      </c>
      <c r="H239" s="857" t="s">
        <v>1433</v>
      </c>
      <c r="I239" s="861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55" t="s">
        <v>647</v>
      </c>
      <c r="B240" s="856" t="s">
        <v>1452</v>
      </c>
      <c r="C240" s="856" t="s">
        <v>339</v>
      </c>
      <c r="D240" s="857" t="s">
        <v>339</v>
      </c>
      <c r="E240" s="858">
        <v>-19</v>
      </c>
      <c r="F240" s="859" t="s">
        <v>304</v>
      </c>
      <c r="G240" s="860">
        <v>0</v>
      </c>
      <c r="H240" s="857" t="s">
        <v>1467</v>
      </c>
      <c r="I240" s="861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55" t="s">
        <v>647</v>
      </c>
      <c r="B241" s="856" t="s">
        <v>1452</v>
      </c>
      <c r="C241" s="856" t="s">
        <v>339</v>
      </c>
      <c r="D241" s="857" t="s">
        <v>339</v>
      </c>
      <c r="E241" s="858">
        <v>-31</v>
      </c>
      <c r="F241" s="859" t="s">
        <v>304</v>
      </c>
      <c r="G241" s="860">
        <v>0</v>
      </c>
      <c r="H241" s="857" t="s">
        <v>1468</v>
      </c>
      <c r="I241" s="861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55" t="s">
        <v>647</v>
      </c>
      <c r="B242" s="856" t="s">
        <v>1452</v>
      </c>
      <c r="C242" s="856" t="s">
        <v>339</v>
      </c>
      <c r="D242" s="857" t="s">
        <v>339</v>
      </c>
      <c r="E242" s="858">
        <v>20</v>
      </c>
      <c r="F242" s="859" t="s">
        <v>304</v>
      </c>
      <c r="G242" s="860">
        <v>0</v>
      </c>
      <c r="H242" s="857" t="s">
        <v>1469</v>
      </c>
      <c r="I242" s="861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55" t="s">
        <v>647</v>
      </c>
      <c r="B243" s="856" t="s">
        <v>1452</v>
      </c>
      <c r="C243" s="856" t="s">
        <v>339</v>
      </c>
      <c r="D243" s="857" t="s">
        <v>339</v>
      </c>
      <c r="E243" s="858">
        <v>20</v>
      </c>
      <c r="F243" s="859" t="s">
        <v>304</v>
      </c>
      <c r="G243" s="860">
        <v>0</v>
      </c>
      <c r="H243" s="857" t="s">
        <v>1470</v>
      </c>
      <c r="I243" s="861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55" t="s">
        <v>647</v>
      </c>
      <c r="B244" s="856" t="s">
        <v>1452</v>
      </c>
      <c r="C244" s="856" t="s">
        <v>339</v>
      </c>
      <c r="D244" s="857" t="s">
        <v>339</v>
      </c>
      <c r="E244" s="858">
        <v>20</v>
      </c>
      <c r="F244" s="859" t="s">
        <v>304</v>
      </c>
      <c r="G244" s="860">
        <v>0</v>
      </c>
      <c r="H244" s="857" t="s">
        <v>1471</v>
      </c>
      <c r="I244" s="861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55" t="s">
        <v>647</v>
      </c>
      <c r="B245" s="856" t="s">
        <v>1452</v>
      </c>
      <c r="C245" s="856" t="s">
        <v>339</v>
      </c>
      <c r="D245" s="857" t="s">
        <v>339</v>
      </c>
      <c r="E245" s="858">
        <v>-50</v>
      </c>
      <c r="F245" s="859" t="s">
        <v>304</v>
      </c>
      <c r="G245" s="860">
        <v>0</v>
      </c>
      <c r="H245" s="857" t="s">
        <v>1472</v>
      </c>
      <c r="I245" s="861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55" t="s">
        <v>647</v>
      </c>
      <c r="B246" s="856" t="s">
        <v>1452</v>
      </c>
      <c r="C246" s="856" t="s">
        <v>339</v>
      </c>
      <c r="D246" s="857" t="s">
        <v>339</v>
      </c>
      <c r="E246" s="858">
        <v>20</v>
      </c>
      <c r="F246" s="859" t="s">
        <v>304</v>
      </c>
      <c r="G246" s="860">
        <v>0</v>
      </c>
      <c r="H246" s="857" t="s">
        <v>1473</v>
      </c>
      <c r="I246" s="861">
        <v>109.8125</v>
      </c>
      <c r="J246" s="295">
        <v>110.078125</v>
      </c>
      <c r="K246" s="296">
        <f t="shared" si="4"/>
        <v>5312.5</v>
      </c>
      <c r="L246"/>
    </row>
    <row r="247" spans="1:12">
      <c r="A247" s="855" t="s">
        <v>647</v>
      </c>
      <c r="B247" s="856" t="s">
        <v>1474</v>
      </c>
      <c r="C247" s="856" t="s">
        <v>339</v>
      </c>
      <c r="D247" s="857" t="s">
        <v>339</v>
      </c>
      <c r="E247" s="858">
        <v>10</v>
      </c>
      <c r="F247" s="859" t="s">
        <v>304</v>
      </c>
      <c r="G247" s="860">
        <v>0</v>
      </c>
      <c r="H247" s="857" t="s">
        <v>1475</v>
      </c>
      <c r="I247" s="861">
        <v>109.75</v>
      </c>
      <c r="J247" s="295">
        <v>110.078125</v>
      </c>
      <c r="K247" s="296">
        <f t="shared" si="4"/>
        <v>3281.25</v>
      </c>
      <c r="L247"/>
    </row>
    <row r="248" spans="1:12">
      <c r="A248" s="855" t="s">
        <v>647</v>
      </c>
      <c r="B248" s="856" t="s">
        <v>1452</v>
      </c>
      <c r="C248" s="856" t="s">
        <v>339</v>
      </c>
      <c r="D248" s="857" t="s">
        <v>339</v>
      </c>
      <c r="E248" s="858">
        <v>50</v>
      </c>
      <c r="F248" s="859" t="s">
        <v>304</v>
      </c>
      <c r="G248" s="860">
        <v>0</v>
      </c>
      <c r="H248" s="857" t="s">
        <v>1476</v>
      </c>
      <c r="I248" s="861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55" t="s">
        <v>647</v>
      </c>
      <c r="B249" s="856" t="s">
        <v>1452</v>
      </c>
      <c r="C249" s="856" t="s">
        <v>339</v>
      </c>
      <c r="D249" s="857" t="s">
        <v>339</v>
      </c>
      <c r="E249" s="858">
        <v>-20</v>
      </c>
      <c r="F249" s="859" t="s">
        <v>638</v>
      </c>
      <c r="G249" s="860">
        <v>854</v>
      </c>
      <c r="H249" s="857" t="s">
        <v>1463</v>
      </c>
      <c r="I249" s="861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55" t="s">
        <v>647</v>
      </c>
      <c r="B250" s="856" t="s">
        <v>1452</v>
      </c>
      <c r="C250" s="856" t="s">
        <v>339</v>
      </c>
      <c r="D250" s="857" t="s">
        <v>339</v>
      </c>
      <c r="E250" s="858">
        <v>-30</v>
      </c>
      <c r="F250" s="859" t="s">
        <v>638</v>
      </c>
      <c r="G250" s="860">
        <v>1281</v>
      </c>
      <c r="H250" s="857" t="s">
        <v>1462</v>
      </c>
      <c r="I250" s="861">
        <v>110.203125</v>
      </c>
      <c r="J250" s="295">
        <v>109.6875</v>
      </c>
      <c r="K250" s="296">
        <f t="shared" si="4"/>
        <v>15468.75</v>
      </c>
      <c r="L250"/>
    </row>
    <row r="251" spans="1:12">
      <c r="A251" s="855" t="s">
        <v>647</v>
      </c>
      <c r="B251" s="856" t="s">
        <v>1474</v>
      </c>
      <c r="C251" s="856" t="s">
        <v>339</v>
      </c>
      <c r="D251" s="857" t="s">
        <v>339</v>
      </c>
      <c r="E251" s="858">
        <v>-50</v>
      </c>
      <c r="F251" s="859" t="s">
        <v>638</v>
      </c>
      <c r="G251" s="860">
        <v>0</v>
      </c>
      <c r="H251" s="857" t="s">
        <v>1479</v>
      </c>
      <c r="I251" s="861">
        <v>109.484375</v>
      </c>
      <c r="J251" s="295">
        <v>109.46875</v>
      </c>
      <c r="K251" s="296">
        <f t="shared" si="4"/>
        <v>781.25</v>
      </c>
      <c r="L251"/>
    </row>
    <row r="252" spans="1:12">
      <c r="A252" s="855" t="s">
        <v>647</v>
      </c>
      <c r="B252" s="856" t="s">
        <v>1493</v>
      </c>
      <c r="C252" s="856" t="s">
        <v>339</v>
      </c>
      <c r="D252" s="857" t="s">
        <v>339</v>
      </c>
      <c r="E252" s="858">
        <v>-7</v>
      </c>
      <c r="F252" s="859" t="s">
        <v>304</v>
      </c>
      <c r="G252" s="860">
        <v>0</v>
      </c>
      <c r="H252" s="857" t="s">
        <v>1494</v>
      </c>
      <c r="I252" s="861">
        <v>109.1875</v>
      </c>
      <c r="J252" s="295">
        <v>109.375</v>
      </c>
      <c r="K252" s="296">
        <f t="shared" si="4"/>
        <v>-1312.5</v>
      </c>
      <c r="L252"/>
    </row>
    <row r="253" spans="1:12">
      <c r="A253" s="855" t="s">
        <v>647</v>
      </c>
      <c r="B253" s="856" t="s">
        <v>1493</v>
      </c>
      <c r="C253" s="856" t="s">
        <v>339</v>
      </c>
      <c r="D253" s="857" t="s">
        <v>339</v>
      </c>
      <c r="E253" s="858">
        <v>-31</v>
      </c>
      <c r="F253" s="859" t="s">
        <v>304</v>
      </c>
      <c r="G253" s="860">
        <v>0</v>
      </c>
      <c r="H253" s="857" t="s">
        <v>1495</v>
      </c>
      <c r="I253" s="861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55" t="s">
        <v>647</v>
      </c>
      <c r="B254" s="856" t="s">
        <v>1474</v>
      </c>
      <c r="C254" s="856" t="s">
        <v>339</v>
      </c>
      <c r="D254" s="857" t="s">
        <v>339</v>
      </c>
      <c r="E254" s="858">
        <v>-50</v>
      </c>
      <c r="F254" s="859" t="s">
        <v>304</v>
      </c>
      <c r="G254" s="860">
        <v>0</v>
      </c>
      <c r="H254" s="857" t="s">
        <v>1496</v>
      </c>
      <c r="I254" s="861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55" t="s">
        <v>647</v>
      </c>
      <c r="B255" s="856" t="s">
        <v>1493</v>
      </c>
      <c r="C255" s="856" t="s">
        <v>339</v>
      </c>
      <c r="D255" s="857" t="s">
        <v>339</v>
      </c>
      <c r="E255" s="858">
        <v>-12</v>
      </c>
      <c r="F255" s="859" t="s">
        <v>304</v>
      </c>
      <c r="G255" s="860">
        <v>0</v>
      </c>
      <c r="H255" s="857" t="s">
        <v>1494</v>
      </c>
      <c r="I255" s="861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55" t="s">
        <v>647</v>
      </c>
      <c r="B256" s="856" t="s">
        <v>1474</v>
      </c>
      <c r="C256" s="856" t="s">
        <v>339</v>
      </c>
      <c r="D256" s="857" t="s">
        <v>339</v>
      </c>
      <c r="E256" s="858">
        <v>30</v>
      </c>
      <c r="F256" s="859" t="s">
        <v>304</v>
      </c>
      <c r="G256" s="860">
        <v>0</v>
      </c>
      <c r="H256" s="857" t="s">
        <v>1497</v>
      </c>
      <c r="I256" s="861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55" t="s">
        <v>647</v>
      </c>
      <c r="B257" s="856" t="s">
        <v>1474</v>
      </c>
      <c r="C257" s="856" t="s">
        <v>339</v>
      </c>
      <c r="D257" s="857" t="s">
        <v>339</v>
      </c>
      <c r="E257" s="858">
        <v>-37</v>
      </c>
      <c r="F257" s="859" t="s">
        <v>304</v>
      </c>
      <c r="G257" s="860">
        <v>3416</v>
      </c>
      <c r="H257" s="857" t="s">
        <v>1478</v>
      </c>
      <c r="I257" s="861">
        <v>109.34375</v>
      </c>
      <c r="J257" s="295">
        <v>109.65625</v>
      </c>
      <c r="K257" s="296">
        <f t="shared" si="4"/>
        <v>-11562.5</v>
      </c>
      <c r="L257"/>
    </row>
    <row r="258" spans="1:12">
      <c r="A258" s="855" t="s">
        <v>647</v>
      </c>
      <c r="B258" s="856" t="s">
        <v>1452</v>
      </c>
      <c r="C258" s="856" t="s">
        <v>339</v>
      </c>
      <c r="D258" s="857" t="s">
        <v>339</v>
      </c>
      <c r="E258" s="858">
        <v>-30</v>
      </c>
      <c r="F258" s="859" t="s">
        <v>304</v>
      </c>
      <c r="G258" s="860">
        <v>1281</v>
      </c>
      <c r="H258" s="857" t="s">
        <v>1477</v>
      </c>
      <c r="I258" s="861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55" t="s">
        <v>647</v>
      </c>
      <c r="B259" s="856" t="s">
        <v>1452</v>
      </c>
      <c r="C259" s="856" t="s">
        <v>339</v>
      </c>
      <c r="D259" s="857" t="s">
        <v>339</v>
      </c>
      <c r="E259" s="858">
        <v>-20</v>
      </c>
      <c r="F259" s="859" t="s">
        <v>304</v>
      </c>
      <c r="G259" s="860">
        <v>854</v>
      </c>
      <c r="H259" s="857" t="s">
        <v>1459</v>
      </c>
      <c r="I259" s="861">
        <v>110.1875</v>
      </c>
      <c r="J259" s="295">
        <v>109.34375</v>
      </c>
      <c r="K259" s="296">
        <f t="shared" si="4"/>
        <v>16875</v>
      </c>
      <c r="L259"/>
    </row>
    <row r="260" spans="1:12">
      <c r="A260" s="855" t="s">
        <v>647</v>
      </c>
      <c r="B260" s="856" t="s">
        <v>1474</v>
      </c>
      <c r="C260" s="856" t="s">
        <v>339</v>
      </c>
      <c r="D260" s="857" t="s">
        <v>339</v>
      </c>
      <c r="E260" s="858">
        <v>-13</v>
      </c>
      <c r="F260" s="859" t="s">
        <v>304</v>
      </c>
      <c r="G260" s="860">
        <v>3416</v>
      </c>
      <c r="H260" s="857" t="s">
        <v>1478</v>
      </c>
      <c r="I260" s="861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55" t="s">
        <v>647</v>
      </c>
      <c r="B261" s="856" t="s">
        <v>1474</v>
      </c>
      <c r="C261" s="856" t="s">
        <v>339</v>
      </c>
      <c r="D261" s="857" t="s">
        <v>339</v>
      </c>
      <c r="E261" s="858">
        <v>-50</v>
      </c>
      <c r="F261" s="859" t="s">
        <v>304</v>
      </c>
      <c r="G261" s="860">
        <v>3416</v>
      </c>
      <c r="H261" s="857" t="s">
        <v>1478</v>
      </c>
      <c r="I261" s="861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55" t="s">
        <v>647</v>
      </c>
      <c r="B262" s="856" t="s">
        <v>1493</v>
      </c>
      <c r="C262" s="856" t="s">
        <v>339</v>
      </c>
      <c r="D262" s="857" t="s">
        <v>339</v>
      </c>
      <c r="E262" s="858">
        <v>50</v>
      </c>
      <c r="F262" s="859" t="s">
        <v>638</v>
      </c>
      <c r="G262" s="860">
        <v>0</v>
      </c>
      <c r="H262" s="857" t="s">
        <v>1500</v>
      </c>
      <c r="I262" s="861">
        <v>109.1796875</v>
      </c>
      <c r="J262" s="295">
        <v>109.25</v>
      </c>
      <c r="K262" s="296">
        <f t="shared" si="4"/>
        <v>3515.625</v>
      </c>
      <c r="L262"/>
    </row>
    <row r="263" spans="1:12">
      <c r="A263" s="855" t="s">
        <v>647</v>
      </c>
      <c r="B263" s="856" t="s">
        <v>1493</v>
      </c>
      <c r="C263" s="856" t="s">
        <v>339</v>
      </c>
      <c r="D263" s="857" t="s">
        <v>339</v>
      </c>
      <c r="E263" s="858">
        <v>-50</v>
      </c>
      <c r="F263" s="859" t="s">
        <v>304</v>
      </c>
      <c r="G263" s="860">
        <v>0</v>
      </c>
      <c r="H263" s="857" t="s">
        <v>1512</v>
      </c>
      <c r="I263" s="861">
        <v>109.265625</v>
      </c>
      <c r="J263" s="295">
        <v>109.15625</v>
      </c>
      <c r="K263" s="296">
        <f t="shared" si="4"/>
        <v>5468.75</v>
      </c>
      <c r="L263"/>
    </row>
    <row r="264" spans="1:12">
      <c r="A264" s="855" t="s">
        <v>647</v>
      </c>
      <c r="B264" s="856" t="s">
        <v>1493</v>
      </c>
      <c r="C264" s="856" t="s">
        <v>339</v>
      </c>
      <c r="D264" s="857" t="s">
        <v>339</v>
      </c>
      <c r="E264" s="858">
        <v>-30</v>
      </c>
      <c r="F264" s="859" t="s">
        <v>304</v>
      </c>
      <c r="G264" s="860">
        <v>0</v>
      </c>
      <c r="H264" s="857" t="s">
        <v>1513</v>
      </c>
      <c r="I264" s="861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55" t="s">
        <v>647</v>
      </c>
      <c r="B265" s="856" t="s">
        <v>1493</v>
      </c>
      <c r="C265" s="856" t="s">
        <v>339</v>
      </c>
      <c r="D265" s="857" t="s">
        <v>339</v>
      </c>
      <c r="E265" s="858">
        <v>-30</v>
      </c>
      <c r="F265" s="859" t="s">
        <v>304</v>
      </c>
      <c r="G265" s="860">
        <v>0</v>
      </c>
      <c r="H265" s="857" t="s">
        <v>1514</v>
      </c>
      <c r="I265" s="861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55" t="s">
        <v>647</v>
      </c>
      <c r="B266" s="856" t="s">
        <v>1493</v>
      </c>
      <c r="C266" s="856" t="s">
        <v>339</v>
      </c>
      <c r="D266" s="857" t="s">
        <v>339</v>
      </c>
      <c r="E266" s="858">
        <v>30</v>
      </c>
      <c r="F266" s="859" t="s">
        <v>304</v>
      </c>
      <c r="G266" s="860">
        <v>0</v>
      </c>
      <c r="H266" s="857" t="s">
        <v>1515</v>
      </c>
      <c r="I266" s="861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55" t="s">
        <v>647</v>
      </c>
      <c r="B267" s="856" t="s">
        <v>1493</v>
      </c>
      <c r="C267" s="856" t="s">
        <v>339</v>
      </c>
      <c r="D267" s="857" t="s">
        <v>339</v>
      </c>
      <c r="E267" s="858">
        <v>30</v>
      </c>
      <c r="F267" s="859" t="s">
        <v>304</v>
      </c>
      <c r="G267" s="860">
        <v>0</v>
      </c>
      <c r="H267" s="857" t="s">
        <v>1516</v>
      </c>
      <c r="I267" s="861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55" t="s">
        <v>647</v>
      </c>
      <c r="B268" s="856" t="s">
        <v>1517</v>
      </c>
      <c r="C268" s="856" t="s">
        <v>339</v>
      </c>
      <c r="D268" s="857" t="s">
        <v>339</v>
      </c>
      <c r="E268" s="858">
        <v>10</v>
      </c>
      <c r="F268" s="859" t="s">
        <v>304</v>
      </c>
      <c r="G268" s="860">
        <v>0</v>
      </c>
      <c r="H268" s="857" t="s">
        <v>1518</v>
      </c>
      <c r="I268" s="861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55" t="s">
        <v>647</v>
      </c>
      <c r="B269" s="856" t="s">
        <v>1517</v>
      </c>
      <c r="C269" s="856" t="s">
        <v>339</v>
      </c>
      <c r="D269" s="857" t="s">
        <v>339</v>
      </c>
      <c r="E269" s="858">
        <v>10</v>
      </c>
      <c r="F269" s="859" t="s">
        <v>304</v>
      </c>
      <c r="G269" s="860">
        <v>0</v>
      </c>
      <c r="H269" s="857" t="s">
        <v>1519</v>
      </c>
      <c r="I269" s="861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55" t="s">
        <v>647</v>
      </c>
      <c r="B270" s="856" t="s">
        <v>1493</v>
      </c>
      <c r="C270" s="856" t="s">
        <v>339</v>
      </c>
      <c r="D270" s="857" t="s">
        <v>339</v>
      </c>
      <c r="E270" s="858">
        <v>20</v>
      </c>
      <c r="F270" s="859" t="s">
        <v>304</v>
      </c>
      <c r="G270" s="860">
        <v>0</v>
      </c>
      <c r="H270" s="857" t="s">
        <v>1520</v>
      </c>
      <c r="I270" s="861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55" t="s">
        <v>647</v>
      </c>
      <c r="B271" s="856" t="s">
        <v>1493</v>
      </c>
      <c r="C271" s="856" t="s">
        <v>339</v>
      </c>
      <c r="D271" s="857" t="s">
        <v>339</v>
      </c>
      <c r="E271" s="858">
        <v>64</v>
      </c>
      <c r="F271" s="859" t="s">
        <v>304</v>
      </c>
      <c r="G271" s="860">
        <v>0</v>
      </c>
      <c r="H271" s="857" t="s">
        <v>1521</v>
      </c>
      <c r="I271" s="861">
        <v>109.34375</v>
      </c>
      <c r="J271" s="295">
        <v>109.140625</v>
      </c>
      <c r="K271" s="296">
        <f t="shared" si="5"/>
        <v>-13000</v>
      </c>
      <c r="L271"/>
    </row>
    <row r="272" spans="1:12">
      <c r="A272" s="855" t="s">
        <v>647</v>
      </c>
      <c r="B272" s="856" t="s">
        <v>1493</v>
      </c>
      <c r="C272" s="856" t="s">
        <v>339</v>
      </c>
      <c r="D272" s="857" t="s">
        <v>339</v>
      </c>
      <c r="E272" s="858">
        <v>16</v>
      </c>
      <c r="F272" s="859" t="s">
        <v>304</v>
      </c>
      <c r="G272" s="860">
        <v>0</v>
      </c>
      <c r="H272" s="857" t="s">
        <v>1521</v>
      </c>
      <c r="I272" s="861">
        <v>109.34375</v>
      </c>
      <c r="J272" s="295">
        <v>109.1484375</v>
      </c>
      <c r="K272" s="296">
        <f t="shared" si="5"/>
        <v>-3125</v>
      </c>
      <c r="L272"/>
    </row>
    <row r="273" spans="1:12">
      <c r="A273" s="855" t="s">
        <v>647</v>
      </c>
      <c r="B273" s="856" t="s">
        <v>1493</v>
      </c>
      <c r="C273" s="856" t="s">
        <v>339</v>
      </c>
      <c r="D273" s="857" t="s">
        <v>339</v>
      </c>
      <c r="E273" s="858">
        <v>20</v>
      </c>
      <c r="F273" s="859" t="s">
        <v>304</v>
      </c>
      <c r="G273" s="860">
        <v>0</v>
      </c>
      <c r="H273" s="857" t="s">
        <v>1521</v>
      </c>
      <c r="I273" s="861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55" t="s">
        <v>647</v>
      </c>
      <c r="B274" s="856" t="s">
        <v>1474</v>
      </c>
      <c r="C274" s="856" t="s">
        <v>339</v>
      </c>
      <c r="D274" s="857" t="s">
        <v>339</v>
      </c>
      <c r="E274" s="858">
        <v>39</v>
      </c>
      <c r="F274" s="859" t="s">
        <v>304</v>
      </c>
      <c r="G274" s="860">
        <v>-1665.3000000000002</v>
      </c>
      <c r="H274" s="857" t="s">
        <v>1499</v>
      </c>
      <c r="I274" s="861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55" t="s">
        <v>647</v>
      </c>
      <c r="B275" s="856" t="s">
        <v>1474</v>
      </c>
      <c r="C275" s="856" t="s">
        <v>339</v>
      </c>
      <c r="D275" s="857" t="s">
        <v>339</v>
      </c>
      <c r="E275" s="858">
        <v>11</v>
      </c>
      <c r="F275" s="859" t="s">
        <v>304</v>
      </c>
      <c r="G275" s="860">
        <v>-469.70000000000005</v>
      </c>
      <c r="H275" s="857" t="s">
        <v>1498</v>
      </c>
      <c r="I275" s="861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55" t="s">
        <v>564</v>
      </c>
      <c r="B276" s="856"/>
      <c r="C276" s="856"/>
      <c r="D276" s="857"/>
      <c r="E276" s="858"/>
      <c r="F276" s="859"/>
      <c r="G276" s="860"/>
      <c r="H276" s="857"/>
      <c r="I276" s="861"/>
      <c r="J276" s="295"/>
      <c r="K276" s="296">
        <f t="shared" si="5"/>
        <v>0</v>
      </c>
      <c r="L276"/>
    </row>
    <row r="277" spans="1:12">
      <c r="A277" s="855" t="s">
        <v>564</v>
      </c>
      <c r="B277" s="856"/>
      <c r="C277" s="856"/>
      <c r="D277" s="857"/>
      <c r="E277" s="858"/>
      <c r="F277" s="859"/>
      <c r="G277" s="860"/>
      <c r="H277" s="857"/>
      <c r="I277" s="861"/>
      <c r="J277" s="295"/>
      <c r="K277" s="296">
        <f t="shared" si="5"/>
        <v>0</v>
      </c>
      <c r="L277"/>
    </row>
    <row r="278" spans="1:12">
      <c r="A278" s="855" t="s">
        <v>564</v>
      </c>
      <c r="B278" s="856"/>
      <c r="C278" s="856"/>
      <c r="D278" s="857"/>
      <c r="E278" s="858"/>
      <c r="F278" s="859"/>
      <c r="G278" s="860"/>
      <c r="H278" s="857"/>
      <c r="I278" s="861"/>
      <c r="J278" s="295"/>
      <c r="K278" s="296">
        <f t="shared" si="5"/>
        <v>0</v>
      </c>
      <c r="L278"/>
    </row>
    <row r="279" spans="1:12">
      <c r="A279" s="855" t="s">
        <v>564</v>
      </c>
      <c r="B279" s="856"/>
      <c r="C279" s="856"/>
      <c r="D279" s="857"/>
      <c r="E279" s="858"/>
      <c r="F279" s="859"/>
      <c r="G279" s="860"/>
      <c r="H279" s="857"/>
      <c r="I279" s="861"/>
      <c r="J279" s="295"/>
      <c r="K279" s="296">
        <f t="shared" si="5"/>
        <v>0</v>
      </c>
      <c r="L279"/>
    </row>
    <row r="280" spans="1:12">
      <c r="A280" s="855" t="s">
        <v>564</v>
      </c>
      <c r="B280" s="856"/>
      <c r="C280" s="856"/>
      <c r="D280" s="857"/>
      <c r="E280" s="858"/>
      <c r="F280" s="859"/>
      <c r="G280" s="860"/>
      <c r="H280" s="857"/>
      <c r="I280" s="861"/>
      <c r="J280" s="295"/>
      <c r="K280" s="296">
        <f t="shared" si="5"/>
        <v>0</v>
      </c>
      <c r="L280"/>
    </row>
    <row r="281" spans="1:12">
      <c r="A281" s="855" t="s">
        <v>564</v>
      </c>
      <c r="B281" s="856"/>
      <c r="C281" s="856"/>
      <c r="D281" s="857"/>
      <c r="E281" s="858"/>
      <c r="F281" s="859"/>
      <c r="G281" s="860"/>
      <c r="H281" s="857"/>
      <c r="I281" s="861"/>
      <c r="J281" s="295"/>
      <c r="K281" s="296">
        <f t="shared" si="5"/>
        <v>0</v>
      </c>
      <c r="L281"/>
    </row>
    <row r="282" spans="1:12">
      <c r="A282" s="855" t="s">
        <v>564</v>
      </c>
      <c r="B282" s="856"/>
      <c r="C282" s="856"/>
      <c r="D282" s="857"/>
      <c r="E282" s="858"/>
      <c r="F282" s="859"/>
      <c r="G282" s="860"/>
      <c r="H282" s="857"/>
      <c r="I282" s="861"/>
      <c r="J282" s="295"/>
      <c r="K282" s="296">
        <f t="shared" si="5"/>
        <v>0</v>
      </c>
      <c r="L282"/>
    </row>
    <row r="283" spans="1:12">
      <c r="A283" s="855" t="s">
        <v>564</v>
      </c>
      <c r="B283" s="856"/>
      <c r="C283" s="856"/>
      <c r="D283" s="857"/>
      <c r="E283" s="858"/>
      <c r="F283" s="859"/>
      <c r="G283" s="860"/>
      <c r="H283" s="857"/>
      <c r="I283" s="861"/>
      <c r="J283" s="295"/>
      <c r="K283" s="296">
        <f t="shared" si="5"/>
        <v>0</v>
      </c>
      <c r="L283"/>
    </row>
    <row r="284" spans="1:12">
      <c r="A284" s="855" t="s">
        <v>564</v>
      </c>
      <c r="B284" s="856"/>
      <c r="C284" s="856"/>
      <c r="D284" s="857"/>
      <c r="E284" s="858"/>
      <c r="F284" s="859"/>
      <c r="G284" s="860"/>
      <c r="H284" s="857"/>
      <c r="I284" s="861"/>
      <c r="J284" s="295"/>
      <c r="K284" s="296">
        <f t="shared" si="5"/>
        <v>0</v>
      </c>
      <c r="L284"/>
    </row>
    <row r="285" spans="1:12">
      <c r="A285" s="855" t="s">
        <v>565</v>
      </c>
      <c r="B285" s="856"/>
      <c r="C285" s="856"/>
      <c r="D285" s="857"/>
      <c r="E285" s="858"/>
      <c r="F285" s="859"/>
      <c r="G285" s="860"/>
      <c r="H285" s="857"/>
      <c r="I285" s="861"/>
      <c r="J285" s="295"/>
      <c r="K285" s="296">
        <f t="shared" si="5"/>
        <v>0</v>
      </c>
      <c r="L285"/>
    </row>
    <row r="286" spans="1:12">
      <c r="A286" s="855" t="s">
        <v>565</v>
      </c>
      <c r="B286" s="856"/>
      <c r="C286" s="856"/>
      <c r="D286" s="857"/>
      <c r="E286" s="858"/>
      <c r="F286" s="859"/>
      <c r="G286" s="860"/>
      <c r="H286" s="857"/>
      <c r="I286" s="861"/>
      <c r="J286" s="295"/>
      <c r="K286" s="296">
        <f t="shared" si="5"/>
        <v>0</v>
      </c>
      <c r="L286"/>
    </row>
    <row r="287" spans="1:12">
      <c r="A287" s="855" t="s">
        <v>565</v>
      </c>
      <c r="B287" s="856"/>
      <c r="C287" s="856"/>
      <c r="D287" s="857"/>
      <c r="E287" s="858"/>
      <c r="F287" s="859"/>
      <c r="G287" s="860"/>
      <c r="H287" s="857"/>
      <c r="I287" s="861"/>
      <c r="J287" s="295"/>
      <c r="K287" s="296">
        <f t="shared" si="5"/>
        <v>0</v>
      </c>
      <c r="L287" t="s">
        <v>349</v>
      </c>
    </row>
    <row r="288" spans="1:12">
      <c r="A288" s="855" t="s">
        <v>565</v>
      </c>
      <c r="B288" s="856"/>
      <c r="C288" s="856"/>
      <c r="D288" s="857"/>
      <c r="E288" s="858"/>
      <c r="F288" s="859"/>
      <c r="G288" s="860"/>
      <c r="H288" s="857"/>
      <c r="I288" s="861"/>
      <c r="J288" s="295"/>
      <c r="K288" s="296">
        <f t="shared" si="5"/>
        <v>0</v>
      </c>
      <c r="L288"/>
    </row>
    <row r="289" spans="1:12">
      <c r="A289" s="855" t="s">
        <v>579</v>
      </c>
      <c r="B289" s="856"/>
      <c r="C289" s="856"/>
      <c r="D289" s="857"/>
      <c r="E289" s="858"/>
      <c r="F289" s="859"/>
      <c r="G289" s="860"/>
      <c r="H289" s="857"/>
      <c r="I289" s="861"/>
      <c r="J289" s="295"/>
      <c r="K289" s="296">
        <f t="shared" si="5"/>
        <v>0</v>
      </c>
      <c r="L289"/>
    </row>
    <row r="290" spans="1:12">
      <c r="A290" s="855" t="s">
        <v>579</v>
      </c>
      <c r="B290" s="856"/>
      <c r="C290" s="856"/>
      <c r="D290" s="857"/>
      <c r="E290" s="858"/>
      <c r="F290" s="859"/>
      <c r="G290" s="860"/>
      <c r="H290" s="857"/>
      <c r="I290" s="861"/>
      <c r="J290" s="295"/>
      <c r="K290" s="296">
        <f t="shared" si="5"/>
        <v>0</v>
      </c>
      <c r="L290"/>
    </row>
    <row r="291" spans="1:12">
      <c r="A291" s="855" t="s">
        <v>565</v>
      </c>
      <c r="B291" s="856"/>
      <c r="C291" s="856"/>
      <c r="D291" s="857"/>
      <c r="E291" s="858"/>
      <c r="F291" s="859"/>
      <c r="G291" s="860"/>
      <c r="H291" s="857"/>
      <c r="I291" s="861"/>
      <c r="J291" s="295"/>
      <c r="K291" s="296">
        <f t="shared" si="5"/>
        <v>0</v>
      </c>
      <c r="L291"/>
    </row>
    <row r="292" spans="1:12">
      <c r="A292" s="855" t="s">
        <v>565</v>
      </c>
      <c r="B292" s="856"/>
      <c r="C292" s="856"/>
      <c r="D292" s="857"/>
      <c r="E292" s="858"/>
      <c r="F292" s="859"/>
      <c r="G292" s="860"/>
      <c r="H292" s="857"/>
      <c r="I292" s="861"/>
      <c r="J292" s="295"/>
      <c r="K292" s="296">
        <f t="shared" si="5"/>
        <v>0</v>
      </c>
      <c r="L292"/>
    </row>
    <row r="293" spans="1:12">
      <c r="A293" s="855" t="s">
        <v>565</v>
      </c>
      <c r="B293" s="856"/>
      <c r="C293" s="856"/>
      <c r="D293" s="857"/>
      <c r="E293" s="858"/>
      <c r="F293" s="859"/>
      <c r="G293" s="860"/>
      <c r="H293" s="857"/>
      <c r="I293" s="861"/>
      <c r="J293" s="295"/>
      <c r="K293" s="296">
        <f t="shared" si="5"/>
        <v>0</v>
      </c>
      <c r="L293"/>
    </row>
    <row r="294" spans="1:12">
      <c r="A294" s="855" t="s">
        <v>565</v>
      </c>
      <c r="B294" s="856"/>
      <c r="C294" s="856"/>
      <c r="D294" s="857"/>
      <c r="E294" s="858"/>
      <c r="F294" s="859"/>
      <c r="G294" s="860"/>
      <c r="H294" s="857"/>
      <c r="I294" s="861"/>
      <c r="J294" s="295"/>
      <c r="K294" s="296">
        <f t="shared" si="5"/>
        <v>0</v>
      </c>
      <c r="L294"/>
    </row>
    <row r="295" spans="1:12">
      <c r="A295" s="855" t="s">
        <v>565</v>
      </c>
      <c r="B295" s="856"/>
      <c r="C295" s="856"/>
      <c r="D295" s="857"/>
      <c r="E295" s="858"/>
      <c r="F295" s="859"/>
      <c r="G295" s="860"/>
      <c r="H295" s="857"/>
      <c r="I295" s="861"/>
      <c r="J295" s="295"/>
      <c r="K295" s="296">
        <f t="shared" si="5"/>
        <v>0</v>
      </c>
      <c r="L295"/>
    </row>
    <row r="296" spans="1:12">
      <c r="A296" s="855" t="s">
        <v>565</v>
      </c>
      <c r="B296" s="856"/>
      <c r="C296" s="856"/>
      <c r="D296" s="857"/>
      <c r="E296" s="858"/>
      <c r="F296" s="859"/>
      <c r="G296" s="860"/>
      <c r="H296" s="857"/>
      <c r="I296" s="861"/>
      <c r="J296" s="295"/>
      <c r="K296" s="296">
        <f t="shared" si="5"/>
        <v>0</v>
      </c>
      <c r="L296"/>
    </row>
    <row r="297" spans="1:12">
      <c r="A297" s="855" t="s">
        <v>565</v>
      </c>
      <c r="B297" s="856"/>
      <c r="C297" s="856"/>
      <c r="D297" s="857"/>
      <c r="E297" s="858"/>
      <c r="F297" s="859"/>
      <c r="G297" s="860"/>
      <c r="H297" s="857"/>
      <c r="I297" s="861"/>
      <c r="J297" s="295"/>
      <c r="K297" s="296">
        <f t="shared" si="5"/>
        <v>0</v>
      </c>
      <c r="L297"/>
    </row>
    <row r="298" spans="1:12">
      <c r="A298" s="855" t="s">
        <v>565</v>
      </c>
      <c r="B298" s="856"/>
      <c r="C298" s="856"/>
      <c r="D298" s="857"/>
      <c r="E298" s="858"/>
      <c r="F298" s="859"/>
      <c r="G298" s="860"/>
      <c r="H298" s="857"/>
      <c r="I298" s="861"/>
      <c r="J298" s="295"/>
      <c r="K298" s="296">
        <f t="shared" si="5"/>
        <v>0</v>
      </c>
      <c r="L298"/>
    </row>
    <row r="299" spans="1:12">
      <c r="A299" s="855" t="s">
        <v>579</v>
      </c>
      <c r="B299" s="856"/>
      <c r="C299" s="856"/>
      <c r="D299" s="857"/>
      <c r="E299" s="858"/>
      <c r="F299" s="859"/>
      <c r="G299" s="860"/>
      <c r="H299" s="857"/>
      <c r="I299" s="861"/>
      <c r="J299" s="295"/>
      <c r="K299" s="296">
        <f t="shared" si="5"/>
        <v>0</v>
      </c>
      <c r="L299"/>
    </row>
    <row r="300" spans="1:12">
      <c r="A300" s="855" t="s">
        <v>579</v>
      </c>
      <c r="B300" s="856"/>
      <c r="C300" s="856"/>
      <c r="D300" s="857"/>
      <c r="E300" s="858"/>
      <c r="F300" s="859"/>
      <c r="G300" s="860"/>
      <c r="H300" s="857"/>
      <c r="I300" s="861"/>
      <c r="J300" s="295"/>
      <c r="K300" s="296">
        <f t="shared" si="5"/>
        <v>0</v>
      </c>
      <c r="L300"/>
    </row>
    <row r="301" spans="1:12">
      <c r="A301" s="855" t="s">
        <v>564</v>
      </c>
      <c r="B301" s="856"/>
      <c r="C301" s="856"/>
      <c r="D301" s="857"/>
      <c r="E301" s="858"/>
      <c r="F301" s="859"/>
      <c r="G301" s="860"/>
      <c r="H301" s="857"/>
      <c r="I301" s="861"/>
      <c r="J301" s="295"/>
      <c r="K301" s="296">
        <f t="shared" si="5"/>
        <v>0</v>
      </c>
      <c r="L301"/>
    </row>
    <row r="302" spans="1:12">
      <c r="A302" s="855" t="s">
        <v>565</v>
      </c>
      <c r="B302" s="856"/>
      <c r="C302" s="856"/>
      <c r="D302" s="857"/>
      <c r="E302" s="858"/>
      <c r="F302" s="859"/>
      <c r="G302" s="860"/>
      <c r="H302" s="857"/>
      <c r="I302" s="861"/>
      <c r="J302" s="295"/>
      <c r="K302" s="296">
        <f t="shared" si="5"/>
        <v>0</v>
      </c>
      <c r="L302"/>
    </row>
    <row r="303" spans="1:12">
      <c r="A303" s="855" t="s">
        <v>565</v>
      </c>
      <c r="B303" s="856"/>
      <c r="C303" s="856"/>
      <c r="D303" s="857"/>
      <c r="E303" s="858"/>
      <c r="F303" s="859"/>
      <c r="G303" s="860"/>
      <c r="H303" s="857"/>
      <c r="I303" s="861"/>
      <c r="J303" s="295"/>
      <c r="K303" s="296">
        <f t="shared" si="5"/>
        <v>0</v>
      </c>
      <c r="L303"/>
    </row>
    <row r="304" spans="1:12">
      <c r="A304" s="855" t="s">
        <v>565</v>
      </c>
      <c r="B304" s="856"/>
      <c r="C304" s="856"/>
      <c r="D304" s="857"/>
      <c r="E304" s="858"/>
      <c r="F304" s="859"/>
      <c r="G304" s="860"/>
      <c r="H304" s="857"/>
      <c r="I304" s="861"/>
      <c r="J304" s="295"/>
      <c r="K304" s="296">
        <f t="shared" si="5"/>
        <v>0</v>
      </c>
      <c r="L304"/>
    </row>
    <row r="305" spans="1:12">
      <c r="A305" s="855" t="s">
        <v>565</v>
      </c>
      <c r="B305" s="856"/>
      <c r="C305" s="856"/>
      <c r="D305" s="857"/>
      <c r="E305" s="858"/>
      <c r="F305" s="859"/>
      <c r="G305" s="860"/>
      <c r="H305" s="857"/>
      <c r="I305" s="861"/>
      <c r="J305" s="295"/>
      <c r="K305" s="296">
        <f t="shared" si="5"/>
        <v>0</v>
      </c>
      <c r="L305"/>
    </row>
    <row r="306" spans="1:12">
      <c r="A306" s="855" t="s">
        <v>565</v>
      </c>
      <c r="B306" s="856"/>
      <c r="C306" s="856"/>
      <c r="D306" s="857"/>
      <c r="E306" s="858"/>
      <c r="F306" s="859"/>
      <c r="G306" s="860"/>
      <c r="H306" s="857"/>
      <c r="I306" s="861"/>
      <c r="J306" s="295"/>
      <c r="K306" s="296">
        <f t="shared" si="5"/>
        <v>0</v>
      </c>
      <c r="L306"/>
    </row>
    <row r="307" spans="1:12">
      <c r="A307" s="855" t="s">
        <v>565</v>
      </c>
      <c r="B307" s="856"/>
      <c r="C307" s="856"/>
      <c r="D307" s="857"/>
      <c r="E307" s="858"/>
      <c r="F307" s="859"/>
      <c r="G307" s="860"/>
      <c r="H307" s="857"/>
      <c r="I307" s="861"/>
      <c r="J307" s="295"/>
      <c r="K307" s="296">
        <f t="shared" si="5"/>
        <v>0</v>
      </c>
      <c r="L307"/>
    </row>
    <row r="308" spans="1:12">
      <c r="A308" s="855" t="s">
        <v>565</v>
      </c>
      <c r="B308" s="856"/>
      <c r="C308" s="856"/>
      <c r="D308" s="857"/>
      <c r="E308" s="858"/>
      <c r="F308" s="859"/>
      <c r="G308" s="860"/>
      <c r="H308" s="857"/>
      <c r="I308" s="861"/>
      <c r="J308" s="295"/>
      <c r="K308" s="296">
        <f t="shared" si="5"/>
        <v>0</v>
      </c>
      <c r="L308"/>
    </row>
    <row r="309" spans="1:12">
      <c r="A309" s="855" t="s">
        <v>565</v>
      </c>
      <c r="B309" s="856"/>
      <c r="C309" s="856"/>
      <c r="D309" s="857"/>
      <c r="E309" s="858"/>
      <c r="F309" s="859"/>
      <c r="G309" s="860"/>
      <c r="H309" s="857"/>
      <c r="I309" s="861"/>
      <c r="J309" s="295"/>
      <c r="K309" s="296">
        <f t="shared" si="5"/>
        <v>0</v>
      </c>
      <c r="L309"/>
    </row>
    <row r="310" spans="1:12">
      <c r="A310" s="855" t="s">
        <v>565</v>
      </c>
      <c r="B310" s="856"/>
      <c r="C310" s="856"/>
      <c r="D310" s="857"/>
      <c r="E310" s="858"/>
      <c r="F310" s="859"/>
      <c r="G310" s="860"/>
      <c r="H310" s="857"/>
      <c r="I310" s="861"/>
      <c r="J310" s="295"/>
      <c r="K310" s="296">
        <f t="shared" si="5"/>
        <v>0</v>
      </c>
      <c r="L310"/>
    </row>
    <row r="311" spans="1:12">
      <c r="A311" s="855" t="s">
        <v>565</v>
      </c>
      <c r="B311" s="856"/>
      <c r="C311" s="856"/>
      <c r="D311" s="857"/>
      <c r="E311" s="858"/>
      <c r="F311" s="859"/>
      <c r="G311" s="860"/>
      <c r="H311" s="857"/>
      <c r="I311" s="861"/>
      <c r="J311" s="295"/>
      <c r="K311" s="296">
        <f t="shared" si="5"/>
        <v>0</v>
      </c>
      <c r="L311"/>
    </row>
    <row r="312" spans="1:12">
      <c r="A312" s="855" t="s">
        <v>565</v>
      </c>
      <c r="B312" s="856"/>
      <c r="C312" s="856"/>
      <c r="D312" s="857"/>
      <c r="E312" s="858"/>
      <c r="F312" s="859"/>
      <c r="G312" s="860"/>
      <c r="H312" s="857"/>
      <c r="I312" s="861"/>
      <c r="J312" s="295"/>
      <c r="K312" s="296">
        <f t="shared" si="5"/>
        <v>0</v>
      </c>
      <c r="L312"/>
    </row>
    <row r="313" spans="1:12">
      <c r="A313" s="855" t="s">
        <v>565</v>
      </c>
      <c r="B313" s="856"/>
      <c r="C313" s="856"/>
      <c r="D313" s="857"/>
      <c r="E313" s="858"/>
      <c r="F313" s="859"/>
      <c r="G313" s="860"/>
      <c r="H313" s="857"/>
      <c r="I313" s="861"/>
      <c r="J313" s="295"/>
      <c r="K313" s="296">
        <f t="shared" si="5"/>
        <v>0</v>
      </c>
      <c r="L313"/>
    </row>
    <row r="314" spans="1:12">
      <c r="A314" s="855" t="s">
        <v>565</v>
      </c>
      <c r="B314" s="856"/>
      <c r="C314" s="856"/>
      <c r="D314" s="857"/>
      <c r="E314" s="858"/>
      <c r="F314" s="859"/>
      <c r="G314" s="860"/>
      <c r="H314" s="857"/>
      <c r="I314" s="861"/>
      <c r="J314" s="295"/>
      <c r="K314" s="296">
        <f t="shared" si="5"/>
        <v>0</v>
      </c>
      <c r="L314"/>
    </row>
    <row r="315" spans="1:12">
      <c r="A315" s="855" t="s">
        <v>579</v>
      </c>
      <c r="B315" s="856"/>
      <c r="C315" s="856"/>
      <c r="D315" s="857"/>
      <c r="E315" s="858"/>
      <c r="F315" s="859"/>
      <c r="G315" s="860"/>
      <c r="H315" s="857"/>
      <c r="I315" s="861"/>
      <c r="J315" s="295"/>
      <c r="K315" s="296">
        <f t="shared" si="5"/>
        <v>0</v>
      </c>
      <c r="L315"/>
    </row>
    <row r="316" spans="1:12">
      <c r="A316" s="855" t="s">
        <v>579</v>
      </c>
      <c r="B316" s="856"/>
      <c r="C316" s="856"/>
      <c r="D316" s="857"/>
      <c r="E316" s="858"/>
      <c r="F316" s="859"/>
      <c r="G316" s="860"/>
      <c r="H316" s="857"/>
      <c r="I316" s="861"/>
      <c r="J316" s="295"/>
      <c r="K316" s="296">
        <f t="shared" si="5"/>
        <v>0</v>
      </c>
      <c r="L316"/>
    </row>
    <row r="317" spans="1:12">
      <c r="A317" s="855" t="s">
        <v>579</v>
      </c>
      <c r="B317" s="856"/>
      <c r="C317" s="856"/>
      <c r="D317" s="857"/>
      <c r="E317" s="858"/>
      <c r="F317" s="859"/>
      <c r="G317" s="860"/>
      <c r="H317" s="857"/>
      <c r="I317" s="861"/>
      <c r="J317" s="295"/>
      <c r="K317" s="296">
        <f t="shared" si="5"/>
        <v>0</v>
      </c>
      <c r="L317"/>
    </row>
    <row r="318" spans="1:12">
      <c r="A318" s="855" t="s">
        <v>579</v>
      </c>
      <c r="B318" s="856"/>
      <c r="C318" s="856"/>
      <c r="D318" s="857"/>
      <c r="E318" s="858"/>
      <c r="F318" s="859"/>
      <c r="G318" s="860"/>
      <c r="H318" s="857"/>
      <c r="I318" s="861"/>
      <c r="J318" s="295"/>
      <c r="K318" s="296">
        <f t="shared" si="5"/>
        <v>0</v>
      </c>
      <c r="L318"/>
    </row>
    <row r="319" spans="1:12">
      <c r="A319" s="855" t="s">
        <v>579</v>
      </c>
      <c r="B319" s="856"/>
      <c r="C319" s="856"/>
      <c r="D319" s="857"/>
      <c r="E319" s="858"/>
      <c r="F319" s="859"/>
      <c r="G319" s="860"/>
      <c r="H319" s="857"/>
      <c r="I319" s="861"/>
      <c r="J319" s="295"/>
      <c r="K319" s="296">
        <f t="shared" si="5"/>
        <v>0</v>
      </c>
      <c r="L319"/>
    </row>
    <row r="320" spans="1:12">
      <c r="A320" s="855" t="s">
        <v>579</v>
      </c>
      <c r="B320" s="856"/>
      <c r="C320" s="856"/>
      <c r="D320" s="857"/>
      <c r="E320" s="858"/>
      <c r="F320" s="859"/>
      <c r="G320" s="860"/>
      <c r="H320" s="857"/>
      <c r="I320" s="861"/>
      <c r="J320" s="295"/>
      <c r="K320" s="296">
        <f t="shared" si="5"/>
        <v>0</v>
      </c>
      <c r="L320"/>
    </row>
    <row r="321" spans="1:12">
      <c r="A321" s="855" t="s">
        <v>579</v>
      </c>
      <c r="B321" s="856"/>
      <c r="C321" s="856"/>
      <c r="D321" s="857"/>
      <c r="E321" s="858"/>
      <c r="F321" s="859"/>
      <c r="G321" s="860"/>
      <c r="H321" s="857"/>
      <c r="I321" s="861"/>
      <c r="J321" s="295"/>
      <c r="K321" s="296">
        <f t="shared" si="5"/>
        <v>0</v>
      </c>
      <c r="L321"/>
    </row>
    <row r="322" spans="1:12">
      <c r="A322" s="855" t="s">
        <v>579</v>
      </c>
      <c r="B322" s="856"/>
      <c r="C322" s="856"/>
      <c r="D322" s="857"/>
      <c r="E322" s="858"/>
      <c r="F322" s="859"/>
      <c r="G322" s="860"/>
      <c r="H322" s="857"/>
      <c r="I322" s="861"/>
      <c r="J322" s="295"/>
      <c r="K322" s="296">
        <f t="shared" si="5"/>
        <v>0</v>
      </c>
      <c r="L322"/>
    </row>
    <row r="323" spans="1:12">
      <c r="A323" s="855" t="s">
        <v>579</v>
      </c>
      <c r="B323" s="856"/>
      <c r="C323" s="856"/>
      <c r="D323" s="857"/>
      <c r="E323" s="858"/>
      <c r="F323" s="859"/>
      <c r="G323" s="860"/>
      <c r="H323" s="857"/>
      <c r="I323" s="861"/>
      <c r="J323" s="295"/>
      <c r="K323" s="296">
        <f t="shared" si="5"/>
        <v>0</v>
      </c>
      <c r="L323"/>
    </row>
    <row r="324" spans="1:12">
      <c r="A324" s="855" t="s">
        <v>579</v>
      </c>
      <c r="B324" s="856"/>
      <c r="C324" s="856"/>
      <c r="D324" s="857"/>
      <c r="E324" s="858"/>
      <c r="F324" s="859"/>
      <c r="G324" s="860"/>
      <c r="H324" s="857"/>
      <c r="I324" s="861"/>
      <c r="J324" s="295"/>
      <c r="K324" s="296">
        <f t="shared" si="5"/>
        <v>0</v>
      </c>
      <c r="L324"/>
    </row>
    <row r="325" spans="1:12">
      <c r="A325" s="855" t="s">
        <v>579</v>
      </c>
      <c r="B325" s="856"/>
      <c r="C325" s="856"/>
      <c r="D325" s="857"/>
      <c r="E325" s="858"/>
      <c r="F325" s="859"/>
      <c r="G325" s="860"/>
      <c r="H325" s="857"/>
      <c r="I325" s="861"/>
      <c r="J325" s="295"/>
      <c r="K325" s="296">
        <f t="shared" si="5"/>
        <v>0</v>
      </c>
      <c r="L325"/>
    </row>
    <row r="326" spans="1:12">
      <c r="A326" s="855" t="s">
        <v>579</v>
      </c>
      <c r="B326" s="856"/>
      <c r="C326" s="856"/>
      <c r="D326" s="857"/>
      <c r="E326" s="858"/>
      <c r="F326" s="859"/>
      <c r="G326" s="860"/>
      <c r="H326" s="857"/>
      <c r="I326" s="861"/>
      <c r="J326" s="295"/>
      <c r="K326" s="296">
        <f t="shared" si="5"/>
        <v>0</v>
      </c>
      <c r="L326"/>
    </row>
    <row r="327" spans="1:12">
      <c r="A327" s="855" t="s">
        <v>579</v>
      </c>
      <c r="B327" s="856"/>
      <c r="C327" s="856"/>
      <c r="D327" s="857"/>
      <c r="E327" s="858"/>
      <c r="F327" s="859"/>
      <c r="G327" s="860"/>
      <c r="H327" s="857"/>
      <c r="I327" s="861"/>
      <c r="J327" s="295"/>
      <c r="K327" s="296">
        <f t="shared" si="5"/>
        <v>0</v>
      </c>
      <c r="L327"/>
    </row>
    <row r="328" spans="1:12">
      <c r="A328" s="855" t="s">
        <v>579</v>
      </c>
      <c r="B328" s="856"/>
      <c r="C328" s="856"/>
      <c r="D328" s="857"/>
      <c r="E328" s="858"/>
      <c r="F328" s="859"/>
      <c r="G328" s="860"/>
      <c r="H328" s="857"/>
      <c r="I328" s="861"/>
      <c r="J328" s="295"/>
      <c r="K328" s="296">
        <f t="shared" si="5"/>
        <v>0</v>
      </c>
      <c r="L328"/>
    </row>
    <row r="329" spans="1:12">
      <c r="A329" s="855" t="s">
        <v>565</v>
      </c>
      <c r="B329" s="856"/>
      <c r="C329" s="856"/>
      <c r="D329" s="857"/>
      <c r="E329" s="858"/>
      <c r="F329" s="859"/>
      <c r="G329" s="860"/>
      <c r="H329" s="857"/>
      <c r="I329" s="861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55" t="s">
        <v>565</v>
      </c>
      <c r="B330" s="856"/>
      <c r="C330" s="856"/>
      <c r="D330" s="857"/>
      <c r="E330" s="858"/>
      <c r="F330" s="859"/>
      <c r="G330" s="860"/>
      <c r="H330" s="857"/>
      <c r="I330" s="861"/>
      <c r="J330" s="295"/>
      <c r="K330" s="296">
        <f t="shared" si="6"/>
        <v>0</v>
      </c>
      <c r="L330"/>
    </row>
    <row r="331" spans="1:12">
      <c r="A331" s="855" t="s">
        <v>565</v>
      </c>
      <c r="B331" s="856"/>
      <c r="C331" s="856"/>
      <c r="D331" s="857"/>
      <c r="E331" s="858"/>
      <c r="F331" s="859"/>
      <c r="G331" s="860"/>
      <c r="H331" s="857"/>
      <c r="I331" s="861"/>
      <c r="J331" s="295"/>
      <c r="K331" s="296">
        <f t="shared" si="6"/>
        <v>0</v>
      </c>
      <c r="L331"/>
    </row>
    <row r="332" spans="1:12">
      <c r="A332" s="855" t="s">
        <v>565</v>
      </c>
      <c r="B332" s="856"/>
      <c r="C332" s="856"/>
      <c r="D332" s="857"/>
      <c r="E332" s="858"/>
      <c r="F332" s="859"/>
      <c r="G332" s="860"/>
      <c r="H332" s="857"/>
      <c r="I332" s="861"/>
      <c r="J332" s="295"/>
      <c r="K332" s="296">
        <f t="shared" si="6"/>
        <v>0</v>
      </c>
      <c r="L332"/>
    </row>
    <row r="333" spans="1:12">
      <c r="A333" s="855" t="s">
        <v>565</v>
      </c>
      <c r="B333" s="856"/>
      <c r="C333" s="856"/>
      <c r="D333" s="857"/>
      <c r="E333" s="858"/>
      <c r="F333" s="859"/>
      <c r="G333" s="860"/>
      <c r="H333" s="857"/>
      <c r="I333" s="861"/>
      <c r="J333" s="295"/>
      <c r="K333" s="296">
        <f t="shared" si="6"/>
        <v>0</v>
      </c>
      <c r="L333"/>
    </row>
    <row r="334" spans="1:12">
      <c r="A334" s="855" t="s">
        <v>565</v>
      </c>
      <c r="B334" s="856"/>
      <c r="C334" s="856"/>
      <c r="D334" s="857"/>
      <c r="E334" s="858"/>
      <c r="F334" s="859"/>
      <c r="G334" s="860"/>
      <c r="H334" s="857"/>
      <c r="I334" s="861"/>
      <c r="J334" s="295"/>
      <c r="K334" s="296">
        <f t="shared" si="6"/>
        <v>0</v>
      </c>
      <c r="L334"/>
    </row>
    <row r="335" spans="1:12">
      <c r="A335" s="855" t="s">
        <v>565</v>
      </c>
      <c r="B335" s="856"/>
      <c r="C335" s="856"/>
      <c r="D335" s="857"/>
      <c r="E335" s="858"/>
      <c r="F335" s="859"/>
      <c r="G335" s="860"/>
      <c r="H335" s="857"/>
      <c r="I335" s="861"/>
      <c r="J335" s="295"/>
      <c r="K335" s="296">
        <f t="shared" si="6"/>
        <v>0</v>
      </c>
      <c r="L335"/>
    </row>
    <row r="336" spans="1:12">
      <c r="A336" s="855" t="s">
        <v>565</v>
      </c>
      <c r="B336" s="856"/>
      <c r="C336" s="856"/>
      <c r="D336" s="857"/>
      <c r="E336" s="858"/>
      <c r="F336" s="859"/>
      <c r="G336" s="860"/>
      <c r="H336" s="857"/>
      <c r="I336" s="861"/>
      <c r="J336" s="295"/>
      <c r="K336" s="296">
        <f t="shared" si="6"/>
        <v>0</v>
      </c>
      <c r="L336"/>
    </row>
    <row r="337" spans="1:12">
      <c r="A337" s="855" t="s">
        <v>565</v>
      </c>
      <c r="B337" s="856"/>
      <c r="C337" s="856"/>
      <c r="D337" s="857"/>
      <c r="E337" s="858"/>
      <c r="F337" s="859"/>
      <c r="G337" s="860"/>
      <c r="H337" s="857"/>
      <c r="I337" s="861"/>
      <c r="J337" s="295"/>
      <c r="K337" s="296">
        <f t="shared" si="6"/>
        <v>0</v>
      </c>
      <c r="L337"/>
    </row>
    <row r="338" spans="1:12">
      <c r="A338" s="855" t="s">
        <v>565</v>
      </c>
      <c r="B338" s="856"/>
      <c r="C338" s="856"/>
      <c r="D338" s="857"/>
      <c r="E338" s="858"/>
      <c r="F338" s="859"/>
      <c r="G338" s="860"/>
      <c r="H338" s="857"/>
      <c r="I338" s="861"/>
      <c r="J338" s="295"/>
      <c r="K338" s="296">
        <f t="shared" si="6"/>
        <v>0</v>
      </c>
      <c r="L338"/>
    </row>
    <row r="339" spans="1:12">
      <c r="A339" s="855" t="s">
        <v>565</v>
      </c>
      <c r="B339" s="856"/>
      <c r="C339" s="856"/>
      <c r="D339" s="857"/>
      <c r="E339" s="858"/>
      <c r="F339" s="859"/>
      <c r="G339" s="860"/>
      <c r="H339" s="857"/>
      <c r="I339" s="861"/>
      <c r="J339" s="295"/>
      <c r="K339" s="296">
        <f t="shared" si="6"/>
        <v>0</v>
      </c>
      <c r="L339"/>
    </row>
    <row r="340" spans="1:12">
      <c r="A340" s="855" t="s">
        <v>565</v>
      </c>
      <c r="B340" s="856"/>
      <c r="C340" s="856"/>
      <c r="D340" s="857"/>
      <c r="E340" s="858"/>
      <c r="F340" s="859"/>
      <c r="G340" s="860"/>
      <c r="H340" s="857"/>
      <c r="I340" s="861"/>
      <c r="J340" s="295"/>
      <c r="K340" s="296">
        <f t="shared" si="6"/>
        <v>0</v>
      </c>
      <c r="L340"/>
    </row>
    <row r="341" spans="1:12">
      <c r="A341" s="855" t="s">
        <v>565</v>
      </c>
      <c r="B341" s="856"/>
      <c r="C341" s="856"/>
      <c r="D341" s="857"/>
      <c r="E341" s="858"/>
      <c r="F341" s="859"/>
      <c r="G341" s="860"/>
      <c r="H341" s="857"/>
      <c r="I341" s="861"/>
      <c r="J341" s="295"/>
      <c r="K341" s="296">
        <f t="shared" si="6"/>
        <v>0</v>
      </c>
      <c r="L341"/>
    </row>
    <row r="342" spans="1:12">
      <c r="A342" s="855" t="s">
        <v>565</v>
      </c>
      <c r="B342" s="856"/>
      <c r="C342" s="856"/>
      <c r="D342" s="857"/>
      <c r="E342" s="858"/>
      <c r="F342" s="859"/>
      <c r="G342" s="860"/>
      <c r="H342" s="857"/>
      <c r="I342" s="861"/>
      <c r="J342" s="295"/>
      <c r="K342" s="296">
        <f t="shared" si="6"/>
        <v>0</v>
      </c>
      <c r="L342"/>
    </row>
    <row r="343" spans="1:12">
      <c r="A343" s="855" t="s">
        <v>579</v>
      </c>
      <c r="B343" s="856"/>
      <c r="C343" s="856"/>
      <c r="D343" s="857"/>
      <c r="E343" s="858"/>
      <c r="F343" s="859"/>
      <c r="G343" s="860"/>
      <c r="H343" s="857"/>
      <c r="I343" s="861"/>
      <c r="J343" s="295"/>
      <c r="K343" s="296">
        <f t="shared" si="6"/>
        <v>0</v>
      </c>
      <c r="L343"/>
    </row>
    <row r="344" spans="1:12">
      <c r="A344" s="855" t="s">
        <v>579</v>
      </c>
      <c r="B344" s="856"/>
      <c r="C344" s="856"/>
      <c r="D344" s="857"/>
      <c r="E344" s="858"/>
      <c r="F344" s="859"/>
      <c r="G344" s="860"/>
      <c r="H344" s="857"/>
      <c r="I344" s="861"/>
      <c r="J344" s="295"/>
      <c r="K344" s="296">
        <f t="shared" si="6"/>
        <v>0</v>
      </c>
      <c r="L344"/>
    </row>
    <row r="345" spans="1:12">
      <c r="A345" s="855" t="s">
        <v>564</v>
      </c>
      <c r="B345" s="856"/>
      <c r="C345" s="856"/>
      <c r="D345" s="857"/>
      <c r="E345" s="858"/>
      <c r="F345" s="859"/>
      <c r="G345" s="860"/>
      <c r="H345" s="857"/>
      <c r="I345" s="861"/>
      <c r="J345" s="295"/>
      <c r="K345" s="296">
        <f t="shared" si="6"/>
        <v>0</v>
      </c>
      <c r="L345"/>
    </row>
    <row r="346" spans="1:12">
      <c r="A346" s="855" t="s">
        <v>564</v>
      </c>
      <c r="B346" s="856"/>
      <c r="C346" s="856"/>
      <c r="D346" s="857"/>
      <c r="E346" s="858"/>
      <c r="F346" s="859"/>
      <c r="G346" s="860"/>
      <c r="H346" s="857"/>
      <c r="I346" s="861"/>
      <c r="J346" s="295"/>
      <c r="K346" s="296">
        <f t="shared" si="6"/>
        <v>0</v>
      </c>
      <c r="L346"/>
    </row>
    <row r="347" spans="1:12">
      <c r="A347" s="855" t="s">
        <v>564</v>
      </c>
      <c r="B347" s="856"/>
      <c r="C347" s="856"/>
      <c r="D347" s="857"/>
      <c r="E347" s="858"/>
      <c r="F347" s="859"/>
      <c r="G347" s="860"/>
      <c r="H347" s="857"/>
      <c r="I347" s="861"/>
      <c r="J347" s="295"/>
      <c r="K347" s="296">
        <f t="shared" si="6"/>
        <v>0</v>
      </c>
      <c r="L347"/>
    </row>
    <row r="348" spans="1:12">
      <c r="A348" s="855" t="s">
        <v>564</v>
      </c>
      <c r="B348" s="856"/>
      <c r="C348" s="856"/>
      <c r="D348" s="857"/>
      <c r="E348" s="858"/>
      <c r="F348" s="859"/>
      <c r="G348" s="860"/>
      <c r="H348" s="857"/>
      <c r="I348" s="861"/>
      <c r="J348" s="295"/>
      <c r="K348" s="296">
        <f t="shared" si="6"/>
        <v>0</v>
      </c>
      <c r="L348"/>
    </row>
    <row r="349" spans="1:12">
      <c r="A349" s="855" t="s">
        <v>564</v>
      </c>
      <c r="B349" s="856"/>
      <c r="C349" s="856"/>
      <c r="D349" s="857"/>
      <c r="E349" s="858"/>
      <c r="F349" s="859"/>
      <c r="G349" s="860"/>
      <c r="H349" s="857"/>
      <c r="I349" s="861"/>
      <c r="J349" s="295"/>
      <c r="K349" s="296">
        <f t="shared" si="6"/>
        <v>0</v>
      </c>
      <c r="L349"/>
    </row>
    <row r="350" spans="1:12">
      <c r="A350" s="855" t="s">
        <v>565</v>
      </c>
      <c r="B350" s="856"/>
      <c r="C350" s="856"/>
      <c r="D350" s="857"/>
      <c r="E350" s="858"/>
      <c r="F350" s="859"/>
      <c r="G350" s="860"/>
      <c r="H350" s="857"/>
      <c r="I350" s="861"/>
      <c r="J350" s="295"/>
      <c r="K350" s="296">
        <f t="shared" si="6"/>
        <v>0</v>
      </c>
      <c r="L350"/>
    </row>
    <row r="351" spans="1:12">
      <c r="A351" s="855" t="s">
        <v>565</v>
      </c>
      <c r="B351" s="856"/>
      <c r="C351" s="856"/>
      <c r="D351" s="857"/>
      <c r="E351" s="858"/>
      <c r="F351" s="859"/>
      <c r="G351" s="860"/>
      <c r="H351" s="857"/>
      <c r="I351" s="861"/>
      <c r="J351" s="295"/>
      <c r="K351" s="296">
        <f t="shared" si="6"/>
        <v>0</v>
      </c>
      <c r="L351"/>
    </row>
    <row r="352" spans="1:12">
      <c r="A352" s="855" t="s">
        <v>579</v>
      </c>
      <c r="B352" s="856"/>
      <c r="C352" s="856"/>
      <c r="D352" s="857"/>
      <c r="E352" s="858"/>
      <c r="F352" s="859"/>
      <c r="G352" s="860"/>
      <c r="H352" s="857"/>
      <c r="I352" s="861"/>
      <c r="J352" s="295"/>
      <c r="K352" s="296">
        <f t="shared" si="6"/>
        <v>0</v>
      </c>
      <c r="L352"/>
    </row>
    <row r="353" spans="1:12">
      <c r="A353" s="855" t="s">
        <v>564</v>
      </c>
      <c r="B353" s="856"/>
      <c r="C353" s="856"/>
      <c r="D353" s="857"/>
      <c r="E353" s="858"/>
      <c r="F353" s="859"/>
      <c r="G353" s="860"/>
      <c r="H353" s="857"/>
      <c r="I353" s="861"/>
      <c r="J353" s="295"/>
      <c r="K353" s="296">
        <f t="shared" si="6"/>
        <v>0</v>
      </c>
      <c r="L353"/>
    </row>
    <row r="354" spans="1:12">
      <c r="A354" s="855" t="s">
        <v>564</v>
      </c>
      <c r="B354" s="856"/>
      <c r="C354" s="856"/>
      <c r="D354" s="857"/>
      <c r="E354" s="858"/>
      <c r="F354" s="859"/>
      <c r="G354" s="860"/>
      <c r="H354" s="857"/>
      <c r="I354" s="861"/>
      <c r="J354" s="295"/>
      <c r="K354" s="296">
        <f t="shared" si="6"/>
        <v>0</v>
      </c>
      <c r="L354"/>
    </row>
    <row r="355" spans="1:12">
      <c r="A355" s="855" t="s">
        <v>564</v>
      </c>
      <c r="B355" s="856"/>
      <c r="C355" s="856"/>
      <c r="D355" s="857"/>
      <c r="E355" s="858"/>
      <c r="F355" s="859"/>
      <c r="G355" s="860"/>
      <c r="H355" s="857"/>
      <c r="I355" s="861"/>
      <c r="J355" s="295"/>
      <c r="K355" s="296">
        <f t="shared" si="6"/>
        <v>0</v>
      </c>
      <c r="L355"/>
    </row>
    <row r="356" spans="1:12">
      <c r="A356" s="855" t="s">
        <v>564</v>
      </c>
      <c r="B356" s="856"/>
      <c r="C356" s="856"/>
      <c r="D356" s="857"/>
      <c r="E356" s="858"/>
      <c r="F356" s="859"/>
      <c r="G356" s="860"/>
      <c r="H356" s="857"/>
      <c r="I356" s="861"/>
      <c r="J356" s="295"/>
      <c r="K356" s="296">
        <f t="shared" si="6"/>
        <v>0</v>
      </c>
      <c r="L356"/>
    </row>
    <row r="357" spans="1:12">
      <c r="A357" s="855" t="s">
        <v>564</v>
      </c>
      <c r="B357" s="856"/>
      <c r="C357" s="856"/>
      <c r="D357" s="857"/>
      <c r="E357" s="858"/>
      <c r="F357" s="859"/>
      <c r="G357" s="860"/>
      <c r="H357" s="857"/>
      <c r="I357" s="861"/>
      <c r="J357" s="295"/>
      <c r="K357" s="296">
        <f t="shared" si="6"/>
        <v>0</v>
      </c>
      <c r="L357"/>
    </row>
    <row r="358" spans="1:12">
      <c r="A358" s="855" t="s">
        <v>564</v>
      </c>
      <c r="B358" s="856"/>
      <c r="C358" s="856"/>
      <c r="D358" s="857"/>
      <c r="E358" s="858"/>
      <c r="F358" s="859"/>
      <c r="G358" s="860"/>
      <c r="H358" s="857"/>
      <c r="I358" s="861"/>
      <c r="J358" s="295"/>
      <c r="K358" s="296">
        <f t="shared" si="6"/>
        <v>0</v>
      </c>
      <c r="L358"/>
    </row>
    <row r="359" spans="1:12">
      <c r="A359" s="855" t="s">
        <v>564</v>
      </c>
      <c r="B359" s="856"/>
      <c r="C359" s="856"/>
      <c r="D359" s="857"/>
      <c r="E359" s="858"/>
      <c r="F359" s="859"/>
      <c r="G359" s="860"/>
      <c r="H359" s="857"/>
      <c r="I359" s="861"/>
      <c r="J359" s="295"/>
      <c r="K359" s="296">
        <f t="shared" si="6"/>
        <v>0</v>
      </c>
      <c r="L359"/>
    </row>
    <row r="360" spans="1:12">
      <c r="A360" s="855" t="s">
        <v>564</v>
      </c>
      <c r="B360" s="856"/>
      <c r="C360" s="856"/>
      <c r="D360" s="857"/>
      <c r="E360" s="858"/>
      <c r="F360" s="859"/>
      <c r="G360" s="860"/>
      <c r="H360" s="857"/>
      <c r="I360" s="861"/>
      <c r="J360" s="295"/>
      <c r="K360" s="296">
        <f t="shared" si="6"/>
        <v>0</v>
      </c>
      <c r="L360"/>
    </row>
    <row r="361" spans="1:12">
      <c r="A361" s="855" t="s">
        <v>565</v>
      </c>
      <c r="B361" s="856"/>
      <c r="C361" s="856"/>
      <c r="D361" s="857"/>
      <c r="E361" s="858"/>
      <c r="F361" s="859"/>
      <c r="G361" s="860"/>
      <c r="H361" s="857"/>
      <c r="I361" s="861"/>
      <c r="J361" s="295"/>
      <c r="K361" s="296">
        <f t="shared" si="6"/>
        <v>0</v>
      </c>
      <c r="L361"/>
    </row>
    <row r="362" spans="1:12">
      <c r="A362" s="855" t="s">
        <v>565</v>
      </c>
      <c r="B362" s="856"/>
      <c r="C362" s="856"/>
      <c r="D362" s="857"/>
      <c r="E362" s="858"/>
      <c r="F362" s="859"/>
      <c r="G362" s="860"/>
      <c r="H362" s="857"/>
      <c r="I362" s="861"/>
      <c r="J362" s="295"/>
      <c r="K362" s="296">
        <f t="shared" si="6"/>
        <v>0</v>
      </c>
      <c r="L362"/>
    </row>
    <row r="363" spans="1:12">
      <c r="A363" s="855" t="s">
        <v>565</v>
      </c>
      <c r="B363" s="856"/>
      <c r="C363" s="856"/>
      <c r="D363" s="857"/>
      <c r="E363" s="858"/>
      <c r="F363" s="859"/>
      <c r="G363" s="860"/>
      <c r="H363" s="857"/>
      <c r="I363" s="861"/>
      <c r="J363" s="295"/>
      <c r="K363" s="296">
        <f t="shared" si="6"/>
        <v>0</v>
      </c>
      <c r="L363"/>
    </row>
    <row r="364" spans="1:12">
      <c r="A364" s="855" t="s">
        <v>579</v>
      </c>
      <c r="B364" s="856"/>
      <c r="C364" s="856"/>
      <c r="D364" s="857"/>
      <c r="E364" s="858"/>
      <c r="F364" s="859"/>
      <c r="G364" s="860"/>
      <c r="H364" s="857"/>
      <c r="I364" s="861"/>
      <c r="J364" s="295"/>
      <c r="K364" s="296">
        <f t="shared" si="6"/>
        <v>0</v>
      </c>
      <c r="L364"/>
    </row>
    <row r="365" spans="1:12">
      <c r="A365" s="855" t="s">
        <v>579</v>
      </c>
      <c r="B365" s="856"/>
      <c r="C365" s="856"/>
      <c r="D365" s="857"/>
      <c r="E365" s="858"/>
      <c r="F365" s="859"/>
      <c r="G365" s="860"/>
      <c r="H365" s="857"/>
      <c r="I365" s="861"/>
      <c r="J365" s="295"/>
      <c r="K365" s="296">
        <f t="shared" si="6"/>
        <v>0</v>
      </c>
      <c r="L365"/>
    </row>
    <row r="366" spans="1:12">
      <c r="A366" s="855" t="s">
        <v>579</v>
      </c>
      <c r="B366" s="856"/>
      <c r="C366" s="856"/>
      <c r="D366" s="857"/>
      <c r="E366" s="858"/>
      <c r="F366" s="859"/>
      <c r="G366" s="860"/>
      <c r="H366" s="857"/>
      <c r="I366" s="861"/>
      <c r="J366" s="295"/>
      <c r="K366" s="296">
        <f t="shared" si="6"/>
        <v>0</v>
      </c>
      <c r="L366"/>
    </row>
    <row r="367" spans="1:12">
      <c r="A367" s="855" t="s">
        <v>579</v>
      </c>
      <c r="B367" s="856"/>
      <c r="C367" s="856"/>
      <c r="D367" s="857"/>
      <c r="E367" s="858"/>
      <c r="F367" s="859"/>
      <c r="G367" s="860"/>
      <c r="H367" s="857"/>
      <c r="I367" s="861"/>
      <c r="J367" s="295"/>
      <c r="K367" s="296">
        <f t="shared" si="6"/>
        <v>0</v>
      </c>
      <c r="L367"/>
    </row>
    <row r="368" spans="1:12">
      <c r="A368" s="855" t="s">
        <v>565</v>
      </c>
      <c r="B368" s="856"/>
      <c r="C368" s="856"/>
      <c r="D368" s="857"/>
      <c r="E368" s="858"/>
      <c r="F368" s="859"/>
      <c r="G368" s="860"/>
      <c r="H368" s="857"/>
      <c r="I368" s="861"/>
      <c r="J368" s="295"/>
      <c r="K368" s="296">
        <f t="shared" si="6"/>
        <v>0</v>
      </c>
      <c r="L368"/>
    </row>
    <row r="369" spans="1:12">
      <c r="A369" s="855" t="s">
        <v>565</v>
      </c>
      <c r="B369" s="856"/>
      <c r="C369" s="856"/>
      <c r="D369" s="857"/>
      <c r="E369" s="858"/>
      <c r="F369" s="859"/>
      <c r="G369" s="860"/>
      <c r="H369" s="857"/>
      <c r="I369" s="861"/>
      <c r="J369" s="295"/>
      <c r="K369" s="296">
        <f t="shared" si="6"/>
        <v>0</v>
      </c>
      <c r="L369"/>
    </row>
    <row r="370" spans="1:12">
      <c r="A370" s="855" t="s">
        <v>565</v>
      </c>
      <c r="B370" s="856"/>
      <c r="C370" s="856"/>
      <c r="D370" s="857"/>
      <c r="E370" s="858"/>
      <c r="F370" s="859"/>
      <c r="G370" s="860"/>
      <c r="H370" s="857"/>
      <c r="I370" s="861"/>
      <c r="J370" s="295"/>
      <c r="K370" s="296">
        <f t="shared" si="6"/>
        <v>0</v>
      </c>
      <c r="L370"/>
    </row>
    <row r="371" spans="1:12">
      <c r="A371" s="855" t="s">
        <v>565</v>
      </c>
      <c r="B371" s="856"/>
      <c r="C371" s="856"/>
      <c r="D371" s="857"/>
      <c r="E371" s="858"/>
      <c r="F371" s="859"/>
      <c r="G371" s="860"/>
      <c r="H371" s="857"/>
      <c r="I371" s="861"/>
      <c r="J371" s="295"/>
      <c r="K371" s="296">
        <f t="shared" si="6"/>
        <v>0</v>
      </c>
      <c r="L371"/>
    </row>
    <row r="372" spans="1:12">
      <c r="A372" s="855" t="s">
        <v>565</v>
      </c>
      <c r="B372" s="856"/>
      <c r="C372" s="856"/>
      <c r="D372" s="857"/>
      <c r="E372" s="858"/>
      <c r="F372" s="859"/>
      <c r="G372" s="860"/>
      <c r="H372" s="857"/>
      <c r="I372" s="861"/>
      <c r="J372" s="295"/>
      <c r="K372" s="296">
        <f t="shared" si="6"/>
        <v>0</v>
      </c>
      <c r="L372"/>
    </row>
    <row r="373" spans="1:12">
      <c r="A373" s="855" t="s">
        <v>565</v>
      </c>
      <c r="B373" s="856"/>
      <c r="C373" s="856"/>
      <c r="D373" s="857"/>
      <c r="E373" s="858"/>
      <c r="F373" s="859"/>
      <c r="G373" s="860"/>
      <c r="H373" s="857"/>
      <c r="I373" s="861"/>
      <c r="J373" s="295"/>
      <c r="K373" s="296">
        <f t="shared" si="6"/>
        <v>0</v>
      </c>
      <c r="L373"/>
    </row>
    <row r="374" spans="1:12">
      <c r="A374" s="855" t="s">
        <v>579</v>
      </c>
      <c r="B374" s="856"/>
      <c r="C374" s="856"/>
      <c r="D374" s="857"/>
      <c r="E374" s="858"/>
      <c r="F374" s="859"/>
      <c r="G374" s="860"/>
      <c r="H374" s="857"/>
      <c r="I374" s="861"/>
      <c r="J374" s="295"/>
      <c r="K374" s="296">
        <f t="shared" si="6"/>
        <v>0</v>
      </c>
      <c r="L374"/>
    </row>
    <row r="375" spans="1:12">
      <c r="A375" s="855" t="s">
        <v>579</v>
      </c>
      <c r="B375" s="856"/>
      <c r="C375" s="856"/>
      <c r="D375" s="857"/>
      <c r="E375" s="858"/>
      <c r="F375" s="859"/>
      <c r="G375" s="860"/>
      <c r="H375" s="857"/>
      <c r="I375" s="861"/>
      <c r="J375" s="295"/>
      <c r="K375" s="296">
        <f t="shared" si="6"/>
        <v>0</v>
      </c>
      <c r="L375"/>
    </row>
    <row r="376" spans="1:12">
      <c r="A376" s="855" t="s">
        <v>579</v>
      </c>
      <c r="B376" s="856"/>
      <c r="C376" s="856"/>
      <c r="D376" s="857"/>
      <c r="E376" s="858"/>
      <c r="F376" s="859"/>
      <c r="G376" s="860"/>
      <c r="H376" s="857"/>
      <c r="I376" s="861"/>
      <c r="J376" s="295"/>
      <c r="K376" s="296">
        <f t="shared" si="6"/>
        <v>0</v>
      </c>
      <c r="L376"/>
    </row>
    <row r="377" spans="1:12">
      <c r="A377" s="855" t="s">
        <v>579</v>
      </c>
      <c r="B377" s="856"/>
      <c r="C377" s="856"/>
      <c r="D377" s="857"/>
      <c r="E377" s="858"/>
      <c r="F377" s="859"/>
      <c r="G377" s="860"/>
      <c r="H377" s="857"/>
      <c r="I377" s="861"/>
      <c r="J377" s="295"/>
      <c r="K377" s="296">
        <f t="shared" si="6"/>
        <v>0</v>
      </c>
      <c r="L377"/>
    </row>
    <row r="378" spans="1:12">
      <c r="A378" s="855" t="s">
        <v>579</v>
      </c>
      <c r="B378" s="856"/>
      <c r="C378" s="856"/>
      <c r="D378" s="857"/>
      <c r="E378" s="858"/>
      <c r="F378" s="859"/>
      <c r="G378" s="860"/>
      <c r="H378" s="857"/>
      <c r="I378" s="861"/>
      <c r="J378" s="295"/>
      <c r="K378" s="296">
        <f t="shared" si="6"/>
        <v>0</v>
      </c>
      <c r="L378"/>
    </row>
    <row r="379" spans="1:12">
      <c r="A379" s="855" t="s">
        <v>565</v>
      </c>
      <c r="B379" s="856"/>
      <c r="C379" s="856"/>
      <c r="D379" s="857"/>
      <c r="E379" s="858"/>
      <c r="F379" s="859"/>
      <c r="G379" s="860"/>
      <c r="H379" s="857"/>
      <c r="I379" s="861"/>
      <c r="J379" s="295"/>
      <c r="K379" s="296">
        <f t="shared" si="6"/>
        <v>0</v>
      </c>
      <c r="L379"/>
    </row>
    <row r="380" spans="1:12">
      <c r="A380" s="855" t="s">
        <v>565</v>
      </c>
      <c r="B380" s="856"/>
      <c r="C380" s="856"/>
      <c r="D380" s="857"/>
      <c r="E380" s="858"/>
      <c r="F380" s="859"/>
      <c r="G380" s="860"/>
      <c r="H380" s="857"/>
      <c r="I380" s="861"/>
      <c r="J380" s="295"/>
      <c r="K380" s="296">
        <f t="shared" si="6"/>
        <v>0</v>
      </c>
      <c r="L380"/>
    </row>
    <row r="381" spans="1:12">
      <c r="A381" s="855" t="s">
        <v>565</v>
      </c>
      <c r="B381" s="856"/>
      <c r="C381" s="856"/>
      <c r="D381" s="857"/>
      <c r="E381" s="858"/>
      <c r="F381" s="859"/>
      <c r="G381" s="860"/>
      <c r="H381" s="857"/>
      <c r="I381" s="861"/>
      <c r="J381" s="295"/>
      <c r="K381" s="296">
        <f t="shared" si="6"/>
        <v>0</v>
      </c>
      <c r="L381"/>
    </row>
    <row r="382" spans="1:12">
      <c r="A382" s="855" t="s">
        <v>565</v>
      </c>
      <c r="B382" s="856"/>
      <c r="C382" s="856"/>
      <c r="D382" s="857"/>
      <c r="E382" s="858"/>
      <c r="F382" s="859"/>
      <c r="G382" s="860"/>
      <c r="H382" s="857"/>
      <c r="I382" s="861"/>
      <c r="J382" s="295"/>
      <c r="K382" s="296">
        <f t="shared" si="6"/>
        <v>0</v>
      </c>
      <c r="L382"/>
    </row>
    <row r="383" spans="1:12">
      <c r="A383" s="855" t="s">
        <v>565</v>
      </c>
      <c r="B383" s="856"/>
      <c r="C383" s="856"/>
      <c r="D383" s="857"/>
      <c r="E383" s="858"/>
      <c r="F383" s="859"/>
      <c r="G383" s="860"/>
      <c r="H383" s="857"/>
      <c r="I383" s="861"/>
      <c r="J383" s="295"/>
      <c r="K383" s="296">
        <f t="shared" si="6"/>
        <v>0</v>
      </c>
      <c r="L383"/>
    </row>
    <row r="384" spans="1:12">
      <c r="A384" s="855" t="s">
        <v>565</v>
      </c>
      <c r="B384" s="856"/>
      <c r="C384" s="856"/>
      <c r="D384" s="857"/>
      <c r="E384" s="858"/>
      <c r="F384" s="859"/>
      <c r="G384" s="860"/>
      <c r="H384" s="857"/>
      <c r="I384" s="861"/>
      <c r="J384" s="295"/>
      <c r="K384" s="296">
        <f t="shared" si="6"/>
        <v>0</v>
      </c>
      <c r="L384"/>
    </row>
    <row r="385" spans="1:12">
      <c r="A385" s="855" t="s">
        <v>579</v>
      </c>
      <c r="B385" s="856"/>
      <c r="C385" s="856"/>
      <c r="D385" s="857"/>
      <c r="E385" s="858"/>
      <c r="F385" s="859"/>
      <c r="G385" s="860"/>
      <c r="H385" s="857"/>
      <c r="I385" s="861"/>
      <c r="J385" s="295"/>
      <c r="K385" s="296">
        <f t="shared" si="6"/>
        <v>0</v>
      </c>
      <c r="L385"/>
    </row>
    <row r="386" spans="1:12">
      <c r="A386" s="855" t="s">
        <v>565</v>
      </c>
      <c r="B386" s="856"/>
      <c r="C386" s="856"/>
      <c r="D386" s="857"/>
      <c r="E386" s="858"/>
      <c r="F386" s="859"/>
      <c r="G386" s="860"/>
      <c r="H386" s="857"/>
      <c r="I386" s="861"/>
      <c r="J386" s="295"/>
      <c r="K386" s="296">
        <f t="shared" si="6"/>
        <v>0</v>
      </c>
      <c r="L386"/>
    </row>
    <row r="387" spans="1:12">
      <c r="A387" s="855" t="s">
        <v>565</v>
      </c>
      <c r="B387" s="856"/>
      <c r="C387" s="856"/>
      <c r="D387" s="857"/>
      <c r="E387" s="858"/>
      <c r="F387" s="859"/>
      <c r="G387" s="860"/>
      <c r="H387" s="857"/>
      <c r="I387" s="861"/>
      <c r="J387" s="295"/>
      <c r="K387" s="296">
        <f t="shared" si="6"/>
        <v>0</v>
      </c>
      <c r="L387"/>
    </row>
    <row r="388" spans="1:12">
      <c r="A388" s="855" t="s">
        <v>565</v>
      </c>
      <c r="B388" s="856"/>
      <c r="C388" s="856"/>
      <c r="D388" s="857"/>
      <c r="E388" s="858"/>
      <c r="F388" s="859"/>
      <c r="G388" s="860"/>
      <c r="H388" s="857"/>
      <c r="I388" s="861"/>
      <c r="J388" s="295"/>
      <c r="K388" s="296">
        <f t="shared" si="6"/>
        <v>0</v>
      </c>
      <c r="L388"/>
    </row>
    <row r="389" spans="1:12">
      <c r="A389" s="855" t="s">
        <v>565</v>
      </c>
      <c r="B389" s="856"/>
      <c r="C389" s="856"/>
      <c r="D389" s="857"/>
      <c r="E389" s="858"/>
      <c r="F389" s="859"/>
      <c r="G389" s="860"/>
      <c r="H389" s="857"/>
      <c r="I389" s="861"/>
      <c r="J389" s="295"/>
      <c r="K389" s="296">
        <f t="shared" si="6"/>
        <v>0</v>
      </c>
      <c r="L389"/>
    </row>
    <row r="390" spans="1:12">
      <c r="A390" s="855" t="s">
        <v>565</v>
      </c>
      <c r="B390" s="856"/>
      <c r="C390" s="856"/>
      <c r="D390" s="857"/>
      <c r="E390" s="858"/>
      <c r="F390" s="859"/>
      <c r="G390" s="860"/>
      <c r="H390" s="857"/>
      <c r="I390" s="861"/>
      <c r="J390" s="295"/>
      <c r="K390" s="296">
        <f t="shared" si="6"/>
        <v>0</v>
      </c>
      <c r="L390"/>
    </row>
    <row r="391" spans="1:12">
      <c r="A391" s="855" t="s">
        <v>565</v>
      </c>
      <c r="B391" s="856"/>
      <c r="C391" s="856"/>
      <c r="D391" s="857"/>
      <c r="E391" s="858"/>
      <c r="F391" s="859"/>
      <c r="G391" s="860"/>
      <c r="H391" s="857"/>
      <c r="I391" s="861"/>
      <c r="J391" s="295"/>
      <c r="K391" s="296">
        <f t="shared" si="6"/>
        <v>0</v>
      </c>
      <c r="L391"/>
    </row>
    <row r="392" spans="1:12">
      <c r="A392" s="855" t="s">
        <v>565</v>
      </c>
      <c r="B392" s="856"/>
      <c r="C392" s="856"/>
      <c r="D392" s="857"/>
      <c r="E392" s="858"/>
      <c r="F392" s="859"/>
      <c r="G392" s="860"/>
      <c r="H392" s="857"/>
      <c r="I392" s="861"/>
      <c r="J392" s="295"/>
      <c r="K392" s="296">
        <f t="shared" si="6"/>
        <v>0</v>
      </c>
      <c r="L392"/>
    </row>
    <row r="393" spans="1:12">
      <c r="A393" s="855" t="s">
        <v>565</v>
      </c>
      <c r="B393" s="856"/>
      <c r="C393" s="856"/>
      <c r="D393" s="857"/>
      <c r="E393" s="858"/>
      <c r="F393" s="859"/>
      <c r="G393" s="860"/>
      <c r="H393" s="857"/>
      <c r="I393" s="861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55" t="s">
        <v>565</v>
      </c>
      <c r="B394" s="856"/>
      <c r="C394" s="856"/>
      <c r="D394" s="857"/>
      <c r="E394" s="858"/>
      <c r="F394" s="859"/>
      <c r="G394" s="860"/>
      <c r="H394" s="857"/>
      <c r="I394" s="861"/>
      <c r="J394" s="295"/>
      <c r="K394" s="296">
        <f t="shared" si="7"/>
        <v>0</v>
      </c>
      <c r="L394"/>
    </row>
    <row r="395" spans="1:12">
      <c r="A395" s="855" t="s">
        <v>565</v>
      </c>
      <c r="B395" s="856"/>
      <c r="C395" s="856"/>
      <c r="D395" s="857"/>
      <c r="E395" s="858"/>
      <c r="F395" s="859"/>
      <c r="G395" s="860"/>
      <c r="H395" s="857"/>
      <c r="I395" s="861"/>
      <c r="J395" s="295"/>
      <c r="K395" s="296">
        <f t="shared" si="7"/>
        <v>0</v>
      </c>
      <c r="L395"/>
    </row>
    <row r="396" spans="1:12">
      <c r="A396" s="855" t="s">
        <v>565</v>
      </c>
      <c r="B396" s="856"/>
      <c r="C396" s="856"/>
      <c r="D396" s="857"/>
      <c r="E396" s="858"/>
      <c r="F396" s="859"/>
      <c r="G396" s="860"/>
      <c r="H396" s="857"/>
      <c r="I396" s="861"/>
      <c r="J396" s="295"/>
      <c r="K396" s="296">
        <f t="shared" si="7"/>
        <v>0</v>
      </c>
      <c r="L396"/>
    </row>
    <row r="397" spans="1:12">
      <c r="A397" s="855" t="s">
        <v>565</v>
      </c>
      <c r="B397" s="856"/>
      <c r="C397" s="856"/>
      <c r="D397" s="857"/>
      <c r="E397" s="858"/>
      <c r="F397" s="859"/>
      <c r="G397" s="860"/>
      <c r="H397" s="857"/>
      <c r="I397" s="861"/>
      <c r="J397" s="295"/>
      <c r="K397" s="296">
        <f t="shared" si="7"/>
        <v>0</v>
      </c>
      <c r="L397"/>
    </row>
    <row r="398" spans="1:12">
      <c r="A398" s="855" t="s">
        <v>564</v>
      </c>
      <c r="B398" s="856"/>
      <c r="C398" s="856"/>
      <c r="D398" s="857"/>
      <c r="E398" s="858"/>
      <c r="F398" s="859"/>
      <c r="G398" s="860"/>
      <c r="H398" s="857"/>
      <c r="I398" s="861"/>
      <c r="J398" s="295"/>
      <c r="K398" s="296">
        <f t="shared" si="7"/>
        <v>0</v>
      </c>
      <c r="L398"/>
    </row>
    <row r="399" spans="1:12">
      <c r="A399" s="855" t="s">
        <v>579</v>
      </c>
      <c r="B399" s="856"/>
      <c r="C399" s="856"/>
      <c r="D399" s="857"/>
      <c r="E399" s="858"/>
      <c r="F399" s="859"/>
      <c r="G399" s="860"/>
      <c r="H399" s="857"/>
      <c r="I399" s="861"/>
      <c r="J399" s="295"/>
      <c r="K399" s="296">
        <f t="shared" si="7"/>
        <v>0</v>
      </c>
      <c r="L399"/>
    </row>
    <row r="400" spans="1:12">
      <c r="A400" s="855" t="s">
        <v>565</v>
      </c>
      <c r="B400" s="856"/>
      <c r="C400" s="856"/>
      <c r="D400" s="857"/>
      <c r="E400" s="858"/>
      <c r="F400" s="859"/>
      <c r="G400" s="860"/>
      <c r="H400" s="857"/>
      <c r="I400" s="861"/>
      <c r="J400" s="295"/>
      <c r="K400" s="296">
        <f t="shared" si="7"/>
        <v>0</v>
      </c>
      <c r="L400"/>
    </row>
    <row r="401" spans="1:12">
      <c r="A401" s="855" t="s">
        <v>565</v>
      </c>
      <c r="B401" s="856"/>
      <c r="C401" s="856"/>
      <c r="D401" s="857"/>
      <c r="E401" s="858"/>
      <c r="F401" s="859"/>
      <c r="G401" s="860"/>
      <c r="H401" s="857"/>
      <c r="I401" s="861"/>
      <c r="J401" s="295"/>
      <c r="K401" s="296">
        <f t="shared" si="7"/>
        <v>0</v>
      </c>
      <c r="L401"/>
    </row>
    <row r="402" spans="1:12">
      <c r="A402" s="855" t="s">
        <v>565</v>
      </c>
      <c r="B402" s="856"/>
      <c r="C402" s="856"/>
      <c r="D402" s="857"/>
      <c r="E402" s="858"/>
      <c r="F402" s="859"/>
      <c r="G402" s="860"/>
      <c r="H402" s="857"/>
      <c r="I402" s="861"/>
      <c r="J402" s="295"/>
      <c r="K402" s="296">
        <f t="shared" si="7"/>
        <v>0</v>
      </c>
      <c r="L402"/>
    </row>
    <row r="403" spans="1:12">
      <c r="A403" s="855" t="s">
        <v>565</v>
      </c>
      <c r="B403" s="856"/>
      <c r="C403" s="856"/>
      <c r="D403" s="857"/>
      <c r="E403" s="858"/>
      <c r="F403" s="859"/>
      <c r="G403" s="860"/>
      <c r="H403" s="857"/>
      <c r="I403" s="861"/>
      <c r="J403" s="295"/>
      <c r="K403" s="296">
        <f t="shared" si="7"/>
        <v>0</v>
      </c>
      <c r="L403"/>
    </row>
    <row r="404" spans="1:12">
      <c r="A404" s="855" t="s">
        <v>565</v>
      </c>
      <c r="B404" s="856"/>
      <c r="C404" s="856"/>
      <c r="D404" s="857"/>
      <c r="E404" s="858"/>
      <c r="F404" s="859"/>
      <c r="G404" s="860"/>
      <c r="H404" s="857"/>
      <c r="I404" s="861"/>
      <c r="J404" s="295"/>
      <c r="K404" s="296">
        <f t="shared" si="7"/>
        <v>0</v>
      </c>
      <c r="L404"/>
    </row>
    <row r="405" spans="1:12">
      <c r="A405" s="855" t="s">
        <v>565</v>
      </c>
      <c r="B405" s="856"/>
      <c r="C405" s="856"/>
      <c r="D405" s="857"/>
      <c r="E405" s="858"/>
      <c r="F405" s="859"/>
      <c r="G405" s="860"/>
      <c r="H405" s="857"/>
      <c r="I405" s="861"/>
      <c r="J405" s="295"/>
      <c r="K405" s="296">
        <f t="shared" si="7"/>
        <v>0</v>
      </c>
      <c r="L405"/>
    </row>
    <row r="406" spans="1:12">
      <c r="A406" s="855" t="s">
        <v>565</v>
      </c>
      <c r="B406" s="856"/>
      <c r="C406" s="856"/>
      <c r="D406" s="857"/>
      <c r="E406" s="858"/>
      <c r="F406" s="859"/>
      <c r="G406" s="860"/>
      <c r="H406" s="857"/>
      <c r="I406" s="861"/>
      <c r="J406" s="295"/>
      <c r="K406" s="296">
        <f t="shared" si="7"/>
        <v>0</v>
      </c>
      <c r="L406"/>
    </row>
    <row r="407" spans="1:12">
      <c r="A407" s="855" t="s">
        <v>565</v>
      </c>
      <c r="B407" s="856"/>
      <c r="C407" s="856"/>
      <c r="D407" s="857"/>
      <c r="E407" s="858"/>
      <c r="F407" s="859"/>
      <c r="G407" s="860"/>
      <c r="H407" s="857"/>
      <c r="I407" s="861"/>
      <c r="J407" s="295"/>
      <c r="K407" s="296">
        <f t="shared" si="7"/>
        <v>0</v>
      </c>
      <c r="L407"/>
    </row>
    <row r="408" spans="1:12">
      <c r="A408" s="855" t="s">
        <v>565</v>
      </c>
      <c r="B408" s="856"/>
      <c r="C408" s="856"/>
      <c r="D408" s="857"/>
      <c r="E408" s="858"/>
      <c r="F408" s="859"/>
      <c r="G408" s="860"/>
      <c r="H408" s="857"/>
      <c r="I408" s="861"/>
      <c r="J408" s="295"/>
      <c r="K408" s="296">
        <f t="shared" si="7"/>
        <v>0</v>
      </c>
      <c r="L408"/>
    </row>
    <row r="409" spans="1:12">
      <c r="A409" s="855" t="s">
        <v>565</v>
      </c>
      <c r="B409" s="856"/>
      <c r="C409" s="856"/>
      <c r="D409" s="857"/>
      <c r="E409" s="858"/>
      <c r="F409" s="859"/>
      <c r="G409" s="860"/>
      <c r="H409" s="857"/>
      <c r="I409" s="861"/>
      <c r="J409" s="295"/>
      <c r="K409" s="296">
        <f t="shared" si="7"/>
        <v>0</v>
      </c>
      <c r="L409"/>
    </row>
    <row r="410" spans="1:12">
      <c r="A410" s="855" t="s">
        <v>565</v>
      </c>
      <c r="B410" s="856"/>
      <c r="C410" s="856"/>
      <c r="D410" s="857"/>
      <c r="E410" s="858"/>
      <c r="F410" s="859"/>
      <c r="G410" s="860"/>
      <c r="H410" s="857"/>
      <c r="I410" s="861"/>
      <c r="J410" s="295"/>
      <c r="K410" s="296">
        <f t="shared" si="7"/>
        <v>0</v>
      </c>
      <c r="L410"/>
    </row>
    <row r="411" spans="1:12">
      <c r="A411" s="855" t="s">
        <v>565</v>
      </c>
      <c r="B411" s="856"/>
      <c r="C411" s="856"/>
      <c r="D411" s="857"/>
      <c r="E411" s="858"/>
      <c r="F411" s="859"/>
      <c r="G411" s="860"/>
      <c r="H411" s="857"/>
      <c r="I411" s="861"/>
      <c r="J411" s="295"/>
      <c r="K411" s="296">
        <f t="shared" si="7"/>
        <v>0</v>
      </c>
      <c r="L411"/>
    </row>
    <row r="412" spans="1:12">
      <c r="A412" s="855" t="s">
        <v>565</v>
      </c>
      <c r="B412" s="856"/>
      <c r="C412" s="856"/>
      <c r="D412" s="857"/>
      <c r="E412" s="858"/>
      <c r="F412" s="859"/>
      <c r="G412" s="860"/>
      <c r="H412" s="857"/>
      <c r="I412" s="861"/>
      <c r="J412" s="295"/>
      <c r="K412" s="296">
        <f t="shared" si="7"/>
        <v>0</v>
      </c>
      <c r="L412"/>
    </row>
    <row r="413" spans="1:12">
      <c r="A413" s="855" t="s">
        <v>565</v>
      </c>
      <c r="B413" s="856"/>
      <c r="C413" s="856"/>
      <c r="D413" s="857"/>
      <c r="E413" s="858"/>
      <c r="F413" s="859"/>
      <c r="G413" s="860"/>
      <c r="H413" s="857"/>
      <c r="I413" s="861"/>
      <c r="J413" s="295"/>
      <c r="K413" s="296">
        <f t="shared" si="7"/>
        <v>0</v>
      </c>
      <c r="L413"/>
    </row>
    <row r="414" spans="1:12">
      <c r="A414" s="855" t="s">
        <v>565</v>
      </c>
      <c r="B414" s="856"/>
      <c r="C414" s="856"/>
      <c r="D414" s="857"/>
      <c r="E414" s="858"/>
      <c r="F414" s="859"/>
      <c r="G414" s="860"/>
      <c r="H414" s="857"/>
      <c r="I414" s="861"/>
      <c r="J414" s="295"/>
      <c r="K414" s="296">
        <f t="shared" si="7"/>
        <v>0</v>
      </c>
      <c r="L414"/>
    </row>
    <row r="415" spans="1:12">
      <c r="A415" s="855" t="s">
        <v>565</v>
      </c>
      <c r="B415" s="856"/>
      <c r="C415" s="856"/>
      <c r="D415" s="857"/>
      <c r="E415" s="858"/>
      <c r="F415" s="859"/>
      <c r="G415" s="860"/>
      <c r="H415" s="857"/>
      <c r="I415" s="861"/>
      <c r="J415" s="295"/>
      <c r="K415" s="296">
        <f t="shared" si="7"/>
        <v>0</v>
      </c>
      <c r="L415"/>
    </row>
    <row r="416" spans="1:12">
      <c r="A416" s="855" t="s">
        <v>565</v>
      </c>
      <c r="B416" s="856"/>
      <c r="C416" s="856"/>
      <c r="D416" s="857"/>
      <c r="E416" s="858"/>
      <c r="F416" s="859"/>
      <c r="G416" s="860"/>
      <c r="H416" s="857"/>
      <c r="I416" s="861"/>
      <c r="J416" s="295"/>
      <c r="K416" s="296">
        <f t="shared" si="7"/>
        <v>0</v>
      </c>
      <c r="L416"/>
    </row>
    <row r="417" spans="1:12">
      <c r="A417" s="855" t="s">
        <v>565</v>
      </c>
      <c r="B417" s="856"/>
      <c r="C417" s="856"/>
      <c r="D417" s="857"/>
      <c r="E417" s="858"/>
      <c r="F417" s="859"/>
      <c r="G417" s="860"/>
      <c r="H417" s="857"/>
      <c r="I417" s="861"/>
      <c r="J417" s="295"/>
      <c r="K417" s="296">
        <f t="shared" si="7"/>
        <v>0</v>
      </c>
      <c r="L417"/>
    </row>
    <row r="418" spans="1:12">
      <c r="A418" s="855" t="s">
        <v>565</v>
      </c>
      <c r="B418" s="856"/>
      <c r="C418" s="856"/>
      <c r="D418" s="857"/>
      <c r="E418" s="858"/>
      <c r="F418" s="859"/>
      <c r="G418" s="860"/>
      <c r="H418" s="857"/>
      <c r="I418" s="861"/>
      <c r="J418" s="295"/>
      <c r="K418" s="296">
        <f t="shared" si="7"/>
        <v>0</v>
      </c>
      <c r="L418"/>
    </row>
    <row r="419" spans="1:12">
      <c r="A419" s="855" t="s">
        <v>565</v>
      </c>
      <c r="B419" s="856"/>
      <c r="C419" s="856"/>
      <c r="D419" s="857"/>
      <c r="E419" s="858"/>
      <c r="F419" s="859"/>
      <c r="G419" s="860"/>
      <c r="H419" s="857"/>
      <c r="I419" s="861"/>
      <c r="J419" s="295"/>
      <c r="K419" s="296">
        <f t="shared" si="7"/>
        <v>0</v>
      </c>
      <c r="L419"/>
    </row>
    <row r="420" spans="1:12">
      <c r="A420" s="855" t="s">
        <v>565</v>
      </c>
      <c r="B420" s="856"/>
      <c r="C420" s="856"/>
      <c r="D420" s="857"/>
      <c r="E420" s="858"/>
      <c r="F420" s="859"/>
      <c r="G420" s="860"/>
      <c r="H420" s="857"/>
      <c r="I420" s="861"/>
      <c r="J420" s="295"/>
      <c r="K420" s="296">
        <f t="shared" si="7"/>
        <v>0</v>
      </c>
      <c r="L420"/>
    </row>
    <row r="421" spans="1:12">
      <c r="A421" s="855" t="s">
        <v>565</v>
      </c>
      <c r="B421" s="856"/>
      <c r="C421" s="856"/>
      <c r="D421" s="857"/>
      <c r="E421" s="858"/>
      <c r="F421" s="859"/>
      <c r="G421" s="860"/>
      <c r="H421" s="857"/>
      <c r="I421" s="861"/>
      <c r="J421" s="295"/>
      <c r="K421" s="296">
        <f t="shared" si="7"/>
        <v>0</v>
      </c>
      <c r="L421"/>
    </row>
    <row r="422" spans="1:12">
      <c r="A422" s="855" t="s">
        <v>579</v>
      </c>
      <c r="B422" s="856"/>
      <c r="C422" s="856"/>
      <c r="D422" s="857"/>
      <c r="E422" s="858"/>
      <c r="F422" s="859"/>
      <c r="G422" s="860"/>
      <c r="H422" s="857"/>
      <c r="I422" s="861"/>
      <c r="J422" s="295"/>
      <c r="K422" s="296">
        <f t="shared" si="7"/>
        <v>0</v>
      </c>
      <c r="L422"/>
    </row>
    <row r="423" spans="1:12">
      <c r="A423" s="855" t="s">
        <v>579</v>
      </c>
      <c r="B423" s="856"/>
      <c r="C423" s="856"/>
      <c r="D423" s="857"/>
      <c r="E423" s="858"/>
      <c r="F423" s="859"/>
      <c r="G423" s="860"/>
      <c r="H423" s="857"/>
      <c r="I423" s="861"/>
      <c r="J423" s="295"/>
      <c r="K423" s="296">
        <f t="shared" si="7"/>
        <v>0</v>
      </c>
      <c r="L423"/>
    </row>
    <row r="424" spans="1:12">
      <c r="A424" s="855" t="s">
        <v>579</v>
      </c>
      <c r="B424" s="856"/>
      <c r="C424" s="856"/>
      <c r="D424" s="857"/>
      <c r="E424" s="858"/>
      <c r="F424" s="859"/>
      <c r="G424" s="860"/>
      <c r="H424" s="857"/>
      <c r="I424" s="861"/>
      <c r="J424" s="295"/>
      <c r="K424" s="296">
        <f t="shared" si="7"/>
        <v>0</v>
      </c>
      <c r="L424"/>
    </row>
    <row r="425" spans="1:12">
      <c r="A425" s="855" t="s">
        <v>579</v>
      </c>
      <c r="B425" s="856"/>
      <c r="C425" s="856"/>
      <c r="D425" s="857"/>
      <c r="E425" s="858"/>
      <c r="F425" s="859"/>
      <c r="G425" s="860"/>
      <c r="H425" s="857"/>
      <c r="I425" s="861"/>
      <c r="J425" s="295"/>
      <c r="K425" s="296">
        <f t="shared" si="7"/>
        <v>0</v>
      </c>
      <c r="L425"/>
    </row>
    <row r="426" spans="1:12">
      <c r="A426" s="855" t="s">
        <v>579</v>
      </c>
      <c r="B426" s="856"/>
      <c r="C426" s="856"/>
      <c r="D426" s="857"/>
      <c r="E426" s="858"/>
      <c r="F426" s="859"/>
      <c r="G426" s="860"/>
      <c r="H426" s="857"/>
      <c r="I426" s="861"/>
      <c r="J426" s="295"/>
      <c r="K426" s="296">
        <f t="shared" si="7"/>
        <v>0</v>
      </c>
      <c r="L426"/>
    </row>
    <row r="427" spans="1:12">
      <c r="A427" s="855" t="s">
        <v>579</v>
      </c>
      <c r="B427" s="856"/>
      <c r="C427" s="856"/>
      <c r="D427" s="857"/>
      <c r="E427" s="858"/>
      <c r="F427" s="859"/>
      <c r="G427" s="860"/>
      <c r="H427" s="857"/>
      <c r="I427" s="861"/>
      <c r="J427" s="295"/>
      <c r="K427" s="296">
        <f t="shared" si="7"/>
        <v>0</v>
      </c>
      <c r="L427"/>
    </row>
    <row r="428" spans="1:12">
      <c r="A428" s="855" t="s">
        <v>579</v>
      </c>
      <c r="B428" s="856"/>
      <c r="C428" s="856"/>
      <c r="D428" s="857"/>
      <c r="E428" s="858"/>
      <c r="F428" s="859"/>
      <c r="G428" s="860"/>
      <c r="H428" s="857"/>
      <c r="I428" s="861"/>
      <c r="J428" s="295"/>
      <c r="K428" s="296">
        <f t="shared" si="7"/>
        <v>0</v>
      </c>
      <c r="L428"/>
    </row>
    <row r="429" spans="1:12">
      <c r="A429" s="855" t="s">
        <v>579</v>
      </c>
      <c r="B429" s="856"/>
      <c r="C429" s="856"/>
      <c r="D429" s="857"/>
      <c r="E429" s="858"/>
      <c r="F429" s="859"/>
      <c r="G429" s="860"/>
      <c r="H429" s="857"/>
      <c r="I429" s="861"/>
      <c r="J429" s="295"/>
      <c r="K429" s="296">
        <f t="shared" si="7"/>
        <v>0</v>
      </c>
      <c r="L429"/>
    </row>
    <row r="430" spans="1:12">
      <c r="A430" s="855" t="s">
        <v>565</v>
      </c>
      <c r="B430" s="856"/>
      <c r="C430" s="856"/>
      <c r="D430" s="857"/>
      <c r="E430" s="858"/>
      <c r="F430" s="859"/>
      <c r="G430" s="860"/>
      <c r="H430" s="857"/>
      <c r="I430" s="861"/>
      <c r="J430" s="295"/>
      <c r="K430" s="296">
        <f t="shared" si="7"/>
        <v>0</v>
      </c>
      <c r="L430"/>
    </row>
    <row r="431" spans="1:12">
      <c r="A431" s="855" t="s">
        <v>565</v>
      </c>
      <c r="B431" s="856"/>
      <c r="C431" s="856"/>
      <c r="D431" s="857"/>
      <c r="E431" s="858"/>
      <c r="F431" s="859"/>
      <c r="G431" s="860"/>
      <c r="H431" s="857"/>
      <c r="I431" s="861"/>
      <c r="J431" s="295"/>
      <c r="K431" s="296">
        <f t="shared" si="7"/>
        <v>0</v>
      </c>
      <c r="L431"/>
    </row>
    <row r="432" spans="1:12">
      <c r="A432" s="855" t="s">
        <v>565</v>
      </c>
      <c r="B432" s="856"/>
      <c r="C432" s="856"/>
      <c r="D432" s="857"/>
      <c r="E432" s="858"/>
      <c r="F432" s="859"/>
      <c r="G432" s="860"/>
      <c r="H432" s="857"/>
      <c r="I432" s="861"/>
      <c r="J432" s="295"/>
      <c r="K432" s="296">
        <f t="shared" si="7"/>
        <v>0</v>
      </c>
      <c r="L432"/>
    </row>
    <row r="433" spans="1:12">
      <c r="A433" s="855" t="s">
        <v>565</v>
      </c>
      <c r="B433" s="856"/>
      <c r="C433" s="856"/>
      <c r="D433" s="857"/>
      <c r="E433" s="858"/>
      <c r="F433" s="859"/>
      <c r="G433" s="860"/>
      <c r="H433" s="857"/>
      <c r="I433" s="861"/>
      <c r="J433" s="295"/>
      <c r="K433" s="296">
        <f t="shared" si="7"/>
        <v>0</v>
      </c>
      <c r="L433"/>
    </row>
    <row r="434" spans="1:12">
      <c r="A434" s="855" t="s">
        <v>565</v>
      </c>
      <c r="B434" s="856"/>
      <c r="C434" s="856"/>
      <c r="D434" s="857"/>
      <c r="E434" s="858"/>
      <c r="F434" s="859"/>
      <c r="G434" s="860"/>
      <c r="H434" s="857"/>
      <c r="I434" s="861"/>
      <c r="J434" s="295"/>
      <c r="K434" s="296">
        <f t="shared" si="7"/>
        <v>0</v>
      </c>
      <c r="L434"/>
    </row>
    <row r="435" spans="1:12">
      <c r="A435" s="855" t="s">
        <v>565</v>
      </c>
      <c r="B435" s="856"/>
      <c r="C435" s="856"/>
      <c r="D435" s="857"/>
      <c r="E435" s="858"/>
      <c r="F435" s="859"/>
      <c r="G435" s="860"/>
      <c r="H435" s="857"/>
      <c r="I435" s="861"/>
      <c r="J435" s="295"/>
      <c r="K435" s="296">
        <f t="shared" si="7"/>
        <v>0</v>
      </c>
      <c r="L435"/>
    </row>
    <row r="436" spans="1:12">
      <c r="A436" s="855" t="s">
        <v>565</v>
      </c>
      <c r="B436" s="856"/>
      <c r="C436" s="856"/>
      <c r="D436" s="857"/>
      <c r="E436" s="858"/>
      <c r="F436" s="859"/>
      <c r="G436" s="860"/>
      <c r="H436" s="857"/>
      <c r="I436" s="861"/>
      <c r="J436" s="295"/>
      <c r="K436" s="296">
        <f t="shared" si="7"/>
        <v>0</v>
      </c>
      <c r="L436"/>
    </row>
    <row r="437" spans="1:12">
      <c r="A437" s="855" t="s">
        <v>565</v>
      </c>
      <c r="B437" s="856"/>
      <c r="C437" s="856"/>
      <c r="D437" s="857"/>
      <c r="E437" s="858"/>
      <c r="F437" s="859"/>
      <c r="G437" s="860"/>
      <c r="H437" s="857"/>
      <c r="I437" s="861"/>
      <c r="J437" s="295"/>
      <c r="K437" s="296">
        <f t="shared" si="7"/>
        <v>0</v>
      </c>
      <c r="L437"/>
    </row>
    <row r="438" spans="1:12">
      <c r="A438" s="855" t="s">
        <v>565</v>
      </c>
      <c r="B438" s="856"/>
      <c r="C438" s="856"/>
      <c r="D438" s="857"/>
      <c r="E438" s="858"/>
      <c r="F438" s="859"/>
      <c r="G438" s="860"/>
      <c r="H438" s="857"/>
      <c r="I438" s="861"/>
      <c r="J438" s="295"/>
      <c r="K438" s="296">
        <f t="shared" si="7"/>
        <v>0</v>
      </c>
      <c r="L438"/>
    </row>
    <row r="439" spans="1:12">
      <c r="A439" s="855" t="s">
        <v>579</v>
      </c>
      <c r="B439" s="856"/>
      <c r="C439" s="856"/>
      <c r="D439" s="857"/>
      <c r="E439" s="858"/>
      <c r="F439" s="859"/>
      <c r="G439" s="860"/>
      <c r="H439" s="857"/>
      <c r="I439" s="861"/>
      <c r="J439" s="295"/>
      <c r="K439" s="296">
        <f t="shared" si="7"/>
        <v>0</v>
      </c>
      <c r="L439"/>
    </row>
    <row r="440" spans="1:12">
      <c r="A440" s="855" t="s">
        <v>565</v>
      </c>
      <c r="B440" s="856"/>
      <c r="C440" s="856"/>
      <c r="D440" s="857"/>
      <c r="E440" s="858"/>
      <c r="F440" s="859"/>
      <c r="G440" s="860"/>
      <c r="H440" s="857"/>
      <c r="I440" s="861"/>
      <c r="J440" s="295"/>
      <c r="K440" s="296">
        <f t="shared" si="7"/>
        <v>0</v>
      </c>
      <c r="L440"/>
    </row>
    <row r="441" spans="1:12">
      <c r="A441" s="855" t="s">
        <v>565</v>
      </c>
      <c r="B441" s="856"/>
      <c r="C441" s="856"/>
      <c r="D441" s="857"/>
      <c r="E441" s="858"/>
      <c r="F441" s="859"/>
      <c r="G441" s="860"/>
      <c r="H441" s="857"/>
      <c r="I441" s="861"/>
      <c r="J441" s="295"/>
      <c r="K441" s="296">
        <f t="shared" si="7"/>
        <v>0</v>
      </c>
      <c r="L441"/>
    </row>
    <row r="442" spans="1:12">
      <c r="A442" s="855" t="s">
        <v>565</v>
      </c>
      <c r="B442" s="856"/>
      <c r="C442" s="856"/>
      <c r="D442" s="857"/>
      <c r="E442" s="858"/>
      <c r="F442" s="859"/>
      <c r="G442" s="860"/>
      <c r="H442" s="857"/>
      <c r="I442" s="861"/>
      <c r="J442" s="295"/>
      <c r="K442" s="296">
        <f t="shared" si="7"/>
        <v>0</v>
      </c>
      <c r="L442"/>
    </row>
    <row r="443" spans="1:12">
      <c r="A443" s="855" t="s">
        <v>565</v>
      </c>
      <c r="B443" s="856"/>
      <c r="C443" s="856"/>
      <c r="D443" s="857"/>
      <c r="E443" s="858"/>
      <c r="F443" s="859"/>
      <c r="G443" s="860"/>
      <c r="H443" s="857"/>
      <c r="I443" s="861"/>
      <c r="J443" s="295"/>
      <c r="K443" s="296">
        <f t="shared" si="7"/>
        <v>0</v>
      </c>
      <c r="L443"/>
    </row>
    <row r="444" spans="1:12">
      <c r="A444" s="855" t="s">
        <v>565</v>
      </c>
      <c r="B444" s="856"/>
      <c r="C444" s="856"/>
      <c r="D444" s="857"/>
      <c r="E444" s="858"/>
      <c r="F444" s="859"/>
      <c r="G444" s="860"/>
      <c r="H444" s="857"/>
      <c r="I444" s="861"/>
      <c r="J444" s="295"/>
      <c r="K444" s="296">
        <f t="shared" si="7"/>
        <v>0</v>
      </c>
      <c r="L444"/>
    </row>
    <row r="445" spans="1:12">
      <c r="A445" s="855" t="s">
        <v>565</v>
      </c>
      <c r="B445" s="856"/>
      <c r="C445" s="856"/>
      <c r="D445" s="857"/>
      <c r="E445" s="858"/>
      <c r="F445" s="859"/>
      <c r="G445" s="860"/>
      <c r="H445" s="857"/>
      <c r="I445" s="861"/>
      <c r="J445" s="295"/>
      <c r="K445" s="296">
        <f t="shared" si="7"/>
        <v>0</v>
      </c>
      <c r="L445"/>
    </row>
    <row r="446" spans="1:12">
      <c r="A446" s="855" t="s">
        <v>565</v>
      </c>
      <c r="B446" s="856"/>
      <c r="C446" s="856"/>
      <c r="D446" s="857"/>
      <c r="E446" s="858"/>
      <c r="F446" s="859"/>
      <c r="G446" s="860"/>
      <c r="H446" s="857"/>
      <c r="I446" s="861"/>
      <c r="J446" s="295"/>
      <c r="K446" s="296">
        <f t="shared" si="7"/>
        <v>0</v>
      </c>
      <c r="L446"/>
    </row>
    <row r="447" spans="1:12">
      <c r="A447" s="855" t="s">
        <v>565</v>
      </c>
      <c r="B447" s="856"/>
      <c r="C447" s="856"/>
      <c r="D447" s="857"/>
      <c r="E447" s="858"/>
      <c r="F447" s="859"/>
      <c r="G447" s="860"/>
      <c r="H447" s="857"/>
      <c r="I447" s="861"/>
      <c r="J447" s="295"/>
      <c r="K447" s="296">
        <f t="shared" si="7"/>
        <v>0</v>
      </c>
      <c r="L447"/>
    </row>
    <row r="448" spans="1:12">
      <c r="A448" s="855" t="s">
        <v>565</v>
      </c>
      <c r="B448" s="856"/>
      <c r="C448" s="856"/>
      <c r="D448" s="857"/>
      <c r="E448" s="858"/>
      <c r="F448" s="859"/>
      <c r="G448" s="860"/>
      <c r="H448" s="857"/>
      <c r="I448" s="861"/>
      <c r="J448" s="295"/>
      <c r="K448" s="296">
        <f t="shared" si="7"/>
        <v>0</v>
      </c>
      <c r="L448"/>
    </row>
    <row r="449" spans="1:12">
      <c r="A449" s="855" t="s">
        <v>579</v>
      </c>
      <c r="B449" s="856"/>
      <c r="C449" s="856"/>
      <c r="D449" s="857"/>
      <c r="E449" s="858"/>
      <c r="F449" s="859"/>
      <c r="G449" s="860"/>
      <c r="H449" s="857"/>
      <c r="I449" s="861"/>
      <c r="J449" s="295"/>
      <c r="K449" s="296">
        <f t="shared" si="7"/>
        <v>0</v>
      </c>
      <c r="L449"/>
    </row>
    <row r="450" spans="1:12">
      <c r="A450" s="855" t="s">
        <v>565</v>
      </c>
      <c r="B450" s="856"/>
      <c r="C450" s="856"/>
      <c r="D450" s="857"/>
      <c r="E450" s="858"/>
      <c r="F450" s="859"/>
      <c r="G450" s="860"/>
      <c r="H450" s="857"/>
      <c r="I450" s="861"/>
      <c r="J450" s="295"/>
      <c r="K450" s="296">
        <f t="shared" si="7"/>
        <v>0</v>
      </c>
      <c r="L450"/>
    </row>
    <row r="451" spans="1:12">
      <c r="A451" s="855" t="s">
        <v>565</v>
      </c>
      <c r="B451" s="856"/>
      <c r="C451" s="856"/>
      <c r="D451" s="857"/>
      <c r="E451" s="858"/>
      <c r="F451" s="859"/>
      <c r="G451" s="860"/>
      <c r="H451" s="857"/>
      <c r="I451" s="861"/>
      <c r="J451" s="295"/>
      <c r="K451" s="296">
        <f t="shared" si="7"/>
        <v>0</v>
      </c>
      <c r="L451"/>
    </row>
    <row r="452" spans="1:12">
      <c r="A452" s="855" t="s">
        <v>565</v>
      </c>
      <c r="B452" s="856"/>
      <c r="C452" s="856"/>
      <c r="D452" s="857"/>
      <c r="E452" s="858"/>
      <c r="F452" s="859"/>
      <c r="G452" s="860"/>
      <c r="H452" s="857"/>
      <c r="I452" s="861"/>
      <c r="J452" s="295"/>
      <c r="K452" s="296">
        <f t="shared" si="7"/>
        <v>0</v>
      </c>
      <c r="L452"/>
    </row>
    <row r="453" spans="1:12">
      <c r="A453" s="855" t="s">
        <v>565</v>
      </c>
      <c r="B453" s="856"/>
      <c r="C453" s="856"/>
      <c r="D453" s="857"/>
      <c r="E453" s="858"/>
      <c r="F453" s="859"/>
      <c r="G453" s="860"/>
      <c r="H453" s="857"/>
      <c r="I453" s="861"/>
      <c r="J453" s="295"/>
      <c r="K453" s="296">
        <f t="shared" si="7"/>
        <v>0</v>
      </c>
      <c r="L453"/>
    </row>
    <row r="454" spans="1:12">
      <c r="A454" s="855" t="s">
        <v>565</v>
      </c>
      <c r="B454" s="856"/>
      <c r="C454" s="856"/>
      <c r="D454" s="857"/>
      <c r="E454" s="858"/>
      <c r="F454" s="859"/>
      <c r="G454" s="860"/>
      <c r="H454" s="857"/>
      <c r="I454" s="861"/>
      <c r="J454" s="295"/>
      <c r="K454" s="296">
        <f t="shared" si="7"/>
        <v>0</v>
      </c>
      <c r="L454"/>
    </row>
    <row r="455" spans="1:12">
      <c r="A455" s="855" t="s">
        <v>565</v>
      </c>
      <c r="B455" s="856"/>
      <c r="C455" s="856"/>
      <c r="D455" s="857"/>
      <c r="E455" s="858"/>
      <c r="F455" s="859"/>
      <c r="G455" s="860"/>
      <c r="H455" s="857"/>
      <c r="I455" s="861"/>
      <c r="J455" s="295"/>
      <c r="K455" s="296">
        <f t="shared" si="7"/>
        <v>0</v>
      </c>
      <c r="L455"/>
    </row>
    <row r="456" spans="1:12">
      <c r="A456" s="855" t="s">
        <v>565</v>
      </c>
      <c r="B456" s="856"/>
      <c r="C456" s="856"/>
      <c r="D456" s="857"/>
      <c r="E456" s="858"/>
      <c r="F456" s="859"/>
      <c r="G456" s="860"/>
      <c r="H456" s="857"/>
      <c r="I456" s="861"/>
      <c r="J456" s="295"/>
      <c r="K456" s="296">
        <f t="shared" si="7"/>
        <v>0</v>
      </c>
      <c r="L456"/>
    </row>
    <row r="457" spans="1:12">
      <c r="A457" s="855" t="s">
        <v>565</v>
      </c>
      <c r="B457" s="856"/>
      <c r="C457" s="856"/>
      <c r="D457" s="857"/>
      <c r="E457" s="858"/>
      <c r="F457" s="859"/>
      <c r="G457" s="860"/>
      <c r="H457" s="857"/>
      <c r="I457" s="861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55" t="s">
        <v>565</v>
      </c>
      <c r="B458" s="856"/>
      <c r="C458" s="856"/>
      <c r="D458" s="857"/>
      <c r="E458" s="858"/>
      <c r="F458" s="859"/>
      <c r="G458" s="860"/>
      <c r="H458" s="857"/>
      <c r="I458" s="861"/>
      <c r="J458" s="295"/>
      <c r="K458" s="296">
        <f t="shared" si="8"/>
        <v>0</v>
      </c>
      <c r="L458"/>
    </row>
    <row r="459" spans="1:12">
      <c r="A459" s="855" t="s">
        <v>565</v>
      </c>
      <c r="B459" s="856"/>
      <c r="C459" s="856"/>
      <c r="D459" s="857"/>
      <c r="E459" s="858"/>
      <c r="F459" s="859"/>
      <c r="G459" s="860"/>
      <c r="H459" s="857"/>
      <c r="I459" s="861"/>
      <c r="J459" s="295"/>
      <c r="K459" s="296">
        <f t="shared" si="8"/>
        <v>0</v>
      </c>
      <c r="L459"/>
    </row>
    <row r="460" spans="1:12">
      <c r="A460" s="855" t="s">
        <v>565</v>
      </c>
      <c r="B460" s="856"/>
      <c r="C460" s="856"/>
      <c r="D460" s="857"/>
      <c r="E460" s="858"/>
      <c r="F460" s="859"/>
      <c r="G460" s="860"/>
      <c r="H460" s="857"/>
      <c r="I460" s="861"/>
      <c r="J460" s="295"/>
      <c r="K460" s="296">
        <f t="shared" si="8"/>
        <v>0</v>
      </c>
      <c r="L460"/>
    </row>
    <row r="461" spans="1:12">
      <c r="A461" s="855" t="s">
        <v>565</v>
      </c>
      <c r="B461" s="856"/>
      <c r="C461" s="856"/>
      <c r="D461" s="857"/>
      <c r="E461" s="858"/>
      <c r="F461" s="859"/>
      <c r="G461" s="860"/>
      <c r="H461" s="857"/>
      <c r="I461" s="861"/>
      <c r="J461" s="295"/>
      <c r="K461" s="296">
        <f t="shared" si="8"/>
        <v>0</v>
      </c>
      <c r="L461"/>
    </row>
    <row r="462" spans="1:12">
      <c r="A462" s="855" t="s">
        <v>565</v>
      </c>
      <c r="B462" s="856"/>
      <c r="C462" s="856"/>
      <c r="D462" s="857"/>
      <c r="E462" s="858"/>
      <c r="F462" s="859"/>
      <c r="G462" s="860"/>
      <c r="H462" s="857"/>
      <c r="I462" s="861"/>
      <c r="J462" s="295"/>
      <c r="K462" s="296">
        <f t="shared" si="8"/>
        <v>0</v>
      </c>
      <c r="L462"/>
    </row>
    <row r="463" spans="1:12">
      <c r="A463" s="855" t="s">
        <v>565</v>
      </c>
      <c r="B463" s="856"/>
      <c r="C463" s="856"/>
      <c r="D463" s="857"/>
      <c r="E463" s="858"/>
      <c r="F463" s="859"/>
      <c r="G463" s="860"/>
      <c r="H463" s="857"/>
      <c r="I463" s="861"/>
      <c r="J463" s="295"/>
      <c r="K463" s="296">
        <f t="shared" si="8"/>
        <v>0</v>
      </c>
      <c r="L463"/>
    </row>
    <row r="464" spans="1:12">
      <c r="A464" s="855" t="s">
        <v>565</v>
      </c>
      <c r="B464" s="856"/>
      <c r="C464" s="856"/>
      <c r="D464" s="857"/>
      <c r="E464" s="858"/>
      <c r="F464" s="859"/>
      <c r="G464" s="860"/>
      <c r="H464" s="857"/>
      <c r="I464" s="861"/>
      <c r="J464" s="295"/>
      <c r="K464" s="296">
        <f t="shared" si="8"/>
        <v>0</v>
      </c>
      <c r="L464"/>
    </row>
    <row r="465" spans="1:12">
      <c r="A465" s="855" t="s">
        <v>565</v>
      </c>
      <c r="B465" s="856"/>
      <c r="C465" s="856"/>
      <c r="D465" s="857"/>
      <c r="E465" s="858"/>
      <c r="F465" s="859"/>
      <c r="G465" s="860"/>
      <c r="H465" s="857"/>
      <c r="I465" s="861"/>
      <c r="J465" s="295"/>
      <c r="K465" s="296">
        <f t="shared" si="8"/>
        <v>0</v>
      </c>
      <c r="L465"/>
    </row>
    <row r="466" spans="1:12">
      <c r="A466" s="855" t="s">
        <v>565</v>
      </c>
      <c r="B466" s="856"/>
      <c r="C466" s="856"/>
      <c r="D466" s="857"/>
      <c r="E466" s="858"/>
      <c r="F466" s="859"/>
      <c r="G466" s="860"/>
      <c r="H466" s="857"/>
      <c r="I466" s="861"/>
      <c r="J466" s="295"/>
      <c r="K466" s="296">
        <f t="shared" si="8"/>
        <v>0</v>
      </c>
      <c r="L466"/>
    </row>
    <row r="467" spans="1:12">
      <c r="A467" s="855" t="s">
        <v>565</v>
      </c>
      <c r="B467" s="856"/>
      <c r="C467" s="856"/>
      <c r="D467" s="857"/>
      <c r="E467" s="858"/>
      <c r="F467" s="859"/>
      <c r="G467" s="860"/>
      <c r="H467" s="857"/>
      <c r="I467" s="861"/>
      <c r="J467" s="295"/>
      <c r="K467" s="296">
        <f t="shared" si="8"/>
        <v>0</v>
      </c>
      <c r="L467"/>
    </row>
    <row r="468" spans="1:12">
      <c r="A468" s="855" t="s">
        <v>565</v>
      </c>
      <c r="B468" s="856"/>
      <c r="C468" s="856"/>
      <c r="D468" s="857"/>
      <c r="E468" s="858"/>
      <c r="F468" s="859"/>
      <c r="G468" s="860"/>
      <c r="H468" s="857"/>
      <c r="I468" s="861"/>
      <c r="J468" s="295"/>
      <c r="K468" s="296">
        <f t="shared" si="8"/>
        <v>0</v>
      </c>
      <c r="L468"/>
    </row>
    <row r="469" spans="1:12">
      <c r="A469" s="855" t="s">
        <v>565</v>
      </c>
      <c r="B469" s="856"/>
      <c r="C469" s="856"/>
      <c r="D469" s="857"/>
      <c r="E469" s="858"/>
      <c r="F469" s="859"/>
      <c r="G469" s="860"/>
      <c r="H469" s="857"/>
      <c r="I469" s="861"/>
      <c r="J469" s="295"/>
      <c r="K469" s="296">
        <f t="shared" si="8"/>
        <v>0</v>
      </c>
      <c r="L469"/>
    </row>
    <row r="470" spans="1:12">
      <c r="A470" s="855" t="s">
        <v>565</v>
      </c>
      <c r="B470" s="856"/>
      <c r="C470" s="856"/>
      <c r="D470" s="857"/>
      <c r="E470" s="858"/>
      <c r="F470" s="859"/>
      <c r="G470" s="860"/>
      <c r="H470" s="857"/>
      <c r="I470" s="861"/>
      <c r="J470" s="295"/>
      <c r="K470" s="296">
        <f t="shared" si="8"/>
        <v>0</v>
      </c>
      <c r="L470"/>
    </row>
    <row r="471" spans="1:12">
      <c r="A471" s="855" t="s">
        <v>565</v>
      </c>
      <c r="B471" s="856"/>
      <c r="C471" s="856"/>
      <c r="D471" s="857"/>
      <c r="E471" s="858"/>
      <c r="F471" s="859"/>
      <c r="G471" s="860"/>
      <c r="H471" s="857"/>
      <c r="I471" s="861"/>
      <c r="J471" s="295"/>
      <c r="K471" s="296">
        <f t="shared" si="8"/>
        <v>0</v>
      </c>
      <c r="L471"/>
    </row>
    <row r="472" spans="1:12">
      <c r="A472" s="855" t="s">
        <v>565</v>
      </c>
      <c r="B472" s="856"/>
      <c r="C472" s="856"/>
      <c r="D472" s="857"/>
      <c r="E472" s="858"/>
      <c r="F472" s="859"/>
      <c r="G472" s="860"/>
      <c r="H472" s="857"/>
      <c r="I472" s="861"/>
      <c r="J472" s="295"/>
      <c r="K472" s="296">
        <f t="shared" si="8"/>
        <v>0</v>
      </c>
      <c r="L472"/>
    </row>
    <row r="473" spans="1:12">
      <c r="A473" s="855" t="s">
        <v>565</v>
      </c>
      <c r="B473" s="856"/>
      <c r="C473" s="856"/>
      <c r="D473" s="857"/>
      <c r="E473" s="858"/>
      <c r="F473" s="859"/>
      <c r="G473" s="860"/>
      <c r="H473" s="857"/>
      <c r="I473" s="861"/>
      <c r="J473" s="295"/>
      <c r="K473" s="296">
        <f t="shared" si="8"/>
        <v>0</v>
      </c>
      <c r="L473"/>
    </row>
    <row r="474" spans="1:12">
      <c r="A474" s="855" t="s">
        <v>565</v>
      </c>
      <c r="B474" s="856"/>
      <c r="C474" s="856"/>
      <c r="D474" s="857"/>
      <c r="E474" s="858"/>
      <c r="F474" s="859"/>
      <c r="G474" s="860"/>
      <c r="H474" s="857"/>
      <c r="I474" s="861"/>
      <c r="J474" s="295"/>
      <c r="K474" s="296">
        <f t="shared" si="8"/>
        <v>0</v>
      </c>
      <c r="L474"/>
    </row>
    <row r="475" spans="1:12">
      <c r="A475" s="855" t="s">
        <v>565</v>
      </c>
      <c r="B475" s="856"/>
      <c r="C475" s="856"/>
      <c r="D475" s="857"/>
      <c r="E475" s="858"/>
      <c r="F475" s="859"/>
      <c r="G475" s="860"/>
      <c r="H475" s="857"/>
      <c r="I475" s="861"/>
      <c r="J475" s="295"/>
      <c r="K475" s="296">
        <f t="shared" si="8"/>
        <v>0</v>
      </c>
      <c r="L475"/>
    </row>
    <row r="476" spans="1:12">
      <c r="A476" s="855" t="s">
        <v>565</v>
      </c>
      <c r="B476" s="856"/>
      <c r="C476" s="856"/>
      <c r="D476" s="857"/>
      <c r="E476" s="858"/>
      <c r="F476" s="859"/>
      <c r="G476" s="860"/>
      <c r="H476" s="857"/>
      <c r="I476" s="861"/>
      <c r="J476" s="295"/>
      <c r="K476" s="296">
        <f t="shared" si="8"/>
        <v>0</v>
      </c>
      <c r="L476"/>
    </row>
    <row r="477" spans="1:12">
      <c r="A477" s="855" t="s">
        <v>565</v>
      </c>
      <c r="B477" s="856"/>
      <c r="C477" s="856"/>
      <c r="D477" s="857"/>
      <c r="E477" s="858"/>
      <c r="F477" s="859"/>
      <c r="G477" s="860"/>
      <c r="H477" s="857"/>
      <c r="I477" s="861"/>
      <c r="J477" s="295"/>
      <c r="K477" s="296">
        <f t="shared" si="8"/>
        <v>0</v>
      </c>
      <c r="L477"/>
    </row>
    <row r="478" spans="1:12">
      <c r="A478" s="855" t="s">
        <v>565</v>
      </c>
      <c r="B478" s="856"/>
      <c r="C478" s="856"/>
      <c r="D478" s="857"/>
      <c r="E478" s="858"/>
      <c r="F478" s="859"/>
      <c r="G478" s="860"/>
      <c r="H478" s="857"/>
      <c r="I478" s="861"/>
      <c r="J478" s="295"/>
      <c r="K478" s="296">
        <f t="shared" si="8"/>
        <v>0</v>
      </c>
      <c r="L478"/>
    </row>
    <row r="479" spans="1:12">
      <c r="A479" s="855" t="s">
        <v>565</v>
      </c>
      <c r="B479" s="856"/>
      <c r="C479" s="856"/>
      <c r="D479" s="857"/>
      <c r="E479" s="858"/>
      <c r="F479" s="859"/>
      <c r="G479" s="860"/>
      <c r="H479" s="857"/>
      <c r="I479" s="861"/>
      <c r="J479" s="295"/>
      <c r="K479" s="296">
        <f t="shared" si="8"/>
        <v>0</v>
      </c>
      <c r="L479"/>
    </row>
    <row r="480" spans="1:12">
      <c r="A480" s="855" t="s">
        <v>565</v>
      </c>
      <c r="B480" s="856"/>
      <c r="C480" s="856"/>
      <c r="D480" s="857"/>
      <c r="E480" s="858"/>
      <c r="F480" s="859"/>
      <c r="G480" s="860"/>
      <c r="H480" s="857"/>
      <c r="I480" s="861"/>
      <c r="J480" s="295"/>
      <c r="K480" s="296">
        <f t="shared" si="8"/>
        <v>0</v>
      </c>
      <c r="L480"/>
    </row>
    <row r="481" spans="1:12">
      <c r="A481" s="855" t="s">
        <v>565</v>
      </c>
      <c r="B481" s="856"/>
      <c r="C481" s="856"/>
      <c r="D481" s="857"/>
      <c r="E481" s="858"/>
      <c r="F481" s="859"/>
      <c r="G481" s="860"/>
      <c r="H481" s="857"/>
      <c r="I481" s="861"/>
      <c r="J481" s="295"/>
      <c r="K481" s="296">
        <f t="shared" si="8"/>
        <v>0</v>
      </c>
      <c r="L481"/>
    </row>
    <row r="482" spans="1:12">
      <c r="A482" s="855" t="s">
        <v>564</v>
      </c>
      <c r="B482" s="856"/>
      <c r="C482" s="856"/>
      <c r="D482" s="857"/>
      <c r="E482" s="858"/>
      <c r="F482" s="859"/>
      <c r="G482" s="860"/>
      <c r="H482" s="857"/>
      <c r="I482" s="861"/>
      <c r="J482" s="295"/>
      <c r="K482" s="296">
        <f t="shared" si="8"/>
        <v>0</v>
      </c>
      <c r="L482"/>
    </row>
    <row r="483" spans="1:12">
      <c r="A483" s="855" t="s">
        <v>564</v>
      </c>
      <c r="B483" s="856"/>
      <c r="C483" s="856"/>
      <c r="D483" s="857"/>
      <c r="E483" s="858"/>
      <c r="F483" s="859"/>
      <c r="G483" s="860"/>
      <c r="H483" s="857"/>
      <c r="I483" s="861"/>
      <c r="J483" s="295"/>
      <c r="K483" s="296">
        <f t="shared" si="8"/>
        <v>0</v>
      </c>
      <c r="L483"/>
    </row>
    <row r="484" spans="1:12">
      <c r="A484" s="855" t="s">
        <v>579</v>
      </c>
      <c r="B484" s="856"/>
      <c r="C484" s="856"/>
      <c r="D484" s="857"/>
      <c r="E484" s="858"/>
      <c r="F484" s="859"/>
      <c r="G484" s="860"/>
      <c r="H484" s="857"/>
      <c r="I484" s="861"/>
      <c r="J484" s="295"/>
      <c r="K484" s="296">
        <f t="shared" si="8"/>
        <v>0</v>
      </c>
      <c r="L484"/>
    </row>
    <row r="485" spans="1:12">
      <c r="A485" s="855" t="s">
        <v>579</v>
      </c>
      <c r="B485" s="856"/>
      <c r="C485" s="856"/>
      <c r="D485" s="857"/>
      <c r="E485" s="858"/>
      <c r="F485" s="859"/>
      <c r="G485" s="860"/>
      <c r="H485" s="857"/>
      <c r="I485" s="861"/>
      <c r="J485" s="295"/>
      <c r="K485" s="296">
        <f t="shared" si="8"/>
        <v>0</v>
      </c>
      <c r="L485"/>
    </row>
    <row r="486" spans="1:12">
      <c r="A486" s="855" t="s">
        <v>579</v>
      </c>
      <c r="B486" s="856"/>
      <c r="C486" s="856"/>
      <c r="D486" s="857"/>
      <c r="E486" s="858"/>
      <c r="F486" s="859"/>
      <c r="G486" s="860"/>
      <c r="H486" s="857"/>
      <c r="I486" s="861"/>
      <c r="J486" s="295"/>
      <c r="K486" s="296">
        <f t="shared" si="8"/>
        <v>0</v>
      </c>
      <c r="L486"/>
    </row>
    <row r="487" spans="1:12">
      <c r="A487" s="855" t="s">
        <v>579</v>
      </c>
      <c r="B487" s="856"/>
      <c r="C487" s="856"/>
      <c r="D487" s="857"/>
      <c r="E487" s="858"/>
      <c r="F487" s="859"/>
      <c r="G487" s="860"/>
      <c r="H487" s="857"/>
      <c r="I487" s="861"/>
      <c r="J487" s="295"/>
      <c r="K487" s="296">
        <f t="shared" si="8"/>
        <v>0</v>
      </c>
      <c r="L487"/>
    </row>
    <row r="488" spans="1:12">
      <c r="A488" s="855" t="s">
        <v>579</v>
      </c>
      <c r="B488" s="856"/>
      <c r="C488" s="856"/>
      <c r="D488" s="857"/>
      <c r="E488" s="858"/>
      <c r="F488" s="859"/>
      <c r="G488" s="860"/>
      <c r="H488" s="857"/>
      <c r="I488" s="861"/>
      <c r="J488" s="295"/>
      <c r="K488" s="296">
        <f t="shared" si="8"/>
        <v>0</v>
      </c>
      <c r="L488"/>
    </row>
    <row r="489" spans="1:12">
      <c r="A489" s="855" t="s">
        <v>579</v>
      </c>
      <c r="B489" s="856"/>
      <c r="C489" s="856"/>
      <c r="D489" s="857"/>
      <c r="E489" s="858"/>
      <c r="F489" s="859"/>
      <c r="G489" s="860"/>
      <c r="H489" s="857"/>
      <c r="I489" s="861"/>
      <c r="J489" s="295"/>
      <c r="K489" s="296">
        <f t="shared" si="8"/>
        <v>0</v>
      </c>
      <c r="L489"/>
    </row>
    <row r="490" spans="1:12">
      <c r="A490" s="855" t="s">
        <v>579</v>
      </c>
      <c r="B490" s="856"/>
      <c r="C490" s="856"/>
      <c r="D490" s="857"/>
      <c r="E490" s="858"/>
      <c r="F490" s="859"/>
      <c r="G490" s="860"/>
      <c r="H490" s="857"/>
      <c r="I490" s="861"/>
      <c r="J490" s="295"/>
      <c r="K490" s="296">
        <f t="shared" si="8"/>
        <v>0</v>
      </c>
      <c r="L490"/>
    </row>
    <row r="491" spans="1:12">
      <c r="A491" s="855" t="s">
        <v>579</v>
      </c>
      <c r="B491" s="856"/>
      <c r="C491" s="856"/>
      <c r="D491" s="857"/>
      <c r="E491" s="858"/>
      <c r="F491" s="859"/>
      <c r="G491" s="860"/>
      <c r="H491" s="857"/>
      <c r="I491" s="861"/>
      <c r="J491" s="295"/>
      <c r="K491" s="296">
        <f t="shared" si="8"/>
        <v>0</v>
      </c>
      <c r="L491"/>
    </row>
    <row r="492" spans="1:12">
      <c r="A492" s="855" t="s">
        <v>579</v>
      </c>
      <c r="B492" s="856"/>
      <c r="C492" s="856"/>
      <c r="D492" s="857"/>
      <c r="E492" s="858"/>
      <c r="F492" s="859"/>
      <c r="G492" s="860"/>
      <c r="H492" s="857"/>
      <c r="I492" s="861"/>
      <c r="J492" s="295"/>
      <c r="K492" s="296">
        <f t="shared" si="8"/>
        <v>0</v>
      </c>
      <c r="L492"/>
    </row>
    <row r="493" spans="1:12">
      <c r="A493" s="855" t="s">
        <v>579</v>
      </c>
      <c r="B493" s="856"/>
      <c r="C493" s="856"/>
      <c r="D493" s="857"/>
      <c r="E493" s="858"/>
      <c r="F493" s="859"/>
      <c r="G493" s="860"/>
      <c r="H493" s="857"/>
      <c r="I493" s="861"/>
      <c r="J493" s="295"/>
      <c r="K493" s="296">
        <f t="shared" si="8"/>
        <v>0</v>
      </c>
      <c r="L493"/>
    </row>
    <row r="494" spans="1:12">
      <c r="A494" s="855" t="s">
        <v>579</v>
      </c>
      <c r="B494" s="856"/>
      <c r="C494" s="856"/>
      <c r="D494" s="857"/>
      <c r="E494" s="858"/>
      <c r="F494" s="859"/>
      <c r="G494" s="860"/>
      <c r="H494" s="857"/>
      <c r="I494" s="861"/>
      <c r="J494" s="295"/>
      <c r="K494" s="296">
        <f t="shared" si="8"/>
        <v>0</v>
      </c>
      <c r="L494"/>
    </row>
    <row r="495" spans="1:12">
      <c r="A495" s="855" t="s">
        <v>565</v>
      </c>
      <c r="B495" s="856"/>
      <c r="C495" s="856"/>
      <c r="D495" s="857"/>
      <c r="E495" s="858"/>
      <c r="F495" s="859"/>
      <c r="G495" s="860"/>
      <c r="H495" s="857"/>
      <c r="I495" s="861"/>
      <c r="J495" s="295"/>
      <c r="K495" s="296">
        <f t="shared" si="8"/>
        <v>0</v>
      </c>
      <c r="L495"/>
    </row>
    <row r="496" spans="1:12">
      <c r="A496" s="855" t="s">
        <v>565</v>
      </c>
      <c r="B496" s="856"/>
      <c r="C496" s="856"/>
      <c r="D496" s="857"/>
      <c r="E496" s="858"/>
      <c r="F496" s="859"/>
      <c r="G496" s="860"/>
      <c r="H496" s="857"/>
      <c r="I496" s="861"/>
      <c r="J496" s="295"/>
      <c r="K496" s="296">
        <f t="shared" si="8"/>
        <v>0</v>
      </c>
      <c r="L496"/>
    </row>
    <row r="497" spans="1:12">
      <c r="A497" s="855" t="s">
        <v>565</v>
      </c>
      <c r="B497" s="856"/>
      <c r="C497" s="856"/>
      <c r="D497" s="857"/>
      <c r="E497" s="858"/>
      <c r="F497" s="859"/>
      <c r="G497" s="860"/>
      <c r="H497" s="857"/>
      <c r="I497" s="861"/>
      <c r="J497" s="295"/>
      <c r="K497" s="296">
        <f t="shared" si="8"/>
        <v>0</v>
      </c>
      <c r="L497"/>
    </row>
    <row r="498" spans="1:12">
      <c r="A498" s="855" t="s">
        <v>565</v>
      </c>
      <c r="B498" s="856"/>
      <c r="C498" s="856"/>
      <c r="D498" s="857"/>
      <c r="E498" s="858"/>
      <c r="F498" s="859"/>
      <c r="G498" s="860"/>
      <c r="H498" s="857"/>
      <c r="I498" s="861"/>
      <c r="J498" s="295"/>
      <c r="K498" s="296">
        <f t="shared" si="8"/>
        <v>0</v>
      </c>
      <c r="L498"/>
    </row>
    <row r="499" spans="1:12">
      <c r="A499" s="855" t="s">
        <v>565</v>
      </c>
      <c r="B499" s="856"/>
      <c r="C499" s="856"/>
      <c r="D499" s="857"/>
      <c r="E499" s="858"/>
      <c r="F499" s="859"/>
      <c r="G499" s="860"/>
      <c r="H499" s="857"/>
      <c r="I499" s="861"/>
      <c r="J499" s="295"/>
      <c r="K499" s="296">
        <f t="shared" si="8"/>
        <v>0</v>
      </c>
      <c r="L499"/>
    </row>
    <row r="500" spans="1:12">
      <c r="A500" s="855" t="s">
        <v>565</v>
      </c>
      <c r="B500" s="856"/>
      <c r="C500" s="856"/>
      <c r="D500" s="857"/>
      <c r="E500" s="858"/>
      <c r="F500" s="859"/>
      <c r="G500" s="860"/>
      <c r="H500" s="857"/>
      <c r="I500" s="861"/>
      <c r="J500" s="295"/>
      <c r="K500" s="296">
        <f t="shared" si="8"/>
        <v>0</v>
      </c>
      <c r="L500"/>
    </row>
    <row r="501" spans="1:12">
      <c r="A501" s="855" t="s">
        <v>565</v>
      </c>
      <c r="B501" s="856"/>
      <c r="C501" s="856"/>
      <c r="D501" s="857"/>
      <c r="E501" s="858"/>
      <c r="F501" s="859"/>
      <c r="G501" s="860"/>
      <c r="H501" s="857"/>
      <c r="I501" s="861"/>
      <c r="J501" s="295"/>
      <c r="K501" s="296">
        <f t="shared" si="8"/>
        <v>0</v>
      </c>
      <c r="L501"/>
    </row>
    <row r="502" spans="1:12">
      <c r="A502" s="855" t="s">
        <v>565</v>
      </c>
      <c r="B502" s="856"/>
      <c r="C502" s="856"/>
      <c r="D502" s="857"/>
      <c r="E502" s="858"/>
      <c r="F502" s="859"/>
      <c r="G502" s="860"/>
      <c r="H502" s="857"/>
      <c r="I502" s="861"/>
      <c r="J502" s="295"/>
      <c r="K502" s="296">
        <f t="shared" si="8"/>
        <v>0</v>
      </c>
      <c r="L502"/>
    </row>
    <row r="503" spans="1:12">
      <c r="A503" s="855" t="s">
        <v>565</v>
      </c>
      <c r="B503" s="856"/>
      <c r="C503" s="856"/>
      <c r="D503" s="857"/>
      <c r="E503" s="858"/>
      <c r="F503" s="859"/>
      <c r="G503" s="860"/>
      <c r="H503" s="857"/>
      <c r="I503" s="861"/>
      <c r="J503" s="295"/>
      <c r="K503" s="296">
        <f t="shared" si="8"/>
        <v>0</v>
      </c>
      <c r="L503"/>
    </row>
    <row r="504" spans="1:12">
      <c r="A504" s="855" t="s">
        <v>565</v>
      </c>
      <c r="B504" s="856"/>
      <c r="C504" s="856"/>
      <c r="D504" s="857"/>
      <c r="E504" s="858"/>
      <c r="F504" s="859"/>
      <c r="G504" s="860"/>
      <c r="H504" s="857"/>
      <c r="I504" s="861"/>
      <c r="J504" s="295"/>
      <c r="K504" s="296">
        <f t="shared" si="8"/>
        <v>0</v>
      </c>
      <c r="L504"/>
    </row>
    <row r="505" spans="1:12">
      <c r="A505" s="855" t="s">
        <v>565</v>
      </c>
      <c r="B505" s="856"/>
      <c r="C505" s="856"/>
      <c r="D505" s="857"/>
      <c r="E505" s="858"/>
      <c r="F505" s="859"/>
      <c r="G505" s="860"/>
      <c r="H505" s="857"/>
      <c r="I505" s="861"/>
      <c r="J505" s="295"/>
      <c r="K505" s="296">
        <f t="shared" si="8"/>
        <v>0</v>
      </c>
      <c r="L505"/>
    </row>
    <row r="506" spans="1:12">
      <c r="A506" s="855" t="s">
        <v>565</v>
      </c>
      <c r="B506" s="856"/>
      <c r="C506" s="856"/>
      <c r="D506" s="857"/>
      <c r="E506" s="858"/>
      <c r="F506" s="859"/>
      <c r="G506" s="860"/>
      <c r="H506" s="857"/>
      <c r="I506" s="861"/>
      <c r="J506" s="295"/>
      <c r="K506" s="296">
        <f t="shared" si="8"/>
        <v>0</v>
      </c>
      <c r="L506"/>
    </row>
    <row r="507" spans="1:12">
      <c r="A507" s="855" t="s">
        <v>565</v>
      </c>
      <c r="B507" s="856"/>
      <c r="C507" s="856"/>
      <c r="D507" s="857"/>
      <c r="E507" s="858"/>
      <c r="F507" s="859"/>
      <c r="G507" s="860"/>
      <c r="H507" s="857"/>
      <c r="I507" s="861"/>
      <c r="J507" s="295"/>
      <c r="K507" s="296">
        <f t="shared" si="8"/>
        <v>0</v>
      </c>
      <c r="L507"/>
    </row>
    <row r="508" spans="1:12">
      <c r="A508" s="855" t="s">
        <v>565</v>
      </c>
      <c r="B508" s="856"/>
      <c r="C508" s="856"/>
      <c r="D508" s="857"/>
      <c r="E508" s="858"/>
      <c r="F508" s="859"/>
      <c r="G508" s="860"/>
      <c r="H508" s="857"/>
      <c r="I508" s="861"/>
      <c r="J508" s="295"/>
      <c r="K508" s="296">
        <f t="shared" si="8"/>
        <v>0</v>
      </c>
      <c r="L508"/>
    </row>
    <row r="509" spans="1:12">
      <c r="A509" s="855" t="s">
        <v>565</v>
      </c>
      <c r="B509" s="856"/>
      <c r="C509" s="856"/>
      <c r="D509" s="857"/>
      <c r="E509" s="858"/>
      <c r="F509" s="859"/>
      <c r="G509" s="860"/>
      <c r="H509" s="857"/>
      <c r="I509" s="861"/>
      <c r="J509" s="295"/>
      <c r="K509" s="296">
        <f t="shared" si="8"/>
        <v>0</v>
      </c>
      <c r="L509"/>
    </row>
    <row r="510" spans="1:12">
      <c r="A510" s="855" t="s">
        <v>565</v>
      </c>
      <c r="B510" s="856"/>
      <c r="C510" s="856"/>
      <c r="D510" s="857"/>
      <c r="E510" s="858"/>
      <c r="F510" s="859"/>
      <c r="G510" s="860"/>
      <c r="H510" s="857"/>
      <c r="I510" s="861"/>
      <c r="J510" s="295"/>
      <c r="K510" s="296">
        <f t="shared" si="8"/>
        <v>0</v>
      </c>
      <c r="L510"/>
    </row>
    <row r="511" spans="1:12">
      <c r="A511" s="855" t="s">
        <v>565</v>
      </c>
      <c r="B511" s="856"/>
      <c r="C511" s="856"/>
      <c r="D511" s="857"/>
      <c r="E511" s="858"/>
      <c r="F511" s="859"/>
      <c r="G511" s="860"/>
      <c r="H511" s="857"/>
      <c r="I511" s="861"/>
      <c r="J511" s="295"/>
      <c r="K511" s="296">
        <f t="shared" si="8"/>
        <v>0</v>
      </c>
      <c r="L511"/>
    </row>
    <row r="512" spans="1:12">
      <c r="A512" s="855" t="s">
        <v>565</v>
      </c>
      <c r="B512" s="856"/>
      <c r="C512" s="856"/>
      <c r="D512" s="857"/>
      <c r="E512" s="858"/>
      <c r="F512" s="859"/>
      <c r="G512" s="860"/>
      <c r="H512" s="857"/>
      <c r="I512" s="861"/>
      <c r="J512" s="295"/>
      <c r="K512" s="296">
        <f t="shared" si="8"/>
        <v>0</v>
      </c>
      <c r="L512"/>
    </row>
    <row r="513" spans="1:12">
      <c r="A513" s="855" t="s">
        <v>565</v>
      </c>
      <c r="B513" s="856"/>
      <c r="C513" s="856"/>
      <c r="D513" s="857"/>
      <c r="E513" s="858"/>
      <c r="F513" s="859"/>
      <c r="G513" s="860"/>
      <c r="H513" s="857"/>
      <c r="I513" s="861"/>
      <c r="J513" s="295"/>
      <c r="K513" s="296">
        <f t="shared" si="8"/>
        <v>0</v>
      </c>
      <c r="L513"/>
    </row>
    <row r="514" spans="1:12">
      <c r="A514" s="855" t="s">
        <v>565</v>
      </c>
      <c r="B514" s="856"/>
      <c r="C514" s="856"/>
      <c r="D514" s="857"/>
      <c r="E514" s="858"/>
      <c r="F514" s="859"/>
      <c r="G514" s="860"/>
      <c r="H514" s="857"/>
      <c r="I514" s="861"/>
      <c r="J514" s="295"/>
      <c r="K514" s="296">
        <f t="shared" si="8"/>
        <v>0</v>
      </c>
      <c r="L514"/>
    </row>
    <row r="515" spans="1:12">
      <c r="A515" s="855" t="s">
        <v>565</v>
      </c>
      <c r="B515" s="856"/>
      <c r="C515" s="856"/>
      <c r="D515" s="857"/>
      <c r="E515" s="858"/>
      <c r="F515" s="859"/>
      <c r="G515" s="860"/>
      <c r="H515" s="857"/>
      <c r="I515" s="861"/>
      <c r="J515" s="295"/>
      <c r="K515" s="296">
        <f t="shared" si="8"/>
        <v>0</v>
      </c>
      <c r="L515"/>
    </row>
    <row r="516" spans="1:12">
      <c r="A516" s="855" t="s">
        <v>565</v>
      </c>
      <c r="B516" s="856"/>
      <c r="C516" s="856"/>
      <c r="D516" s="857"/>
      <c r="E516" s="858"/>
      <c r="F516" s="859"/>
      <c r="G516" s="860"/>
      <c r="H516" s="857"/>
      <c r="I516" s="861"/>
      <c r="J516" s="295"/>
      <c r="K516" s="296">
        <f t="shared" si="8"/>
        <v>0</v>
      </c>
      <c r="L516"/>
    </row>
    <row r="517" spans="1:12">
      <c r="A517" s="855" t="s">
        <v>565</v>
      </c>
      <c r="B517" s="856"/>
      <c r="C517" s="856"/>
      <c r="D517" s="857"/>
      <c r="E517" s="858"/>
      <c r="F517" s="859"/>
      <c r="G517" s="860"/>
      <c r="H517" s="857"/>
      <c r="I517" s="861"/>
      <c r="J517" s="295"/>
      <c r="K517" s="296">
        <f t="shared" si="8"/>
        <v>0</v>
      </c>
      <c r="L517"/>
    </row>
    <row r="518" spans="1:12">
      <c r="A518" s="855" t="s">
        <v>565</v>
      </c>
      <c r="B518" s="856"/>
      <c r="C518" s="856"/>
      <c r="D518" s="857"/>
      <c r="E518" s="858"/>
      <c r="F518" s="859"/>
      <c r="G518" s="860"/>
      <c r="H518" s="857"/>
      <c r="I518" s="861"/>
      <c r="J518" s="295"/>
      <c r="K518" s="296">
        <f t="shared" si="8"/>
        <v>0</v>
      </c>
      <c r="L518"/>
    </row>
    <row r="519" spans="1:12">
      <c r="A519" s="855" t="s">
        <v>565</v>
      </c>
      <c r="B519" s="856"/>
      <c r="C519" s="856"/>
      <c r="D519" s="857"/>
      <c r="E519" s="858"/>
      <c r="F519" s="859"/>
      <c r="G519" s="860"/>
      <c r="H519" s="857"/>
      <c r="I519" s="861"/>
      <c r="J519" s="295"/>
      <c r="K519" s="296">
        <f t="shared" si="8"/>
        <v>0</v>
      </c>
      <c r="L519"/>
    </row>
    <row r="520" spans="1:12">
      <c r="A520" s="855" t="s">
        <v>565</v>
      </c>
      <c r="B520" s="856"/>
      <c r="C520" s="856"/>
      <c r="D520" s="857"/>
      <c r="E520" s="858"/>
      <c r="F520" s="859"/>
      <c r="G520" s="860"/>
      <c r="H520" s="857"/>
      <c r="I520" s="861"/>
      <c r="J520" s="295"/>
      <c r="K520" s="296">
        <f t="shared" si="8"/>
        <v>0</v>
      </c>
      <c r="L520"/>
    </row>
    <row r="521" spans="1:12">
      <c r="A521" s="855" t="s">
        <v>565</v>
      </c>
      <c r="B521" s="856"/>
      <c r="C521" s="856"/>
      <c r="D521" s="857"/>
      <c r="E521" s="858"/>
      <c r="F521" s="859"/>
      <c r="G521" s="860"/>
      <c r="H521" s="857"/>
      <c r="I521" s="861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55" t="s">
        <v>565</v>
      </c>
      <c r="B522" s="856"/>
      <c r="C522" s="856"/>
      <c r="D522" s="857"/>
      <c r="E522" s="858"/>
      <c r="F522" s="859"/>
      <c r="G522" s="860"/>
      <c r="H522" s="857"/>
      <c r="I522" s="861"/>
      <c r="J522" s="295"/>
      <c r="K522" s="296">
        <f t="shared" si="9"/>
        <v>0</v>
      </c>
      <c r="L522"/>
    </row>
    <row r="523" spans="1:12">
      <c r="A523" s="855" t="s">
        <v>565</v>
      </c>
      <c r="B523" s="856"/>
      <c r="C523" s="856"/>
      <c r="D523" s="857"/>
      <c r="E523" s="858"/>
      <c r="F523" s="859"/>
      <c r="G523" s="860"/>
      <c r="H523" s="857"/>
      <c r="I523" s="861"/>
      <c r="J523" s="295"/>
      <c r="K523" s="296">
        <f t="shared" si="9"/>
        <v>0</v>
      </c>
      <c r="L523"/>
    </row>
    <row r="524" spans="1:12">
      <c r="A524" s="855" t="s">
        <v>565</v>
      </c>
      <c r="B524" s="856"/>
      <c r="C524" s="856"/>
      <c r="D524" s="857"/>
      <c r="E524" s="858"/>
      <c r="F524" s="859"/>
      <c r="G524" s="860"/>
      <c r="H524" s="857"/>
      <c r="I524" s="861"/>
      <c r="J524" s="295"/>
      <c r="K524" s="296">
        <f t="shared" si="9"/>
        <v>0</v>
      </c>
      <c r="L524"/>
    </row>
    <row r="525" spans="1:12">
      <c r="A525" s="855" t="s">
        <v>565</v>
      </c>
      <c r="B525" s="856"/>
      <c r="C525" s="856"/>
      <c r="D525" s="857"/>
      <c r="E525" s="858"/>
      <c r="F525" s="859"/>
      <c r="G525" s="860"/>
      <c r="H525" s="857"/>
      <c r="I525" s="861"/>
      <c r="J525" s="295"/>
      <c r="K525" s="296">
        <f t="shared" si="9"/>
        <v>0</v>
      </c>
      <c r="L525"/>
    </row>
    <row r="526" spans="1:12">
      <c r="A526" s="855" t="s">
        <v>565</v>
      </c>
      <c r="B526" s="856"/>
      <c r="C526" s="856"/>
      <c r="D526" s="857"/>
      <c r="E526" s="858"/>
      <c r="F526" s="859"/>
      <c r="G526" s="860"/>
      <c r="H526" s="857"/>
      <c r="I526" s="861"/>
      <c r="J526" s="295"/>
      <c r="K526" s="296">
        <f t="shared" si="9"/>
        <v>0</v>
      </c>
      <c r="L526"/>
    </row>
    <row r="527" spans="1:12">
      <c r="A527" s="855" t="s">
        <v>565</v>
      </c>
      <c r="B527" s="856"/>
      <c r="C527" s="856"/>
      <c r="D527" s="857"/>
      <c r="E527" s="858"/>
      <c r="F527" s="859"/>
      <c r="G527" s="860"/>
      <c r="H527" s="857"/>
      <c r="I527" s="861"/>
      <c r="J527" s="295"/>
      <c r="K527" s="296">
        <f t="shared" si="9"/>
        <v>0</v>
      </c>
      <c r="L527"/>
    </row>
    <row r="528" spans="1:12">
      <c r="A528" s="855" t="s">
        <v>565</v>
      </c>
      <c r="B528" s="856"/>
      <c r="C528" s="856"/>
      <c r="D528" s="857"/>
      <c r="E528" s="858"/>
      <c r="F528" s="859"/>
      <c r="G528" s="860"/>
      <c r="H528" s="857"/>
      <c r="I528" s="861"/>
      <c r="J528" s="295"/>
      <c r="K528" s="296">
        <f t="shared" si="9"/>
        <v>0</v>
      </c>
      <c r="L528"/>
    </row>
    <row r="529" spans="1:12">
      <c r="A529" s="855" t="s">
        <v>565</v>
      </c>
      <c r="B529" s="856"/>
      <c r="C529" s="856"/>
      <c r="D529" s="857"/>
      <c r="E529" s="858"/>
      <c r="F529" s="859"/>
      <c r="G529" s="860"/>
      <c r="H529" s="857"/>
      <c r="I529" s="861"/>
      <c r="J529" s="295"/>
      <c r="K529" s="296">
        <f t="shared" si="9"/>
        <v>0</v>
      </c>
      <c r="L529"/>
    </row>
    <row r="530" spans="1:12">
      <c r="A530" s="855" t="s">
        <v>565</v>
      </c>
      <c r="B530" s="856"/>
      <c r="C530" s="856"/>
      <c r="D530" s="857"/>
      <c r="E530" s="858"/>
      <c r="F530" s="859"/>
      <c r="G530" s="860"/>
      <c r="H530" s="857"/>
      <c r="I530" s="861"/>
      <c r="J530" s="295"/>
      <c r="K530" s="296">
        <f t="shared" si="9"/>
        <v>0</v>
      </c>
      <c r="L530"/>
    </row>
    <row r="531" spans="1:12">
      <c r="A531" s="855" t="s">
        <v>565</v>
      </c>
      <c r="B531" s="856"/>
      <c r="C531" s="856"/>
      <c r="D531" s="857"/>
      <c r="E531" s="858"/>
      <c r="F531" s="859"/>
      <c r="G531" s="860"/>
      <c r="H531" s="857"/>
      <c r="I531" s="861"/>
      <c r="J531" s="295"/>
      <c r="K531" s="296">
        <f t="shared" si="9"/>
        <v>0</v>
      </c>
      <c r="L531"/>
    </row>
    <row r="532" spans="1:12">
      <c r="A532" s="855" t="s">
        <v>565</v>
      </c>
      <c r="B532" s="856"/>
      <c r="C532" s="856"/>
      <c r="D532" s="857"/>
      <c r="E532" s="858"/>
      <c r="F532" s="859"/>
      <c r="G532" s="860"/>
      <c r="H532" s="857"/>
      <c r="I532" s="861"/>
      <c r="J532" s="295"/>
      <c r="K532" s="296">
        <f t="shared" si="9"/>
        <v>0</v>
      </c>
      <c r="L532"/>
    </row>
    <row r="533" spans="1:12">
      <c r="A533" s="855" t="s">
        <v>564</v>
      </c>
      <c r="B533" s="856"/>
      <c r="C533" s="856"/>
      <c r="D533" s="857"/>
      <c r="E533" s="858"/>
      <c r="F533" s="859"/>
      <c r="G533" s="860"/>
      <c r="H533" s="857"/>
      <c r="I533" s="861"/>
      <c r="J533" s="295"/>
      <c r="K533" s="296">
        <f t="shared" si="9"/>
        <v>0</v>
      </c>
      <c r="L533"/>
    </row>
    <row r="534" spans="1:12">
      <c r="A534" s="855" t="s">
        <v>564</v>
      </c>
      <c r="B534" s="856"/>
      <c r="C534" s="856"/>
      <c r="D534" s="857"/>
      <c r="E534" s="858"/>
      <c r="F534" s="859"/>
      <c r="G534" s="860"/>
      <c r="H534" s="857"/>
      <c r="I534" s="861"/>
      <c r="J534" s="295"/>
      <c r="K534" s="296">
        <f t="shared" si="9"/>
        <v>0</v>
      </c>
      <c r="L534"/>
    </row>
    <row r="535" spans="1:12">
      <c r="A535" s="855" t="s">
        <v>564</v>
      </c>
      <c r="B535" s="856"/>
      <c r="C535" s="856"/>
      <c r="D535" s="857"/>
      <c r="E535" s="858"/>
      <c r="F535" s="859"/>
      <c r="G535" s="860"/>
      <c r="H535" s="857"/>
      <c r="I535" s="861"/>
      <c r="J535" s="295"/>
      <c r="K535" s="296">
        <f t="shared" si="9"/>
        <v>0</v>
      </c>
      <c r="L535"/>
    </row>
    <row r="536" spans="1:12">
      <c r="A536" s="855" t="s">
        <v>564</v>
      </c>
      <c r="B536" s="856"/>
      <c r="C536" s="856"/>
      <c r="D536" s="857"/>
      <c r="E536" s="858"/>
      <c r="F536" s="859"/>
      <c r="G536" s="860"/>
      <c r="H536" s="857"/>
      <c r="I536" s="861"/>
      <c r="J536" s="295"/>
      <c r="K536" s="296">
        <f t="shared" si="9"/>
        <v>0</v>
      </c>
      <c r="L536"/>
    </row>
    <row r="537" spans="1:12">
      <c r="A537" s="855" t="s">
        <v>564</v>
      </c>
      <c r="B537" s="856"/>
      <c r="C537" s="856"/>
      <c r="D537" s="857"/>
      <c r="E537" s="858"/>
      <c r="F537" s="859"/>
      <c r="G537" s="860"/>
      <c r="H537" s="857"/>
      <c r="I537" s="861"/>
      <c r="J537" s="295"/>
      <c r="K537" s="296">
        <f t="shared" si="9"/>
        <v>0</v>
      </c>
      <c r="L537"/>
    </row>
    <row r="538" spans="1:12">
      <c r="A538" s="855" t="s">
        <v>565</v>
      </c>
      <c r="B538" s="856"/>
      <c r="C538" s="856"/>
      <c r="D538" s="857"/>
      <c r="E538" s="858"/>
      <c r="F538" s="859"/>
      <c r="G538" s="860"/>
      <c r="H538" s="857"/>
      <c r="I538" s="861"/>
      <c r="J538" s="295"/>
      <c r="K538" s="296">
        <f t="shared" si="9"/>
        <v>0</v>
      </c>
      <c r="L538"/>
    </row>
    <row r="539" spans="1:12">
      <c r="A539" s="855" t="s">
        <v>565</v>
      </c>
      <c r="B539" s="856"/>
      <c r="C539" s="856"/>
      <c r="D539" s="857"/>
      <c r="E539" s="858"/>
      <c r="F539" s="859"/>
      <c r="G539" s="860"/>
      <c r="H539" s="857"/>
      <c r="I539" s="861"/>
      <c r="J539" s="295"/>
      <c r="K539" s="296">
        <f t="shared" si="9"/>
        <v>0</v>
      </c>
      <c r="L539"/>
    </row>
    <row r="540" spans="1:12">
      <c r="A540" s="855" t="s">
        <v>565</v>
      </c>
      <c r="B540" s="856"/>
      <c r="C540" s="856"/>
      <c r="D540" s="857"/>
      <c r="E540" s="858"/>
      <c r="F540" s="859"/>
      <c r="G540" s="860"/>
      <c r="H540" s="857"/>
      <c r="I540" s="861"/>
      <c r="J540" s="295"/>
      <c r="K540" s="296">
        <f t="shared" si="9"/>
        <v>0</v>
      </c>
      <c r="L540"/>
    </row>
    <row r="541" spans="1:12">
      <c r="A541" s="855" t="s">
        <v>565</v>
      </c>
      <c r="B541" s="856"/>
      <c r="C541" s="856"/>
      <c r="D541" s="857"/>
      <c r="E541" s="858"/>
      <c r="F541" s="859"/>
      <c r="G541" s="860"/>
      <c r="H541" s="857"/>
      <c r="I541" s="861"/>
      <c r="J541" s="295"/>
      <c r="K541" s="296">
        <f t="shared" si="9"/>
        <v>0</v>
      </c>
      <c r="L541"/>
    </row>
    <row r="542" spans="1:12">
      <c r="A542" s="855" t="s">
        <v>565</v>
      </c>
      <c r="B542" s="856"/>
      <c r="C542" s="856"/>
      <c r="D542" s="857"/>
      <c r="E542" s="858"/>
      <c r="F542" s="859"/>
      <c r="G542" s="860"/>
      <c r="H542" s="857"/>
      <c r="I542" s="861"/>
      <c r="J542" s="295"/>
      <c r="K542" s="296">
        <f t="shared" si="9"/>
        <v>0</v>
      </c>
      <c r="L542"/>
    </row>
    <row r="543" spans="1:12">
      <c r="A543" s="855" t="s">
        <v>579</v>
      </c>
      <c r="B543" s="856"/>
      <c r="C543" s="856"/>
      <c r="D543" s="857"/>
      <c r="E543" s="858"/>
      <c r="F543" s="859"/>
      <c r="G543" s="860"/>
      <c r="H543" s="857"/>
      <c r="I543" s="861"/>
      <c r="J543" s="295"/>
      <c r="K543" s="296">
        <f t="shared" si="9"/>
        <v>0</v>
      </c>
      <c r="L543"/>
    </row>
    <row r="544" spans="1:12">
      <c r="A544" s="855" t="s">
        <v>579</v>
      </c>
      <c r="B544" s="856"/>
      <c r="C544" s="856"/>
      <c r="D544" s="857"/>
      <c r="E544" s="858"/>
      <c r="F544" s="859"/>
      <c r="G544" s="860"/>
      <c r="H544" s="857"/>
      <c r="I544" s="861"/>
      <c r="J544" s="295"/>
      <c r="K544" s="296">
        <f t="shared" si="9"/>
        <v>0</v>
      </c>
      <c r="L544"/>
    </row>
    <row r="545" spans="1:12">
      <c r="A545" s="855" t="s">
        <v>579</v>
      </c>
      <c r="B545" s="856"/>
      <c r="C545" s="856"/>
      <c r="D545" s="857"/>
      <c r="E545" s="858"/>
      <c r="F545" s="859"/>
      <c r="G545" s="860"/>
      <c r="H545" s="857"/>
      <c r="I545" s="861"/>
      <c r="J545" s="295"/>
      <c r="K545" s="296">
        <f t="shared" si="9"/>
        <v>0</v>
      </c>
      <c r="L545"/>
    </row>
    <row r="546" spans="1:12">
      <c r="A546" s="855" t="s">
        <v>579</v>
      </c>
      <c r="B546" s="856"/>
      <c r="C546" s="856"/>
      <c r="D546" s="857"/>
      <c r="E546" s="858"/>
      <c r="F546" s="859"/>
      <c r="G546" s="860"/>
      <c r="H546" s="857"/>
      <c r="I546" s="861"/>
      <c r="J546" s="295"/>
      <c r="K546" s="296">
        <f t="shared" si="9"/>
        <v>0</v>
      </c>
      <c r="L546"/>
    </row>
    <row r="547" spans="1:12">
      <c r="A547" s="855" t="s">
        <v>579</v>
      </c>
      <c r="B547" s="856"/>
      <c r="C547" s="856"/>
      <c r="D547" s="857"/>
      <c r="E547" s="858"/>
      <c r="F547" s="859"/>
      <c r="G547" s="860"/>
      <c r="H547" s="857"/>
      <c r="I547" s="861"/>
      <c r="J547" s="295"/>
      <c r="K547" s="296">
        <f t="shared" si="9"/>
        <v>0</v>
      </c>
      <c r="L547"/>
    </row>
    <row r="548" spans="1:12">
      <c r="A548" s="855" t="s">
        <v>565</v>
      </c>
      <c r="B548" s="856"/>
      <c r="C548" s="856"/>
      <c r="D548" s="857"/>
      <c r="E548" s="858"/>
      <c r="F548" s="859"/>
      <c r="G548" s="860"/>
      <c r="H548" s="857"/>
      <c r="I548" s="861"/>
      <c r="J548" s="295"/>
      <c r="K548" s="296">
        <f t="shared" si="9"/>
        <v>0</v>
      </c>
      <c r="L548"/>
    </row>
    <row r="549" spans="1:12">
      <c r="A549" s="855" t="s">
        <v>565</v>
      </c>
      <c r="B549" s="856"/>
      <c r="C549" s="856"/>
      <c r="D549" s="857"/>
      <c r="E549" s="858"/>
      <c r="F549" s="859"/>
      <c r="G549" s="860"/>
      <c r="H549" s="857"/>
      <c r="I549" s="861"/>
      <c r="J549" s="295"/>
      <c r="K549" s="296">
        <f t="shared" si="9"/>
        <v>0</v>
      </c>
      <c r="L549"/>
    </row>
    <row r="550" spans="1:12">
      <c r="A550" s="855" t="s">
        <v>565</v>
      </c>
      <c r="B550" s="856"/>
      <c r="C550" s="856"/>
      <c r="D550" s="857"/>
      <c r="E550" s="858"/>
      <c r="F550" s="859"/>
      <c r="G550" s="860"/>
      <c r="H550" s="857"/>
      <c r="I550" s="861"/>
      <c r="J550" s="295"/>
      <c r="K550" s="296">
        <f t="shared" si="9"/>
        <v>0</v>
      </c>
      <c r="L550"/>
    </row>
    <row r="551" spans="1:12">
      <c r="A551" s="855" t="s">
        <v>565</v>
      </c>
      <c r="B551" s="856"/>
      <c r="C551" s="856"/>
      <c r="D551" s="857"/>
      <c r="E551" s="858"/>
      <c r="F551" s="859"/>
      <c r="G551" s="860"/>
      <c r="H551" s="857"/>
      <c r="I551" s="861"/>
      <c r="J551" s="295"/>
      <c r="K551" s="296">
        <f t="shared" si="9"/>
        <v>0</v>
      </c>
      <c r="L551"/>
    </row>
    <row r="552" spans="1:12">
      <c r="A552" s="855" t="s">
        <v>565</v>
      </c>
      <c r="B552" s="856"/>
      <c r="C552" s="856"/>
      <c r="D552" s="857"/>
      <c r="E552" s="858"/>
      <c r="F552" s="859"/>
      <c r="G552" s="860"/>
      <c r="H552" s="857"/>
      <c r="I552" s="861"/>
      <c r="J552" s="295"/>
      <c r="K552" s="296">
        <f t="shared" si="9"/>
        <v>0</v>
      </c>
      <c r="L552"/>
    </row>
    <row r="553" spans="1:12">
      <c r="A553" s="855" t="s">
        <v>565</v>
      </c>
      <c r="B553" s="856"/>
      <c r="C553" s="856"/>
      <c r="D553" s="857"/>
      <c r="E553" s="858"/>
      <c r="F553" s="859"/>
      <c r="G553" s="860"/>
      <c r="H553" s="857"/>
      <c r="I553" s="861"/>
      <c r="J553" s="295"/>
      <c r="K553" s="296">
        <f t="shared" si="9"/>
        <v>0</v>
      </c>
      <c r="L553"/>
    </row>
    <row r="554" spans="1:12">
      <c r="A554" s="855" t="s">
        <v>565</v>
      </c>
      <c r="B554" s="856"/>
      <c r="C554" s="856"/>
      <c r="D554" s="857"/>
      <c r="E554" s="858"/>
      <c r="F554" s="859"/>
      <c r="G554" s="860"/>
      <c r="H554" s="857"/>
      <c r="I554" s="861"/>
      <c r="J554" s="295"/>
      <c r="K554" s="296">
        <f t="shared" si="9"/>
        <v>0</v>
      </c>
      <c r="L554"/>
    </row>
    <row r="555" spans="1:12">
      <c r="A555" s="855" t="s">
        <v>565</v>
      </c>
      <c r="B555" s="856"/>
      <c r="C555" s="856"/>
      <c r="D555" s="857"/>
      <c r="E555" s="858"/>
      <c r="F555" s="859"/>
      <c r="G555" s="860"/>
      <c r="H555" s="857"/>
      <c r="I555" s="861"/>
      <c r="J555" s="295"/>
      <c r="K555" s="296">
        <f t="shared" si="9"/>
        <v>0</v>
      </c>
      <c r="L555"/>
    </row>
    <row r="556" spans="1:12">
      <c r="A556" s="855" t="s">
        <v>565</v>
      </c>
      <c r="B556" s="856"/>
      <c r="C556" s="856"/>
      <c r="D556" s="857"/>
      <c r="E556" s="858"/>
      <c r="F556" s="859"/>
      <c r="G556" s="860"/>
      <c r="H556" s="857"/>
      <c r="I556" s="861"/>
      <c r="J556" s="295"/>
      <c r="K556" s="296">
        <f t="shared" si="9"/>
        <v>0</v>
      </c>
      <c r="L556"/>
    </row>
    <row r="557" spans="1:12">
      <c r="A557" s="855" t="s">
        <v>565</v>
      </c>
      <c r="B557" s="856"/>
      <c r="C557" s="856"/>
      <c r="D557" s="857"/>
      <c r="E557" s="858"/>
      <c r="F557" s="859"/>
      <c r="G557" s="860"/>
      <c r="H557" s="857"/>
      <c r="I557" s="861"/>
      <c r="J557" s="295"/>
      <c r="K557" s="296">
        <f t="shared" si="9"/>
        <v>0</v>
      </c>
      <c r="L557"/>
    </row>
    <row r="558" spans="1:12">
      <c r="A558" s="855" t="s">
        <v>565</v>
      </c>
      <c r="B558" s="856"/>
      <c r="C558" s="856"/>
      <c r="D558" s="857"/>
      <c r="E558" s="858"/>
      <c r="F558" s="859"/>
      <c r="G558" s="860"/>
      <c r="H558" s="857"/>
      <c r="I558" s="861"/>
      <c r="J558" s="295"/>
      <c r="K558" s="296">
        <f t="shared" si="9"/>
        <v>0</v>
      </c>
      <c r="L558"/>
    </row>
    <row r="559" spans="1:12">
      <c r="A559" s="855" t="s">
        <v>565</v>
      </c>
      <c r="B559" s="856"/>
      <c r="C559" s="856"/>
      <c r="D559" s="857"/>
      <c r="E559" s="858"/>
      <c r="F559" s="859"/>
      <c r="G559" s="860"/>
      <c r="H559" s="857"/>
      <c r="I559" s="861"/>
      <c r="J559" s="295"/>
      <c r="K559" s="296">
        <f t="shared" si="9"/>
        <v>0</v>
      </c>
      <c r="L559"/>
    </row>
    <row r="560" spans="1:12">
      <c r="A560" s="855" t="s">
        <v>565</v>
      </c>
      <c r="B560" s="856"/>
      <c r="C560" s="856"/>
      <c r="D560" s="857"/>
      <c r="E560" s="858"/>
      <c r="F560" s="859"/>
      <c r="G560" s="860"/>
      <c r="H560" s="857"/>
      <c r="I560" s="861"/>
      <c r="J560" s="295"/>
      <c r="K560" s="296">
        <f t="shared" si="9"/>
        <v>0</v>
      </c>
      <c r="L560"/>
    </row>
    <row r="561" spans="1:12">
      <c r="A561" s="855" t="s">
        <v>565</v>
      </c>
      <c r="B561" s="856"/>
      <c r="C561" s="856"/>
      <c r="D561" s="857"/>
      <c r="E561" s="858"/>
      <c r="F561" s="859"/>
      <c r="G561" s="860"/>
      <c r="H561" s="857"/>
      <c r="I561" s="861"/>
      <c r="J561" s="295"/>
      <c r="K561" s="296">
        <f t="shared" si="9"/>
        <v>0</v>
      </c>
      <c r="L561"/>
    </row>
    <row r="562" spans="1:12">
      <c r="A562" s="855" t="s">
        <v>565</v>
      </c>
      <c r="B562" s="856"/>
      <c r="C562" s="856"/>
      <c r="D562" s="857"/>
      <c r="E562" s="858"/>
      <c r="F562" s="859"/>
      <c r="G562" s="860"/>
      <c r="H562" s="857"/>
      <c r="I562" s="861"/>
      <c r="J562" s="295"/>
      <c r="K562" s="296">
        <f t="shared" si="9"/>
        <v>0</v>
      </c>
      <c r="L562"/>
    </row>
    <row r="563" spans="1:12">
      <c r="A563" s="855" t="s">
        <v>565</v>
      </c>
      <c r="B563" s="856"/>
      <c r="C563" s="856"/>
      <c r="D563" s="857"/>
      <c r="E563" s="858"/>
      <c r="F563" s="859"/>
      <c r="G563" s="860"/>
      <c r="H563" s="857"/>
      <c r="I563" s="861"/>
      <c r="J563" s="295"/>
      <c r="K563" s="296">
        <f t="shared" si="9"/>
        <v>0</v>
      </c>
      <c r="L563"/>
    </row>
    <row r="564" spans="1:12">
      <c r="A564" s="855" t="s">
        <v>565</v>
      </c>
      <c r="B564" s="856"/>
      <c r="C564" s="856"/>
      <c r="D564" s="857"/>
      <c r="E564" s="858"/>
      <c r="F564" s="859"/>
      <c r="G564" s="860"/>
      <c r="H564" s="857"/>
      <c r="I564" s="861"/>
      <c r="J564" s="295"/>
      <c r="K564" s="296">
        <f t="shared" si="9"/>
        <v>0</v>
      </c>
      <c r="L564"/>
    </row>
    <row r="565" spans="1:12">
      <c r="A565" s="855" t="s">
        <v>565</v>
      </c>
      <c r="B565" s="856"/>
      <c r="C565" s="856"/>
      <c r="D565" s="857"/>
      <c r="E565" s="858"/>
      <c r="F565" s="859"/>
      <c r="G565" s="860"/>
      <c r="H565" s="857"/>
      <c r="I565" s="861"/>
      <c r="J565" s="295"/>
      <c r="K565" s="296">
        <f t="shared" si="9"/>
        <v>0</v>
      </c>
      <c r="L565"/>
    </row>
    <row r="566" spans="1:12">
      <c r="A566" s="855" t="s">
        <v>565</v>
      </c>
      <c r="B566" s="856"/>
      <c r="C566" s="856"/>
      <c r="D566" s="857"/>
      <c r="E566" s="858"/>
      <c r="F566" s="859"/>
      <c r="G566" s="860"/>
      <c r="H566" s="857"/>
      <c r="I566" s="861"/>
      <c r="J566" s="295"/>
      <c r="K566" s="296">
        <f t="shared" si="9"/>
        <v>0</v>
      </c>
      <c r="L566"/>
    </row>
    <row r="567" spans="1:12">
      <c r="A567" s="855" t="s">
        <v>565</v>
      </c>
      <c r="B567" s="856"/>
      <c r="C567" s="856"/>
      <c r="D567" s="857"/>
      <c r="E567" s="858"/>
      <c r="F567" s="859"/>
      <c r="G567" s="860"/>
      <c r="H567" s="857"/>
      <c r="I567" s="861"/>
      <c r="J567" s="295"/>
      <c r="K567" s="296">
        <f t="shared" si="9"/>
        <v>0</v>
      </c>
      <c r="L567"/>
    </row>
    <row r="568" spans="1:12">
      <c r="A568" s="855" t="s">
        <v>565</v>
      </c>
      <c r="B568" s="856"/>
      <c r="C568" s="856"/>
      <c r="D568" s="857"/>
      <c r="E568" s="858"/>
      <c r="F568" s="859"/>
      <c r="G568" s="860"/>
      <c r="H568" s="857"/>
      <c r="I568" s="861"/>
      <c r="J568" s="295"/>
      <c r="K568" s="296">
        <f t="shared" si="9"/>
        <v>0</v>
      </c>
      <c r="L568"/>
    </row>
    <row r="569" spans="1:12">
      <c r="A569" s="855" t="s">
        <v>579</v>
      </c>
      <c r="B569" s="856"/>
      <c r="C569" s="856"/>
      <c r="D569" s="857"/>
      <c r="E569" s="858"/>
      <c r="F569" s="859"/>
      <c r="G569" s="860"/>
      <c r="H569" s="857"/>
      <c r="I569" s="861"/>
      <c r="J569" s="295"/>
      <c r="K569" s="296">
        <f t="shared" si="9"/>
        <v>0</v>
      </c>
      <c r="L569"/>
    </row>
    <row r="570" spans="1:12">
      <c r="A570" s="855" t="s">
        <v>579</v>
      </c>
      <c r="B570" s="856"/>
      <c r="C570" s="856"/>
      <c r="D570" s="857"/>
      <c r="E570" s="858"/>
      <c r="F570" s="859"/>
      <c r="G570" s="860"/>
      <c r="H570" s="857"/>
      <c r="I570" s="861"/>
      <c r="J570" s="295"/>
      <c r="K570" s="296">
        <f t="shared" si="9"/>
        <v>0</v>
      </c>
      <c r="L570"/>
    </row>
    <row r="571" spans="1:12">
      <c r="A571" s="855" t="s">
        <v>579</v>
      </c>
      <c r="B571" s="856"/>
      <c r="C571" s="856"/>
      <c r="D571" s="857"/>
      <c r="E571" s="858"/>
      <c r="F571" s="859"/>
      <c r="G571" s="860"/>
      <c r="H571" s="857"/>
      <c r="I571" s="861"/>
      <c r="J571" s="295"/>
      <c r="K571" s="296">
        <f t="shared" si="9"/>
        <v>0</v>
      </c>
      <c r="L571"/>
    </row>
    <row r="572" spans="1:12">
      <c r="A572" s="855" t="s">
        <v>579</v>
      </c>
      <c r="B572" s="856"/>
      <c r="C572" s="856"/>
      <c r="D572" s="857"/>
      <c r="E572" s="858"/>
      <c r="F572" s="859"/>
      <c r="G572" s="860"/>
      <c r="H572" s="857"/>
      <c r="I572" s="861"/>
      <c r="J572" s="295"/>
      <c r="K572" s="296">
        <f t="shared" si="9"/>
        <v>0</v>
      </c>
      <c r="L572"/>
    </row>
    <row r="573" spans="1:12">
      <c r="A573" s="855" t="s">
        <v>579</v>
      </c>
      <c r="B573" s="856"/>
      <c r="C573" s="856"/>
      <c r="D573" s="857"/>
      <c r="E573" s="858"/>
      <c r="F573" s="859"/>
      <c r="G573" s="860"/>
      <c r="H573" s="857"/>
      <c r="I573" s="861"/>
      <c r="J573" s="295"/>
      <c r="K573" s="296">
        <f t="shared" si="9"/>
        <v>0</v>
      </c>
      <c r="L573"/>
    </row>
    <row r="574" spans="1:12">
      <c r="A574" s="855" t="s">
        <v>579</v>
      </c>
      <c r="B574" s="856"/>
      <c r="C574" s="856"/>
      <c r="D574" s="857"/>
      <c r="E574" s="858"/>
      <c r="F574" s="859"/>
      <c r="G574" s="860"/>
      <c r="H574" s="857"/>
      <c r="I574" s="861"/>
      <c r="J574" s="295"/>
      <c r="K574" s="296">
        <f t="shared" si="9"/>
        <v>0</v>
      </c>
      <c r="L574"/>
    </row>
    <row r="575" spans="1:12">
      <c r="A575" s="855" t="s">
        <v>565</v>
      </c>
      <c r="B575" s="856"/>
      <c r="C575" s="856"/>
      <c r="D575" s="857"/>
      <c r="E575" s="858"/>
      <c r="F575" s="859"/>
      <c r="G575" s="860"/>
      <c r="H575" s="857"/>
      <c r="I575" s="861"/>
      <c r="J575" s="295"/>
      <c r="K575" s="296">
        <f t="shared" si="9"/>
        <v>0</v>
      </c>
      <c r="L575"/>
    </row>
    <row r="576" spans="1:12">
      <c r="A576" s="855" t="s">
        <v>565</v>
      </c>
      <c r="B576" s="856"/>
      <c r="C576" s="856"/>
      <c r="D576" s="857"/>
      <c r="E576" s="858"/>
      <c r="F576" s="859"/>
      <c r="G576" s="860"/>
      <c r="H576" s="857"/>
      <c r="I576" s="861"/>
      <c r="J576" s="295"/>
      <c r="K576" s="296">
        <f t="shared" si="9"/>
        <v>0</v>
      </c>
      <c r="L576"/>
    </row>
    <row r="577" spans="1:12">
      <c r="A577" s="855" t="s">
        <v>565</v>
      </c>
      <c r="B577" s="856"/>
      <c r="C577" s="856"/>
      <c r="D577" s="857"/>
      <c r="E577" s="858"/>
      <c r="F577" s="859"/>
      <c r="G577" s="860"/>
      <c r="H577" s="857"/>
      <c r="I577" s="861"/>
      <c r="J577" s="295"/>
      <c r="K577" s="296">
        <f t="shared" si="9"/>
        <v>0</v>
      </c>
      <c r="L577"/>
    </row>
    <row r="578" spans="1:12">
      <c r="A578" s="855" t="s">
        <v>565</v>
      </c>
      <c r="B578" s="856"/>
      <c r="C578" s="856"/>
      <c r="D578" s="857"/>
      <c r="E578" s="858"/>
      <c r="F578" s="859"/>
      <c r="G578" s="860"/>
      <c r="H578" s="857"/>
      <c r="I578" s="861"/>
      <c r="J578" s="295"/>
      <c r="K578" s="296">
        <f t="shared" si="9"/>
        <v>0</v>
      </c>
      <c r="L578"/>
    </row>
    <row r="579" spans="1:12">
      <c r="A579" s="855" t="s">
        <v>565</v>
      </c>
      <c r="B579" s="856"/>
      <c r="C579" s="856"/>
      <c r="D579" s="857"/>
      <c r="E579" s="858"/>
      <c r="F579" s="859"/>
      <c r="G579" s="860"/>
      <c r="H579" s="857"/>
      <c r="I579" s="861"/>
      <c r="J579" s="295"/>
      <c r="K579" s="296">
        <f t="shared" si="9"/>
        <v>0</v>
      </c>
      <c r="L579"/>
    </row>
    <row r="580" spans="1:12">
      <c r="A580" s="855" t="s">
        <v>565</v>
      </c>
      <c r="B580" s="856"/>
      <c r="C580" s="856"/>
      <c r="D580" s="857"/>
      <c r="E580" s="858"/>
      <c r="F580" s="859"/>
      <c r="G580" s="860"/>
      <c r="H580" s="857"/>
      <c r="I580" s="861"/>
      <c r="J580" s="295"/>
      <c r="K580" s="296">
        <f t="shared" si="9"/>
        <v>0</v>
      </c>
      <c r="L580"/>
    </row>
    <row r="581" spans="1:12">
      <c r="A581" s="855" t="s">
        <v>565</v>
      </c>
      <c r="B581" s="856"/>
      <c r="C581" s="856"/>
      <c r="D581" s="857"/>
      <c r="E581" s="858"/>
      <c r="F581" s="859"/>
      <c r="G581" s="860"/>
      <c r="H581" s="857"/>
      <c r="I581" s="861"/>
      <c r="J581" s="295"/>
      <c r="K581" s="296">
        <f t="shared" si="9"/>
        <v>0</v>
      </c>
      <c r="L581"/>
    </row>
    <row r="582" spans="1:12">
      <c r="A582" s="855"/>
      <c r="B582" s="856"/>
      <c r="C582" s="856"/>
      <c r="D582" s="857"/>
      <c r="E582" s="858"/>
      <c r="F582" s="859"/>
      <c r="G582" s="860"/>
      <c r="H582" s="857"/>
      <c r="I582" s="861"/>
      <c r="J582" s="295"/>
      <c r="K582" s="296">
        <f t="shared" si="9"/>
        <v>0</v>
      </c>
      <c r="L582"/>
    </row>
    <row r="583" spans="1:12">
      <c r="A583" s="855"/>
      <c r="B583" s="856"/>
      <c r="C583" s="856"/>
      <c r="D583" s="857"/>
      <c r="E583" s="858"/>
      <c r="F583" s="859"/>
      <c r="G583" s="860"/>
      <c r="H583" s="857"/>
      <c r="I583" s="861"/>
      <c r="J583" s="295"/>
      <c r="K583" s="296">
        <f t="shared" si="9"/>
        <v>0</v>
      </c>
      <c r="L583"/>
    </row>
    <row r="584" spans="1:12">
      <c r="A584" s="855" t="s">
        <v>579</v>
      </c>
      <c r="B584" s="856"/>
      <c r="C584" s="856"/>
      <c r="D584" s="857"/>
      <c r="E584" s="858"/>
      <c r="F584" s="859"/>
      <c r="G584" s="860"/>
      <c r="H584" s="857"/>
      <c r="I584" s="861"/>
      <c r="J584" s="295"/>
      <c r="K584" s="296">
        <f t="shared" si="9"/>
        <v>0</v>
      </c>
      <c r="L584"/>
    </row>
    <row r="585" spans="1:12">
      <c r="A585" s="855" t="s">
        <v>579</v>
      </c>
      <c r="B585" s="856"/>
      <c r="C585" s="856"/>
      <c r="D585" s="857"/>
      <c r="E585" s="858"/>
      <c r="F585" s="859"/>
      <c r="G585" s="860"/>
      <c r="H585" s="857"/>
      <c r="I585" s="861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55" t="s">
        <v>565</v>
      </c>
      <c r="B586" s="856"/>
      <c r="C586" s="856"/>
      <c r="D586" s="857"/>
      <c r="E586" s="858"/>
      <c r="F586" s="859"/>
      <c r="G586" s="860"/>
      <c r="H586" s="857"/>
      <c r="I586" s="861"/>
      <c r="J586" s="295"/>
      <c r="K586" s="296">
        <f t="shared" si="10"/>
        <v>0</v>
      </c>
      <c r="L586"/>
    </row>
    <row r="587" spans="1:12">
      <c r="A587" s="855" t="s">
        <v>565</v>
      </c>
      <c r="B587" s="856"/>
      <c r="C587" s="856"/>
      <c r="D587" s="857"/>
      <c r="E587" s="858"/>
      <c r="F587" s="859"/>
      <c r="G587" s="860"/>
      <c r="H587" s="857"/>
      <c r="I587" s="861"/>
      <c r="J587" s="295"/>
      <c r="K587" s="296">
        <f t="shared" si="10"/>
        <v>0</v>
      </c>
      <c r="L587"/>
    </row>
    <row r="588" spans="1:12">
      <c r="A588" s="855" t="s">
        <v>565</v>
      </c>
      <c r="B588" s="856"/>
      <c r="C588" s="856"/>
      <c r="D588" s="857"/>
      <c r="E588" s="858"/>
      <c r="F588" s="859"/>
      <c r="G588" s="860"/>
      <c r="H588" s="857"/>
      <c r="I588" s="861"/>
      <c r="J588" s="295"/>
      <c r="K588" s="296">
        <f t="shared" si="10"/>
        <v>0</v>
      </c>
      <c r="L588"/>
    </row>
    <row r="589" spans="1:12">
      <c r="A589" s="855" t="s">
        <v>579</v>
      </c>
      <c r="B589" s="856"/>
      <c r="C589" s="856"/>
      <c r="D589" s="857"/>
      <c r="E589" s="858"/>
      <c r="F589" s="859"/>
      <c r="G589" s="860"/>
      <c r="H589" s="857"/>
      <c r="I589" s="861"/>
      <c r="J589" s="295"/>
      <c r="K589" s="296">
        <f t="shared" si="10"/>
        <v>0</v>
      </c>
      <c r="L589"/>
    </row>
    <row r="590" spans="1:12">
      <c r="A590" s="855" t="s">
        <v>579</v>
      </c>
      <c r="B590" s="856"/>
      <c r="C590" s="856"/>
      <c r="D590" s="857"/>
      <c r="E590" s="858"/>
      <c r="F590" s="859"/>
      <c r="G590" s="860"/>
      <c r="H590" s="857"/>
      <c r="I590" s="861"/>
      <c r="J590" s="295"/>
      <c r="K590" s="296">
        <f t="shared" si="10"/>
        <v>0</v>
      </c>
      <c r="L590"/>
    </row>
    <row r="591" spans="1:12">
      <c r="A591" s="855" t="s">
        <v>579</v>
      </c>
      <c r="B591" s="856"/>
      <c r="C591" s="856"/>
      <c r="D591" s="857"/>
      <c r="E591" s="858"/>
      <c r="F591" s="859"/>
      <c r="G591" s="860"/>
      <c r="H591" s="857"/>
      <c r="I591" s="861"/>
      <c r="J591" s="295"/>
      <c r="K591" s="296">
        <f t="shared" si="10"/>
        <v>0</v>
      </c>
      <c r="L591"/>
    </row>
    <row r="592" spans="1:12">
      <c r="A592" s="855" t="s">
        <v>579</v>
      </c>
      <c r="B592" s="856"/>
      <c r="C592" s="856"/>
      <c r="D592" s="857"/>
      <c r="E592" s="858"/>
      <c r="F592" s="859"/>
      <c r="G592" s="860"/>
      <c r="H592" s="857"/>
      <c r="I592" s="861"/>
      <c r="J592" s="295"/>
      <c r="K592" s="296">
        <f t="shared" si="10"/>
        <v>0</v>
      </c>
      <c r="L592"/>
    </row>
    <row r="593" spans="1:12">
      <c r="A593" s="855" t="s">
        <v>579</v>
      </c>
      <c r="B593" s="856"/>
      <c r="C593" s="856"/>
      <c r="D593" s="857"/>
      <c r="E593" s="858"/>
      <c r="F593" s="859"/>
      <c r="G593" s="860"/>
      <c r="H593" s="857"/>
      <c r="I593" s="861"/>
      <c r="J593" s="295"/>
      <c r="K593" s="296">
        <f t="shared" si="10"/>
        <v>0</v>
      </c>
      <c r="L593"/>
    </row>
    <row r="594" spans="1:12">
      <c r="A594" s="855" t="s">
        <v>579</v>
      </c>
      <c r="B594" s="856"/>
      <c r="C594" s="856"/>
      <c r="D594" s="857"/>
      <c r="E594" s="858"/>
      <c r="F594" s="859"/>
      <c r="G594" s="860"/>
      <c r="H594" s="857"/>
      <c r="I594" s="861"/>
      <c r="J594" s="295"/>
      <c r="K594" s="296">
        <f t="shared" si="10"/>
        <v>0</v>
      </c>
      <c r="L594"/>
    </row>
    <row r="595" spans="1:12">
      <c r="A595" s="855" t="s">
        <v>579</v>
      </c>
      <c r="B595" s="856"/>
      <c r="C595" s="856"/>
      <c r="D595" s="857"/>
      <c r="E595" s="858"/>
      <c r="F595" s="859"/>
      <c r="G595" s="860"/>
      <c r="H595" s="857"/>
      <c r="I595" s="861"/>
      <c r="J595" s="295"/>
      <c r="K595" s="296">
        <f t="shared" si="10"/>
        <v>0</v>
      </c>
      <c r="L595"/>
    </row>
    <row r="596" spans="1:12">
      <c r="A596" s="855" t="s">
        <v>579</v>
      </c>
      <c r="B596" s="856"/>
      <c r="C596" s="856"/>
      <c r="D596" s="857"/>
      <c r="E596" s="858"/>
      <c r="F596" s="859"/>
      <c r="G596" s="860"/>
      <c r="H596" s="857"/>
      <c r="I596" s="861"/>
      <c r="J596" s="295"/>
      <c r="K596" s="296">
        <f t="shared" si="10"/>
        <v>0</v>
      </c>
      <c r="L596"/>
    </row>
    <row r="597" spans="1:12">
      <c r="A597" s="855" t="s">
        <v>579</v>
      </c>
      <c r="B597" s="856"/>
      <c r="C597" s="856"/>
      <c r="D597" s="857"/>
      <c r="E597" s="858"/>
      <c r="F597" s="859"/>
      <c r="G597" s="860"/>
      <c r="H597" s="857"/>
      <c r="I597" s="861"/>
      <c r="J597" s="295"/>
      <c r="K597" s="296">
        <f t="shared" si="10"/>
        <v>0</v>
      </c>
      <c r="L597"/>
    </row>
    <row r="598" spans="1:12">
      <c r="A598" s="855" t="s">
        <v>579</v>
      </c>
      <c r="B598" s="856"/>
      <c r="C598" s="856"/>
      <c r="D598" s="857"/>
      <c r="E598" s="858"/>
      <c r="F598" s="859"/>
      <c r="G598" s="860"/>
      <c r="H598" s="857"/>
      <c r="I598" s="861"/>
      <c r="J598" s="295"/>
      <c r="K598" s="296">
        <f t="shared" si="10"/>
        <v>0</v>
      </c>
      <c r="L598"/>
    </row>
    <row r="599" spans="1:12">
      <c r="A599" s="855" t="s">
        <v>579</v>
      </c>
      <c r="B599" s="856"/>
      <c r="C599" s="856"/>
      <c r="D599" s="857"/>
      <c r="E599" s="858"/>
      <c r="F599" s="859"/>
      <c r="G599" s="860"/>
      <c r="H599" s="857"/>
      <c r="I599" s="861"/>
      <c r="J599" s="295"/>
      <c r="K599" s="296">
        <f t="shared" si="10"/>
        <v>0</v>
      </c>
      <c r="L599"/>
    </row>
    <row r="600" spans="1:12">
      <c r="A600" s="855" t="s">
        <v>565</v>
      </c>
      <c r="B600" s="856"/>
      <c r="C600" s="856"/>
      <c r="D600" s="857"/>
      <c r="E600" s="858"/>
      <c r="F600" s="859"/>
      <c r="G600" s="860"/>
      <c r="H600" s="857"/>
      <c r="I600" s="861"/>
      <c r="J600" s="295"/>
      <c r="K600" s="296">
        <f t="shared" si="10"/>
        <v>0</v>
      </c>
      <c r="L600"/>
    </row>
    <row r="601" spans="1:12">
      <c r="A601" s="855" t="s">
        <v>565</v>
      </c>
      <c r="B601" s="856"/>
      <c r="C601" s="856"/>
      <c r="D601" s="857"/>
      <c r="E601" s="858"/>
      <c r="F601" s="859"/>
      <c r="G601" s="860"/>
      <c r="H601" s="857"/>
      <c r="I601" s="861"/>
      <c r="J601" s="295"/>
      <c r="K601" s="296">
        <f t="shared" si="10"/>
        <v>0</v>
      </c>
      <c r="L601"/>
    </row>
    <row r="602" spans="1:12">
      <c r="A602" s="855" t="s">
        <v>565</v>
      </c>
      <c r="B602" s="856"/>
      <c r="C602" s="856"/>
      <c r="D602" s="857"/>
      <c r="E602" s="858"/>
      <c r="F602" s="859"/>
      <c r="G602" s="860"/>
      <c r="H602" s="857"/>
      <c r="I602" s="861"/>
      <c r="J602" s="295"/>
      <c r="K602" s="296">
        <f t="shared" si="10"/>
        <v>0</v>
      </c>
      <c r="L602"/>
    </row>
    <row r="603" spans="1:12">
      <c r="A603" s="855" t="s">
        <v>565</v>
      </c>
      <c r="B603" s="856"/>
      <c r="C603" s="856"/>
      <c r="D603" s="857"/>
      <c r="E603" s="858"/>
      <c r="F603" s="859"/>
      <c r="G603" s="860"/>
      <c r="H603" s="857"/>
      <c r="I603" s="861"/>
      <c r="J603" s="295"/>
      <c r="K603" s="296">
        <f t="shared" si="10"/>
        <v>0</v>
      </c>
      <c r="L603"/>
    </row>
    <row r="604" spans="1:12">
      <c r="A604" s="855" t="s">
        <v>565</v>
      </c>
      <c r="B604" s="856"/>
      <c r="C604" s="856"/>
      <c r="D604" s="857"/>
      <c r="E604" s="858"/>
      <c r="F604" s="859"/>
      <c r="G604" s="860"/>
      <c r="H604" s="857"/>
      <c r="I604" s="861"/>
      <c r="J604" s="295"/>
      <c r="K604" s="296">
        <f t="shared" si="10"/>
        <v>0</v>
      </c>
      <c r="L604"/>
    </row>
    <row r="605" spans="1:12">
      <c r="A605" s="855" t="s">
        <v>565</v>
      </c>
      <c r="B605" s="856"/>
      <c r="C605" s="856"/>
      <c r="D605" s="857"/>
      <c r="E605" s="858"/>
      <c r="F605" s="859"/>
      <c r="G605" s="860"/>
      <c r="H605" s="857"/>
      <c r="I605" s="861"/>
      <c r="J605" s="295"/>
      <c r="K605" s="296">
        <f t="shared" si="10"/>
        <v>0</v>
      </c>
      <c r="L605"/>
    </row>
    <row r="606" spans="1:12">
      <c r="A606" s="855" t="s">
        <v>565</v>
      </c>
      <c r="B606" s="856"/>
      <c r="C606" s="856"/>
      <c r="D606" s="857"/>
      <c r="E606" s="858"/>
      <c r="F606" s="859"/>
      <c r="G606" s="860"/>
      <c r="H606" s="857"/>
      <c r="I606" s="861"/>
      <c r="J606" s="295"/>
      <c r="K606" s="296">
        <f t="shared" si="10"/>
        <v>0</v>
      </c>
      <c r="L606"/>
    </row>
    <row r="607" spans="1:12">
      <c r="A607" s="855" t="s">
        <v>565</v>
      </c>
      <c r="B607" s="856"/>
      <c r="C607" s="856"/>
      <c r="D607" s="857"/>
      <c r="E607" s="858"/>
      <c r="F607" s="859"/>
      <c r="G607" s="860"/>
      <c r="H607" s="857"/>
      <c r="I607" s="861"/>
      <c r="J607" s="295"/>
      <c r="K607" s="296">
        <f t="shared" si="10"/>
        <v>0</v>
      </c>
      <c r="L607"/>
    </row>
    <row r="608" spans="1:12">
      <c r="A608" s="855" t="s">
        <v>579</v>
      </c>
      <c r="B608" s="856"/>
      <c r="C608" s="856"/>
      <c r="D608" s="857"/>
      <c r="E608" s="858"/>
      <c r="F608" s="859"/>
      <c r="G608" s="860"/>
      <c r="H608" s="857"/>
      <c r="I608" s="861"/>
      <c r="J608" s="295"/>
      <c r="K608" s="296">
        <f t="shared" si="10"/>
        <v>0</v>
      </c>
      <c r="L608"/>
    </row>
    <row r="609" spans="1:12">
      <c r="A609" s="855" t="s">
        <v>579</v>
      </c>
      <c r="B609" s="856"/>
      <c r="C609" s="856"/>
      <c r="D609" s="857"/>
      <c r="E609" s="858"/>
      <c r="F609" s="859"/>
      <c r="G609" s="860"/>
      <c r="H609" s="857"/>
      <c r="I609" s="861"/>
      <c r="J609" s="295"/>
      <c r="K609" s="296">
        <f t="shared" si="10"/>
        <v>0</v>
      </c>
      <c r="L609"/>
    </row>
    <row r="610" spans="1:12">
      <c r="A610" s="855" t="s">
        <v>579</v>
      </c>
      <c r="B610" s="856"/>
      <c r="C610" s="856"/>
      <c r="D610" s="857"/>
      <c r="E610" s="858"/>
      <c r="F610" s="859"/>
      <c r="G610" s="860"/>
      <c r="H610" s="857"/>
      <c r="I610" s="861"/>
      <c r="J610" s="295"/>
      <c r="K610" s="296">
        <f t="shared" si="10"/>
        <v>0</v>
      </c>
      <c r="L610"/>
    </row>
    <row r="611" spans="1:12">
      <c r="A611" s="855" t="s">
        <v>579</v>
      </c>
      <c r="B611" s="856"/>
      <c r="C611" s="856"/>
      <c r="D611" s="857"/>
      <c r="E611" s="858"/>
      <c r="F611" s="859"/>
      <c r="G611" s="860"/>
      <c r="H611" s="857"/>
      <c r="I611" s="861"/>
      <c r="J611" s="295"/>
      <c r="K611" s="296">
        <f t="shared" si="10"/>
        <v>0</v>
      </c>
      <c r="L611"/>
    </row>
    <row r="612" spans="1:12">
      <c r="A612" s="855" t="s">
        <v>579</v>
      </c>
      <c r="B612" s="856"/>
      <c r="C612" s="856"/>
      <c r="D612" s="857"/>
      <c r="E612" s="858"/>
      <c r="F612" s="859"/>
      <c r="G612" s="860"/>
      <c r="H612" s="857"/>
      <c r="I612" s="861"/>
      <c r="J612" s="295"/>
      <c r="K612" s="296">
        <f t="shared" si="10"/>
        <v>0</v>
      </c>
      <c r="L612"/>
    </row>
    <row r="613" spans="1:12">
      <c r="A613" s="855" t="s">
        <v>579</v>
      </c>
      <c r="B613" s="856"/>
      <c r="C613" s="856"/>
      <c r="D613" s="857"/>
      <c r="E613" s="858"/>
      <c r="F613" s="859"/>
      <c r="G613" s="860"/>
      <c r="H613" s="857"/>
      <c r="I613" s="861"/>
      <c r="J613" s="295"/>
      <c r="K613" s="296">
        <f t="shared" si="10"/>
        <v>0</v>
      </c>
      <c r="L613"/>
    </row>
    <row r="614" spans="1:12">
      <c r="A614" s="855" t="s">
        <v>579</v>
      </c>
      <c r="B614" s="856"/>
      <c r="C614" s="856"/>
      <c r="D614" s="857"/>
      <c r="E614" s="858"/>
      <c r="F614" s="859"/>
      <c r="G614" s="860"/>
      <c r="H614" s="857"/>
      <c r="I614" s="861"/>
      <c r="J614" s="295"/>
      <c r="K614" s="296">
        <f t="shared" si="10"/>
        <v>0</v>
      </c>
      <c r="L614"/>
    </row>
    <row r="615" spans="1:12">
      <c r="A615" s="855" t="s">
        <v>564</v>
      </c>
      <c r="B615" s="856"/>
      <c r="C615" s="856"/>
      <c r="D615" s="857"/>
      <c r="E615" s="858"/>
      <c r="F615" s="859"/>
      <c r="G615" s="860"/>
      <c r="H615" s="857"/>
      <c r="I615" s="861"/>
      <c r="J615" s="295"/>
      <c r="K615" s="296">
        <f t="shared" si="10"/>
        <v>0</v>
      </c>
      <c r="L615"/>
    </row>
    <row r="616" spans="1:12">
      <c r="A616" s="855" t="s">
        <v>564</v>
      </c>
      <c r="B616" s="856"/>
      <c r="C616" s="856"/>
      <c r="D616" s="857"/>
      <c r="E616" s="858"/>
      <c r="F616" s="859"/>
      <c r="G616" s="860"/>
      <c r="H616" s="857"/>
      <c r="I616" s="861"/>
      <c r="J616" s="295"/>
      <c r="K616" s="296">
        <f t="shared" si="10"/>
        <v>0</v>
      </c>
      <c r="L616"/>
    </row>
    <row r="617" spans="1:12">
      <c r="A617" s="855" t="s">
        <v>564</v>
      </c>
      <c r="B617" s="856"/>
      <c r="C617" s="856"/>
      <c r="D617" s="857"/>
      <c r="E617" s="858"/>
      <c r="F617" s="859"/>
      <c r="G617" s="860"/>
      <c r="H617" s="857"/>
      <c r="I617" s="861"/>
      <c r="J617" s="295"/>
      <c r="K617" s="296">
        <f t="shared" si="10"/>
        <v>0</v>
      </c>
      <c r="L617"/>
    </row>
    <row r="618" spans="1:12">
      <c r="A618" s="855" t="s">
        <v>564</v>
      </c>
      <c r="B618" s="856"/>
      <c r="C618" s="856"/>
      <c r="D618" s="857"/>
      <c r="E618" s="858"/>
      <c r="F618" s="859"/>
      <c r="G618" s="860"/>
      <c r="H618" s="857"/>
      <c r="I618" s="861"/>
      <c r="J618" s="295"/>
      <c r="K618" s="296">
        <f t="shared" si="10"/>
        <v>0</v>
      </c>
      <c r="L618"/>
    </row>
    <row r="619" spans="1:12">
      <c r="A619" s="855" t="s">
        <v>565</v>
      </c>
      <c r="B619" s="856"/>
      <c r="C619" s="856"/>
      <c r="D619" s="857"/>
      <c r="E619" s="858"/>
      <c r="F619" s="859"/>
      <c r="G619" s="860"/>
      <c r="H619" s="857"/>
      <c r="I619" s="861"/>
      <c r="J619" s="295"/>
      <c r="K619" s="296">
        <f t="shared" si="10"/>
        <v>0</v>
      </c>
      <c r="L619"/>
    </row>
    <row r="620" spans="1:12">
      <c r="A620" s="855" t="s">
        <v>565</v>
      </c>
      <c r="B620" s="856"/>
      <c r="C620" s="856"/>
      <c r="D620" s="857"/>
      <c r="E620" s="858"/>
      <c r="F620" s="859"/>
      <c r="G620" s="860"/>
      <c r="H620" s="857"/>
      <c r="I620" s="861"/>
      <c r="J620" s="295"/>
      <c r="K620" s="296">
        <f t="shared" si="10"/>
        <v>0</v>
      </c>
      <c r="L620"/>
    </row>
    <row r="621" spans="1:12">
      <c r="A621" s="855" t="s">
        <v>565</v>
      </c>
      <c r="B621" s="856"/>
      <c r="C621" s="856"/>
      <c r="D621" s="857"/>
      <c r="E621" s="858"/>
      <c r="F621" s="859"/>
      <c r="G621" s="860"/>
      <c r="H621" s="857"/>
      <c r="I621" s="861"/>
      <c r="J621" s="295"/>
      <c r="K621" s="296">
        <f t="shared" si="10"/>
        <v>0</v>
      </c>
      <c r="L621"/>
    </row>
    <row r="622" spans="1:12">
      <c r="A622" s="855" t="s">
        <v>565</v>
      </c>
      <c r="B622" s="856"/>
      <c r="C622" s="856"/>
      <c r="D622" s="857"/>
      <c r="E622" s="858"/>
      <c r="F622" s="859"/>
      <c r="G622" s="860"/>
      <c r="H622" s="857"/>
      <c r="I622" s="861"/>
      <c r="J622" s="295"/>
      <c r="K622" s="296">
        <f t="shared" si="10"/>
        <v>0</v>
      </c>
      <c r="L622"/>
    </row>
    <row r="623" spans="1:12">
      <c r="A623" s="855" t="s">
        <v>565</v>
      </c>
      <c r="B623" s="856"/>
      <c r="C623" s="856"/>
      <c r="D623" s="857"/>
      <c r="E623" s="858"/>
      <c r="F623" s="859"/>
      <c r="G623" s="860"/>
      <c r="H623" s="857"/>
      <c r="I623" s="861"/>
      <c r="J623" s="295"/>
      <c r="K623" s="296">
        <f t="shared" si="10"/>
        <v>0</v>
      </c>
      <c r="L623"/>
    </row>
    <row r="624" spans="1:12">
      <c r="A624" s="855" t="s">
        <v>565</v>
      </c>
      <c r="B624" s="856"/>
      <c r="C624" s="856"/>
      <c r="D624" s="857"/>
      <c r="E624" s="858"/>
      <c r="F624" s="859"/>
      <c r="G624" s="860"/>
      <c r="H624" s="857"/>
      <c r="I624" s="861"/>
      <c r="J624" s="295"/>
      <c r="K624" s="296">
        <f t="shared" si="10"/>
        <v>0</v>
      </c>
      <c r="L624"/>
    </row>
    <row r="625" spans="1:12">
      <c r="A625" s="855" t="s">
        <v>565</v>
      </c>
      <c r="B625" s="856"/>
      <c r="C625" s="856"/>
      <c r="D625" s="857"/>
      <c r="E625" s="858"/>
      <c r="F625" s="859"/>
      <c r="G625" s="860"/>
      <c r="H625" s="857"/>
      <c r="I625" s="861"/>
      <c r="J625" s="295"/>
      <c r="K625" s="296">
        <f t="shared" si="10"/>
        <v>0</v>
      </c>
      <c r="L625"/>
    </row>
    <row r="626" spans="1:12">
      <c r="A626" s="855" t="s">
        <v>565</v>
      </c>
      <c r="B626" s="856"/>
      <c r="C626" s="856"/>
      <c r="D626" s="857"/>
      <c r="E626" s="858"/>
      <c r="F626" s="859"/>
      <c r="G626" s="860"/>
      <c r="H626" s="857"/>
      <c r="I626" s="861"/>
      <c r="J626" s="295"/>
      <c r="K626" s="296">
        <f t="shared" si="10"/>
        <v>0</v>
      </c>
      <c r="L626"/>
    </row>
    <row r="627" spans="1:12">
      <c r="A627" s="855" t="s">
        <v>564</v>
      </c>
      <c r="B627" s="856"/>
      <c r="C627" s="856"/>
      <c r="D627" s="857"/>
      <c r="E627" s="858"/>
      <c r="F627" s="859"/>
      <c r="G627" s="860"/>
      <c r="H627" s="857"/>
      <c r="I627" s="861"/>
      <c r="J627" s="295"/>
      <c r="K627" s="296">
        <f t="shared" si="10"/>
        <v>0</v>
      </c>
      <c r="L627"/>
    </row>
    <row r="628" spans="1:12">
      <c r="A628" s="855" t="s">
        <v>564</v>
      </c>
      <c r="B628" s="856"/>
      <c r="C628" s="856"/>
      <c r="D628" s="857"/>
      <c r="E628" s="858"/>
      <c r="F628" s="859"/>
      <c r="G628" s="860"/>
      <c r="H628" s="857"/>
      <c r="I628" s="861"/>
      <c r="J628" s="295"/>
      <c r="K628" s="296">
        <f t="shared" si="10"/>
        <v>0</v>
      </c>
      <c r="L628"/>
    </row>
    <row r="629" spans="1:12">
      <c r="A629" s="855" t="s">
        <v>564</v>
      </c>
      <c r="B629" s="856"/>
      <c r="C629" s="856"/>
      <c r="D629" s="857"/>
      <c r="E629" s="858"/>
      <c r="F629" s="859"/>
      <c r="G629" s="860"/>
      <c r="H629" s="857"/>
      <c r="I629" s="861"/>
      <c r="J629" s="295"/>
      <c r="K629" s="296">
        <f t="shared" si="10"/>
        <v>0</v>
      </c>
      <c r="L629"/>
    </row>
    <row r="630" spans="1:12">
      <c r="A630" s="855" t="s">
        <v>565</v>
      </c>
      <c r="B630" s="856"/>
      <c r="C630" s="856"/>
      <c r="D630" s="857"/>
      <c r="E630" s="858"/>
      <c r="F630" s="859"/>
      <c r="G630" s="860"/>
      <c r="H630" s="857"/>
      <c r="I630" s="861"/>
      <c r="J630" s="295"/>
      <c r="K630" s="296">
        <f t="shared" si="10"/>
        <v>0</v>
      </c>
      <c r="L630"/>
    </row>
    <row r="631" spans="1:12">
      <c r="A631" s="855" t="s">
        <v>564</v>
      </c>
      <c r="B631" s="856"/>
      <c r="C631" s="856"/>
      <c r="D631" s="857"/>
      <c r="E631" s="858"/>
      <c r="F631" s="859"/>
      <c r="G631" s="860"/>
      <c r="H631" s="857"/>
      <c r="I631" s="861"/>
      <c r="J631" s="295"/>
      <c r="K631" s="296">
        <f t="shared" si="10"/>
        <v>0</v>
      </c>
      <c r="L631"/>
    </row>
    <row r="632" spans="1:12">
      <c r="A632" s="855" t="s">
        <v>564</v>
      </c>
      <c r="B632" s="856"/>
      <c r="C632" s="856"/>
      <c r="D632" s="857"/>
      <c r="E632" s="858"/>
      <c r="F632" s="859"/>
      <c r="G632" s="860"/>
      <c r="H632" s="857"/>
      <c r="I632" s="861"/>
      <c r="J632" s="295"/>
      <c r="K632" s="296">
        <f t="shared" si="10"/>
        <v>0</v>
      </c>
      <c r="L632"/>
    </row>
    <row r="633" spans="1:12">
      <c r="A633" s="855" t="s">
        <v>565</v>
      </c>
      <c r="B633" s="856"/>
      <c r="C633" s="856"/>
      <c r="D633" s="857"/>
      <c r="E633" s="858"/>
      <c r="F633" s="859"/>
      <c r="G633" s="860"/>
      <c r="H633" s="857"/>
      <c r="I633" s="861"/>
      <c r="J633" s="295"/>
      <c r="K633" s="296">
        <f t="shared" si="10"/>
        <v>0</v>
      </c>
      <c r="L633"/>
    </row>
    <row r="634" spans="1:12">
      <c r="A634" s="855" t="s">
        <v>565</v>
      </c>
      <c r="B634" s="856"/>
      <c r="C634" s="856"/>
      <c r="D634" s="857"/>
      <c r="E634" s="858"/>
      <c r="F634" s="859"/>
      <c r="G634" s="860"/>
      <c r="H634" s="857"/>
      <c r="I634" s="861"/>
      <c r="J634" s="295"/>
      <c r="K634" s="296">
        <f t="shared" si="10"/>
        <v>0</v>
      </c>
      <c r="L634"/>
    </row>
    <row r="635" spans="1:12">
      <c r="A635" s="855" t="s">
        <v>565</v>
      </c>
      <c r="B635" s="856"/>
      <c r="C635" s="856"/>
      <c r="D635" s="857"/>
      <c r="E635" s="858"/>
      <c r="F635" s="859"/>
      <c r="G635" s="860"/>
      <c r="H635" s="857"/>
      <c r="I635" s="861"/>
      <c r="J635" s="295"/>
      <c r="K635" s="296">
        <f t="shared" si="10"/>
        <v>0</v>
      </c>
      <c r="L635"/>
    </row>
    <row r="636" spans="1:12">
      <c r="A636" s="855" t="s">
        <v>565</v>
      </c>
      <c r="B636" s="856"/>
      <c r="C636" s="856"/>
      <c r="D636" s="857"/>
      <c r="E636" s="858"/>
      <c r="F636" s="859"/>
      <c r="G636" s="860"/>
      <c r="H636" s="857"/>
      <c r="I636" s="861"/>
      <c r="J636" s="295"/>
      <c r="K636" s="296">
        <f t="shared" si="10"/>
        <v>0</v>
      </c>
      <c r="L636"/>
    </row>
    <row r="637" spans="1:12">
      <c r="A637" s="855" t="s">
        <v>565</v>
      </c>
      <c r="B637" s="856"/>
      <c r="C637" s="856"/>
      <c r="D637" s="857"/>
      <c r="E637" s="858"/>
      <c r="F637" s="859"/>
      <c r="G637" s="860"/>
      <c r="H637" s="857"/>
      <c r="I637" s="861"/>
      <c r="J637" s="295"/>
      <c r="K637" s="296">
        <f t="shared" si="10"/>
        <v>0</v>
      </c>
      <c r="L637"/>
    </row>
    <row r="638" spans="1:12">
      <c r="A638" s="855" t="s">
        <v>565</v>
      </c>
      <c r="B638" s="856"/>
      <c r="C638" s="856"/>
      <c r="D638" s="857"/>
      <c r="E638" s="858"/>
      <c r="F638" s="859"/>
      <c r="G638" s="860"/>
      <c r="H638" s="857"/>
      <c r="I638" s="861"/>
      <c r="J638" s="295"/>
      <c r="K638" s="296">
        <f t="shared" si="10"/>
        <v>0</v>
      </c>
      <c r="L638"/>
    </row>
    <row r="639" spans="1:12">
      <c r="A639" s="855" t="s">
        <v>565</v>
      </c>
      <c r="B639" s="856"/>
      <c r="C639" s="856"/>
      <c r="D639" s="857"/>
      <c r="E639" s="858"/>
      <c r="F639" s="859"/>
      <c r="G639" s="860"/>
      <c r="H639" s="857"/>
      <c r="I639" s="861"/>
      <c r="J639" s="295"/>
      <c r="K639" s="296">
        <f t="shared" si="10"/>
        <v>0</v>
      </c>
      <c r="L639"/>
    </row>
    <row r="640" spans="1:12">
      <c r="A640" s="855" t="s">
        <v>565</v>
      </c>
      <c r="B640" s="856"/>
      <c r="C640" s="856"/>
      <c r="D640" s="857"/>
      <c r="E640" s="858"/>
      <c r="F640" s="859"/>
      <c r="G640" s="860"/>
      <c r="H640" s="857"/>
      <c r="I640" s="861"/>
      <c r="J640" s="295"/>
      <c r="K640" s="296">
        <f t="shared" si="10"/>
        <v>0</v>
      </c>
      <c r="L640"/>
    </row>
    <row r="641" spans="1:12">
      <c r="A641" s="855" t="s">
        <v>565</v>
      </c>
      <c r="B641" s="856"/>
      <c r="C641" s="856"/>
      <c r="D641" s="857"/>
      <c r="E641" s="858"/>
      <c r="F641" s="859"/>
      <c r="G641" s="860"/>
      <c r="H641" s="857"/>
      <c r="I641" s="861"/>
      <c r="J641" s="295"/>
      <c r="K641" s="296">
        <f t="shared" si="10"/>
        <v>0</v>
      </c>
      <c r="L641"/>
    </row>
    <row r="642" spans="1:12">
      <c r="A642" s="855" t="s">
        <v>565</v>
      </c>
      <c r="B642" s="856"/>
      <c r="C642" s="856"/>
      <c r="D642" s="857"/>
      <c r="E642" s="858"/>
      <c r="F642" s="859"/>
      <c r="G642" s="860"/>
      <c r="H642" s="857"/>
      <c r="I642" s="861"/>
      <c r="J642" s="295"/>
      <c r="K642" s="296">
        <f t="shared" si="10"/>
        <v>0</v>
      </c>
      <c r="L642"/>
    </row>
    <row r="643" spans="1:12">
      <c r="A643" s="855" t="s">
        <v>565</v>
      </c>
      <c r="B643" s="856"/>
      <c r="C643" s="856"/>
      <c r="D643" s="857"/>
      <c r="E643" s="858"/>
      <c r="F643" s="859"/>
      <c r="G643" s="860"/>
      <c r="H643" s="857"/>
      <c r="I643" s="861"/>
      <c r="J643" s="295"/>
      <c r="K643" s="296">
        <f t="shared" si="10"/>
        <v>0</v>
      </c>
      <c r="L643"/>
    </row>
    <row r="644" spans="1:12">
      <c r="A644" s="855" t="s">
        <v>565</v>
      </c>
      <c r="B644" s="856"/>
      <c r="C644" s="856"/>
      <c r="D644" s="857"/>
      <c r="E644" s="858"/>
      <c r="F644" s="859"/>
      <c r="G644" s="860"/>
      <c r="H644" s="857"/>
      <c r="I644" s="861"/>
      <c r="J644" s="295"/>
      <c r="K644" s="296">
        <f t="shared" si="10"/>
        <v>0</v>
      </c>
      <c r="L644"/>
    </row>
    <row r="645" spans="1:12">
      <c r="A645" s="855" t="s">
        <v>565</v>
      </c>
      <c r="B645" s="856"/>
      <c r="C645" s="856"/>
      <c r="D645" s="857"/>
      <c r="E645" s="858"/>
      <c r="F645" s="859"/>
      <c r="G645" s="860"/>
      <c r="H645" s="857"/>
      <c r="I645" s="861"/>
      <c r="J645" s="295"/>
      <c r="K645" s="296">
        <f t="shared" si="10"/>
        <v>0</v>
      </c>
      <c r="L645"/>
    </row>
    <row r="646" spans="1:12">
      <c r="A646" s="855" t="s">
        <v>565</v>
      </c>
      <c r="B646" s="856"/>
      <c r="C646" s="856"/>
      <c r="D646" s="857"/>
      <c r="E646" s="858"/>
      <c r="F646" s="859"/>
      <c r="G646" s="860"/>
      <c r="H646" s="857"/>
      <c r="I646" s="861"/>
      <c r="J646" s="295"/>
      <c r="K646" s="296">
        <f t="shared" si="10"/>
        <v>0</v>
      </c>
      <c r="L646"/>
    </row>
    <row r="647" spans="1:12">
      <c r="A647" s="855" t="s">
        <v>565</v>
      </c>
      <c r="B647" s="856"/>
      <c r="C647" s="856"/>
      <c r="D647" s="857"/>
      <c r="E647" s="858"/>
      <c r="F647" s="859"/>
      <c r="G647" s="860"/>
      <c r="H647" s="857"/>
      <c r="I647" s="861"/>
      <c r="J647" s="295"/>
      <c r="K647" s="296">
        <f t="shared" si="10"/>
        <v>0</v>
      </c>
      <c r="L647"/>
    </row>
    <row r="648" spans="1:12">
      <c r="A648" s="855" t="s">
        <v>565</v>
      </c>
      <c r="B648" s="856"/>
      <c r="C648" s="856"/>
      <c r="D648" s="857"/>
      <c r="E648" s="858"/>
      <c r="F648" s="859"/>
      <c r="G648" s="860"/>
      <c r="H648" s="857"/>
      <c r="I648" s="861"/>
      <c r="J648" s="295"/>
      <c r="K648" s="296">
        <f t="shared" si="10"/>
        <v>0</v>
      </c>
      <c r="L648"/>
    </row>
    <row r="649" spans="1:12">
      <c r="A649" s="855" t="s">
        <v>565</v>
      </c>
      <c r="B649" s="856"/>
      <c r="C649" s="856"/>
      <c r="D649" s="857"/>
      <c r="E649" s="858"/>
      <c r="F649" s="859"/>
      <c r="G649" s="860"/>
      <c r="H649" s="857"/>
      <c r="I649" s="861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55" t="s">
        <v>565</v>
      </c>
      <c r="B650" s="856"/>
      <c r="C650" s="856"/>
      <c r="D650" s="857"/>
      <c r="E650" s="858"/>
      <c r="F650" s="859"/>
      <c r="G650" s="860"/>
      <c r="H650" s="857"/>
      <c r="I650" s="861"/>
      <c r="J650" s="295"/>
      <c r="K650" s="296">
        <f t="shared" si="11"/>
        <v>0</v>
      </c>
      <c r="L650"/>
    </row>
    <row r="651" spans="1:12">
      <c r="A651" s="855" t="s">
        <v>565</v>
      </c>
      <c r="B651" s="856"/>
      <c r="C651" s="856"/>
      <c r="D651" s="857"/>
      <c r="E651" s="858"/>
      <c r="F651" s="859"/>
      <c r="G651" s="860"/>
      <c r="H651" s="857"/>
      <c r="I651" s="861"/>
      <c r="J651" s="295"/>
      <c r="K651" s="296">
        <f t="shared" si="11"/>
        <v>0</v>
      </c>
      <c r="L651"/>
    </row>
    <row r="652" spans="1:12">
      <c r="A652" s="855" t="s">
        <v>565</v>
      </c>
      <c r="B652" s="856"/>
      <c r="C652" s="856"/>
      <c r="D652" s="857"/>
      <c r="E652" s="858"/>
      <c r="F652" s="859"/>
      <c r="G652" s="860"/>
      <c r="H652" s="857"/>
      <c r="I652" s="861"/>
      <c r="J652" s="295"/>
      <c r="K652" s="296">
        <f t="shared" si="11"/>
        <v>0</v>
      </c>
      <c r="L652"/>
    </row>
    <row r="653" spans="1:12">
      <c r="A653" s="855" t="s">
        <v>565</v>
      </c>
      <c r="B653" s="856"/>
      <c r="C653" s="856"/>
      <c r="D653" s="857"/>
      <c r="E653" s="858"/>
      <c r="F653" s="859"/>
      <c r="G653" s="860"/>
      <c r="H653" s="857"/>
      <c r="I653" s="861"/>
      <c r="J653" s="295"/>
      <c r="K653" s="296">
        <f t="shared" si="11"/>
        <v>0</v>
      </c>
      <c r="L653"/>
    </row>
    <row r="654" spans="1:12">
      <c r="A654" s="855" t="s">
        <v>565</v>
      </c>
      <c r="B654" s="856"/>
      <c r="C654" s="856"/>
      <c r="D654" s="857"/>
      <c r="E654" s="858"/>
      <c r="F654" s="859"/>
      <c r="G654" s="860"/>
      <c r="H654" s="857"/>
      <c r="I654" s="861"/>
      <c r="J654" s="295"/>
      <c r="K654" s="296">
        <f t="shared" si="11"/>
        <v>0</v>
      </c>
      <c r="L654"/>
    </row>
    <row r="655" spans="1:12">
      <c r="A655" s="855" t="s">
        <v>579</v>
      </c>
      <c r="B655" s="856"/>
      <c r="C655" s="856"/>
      <c r="D655" s="857"/>
      <c r="E655" s="858"/>
      <c r="F655" s="859"/>
      <c r="G655" s="860"/>
      <c r="H655" s="857"/>
      <c r="I655" s="861"/>
      <c r="J655" s="295"/>
      <c r="K655" s="296">
        <f t="shared" si="11"/>
        <v>0</v>
      </c>
      <c r="L655"/>
    </row>
    <row r="656" spans="1:12">
      <c r="A656" s="855" t="s">
        <v>579</v>
      </c>
      <c r="B656" s="856"/>
      <c r="C656" s="856"/>
      <c r="D656" s="857"/>
      <c r="E656" s="858"/>
      <c r="F656" s="859"/>
      <c r="G656" s="860"/>
      <c r="H656" s="857"/>
      <c r="I656" s="861"/>
      <c r="J656" s="295"/>
      <c r="K656" s="296">
        <f t="shared" si="11"/>
        <v>0</v>
      </c>
      <c r="L656"/>
    </row>
    <row r="657" spans="1:12">
      <c r="A657" s="855" t="s">
        <v>565</v>
      </c>
      <c r="B657" s="856"/>
      <c r="C657" s="856"/>
      <c r="D657" s="857"/>
      <c r="E657" s="858"/>
      <c r="F657" s="859"/>
      <c r="G657" s="860"/>
      <c r="H657" s="857"/>
      <c r="I657" s="861"/>
      <c r="J657" s="295"/>
      <c r="K657" s="296">
        <f t="shared" si="11"/>
        <v>0</v>
      </c>
      <c r="L657"/>
    </row>
    <row r="658" spans="1:12">
      <c r="A658" s="855" t="s">
        <v>565</v>
      </c>
      <c r="B658" s="856"/>
      <c r="C658" s="856"/>
      <c r="D658" s="857"/>
      <c r="E658" s="858"/>
      <c r="F658" s="859"/>
      <c r="G658" s="860"/>
      <c r="H658" s="857"/>
      <c r="I658" s="861"/>
      <c r="J658" s="295"/>
      <c r="K658" s="296">
        <f t="shared" si="11"/>
        <v>0</v>
      </c>
      <c r="L658"/>
    </row>
    <row r="659" spans="1:12">
      <c r="A659" s="855" t="s">
        <v>565</v>
      </c>
      <c r="B659" s="856"/>
      <c r="C659" s="856"/>
      <c r="D659" s="857"/>
      <c r="E659" s="858"/>
      <c r="F659" s="859"/>
      <c r="G659" s="860"/>
      <c r="H659" s="857"/>
      <c r="I659" s="861"/>
      <c r="J659" s="295"/>
      <c r="K659" s="296">
        <f t="shared" si="11"/>
        <v>0</v>
      </c>
      <c r="L659"/>
    </row>
    <row r="660" spans="1:12">
      <c r="A660" s="855" t="s">
        <v>565</v>
      </c>
      <c r="B660" s="856"/>
      <c r="C660" s="856"/>
      <c r="D660" s="857"/>
      <c r="E660" s="858"/>
      <c r="F660" s="859"/>
      <c r="G660" s="860"/>
      <c r="H660" s="857"/>
      <c r="I660" s="861"/>
      <c r="J660" s="295"/>
      <c r="K660" s="296">
        <f t="shared" si="11"/>
        <v>0</v>
      </c>
      <c r="L660"/>
    </row>
    <row r="661" spans="1:12">
      <c r="A661" s="855" t="s">
        <v>565</v>
      </c>
      <c r="B661" s="856"/>
      <c r="C661" s="856"/>
      <c r="D661" s="857"/>
      <c r="E661" s="858"/>
      <c r="F661" s="859"/>
      <c r="G661" s="860"/>
      <c r="H661" s="857"/>
      <c r="I661" s="861"/>
      <c r="J661" s="295"/>
      <c r="K661" s="296">
        <f t="shared" si="11"/>
        <v>0</v>
      </c>
      <c r="L661"/>
    </row>
    <row r="662" spans="1:12">
      <c r="A662" s="855" t="s">
        <v>565</v>
      </c>
      <c r="B662" s="856"/>
      <c r="C662" s="856"/>
      <c r="D662" s="857"/>
      <c r="E662" s="858"/>
      <c r="F662" s="859"/>
      <c r="G662" s="860"/>
      <c r="H662" s="857"/>
      <c r="I662" s="861"/>
      <c r="J662" s="295"/>
      <c r="K662" s="296">
        <f t="shared" si="11"/>
        <v>0</v>
      </c>
      <c r="L662"/>
    </row>
    <row r="663" spans="1:12">
      <c r="A663" s="855" t="s">
        <v>565</v>
      </c>
      <c r="B663" s="856"/>
      <c r="C663" s="856"/>
      <c r="D663" s="857"/>
      <c r="E663" s="858"/>
      <c r="F663" s="859"/>
      <c r="G663" s="860"/>
      <c r="H663" s="857"/>
      <c r="I663" s="861"/>
      <c r="J663" s="295"/>
      <c r="K663" s="296">
        <f t="shared" si="11"/>
        <v>0</v>
      </c>
      <c r="L663"/>
    </row>
    <row r="664" spans="1:12">
      <c r="A664" s="855" t="s">
        <v>565</v>
      </c>
      <c r="B664" s="856"/>
      <c r="C664" s="856"/>
      <c r="D664" s="857"/>
      <c r="E664" s="858"/>
      <c r="F664" s="859"/>
      <c r="G664" s="860"/>
      <c r="H664" s="857"/>
      <c r="I664" s="861"/>
      <c r="J664" s="295"/>
      <c r="K664" s="296">
        <f t="shared" si="11"/>
        <v>0</v>
      </c>
      <c r="L664"/>
    </row>
    <row r="665" spans="1:12">
      <c r="A665" s="855" t="s">
        <v>579</v>
      </c>
      <c r="B665" s="856"/>
      <c r="C665" s="856"/>
      <c r="D665" s="857"/>
      <c r="E665" s="858"/>
      <c r="F665" s="859"/>
      <c r="G665" s="860"/>
      <c r="H665" s="857"/>
      <c r="I665" s="861"/>
      <c r="J665" s="295"/>
      <c r="K665" s="296">
        <f t="shared" si="11"/>
        <v>0</v>
      </c>
      <c r="L665"/>
    </row>
    <row r="666" spans="1:12">
      <c r="A666" s="855" t="s">
        <v>579</v>
      </c>
      <c r="B666" s="856"/>
      <c r="C666" s="856"/>
      <c r="D666" s="857"/>
      <c r="E666" s="858"/>
      <c r="F666" s="859"/>
      <c r="G666" s="860"/>
      <c r="H666" s="857"/>
      <c r="I666" s="861"/>
      <c r="J666" s="295"/>
      <c r="K666" s="296">
        <f t="shared" si="11"/>
        <v>0</v>
      </c>
      <c r="L666"/>
    </row>
    <row r="667" spans="1:12">
      <c r="A667" s="855" t="s">
        <v>565</v>
      </c>
      <c r="B667" s="856"/>
      <c r="C667" s="856"/>
      <c r="D667" s="857"/>
      <c r="E667" s="858"/>
      <c r="F667" s="859"/>
      <c r="G667" s="860"/>
      <c r="H667" s="857"/>
      <c r="I667" s="861"/>
      <c r="J667" s="295"/>
      <c r="K667" s="296">
        <f t="shared" si="11"/>
        <v>0</v>
      </c>
      <c r="L667"/>
    </row>
    <row r="668" spans="1:12">
      <c r="A668" s="855" t="s">
        <v>565</v>
      </c>
      <c r="B668" s="856"/>
      <c r="C668" s="856"/>
      <c r="D668" s="857"/>
      <c r="E668" s="858"/>
      <c r="F668" s="859"/>
      <c r="G668" s="860"/>
      <c r="H668" s="857"/>
      <c r="I668" s="861"/>
      <c r="J668" s="295"/>
      <c r="K668" s="296">
        <f t="shared" si="11"/>
        <v>0</v>
      </c>
      <c r="L668"/>
    </row>
    <row r="669" spans="1:12">
      <c r="A669" s="855" t="s">
        <v>565</v>
      </c>
      <c r="B669" s="856"/>
      <c r="C669" s="856"/>
      <c r="D669" s="857"/>
      <c r="E669" s="858"/>
      <c r="F669" s="859"/>
      <c r="G669" s="860"/>
      <c r="H669" s="857"/>
      <c r="I669" s="861"/>
      <c r="J669" s="295"/>
      <c r="K669" s="296">
        <f t="shared" si="11"/>
        <v>0</v>
      </c>
      <c r="L669"/>
    </row>
    <row r="670" spans="1:12">
      <c r="A670" s="855" t="s">
        <v>565</v>
      </c>
      <c r="B670" s="856"/>
      <c r="C670" s="856"/>
      <c r="D670" s="857"/>
      <c r="E670" s="858"/>
      <c r="F670" s="859"/>
      <c r="G670" s="860"/>
      <c r="H670" s="857"/>
      <c r="I670" s="861"/>
      <c r="J670" s="295"/>
      <c r="K670" s="296">
        <f t="shared" si="11"/>
        <v>0</v>
      </c>
      <c r="L670"/>
    </row>
    <row r="671" spans="1:12">
      <c r="A671" s="855" t="s">
        <v>565</v>
      </c>
      <c r="B671" s="856"/>
      <c r="C671" s="856"/>
      <c r="D671" s="857"/>
      <c r="E671" s="858"/>
      <c r="F671" s="859"/>
      <c r="G671" s="860"/>
      <c r="H671" s="857"/>
      <c r="I671" s="861"/>
      <c r="J671" s="295"/>
      <c r="K671" s="296">
        <f t="shared" si="11"/>
        <v>0</v>
      </c>
      <c r="L671"/>
    </row>
    <row r="672" spans="1:12">
      <c r="A672" s="855" t="s">
        <v>565</v>
      </c>
      <c r="B672" s="856"/>
      <c r="C672" s="856"/>
      <c r="D672" s="857"/>
      <c r="E672" s="858"/>
      <c r="F672" s="859"/>
      <c r="G672" s="860"/>
      <c r="H672" s="857"/>
      <c r="I672" s="861"/>
      <c r="J672" s="295"/>
      <c r="K672" s="296">
        <f t="shared" si="11"/>
        <v>0</v>
      </c>
      <c r="L672"/>
    </row>
    <row r="673" spans="1:12">
      <c r="A673" s="855" t="s">
        <v>565</v>
      </c>
      <c r="B673" s="856"/>
      <c r="C673" s="856"/>
      <c r="D673" s="857"/>
      <c r="E673" s="858"/>
      <c r="F673" s="859"/>
      <c r="G673" s="860"/>
      <c r="H673" s="857"/>
      <c r="I673" s="861"/>
      <c r="J673" s="295"/>
      <c r="K673" s="296">
        <f t="shared" si="11"/>
        <v>0</v>
      </c>
      <c r="L673"/>
    </row>
    <row r="674" spans="1:12">
      <c r="A674" s="855" t="s">
        <v>565</v>
      </c>
      <c r="B674" s="856"/>
      <c r="C674" s="856"/>
      <c r="D674" s="857"/>
      <c r="E674" s="858"/>
      <c r="F674" s="859"/>
      <c r="G674" s="860"/>
      <c r="H674" s="857"/>
      <c r="I674" s="861"/>
      <c r="J674" s="295"/>
      <c r="K674" s="296">
        <f t="shared" si="11"/>
        <v>0</v>
      </c>
      <c r="L674"/>
    </row>
    <row r="675" spans="1:12">
      <c r="A675" s="855" t="s">
        <v>565</v>
      </c>
      <c r="B675" s="856"/>
      <c r="C675" s="856"/>
      <c r="D675" s="857"/>
      <c r="E675" s="858"/>
      <c r="F675" s="859"/>
      <c r="G675" s="860"/>
      <c r="H675" s="857"/>
      <c r="I675" s="861"/>
      <c r="J675" s="295"/>
      <c r="K675" s="296">
        <f t="shared" si="11"/>
        <v>0</v>
      </c>
      <c r="L675"/>
    </row>
    <row r="676" spans="1:12">
      <c r="A676" s="855" t="s">
        <v>579</v>
      </c>
      <c r="B676" s="856"/>
      <c r="C676" s="856"/>
      <c r="D676" s="857"/>
      <c r="E676" s="858"/>
      <c r="F676" s="859"/>
      <c r="G676" s="860"/>
      <c r="H676" s="857"/>
      <c r="I676" s="861"/>
      <c r="J676" s="295"/>
      <c r="K676" s="296">
        <f t="shared" si="11"/>
        <v>0</v>
      </c>
      <c r="L676"/>
    </row>
    <row r="677" spans="1:12">
      <c r="A677" s="855" t="s">
        <v>579</v>
      </c>
      <c r="B677" s="856"/>
      <c r="C677" s="856"/>
      <c r="D677" s="857"/>
      <c r="E677" s="858"/>
      <c r="F677" s="859"/>
      <c r="G677" s="860"/>
      <c r="H677" s="857"/>
      <c r="I677" s="861"/>
      <c r="J677" s="295"/>
      <c r="K677" s="296">
        <f t="shared" si="11"/>
        <v>0</v>
      </c>
      <c r="L677"/>
    </row>
    <row r="678" spans="1:12">
      <c r="A678" s="855" t="s">
        <v>565</v>
      </c>
      <c r="B678" s="856"/>
      <c r="C678" s="856"/>
      <c r="D678" s="857"/>
      <c r="E678" s="858"/>
      <c r="F678" s="859"/>
      <c r="G678" s="860"/>
      <c r="H678" s="857"/>
      <c r="I678" s="861"/>
      <c r="J678" s="295"/>
      <c r="K678" s="296">
        <f t="shared" si="11"/>
        <v>0</v>
      </c>
      <c r="L678"/>
    </row>
    <row r="679" spans="1:12">
      <c r="A679" s="855" t="s">
        <v>579</v>
      </c>
      <c r="B679" s="856"/>
      <c r="C679" s="856"/>
      <c r="D679" s="857"/>
      <c r="E679" s="858"/>
      <c r="F679" s="859"/>
      <c r="G679" s="860"/>
      <c r="H679" s="857"/>
      <c r="I679" s="861"/>
      <c r="J679" s="295"/>
      <c r="K679" s="296">
        <f t="shared" si="11"/>
        <v>0</v>
      </c>
      <c r="L679"/>
    </row>
    <row r="680" spans="1:12">
      <c r="A680" s="855" t="s">
        <v>579</v>
      </c>
      <c r="B680" s="856"/>
      <c r="C680" s="856"/>
      <c r="D680" s="857"/>
      <c r="E680" s="858"/>
      <c r="F680" s="859"/>
      <c r="G680" s="860"/>
      <c r="H680" s="857"/>
      <c r="I680" s="861"/>
      <c r="J680" s="295"/>
      <c r="K680" s="296">
        <f t="shared" si="11"/>
        <v>0</v>
      </c>
      <c r="L680"/>
    </row>
    <row r="681" spans="1:12">
      <c r="A681" s="855" t="s">
        <v>579</v>
      </c>
      <c r="B681" s="856"/>
      <c r="C681" s="856"/>
      <c r="D681" s="857"/>
      <c r="E681" s="858"/>
      <c r="F681" s="859"/>
      <c r="G681" s="860"/>
      <c r="H681" s="857"/>
      <c r="I681" s="861"/>
      <c r="J681" s="295"/>
      <c r="K681" s="296">
        <f t="shared" si="11"/>
        <v>0</v>
      </c>
      <c r="L681"/>
    </row>
    <row r="682" spans="1:12">
      <c r="A682" s="855" t="s">
        <v>579</v>
      </c>
      <c r="B682" s="856"/>
      <c r="C682" s="856"/>
      <c r="D682" s="857"/>
      <c r="E682" s="858"/>
      <c r="F682" s="859"/>
      <c r="G682" s="860"/>
      <c r="H682" s="857"/>
      <c r="I682" s="861"/>
      <c r="J682" s="295"/>
      <c r="K682" s="296">
        <f t="shared" si="11"/>
        <v>0</v>
      </c>
      <c r="L682"/>
    </row>
    <row r="683" spans="1:12">
      <c r="A683" s="855" t="s">
        <v>579</v>
      </c>
      <c r="B683" s="856"/>
      <c r="C683" s="856"/>
      <c r="D683" s="857"/>
      <c r="E683" s="858"/>
      <c r="F683" s="859"/>
      <c r="G683" s="860"/>
      <c r="H683" s="857"/>
      <c r="I683" s="861"/>
      <c r="J683" s="295"/>
      <c r="K683" s="296">
        <f t="shared" si="11"/>
        <v>0</v>
      </c>
      <c r="L683"/>
    </row>
    <row r="684" spans="1:12">
      <c r="A684" s="855" t="s">
        <v>579</v>
      </c>
      <c r="B684" s="856"/>
      <c r="C684" s="856"/>
      <c r="D684" s="857"/>
      <c r="E684" s="858"/>
      <c r="F684" s="859"/>
      <c r="G684" s="860"/>
      <c r="H684" s="857"/>
      <c r="I684" s="861"/>
      <c r="J684" s="295"/>
      <c r="K684" s="296">
        <f t="shared" si="11"/>
        <v>0</v>
      </c>
      <c r="L684"/>
    </row>
    <row r="685" spans="1:12">
      <c r="A685" s="855" t="s">
        <v>579</v>
      </c>
      <c r="B685" s="856"/>
      <c r="C685" s="856"/>
      <c r="D685" s="857"/>
      <c r="E685" s="858"/>
      <c r="F685" s="859"/>
      <c r="G685" s="860"/>
      <c r="H685" s="857"/>
      <c r="I685" s="861"/>
      <c r="J685" s="295"/>
      <c r="K685" s="296">
        <f t="shared" si="11"/>
        <v>0</v>
      </c>
      <c r="L685"/>
    </row>
    <row r="686" spans="1:12">
      <c r="A686" s="855" t="s">
        <v>579</v>
      </c>
      <c r="B686" s="856"/>
      <c r="C686" s="856"/>
      <c r="D686" s="857"/>
      <c r="E686" s="858"/>
      <c r="F686" s="859"/>
      <c r="G686" s="860"/>
      <c r="H686" s="857"/>
      <c r="I686" s="861"/>
      <c r="J686" s="295"/>
      <c r="K686" s="296">
        <f t="shared" si="11"/>
        <v>0</v>
      </c>
      <c r="L686"/>
    </row>
    <row r="687" spans="1:12">
      <c r="A687" s="855" t="s">
        <v>579</v>
      </c>
      <c r="B687" s="856"/>
      <c r="C687" s="856"/>
      <c r="D687" s="857"/>
      <c r="E687" s="858"/>
      <c r="F687" s="859"/>
      <c r="G687" s="860"/>
      <c r="H687" s="857"/>
      <c r="I687" s="861"/>
      <c r="J687" s="295"/>
      <c r="K687" s="296">
        <f t="shared" si="11"/>
        <v>0</v>
      </c>
      <c r="L687"/>
    </row>
    <row r="688" spans="1:12">
      <c r="A688" s="855" t="s">
        <v>579</v>
      </c>
      <c r="B688" s="856"/>
      <c r="C688" s="856"/>
      <c r="D688" s="857"/>
      <c r="E688" s="858"/>
      <c r="F688" s="859"/>
      <c r="G688" s="860"/>
      <c r="H688" s="857"/>
      <c r="I688" s="861"/>
      <c r="J688" s="295"/>
      <c r="K688" s="296">
        <f t="shared" si="11"/>
        <v>0</v>
      </c>
      <c r="L688"/>
    </row>
    <row r="689" spans="1:12">
      <c r="A689" s="855" t="s">
        <v>579</v>
      </c>
      <c r="B689" s="856"/>
      <c r="C689" s="856"/>
      <c r="D689" s="857"/>
      <c r="E689" s="858"/>
      <c r="F689" s="859"/>
      <c r="G689" s="860"/>
      <c r="H689" s="857"/>
      <c r="I689" s="861"/>
      <c r="J689" s="295"/>
      <c r="K689" s="296">
        <f t="shared" si="11"/>
        <v>0</v>
      </c>
      <c r="L689"/>
    </row>
    <row r="690" spans="1:12">
      <c r="A690" s="855" t="s">
        <v>579</v>
      </c>
      <c r="B690" s="856"/>
      <c r="C690" s="856"/>
      <c r="D690" s="857"/>
      <c r="E690" s="858"/>
      <c r="F690" s="859"/>
      <c r="G690" s="860"/>
      <c r="H690" s="857"/>
      <c r="I690" s="861"/>
      <c r="J690" s="295"/>
      <c r="K690" s="296">
        <f t="shared" si="11"/>
        <v>0</v>
      </c>
      <c r="L690"/>
    </row>
    <row r="691" spans="1:12">
      <c r="A691" s="855" t="s">
        <v>579</v>
      </c>
      <c r="B691" s="856"/>
      <c r="C691" s="856"/>
      <c r="D691" s="857"/>
      <c r="E691" s="858"/>
      <c r="F691" s="859"/>
      <c r="G691" s="860"/>
      <c r="H691" s="857"/>
      <c r="I691" s="861"/>
      <c r="J691" s="295"/>
      <c r="K691" s="296">
        <f t="shared" si="11"/>
        <v>0</v>
      </c>
      <c r="L691"/>
    </row>
    <row r="692" spans="1:12">
      <c r="A692" s="855" t="s">
        <v>579</v>
      </c>
      <c r="B692" s="856"/>
      <c r="C692" s="856"/>
      <c r="D692" s="857"/>
      <c r="E692" s="858"/>
      <c r="F692" s="859"/>
      <c r="G692" s="860"/>
      <c r="H692" s="857"/>
      <c r="I692" s="861"/>
      <c r="J692" s="295"/>
      <c r="K692" s="296">
        <f t="shared" si="11"/>
        <v>0</v>
      </c>
      <c r="L692"/>
    </row>
    <row r="693" spans="1:12">
      <c r="A693" s="855" t="s">
        <v>579</v>
      </c>
      <c r="B693" s="856"/>
      <c r="C693" s="856"/>
      <c r="D693" s="857"/>
      <c r="E693" s="858"/>
      <c r="F693" s="859"/>
      <c r="G693" s="860"/>
      <c r="H693" s="857"/>
      <c r="I693" s="861"/>
      <c r="J693" s="295"/>
      <c r="K693" s="296">
        <f t="shared" si="11"/>
        <v>0</v>
      </c>
      <c r="L693"/>
    </row>
    <row r="694" spans="1:12">
      <c r="A694" s="855" t="s">
        <v>579</v>
      </c>
      <c r="B694" s="856"/>
      <c r="C694" s="856"/>
      <c r="D694" s="857"/>
      <c r="E694" s="858"/>
      <c r="F694" s="859"/>
      <c r="G694" s="860"/>
      <c r="H694" s="857"/>
      <c r="I694" s="861"/>
      <c r="J694" s="295"/>
      <c r="K694" s="296">
        <f t="shared" si="11"/>
        <v>0</v>
      </c>
      <c r="L694"/>
    </row>
    <row r="695" spans="1:12">
      <c r="A695" s="855" t="s">
        <v>579</v>
      </c>
      <c r="B695" s="856"/>
      <c r="C695" s="856"/>
      <c r="D695" s="857"/>
      <c r="E695" s="858"/>
      <c r="F695" s="859"/>
      <c r="G695" s="860"/>
      <c r="H695" s="857"/>
      <c r="I695" s="861"/>
      <c r="J695" s="295"/>
      <c r="K695" s="296">
        <f t="shared" si="11"/>
        <v>0</v>
      </c>
      <c r="L695"/>
    </row>
    <row r="696" spans="1:12">
      <c r="A696" s="855" t="s">
        <v>579</v>
      </c>
      <c r="B696" s="856"/>
      <c r="C696" s="856"/>
      <c r="D696" s="857"/>
      <c r="E696" s="858"/>
      <c r="F696" s="859"/>
      <c r="G696" s="860"/>
      <c r="H696" s="857"/>
      <c r="I696" s="861"/>
      <c r="J696" s="295"/>
      <c r="K696" s="296">
        <f t="shared" si="11"/>
        <v>0</v>
      </c>
      <c r="L696"/>
    </row>
    <row r="697" spans="1:12">
      <c r="A697" s="855" t="s">
        <v>579</v>
      </c>
      <c r="B697" s="856"/>
      <c r="C697" s="856"/>
      <c r="D697" s="857"/>
      <c r="E697" s="858"/>
      <c r="F697" s="859"/>
      <c r="G697" s="860"/>
      <c r="H697" s="857"/>
      <c r="I697" s="861"/>
      <c r="J697" s="295"/>
      <c r="K697" s="296">
        <f t="shared" si="11"/>
        <v>0</v>
      </c>
      <c r="L697"/>
    </row>
    <row r="698" spans="1:12">
      <c r="A698" s="855" t="s">
        <v>579</v>
      </c>
      <c r="B698" s="856"/>
      <c r="C698" s="856"/>
      <c r="D698" s="857"/>
      <c r="E698" s="858"/>
      <c r="F698" s="859"/>
      <c r="G698" s="860"/>
      <c r="H698" s="857"/>
      <c r="I698" s="861"/>
      <c r="J698" s="295"/>
      <c r="K698" s="296">
        <f t="shared" si="11"/>
        <v>0</v>
      </c>
      <c r="L698"/>
    </row>
    <row r="699" spans="1:12">
      <c r="A699" s="855" t="s">
        <v>579</v>
      </c>
      <c r="B699" s="856"/>
      <c r="C699" s="856"/>
      <c r="D699" s="857"/>
      <c r="E699" s="858"/>
      <c r="F699" s="859"/>
      <c r="G699" s="860"/>
      <c r="H699" s="857"/>
      <c r="I699" s="861"/>
      <c r="J699" s="295"/>
      <c r="K699" s="296">
        <f t="shared" si="11"/>
        <v>0</v>
      </c>
      <c r="L699"/>
    </row>
    <row r="700" spans="1:12">
      <c r="A700" s="855" t="s">
        <v>579</v>
      </c>
      <c r="B700" s="856"/>
      <c r="C700" s="856"/>
      <c r="D700" s="857"/>
      <c r="E700" s="858"/>
      <c r="F700" s="859"/>
      <c r="G700" s="860"/>
      <c r="H700" s="857"/>
      <c r="I700" s="861"/>
      <c r="J700" s="295"/>
      <c r="K700" s="296">
        <f t="shared" si="11"/>
        <v>0</v>
      </c>
      <c r="L700"/>
    </row>
    <row r="701" spans="1:12">
      <c r="A701" s="855" t="s">
        <v>579</v>
      </c>
      <c r="B701" s="856"/>
      <c r="C701" s="856"/>
      <c r="D701" s="857"/>
      <c r="E701" s="858"/>
      <c r="F701" s="859"/>
      <c r="G701" s="860"/>
      <c r="H701" s="857"/>
      <c r="I701" s="861"/>
      <c r="J701" s="295"/>
      <c r="K701" s="296">
        <f t="shared" si="11"/>
        <v>0</v>
      </c>
      <c r="L701"/>
    </row>
    <row r="702" spans="1:12">
      <c r="A702" s="855" t="s">
        <v>579</v>
      </c>
      <c r="B702" s="856"/>
      <c r="C702" s="856"/>
      <c r="D702" s="857"/>
      <c r="E702" s="858"/>
      <c r="F702" s="859"/>
      <c r="G702" s="860"/>
      <c r="H702" s="857"/>
      <c r="I702" s="861"/>
      <c r="J702" s="295"/>
      <c r="K702" s="296">
        <f t="shared" si="11"/>
        <v>0</v>
      </c>
      <c r="L702"/>
    </row>
    <row r="703" spans="1:12">
      <c r="A703" s="855" t="s">
        <v>565</v>
      </c>
      <c r="B703" s="856"/>
      <c r="C703" s="856"/>
      <c r="D703" s="857"/>
      <c r="E703" s="858"/>
      <c r="F703" s="859"/>
      <c r="G703" s="860"/>
      <c r="H703" s="857"/>
      <c r="I703" s="861"/>
      <c r="J703" s="295"/>
      <c r="K703" s="296">
        <f t="shared" si="11"/>
        <v>0</v>
      </c>
      <c r="L703"/>
    </row>
    <row r="704" spans="1:12">
      <c r="A704" s="855" t="s">
        <v>565</v>
      </c>
      <c r="B704" s="856"/>
      <c r="C704" s="856"/>
      <c r="D704" s="857"/>
      <c r="E704" s="858"/>
      <c r="F704" s="859"/>
      <c r="G704" s="860"/>
      <c r="H704" s="857"/>
      <c r="I704" s="861"/>
      <c r="J704" s="295"/>
      <c r="K704" s="296">
        <f t="shared" si="11"/>
        <v>0</v>
      </c>
      <c r="L704"/>
    </row>
    <row r="705" spans="1:12">
      <c r="A705" s="855" t="s">
        <v>565</v>
      </c>
      <c r="B705" s="856"/>
      <c r="C705" s="856"/>
      <c r="D705" s="857"/>
      <c r="E705" s="858"/>
      <c r="F705" s="859"/>
      <c r="G705" s="860"/>
      <c r="H705" s="857"/>
      <c r="I705" s="861"/>
      <c r="J705" s="295"/>
      <c r="K705" s="296">
        <f t="shared" si="11"/>
        <v>0</v>
      </c>
      <c r="L705"/>
    </row>
    <row r="706" spans="1:12">
      <c r="A706" s="855" t="s">
        <v>565</v>
      </c>
      <c r="B706" s="856"/>
      <c r="C706" s="856"/>
      <c r="D706" s="857"/>
      <c r="E706" s="858"/>
      <c r="F706" s="859"/>
      <c r="G706" s="860"/>
      <c r="H706" s="857"/>
      <c r="I706" s="861"/>
      <c r="J706" s="295"/>
      <c r="K706" s="296">
        <f t="shared" si="11"/>
        <v>0</v>
      </c>
      <c r="L706"/>
    </row>
    <row r="707" spans="1:12">
      <c r="A707" s="855" t="s">
        <v>565</v>
      </c>
      <c r="B707" s="856"/>
      <c r="C707" s="856"/>
      <c r="D707" s="857"/>
      <c r="E707" s="858"/>
      <c r="F707" s="859"/>
      <c r="G707" s="860"/>
      <c r="H707" s="857"/>
      <c r="I707" s="861"/>
      <c r="J707" s="295"/>
      <c r="K707" s="296">
        <f t="shared" si="11"/>
        <v>0</v>
      </c>
      <c r="L707"/>
    </row>
    <row r="708" spans="1:12">
      <c r="A708" s="855" t="s">
        <v>565</v>
      </c>
      <c r="B708" s="856"/>
      <c r="C708" s="856"/>
      <c r="D708" s="857"/>
      <c r="E708" s="858"/>
      <c r="F708" s="859"/>
      <c r="G708" s="860"/>
      <c r="H708" s="857"/>
      <c r="I708" s="861"/>
      <c r="J708" s="295"/>
      <c r="K708" s="296">
        <f t="shared" si="11"/>
        <v>0</v>
      </c>
      <c r="L708"/>
    </row>
    <row r="709" spans="1:12">
      <c r="A709" s="855" t="s">
        <v>565</v>
      </c>
      <c r="B709" s="856"/>
      <c r="C709" s="856"/>
      <c r="D709" s="857"/>
      <c r="E709" s="858"/>
      <c r="F709" s="859"/>
      <c r="G709" s="860"/>
      <c r="H709" s="857"/>
      <c r="I709" s="861"/>
      <c r="J709" s="295"/>
      <c r="K709" s="296">
        <f t="shared" si="11"/>
        <v>0</v>
      </c>
      <c r="L709"/>
    </row>
    <row r="710" spans="1:12">
      <c r="A710" s="855" t="s">
        <v>565</v>
      </c>
      <c r="B710" s="856"/>
      <c r="C710" s="856"/>
      <c r="D710" s="857"/>
      <c r="E710" s="858"/>
      <c r="F710" s="859"/>
      <c r="G710" s="860"/>
      <c r="H710" s="857"/>
      <c r="I710" s="861"/>
      <c r="J710" s="295"/>
      <c r="K710" s="296">
        <f t="shared" si="11"/>
        <v>0</v>
      </c>
      <c r="L710"/>
    </row>
    <row r="711" spans="1:12">
      <c r="A711" s="855" t="s">
        <v>565</v>
      </c>
      <c r="B711" s="856"/>
      <c r="C711" s="856"/>
      <c r="D711" s="857"/>
      <c r="E711" s="858"/>
      <c r="F711" s="859"/>
      <c r="G711" s="860"/>
      <c r="H711" s="857"/>
      <c r="I711" s="861"/>
      <c r="J711" s="295"/>
      <c r="K711" s="296">
        <f t="shared" si="11"/>
        <v>0</v>
      </c>
      <c r="L711"/>
    </row>
    <row r="712" spans="1:12">
      <c r="A712" s="855" t="s">
        <v>565</v>
      </c>
      <c r="B712" s="856"/>
      <c r="C712" s="856"/>
      <c r="D712" s="857"/>
      <c r="E712" s="858"/>
      <c r="F712" s="859"/>
      <c r="G712" s="860"/>
      <c r="H712" s="857"/>
      <c r="I712" s="861"/>
      <c r="J712" s="295"/>
      <c r="K712" s="296">
        <f t="shared" si="11"/>
        <v>0</v>
      </c>
      <c r="L712"/>
    </row>
    <row r="713" spans="1:12">
      <c r="A713" s="855" t="s">
        <v>565</v>
      </c>
      <c r="B713" s="856"/>
      <c r="C713" s="856"/>
      <c r="D713" s="857"/>
      <c r="E713" s="858"/>
      <c r="F713" s="859"/>
      <c r="G713" s="860"/>
      <c r="H713" s="857"/>
      <c r="I713" s="861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55" t="s">
        <v>586</v>
      </c>
      <c r="B714" s="856"/>
      <c r="C714" s="856"/>
      <c r="D714" s="857"/>
      <c r="E714" s="858"/>
      <c r="F714" s="859"/>
      <c r="G714" s="860"/>
      <c r="H714" s="857"/>
      <c r="I714" s="861"/>
      <c r="J714" s="295"/>
      <c r="K714" s="296">
        <f t="shared" si="12"/>
        <v>0</v>
      </c>
      <c r="L714"/>
    </row>
    <row r="715" spans="1:12">
      <c r="A715" s="855" t="s">
        <v>579</v>
      </c>
      <c r="B715" s="856"/>
      <c r="C715" s="856"/>
      <c r="D715" s="857"/>
      <c r="E715" s="858"/>
      <c r="F715" s="859"/>
      <c r="G715" s="860"/>
      <c r="H715" s="857"/>
      <c r="I715" s="861"/>
      <c r="J715" s="295"/>
      <c r="K715" s="296">
        <f t="shared" si="12"/>
        <v>0</v>
      </c>
      <c r="L715"/>
    </row>
    <row r="716" spans="1:12">
      <c r="A716" s="855" t="s">
        <v>579</v>
      </c>
      <c r="B716" s="856"/>
      <c r="C716" s="856"/>
      <c r="D716" s="857"/>
      <c r="E716" s="858"/>
      <c r="F716" s="859"/>
      <c r="G716" s="860"/>
      <c r="H716" s="857"/>
      <c r="I716" s="861"/>
      <c r="J716" s="295"/>
      <c r="K716" s="296">
        <f t="shared" si="12"/>
        <v>0</v>
      </c>
      <c r="L716"/>
    </row>
    <row r="717" spans="1:12">
      <c r="A717" s="855" t="s">
        <v>579</v>
      </c>
      <c r="B717" s="856"/>
      <c r="C717" s="856"/>
      <c r="D717" s="857"/>
      <c r="E717" s="858"/>
      <c r="F717" s="859"/>
      <c r="G717" s="860"/>
      <c r="H717" s="857"/>
      <c r="I717" s="861"/>
      <c r="J717" s="295"/>
      <c r="K717" s="296">
        <f t="shared" si="12"/>
        <v>0</v>
      </c>
      <c r="L717"/>
    </row>
    <row r="718" spans="1:12">
      <c r="A718" s="855" t="s">
        <v>565</v>
      </c>
      <c r="B718" s="856"/>
      <c r="C718" s="856"/>
      <c r="D718" s="857"/>
      <c r="E718" s="858"/>
      <c r="F718" s="859"/>
      <c r="G718" s="860"/>
      <c r="H718" s="857"/>
      <c r="I718" s="861"/>
      <c r="J718" s="295"/>
      <c r="K718" s="296">
        <f t="shared" si="12"/>
        <v>0</v>
      </c>
      <c r="L718"/>
    </row>
    <row r="719" spans="1:12">
      <c r="A719" s="855" t="s">
        <v>565</v>
      </c>
      <c r="B719" s="856"/>
      <c r="C719" s="856"/>
      <c r="D719" s="857"/>
      <c r="E719" s="858"/>
      <c r="F719" s="859"/>
      <c r="G719" s="860"/>
      <c r="H719" s="857"/>
      <c r="I719" s="861"/>
      <c r="J719" s="295"/>
      <c r="K719" s="296">
        <f t="shared" si="12"/>
        <v>0</v>
      </c>
      <c r="L719"/>
    </row>
    <row r="720" spans="1:12">
      <c r="A720" s="855" t="s">
        <v>579</v>
      </c>
      <c r="B720" s="856"/>
      <c r="C720" s="856"/>
      <c r="D720" s="857"/>
      <c r="E720" s="858"/>
      <c r="F720" s="859"/>
      <c r="G720" s="860"/>
      <c r="H720" s="857"/>
      <c r="I720" s="861"/>
      <c r="J720" s="295"/>
      <c r="K720" s="296">
        <f t="shared" si="12"/>
        <v>0</v>
      </c>
      <c r="L720"/>
    </row>
    <row r="721" spans="1:12">
      <c r="A721" s="855" t="s">
        <v>565</v>
      </c>
      <c r="B721" s="856"/>
      <c r="C721" s="856"/>
      <c r="D721" s="857"/>
      <c r="E721" s="858"/>
      <c r="F721" s="859"/>
      <c r="G721" s="860"/>
      <c r="H721" s="857"/>
      <c r="I721" s="861"/>
      <c r="J721" s="295"/>
      <c r="K721" s="296">
        <f t="shared" si="12"/>
        <v>0</v>
      </c>
      <c r="L721"/>
    </row>
    <row r="722" spans="1:12">
      <c r="A722" s="855" t="s">
        <v>565</v>
      </c>
      <c r="B722" s="856"/>
      <c r="C722" s="856"/>
      <c r="D722" s="857"/>
      <c r="E722" s="858"/>
      <c r="F722" s="859"/>
      <c r="G722" s="860"/>
      <c r="H722" s="857"/>
      <c r="I722" s="861"/>
      <c r="J722" s="295"/>
      <c r="K722" s="296">
        <f t="shared" si="12"/>
        <v>0</v>
      </c>
      <c r="L722"/>
    </row>
    <row r="723" spans="1:12">
      <c r="A723" s="855" t="s">
        <v>565</v>
      </c>
      <c r="B723" s="856"/>
      <c r="C723" s="856"/>
      <c r="D723" s="857"/>
      <c r="E723" s="858"/>
      <c r="F723" s="859"/>
      <c r="G723" s="860"/>
      <c r="H723" s="857"/>
      <c r="I723" s="861"/>
      <c r="J723" s="295"/>
      <c r="K723" s="296">
        <f t="shared" si="12"/>
        <v>0</v>
      </c>
      <c r="L723"/>
    </row>
    <row r="724" spans="1:12">
      <c r="A724" s="855" t="s">
        <v>565</v>
      </c>
      <c r="B724" s="856"/>
      <c r="C724" s="856"/>
      <c r="D724" s="857"/>
      <c r="E724" s="858"/>
      <c r="F724" s="859"/>
      <c r="G724" s="860"/>
      <c r="H724" s="857"/>
      <c r="I724" s="861"/>
      <c r="J724" s="295"/>
      <c r="K724" s="296">
        <f t="shared" si="12"/>
        <v>0</v>
      </c>
      <c r="L724"/>
    </row>
    <row r="725" spans="1:12">
      <c r="A725" s="855" t="s">
        <v>565</v>
      </c>
      <c r="B725" s="856"/>
      <c r="C725" s="856"/>
      <c r="D725" s="857"/>
      <c r="E725" s="858"/>
      <c r="F725" s="859"/>
      <c r="G725" s="860"/>
      <c r="H725" s="857"/>
      <c r="I725" s="861"/>
      <c r="J725" s="295"/>
      <c r="K725" s="296">
        <f t="shared" si="12"/>
        <v>0</v>
      </c>
      <c r="L725"/>
    </row>
    <row r="726" spans="1:12">
      <c r="A726" s="855" t="s">
        <v>565</v>
      </c>
      <c r="B726" s="856"/>
      <c r="C726" s="856"/>
      <c r="D726" s="857"/>
      <c r="E726" s="858"/>
      <c r="F726" s="859"/>
      <c r="G726" s="860"/>
      <c r="H726" s="857"/>
      <c r="I726" s="861"/>
      <c r="J726" s="295"/>
      <c r="K726" s="296">
        <f t="shared" si="12"/>
        <v>0</v>
      </c>
      <c r="L726"/>
    </row>
    <row r="727" spans="1:12">
      <c r="A727" s="855" t="s">
        <v>565</v>
      </c>
      <c r="B727" s="856"/>
      <c r="C727" s="856"/>
      <c r="D727" s="857"/>
      <c r="E727" s="858"/>
      <c r="F727" s="859"/>
      <c r="G727" s="860"/>
      <c r="H727" s="857"/>
      <c r="I727" s="861"/>
      <c r="J727" s="295"/>
      <c r="K727" s="296">
        <f t="shared" si="12"/>
        <v>0</v>
      </c>
      <c r="L727"/>
    </row>
    <row r="728" spans="1:12">
      <c r="A728" s="855" t="s">
        <v>565</v>
      </c>
      <c r="B728" s="856"/>
      <c r="C728" s="856"/>
      <c r="D728" s="857"/>
      <c r="E728" s="858"/>
      <c r="F728" s="859"/>
      <c r="G728" s="860"/>
      <c r="H728" s="857"/>
      <c r="I728" s="861"/>
      <c r="J728" s="295"/>
      <c r="K728" s="296">
        <f t="shared" si="12"/>
        <v>0</v>
      </c>
      <c r="L728"/>
    </row>
    <row r="729" spans="1:12">
      <c r="A729" s="855" t="s">
        <v>565</v>
      </c>
      <c r="B729" s="856"/>
      <c r="C729" s="856"/>
      <c r="D729" s="857"/>
      <c r="E729" s="858"/>
      <c r="F729" s="859"/>
      <c r="G729" s="860"/>
      <c r="H729" s="857"/>
      <c r="I729" s="861"/>
      <c r="J729" s="295"/>
      <c r="K729" s="296">
        <f t="shared" si="12"/>
        <v>0</v>
      </c>
      <c r="L729"/>
    </row>
    <row r="730" spans="1:12">
      <c r="A730" s="855" t="s">
        <v>565</v>
      </c>
      <c r="B730" s="856"/>
      <c r="C730" s="856"/>
      <c r="D730" s="857"/>
      <c r="E730" s="858"/>
      <c r="F730" s="859"/>
      <c r="G730" s="860"/>
      <c r="H730" s="857"/>
      <c r="I730" s="861"/>
      <c r="J730" s="295"/>
      <c r="K730" s="296">
        <f t="shared" si="12"/>
        <v>0</v>
      </c>
      <c r="L730"/>
    </row>
    <row r="731" spans="1:12">
      <c r="A731" s="855" t="s">
        <v>579</v>
      </c>
      <c r="B731" s="856"/>
      <c r="C731" s="856"/>
      <c r="D731" s="857"/>
      <c r="E731" s="858"/>
      <c r="F731" s="859"/>
      <c r="G731" s="860"/>
      <c r="H731" s="857"/>
      <c r="I731" s="861"/>
      <c r="J731" s="295"/>
      <c r="K731" s="296">
        <f t="shared" si="12"/>
        <v>0</v>
      </c>
      <c r="L731"/>
    </row>
    <row r="732" spans="1:12">
      <c r="A732" s="855" t="s">
        <v>579</v>
      </c>
      <c r="B732" s="856"/>
      <c r="C732" s="856"/>
      <c r="D732" s="857"/>
      <c r="E732" s="858"/>
      <c r="F732" s="859"/>
      <c r="G732" s="860"/>
      <c r="H732" s="857"/>
      <c r="I732" s="861"/>
      <c r="J732" s="295"/>
      <c r="K732" s="296">
        <f t="shared" si="12"/>
        <v>0</v>
      </c>
      <c r="L732"/>
    </row>
    <row r="733" spans="1:12">
      <c r="A733" s="855" t="s">
        <v>579</v>
      </c>
      <c r="B733" s="856"/>
      <c r="C733" s="856"/>
      <c r="D733" s="857"/>
      <c r="E733" s="858"/>
      <c r="F733" s="859"/>
      <c r="G733" s="860"/>
      <c r="H733" s="857"/>
      <c r="I733" s="861"/>
      <c r="J733" s="295"/>
      <c r="K733" s="296">
        <f t="shared" si="12"/>
        <v>0</v>
      </c>
      <c r="L733"/>
    </row>
    <row r="734" spans="1:12">
      <c r="A734" s="855" t="s">
        <v>579</v>
      </c>
      <c r="B734" s="856"/>
      <c r="C734" s="856"/>
      <c r="D734" s="857"/>
      <c r="E734" s="858"/>
      <c r="F734" s="859"/>
      <c r="G734" s="860"/>
      <c r="H734" s="857"/>
      <c r="I734" s="861"/>
      <c r="J734" s="295"/>
      <c r="K734" s="296">
        <f t="shared" si="12"/>
        <v>0</v>
      </c>
      <c r="L734"/>
    </row>
    <row r="735" spans="1:12">
      <c r="A735" s="855" t="s">
        <v>579</v>
      </c>
      <c r="B735" s="856"/>
      <c r="C735" s="856"/>
      <c r="D735" s="857"/>
      <c r="E735" s="858"/>
      <c r="F735" s="859"/>
      <c r="G735" s="860"/>
      <c r="H735" s="857"/>
      <c r="I735" s="861"/>
      <c r="J735" s="295"/>
      <c r="K735" s="296">
        <f t="shared" si="12"/>
        <v>0</v>
      </c>
      <c r="L735"/>
    </row>
    <row r="736" spans="1:12">
      <c r="A736" s="855" t="s">
        <v>579</v>
      </c>
      <c r="B736" s="856"/>
      <c r="C736" s="856"/>
      <c r="D736" s="857"/>
      <c r="E736" s="858"/>
      <c r="F736" s="859"/>
      <c r="G736" s="860"/>
      <c r="H736" s="857"/>
      <c r="I736" s="861"/>
      <c r="J736" s="295"/>
      <c r="K736" s="296">
        <f t="shared" si="12"/>
        <v>0</v>
      </c>
      <c r="L736"/>
    </row>
    <row r="737" spans="1:12">
      <c r="A737" s="855" t="s">
        <v>565</v>
      </c>
      <c r="B737" s="856"/>
      <c r="C737" s="856"/>
      <c r="D737" s="857"/>
      <c r="E737" s="858"/>
      <c r="F737" s="859"/>
      <c r="G737" s="860"/>
      <c r="H737" s="857"/>
      <c r="I737" s="861"/>
      <c r="J737" s="295"/>
      <c r="K737" s="296">
        <f t="shared" si="12"/>
        <v>0</v>
      </c>
      <c r="L737"/>
    </row>
    <row r="738" spans="1:12">
      <c r="A738" s="855" t="s">
        <v>579</v>
      </c>
      <c r="B738" s="856"/>
      <c r="C738" s="856"/>
      <c r="D738" s="857"/>
      <c r="E738" s="858"/>
      <c r="F738" s="859"/>
      <c r="G738" s="860"/>
      <c r="H738" s="857"/>
      <c r="I738" s="861"/>
      <c r="J738" s="295"/>
      <c r="K738" s="296">
        <f t="shared" si="12"/>
        <v>0</v>
      </c>
      <c r="L738"/>
    </row>
    <row r="739" spans="1:12">
      <c r="A739" s="855" t="s">
        <v>579</v>
      </c>
      <c r="B739" s="856"/>
      <c r="C739" s="856"/>
      <c r="D739" s="857"/>
      <c r="E739" s="858"/>
      <c r="F739" s="859"/>
      <c r="G739" s="860"/>
      <c r="H739" s="857"/>
      <c r="I739" s="861"/>
      <c r="J739" s="295"/>
      <c r="K739" s="296">
        <f t="shared" si="12"/>
        <v>0</v>
      </c>
      <c r="L739"/>
    </row>
    <row r="740" spans="1:12">
      <c r="A740" s="855" t="s">
        <v>565</v>
      </c>
      <c r="B740" s="856"/>
      <c r="C740" s="856"/>
      <c r="D740" s="857"/>
      <c r="E740" s="858"/>
      <c r="F740" s="859"/>
      <c r="G740" s="860"/>
      <c r="H740" s="857"/>
      <c r="I740" s="861"/>
      <c r="J740" s="295"/>
      <c r="K740" s="296">
        <f t="shared" si="12"/>
        <v>0</v>
      </c>
      <c r="L740"/>
    </row>
    <row r="741" spans="1:12">
      <c r="A741" s="855" t="s">
        <v>565</v>
      </c>
      <c r="B741" s="856"/>
      <c r="C741" s="856"/>
      <c r="D741" s="857"/>
      <c r="E741" s="858"/>
      <c r="F741" s="859"/>
      <c r="G741" s="860"/>
      <c r="H741" s="857"/>
      <c r="I741" s="861"/>
      <c r="J741" s="295"/>
      <c r="K741" s="296">
        <f t="shared" si="12"/>
        <v>0</v>
      </c>
      <c r="L741"/>
    </row>
    <row r="742" spans="1:12">
      <c r="A742" s="855" t="s">
        <v>565</v>
      </c>
      <c r="B742" s="856"/>
      <c r="C742" s="856"/>
      <c r="D742" s="857"/>
      <c r="E742" s="858"/>
      <c r="F742" s="859"/>
      <c r="G742" s="860"/>
      <c r="H742" s="857"/>
      <c r="I742" s="861"/>
      <c r="J742" s="295"/>
      <c r="K742" s="296">
        <f t="shared" si="12"/>
        <v>0</v>
      </c>
      <c r="L742"/>
    </row>
    <row r="743" spans="1:12">
      <c r="A743" s="855" t="s">
        <v>579</v>
      </c>
      <c r="B743" s="856"/>
      <c r="C743" s="856"/>
      <c r="D743" s="857"/>
      <c r="E743" s="858"/>
      <c r="F743" s="859"/>
      <c r="G743" s="860"/>
      <c r="H743" s="857"/>
      <c r="I743" s="861"/>
      <c r="J743" s="295"/>
      <c r="K743" s="296">
        <f t="shared" si="12"/>
        <v>0</v>
      </c>
      <c r="L743"/>
    </row>
    <row r="744" spans="1:12">
      <c r="A744" s="855" t="s">
        <v>579</v>
      </c>
      <c r="B744" s="856"/>
      <c r="C744" s="856"/>
      <c r="D744" s="857"/>
      <c r="E744" s="858"/>
      <c r="F744" s="859"/>
      <c r="G744" s="860"/>
      <c r="H744" s="857"/>
      <c r="I744" s="861"/>
      <c r="J744" s="295"/>
      <c r="K744" s="296">
        <f t="shared" si="12"/>
        <v>0</v>
      </c>
      <c r="L744"/>
    </row>
    <row r="745" spans="1:12">
      <c r="A745" s="855" t="s">
        <v>579</v>
      </c>
      <c r="B745" s="856"/>
      <c r="C745" s="856"/>
      <c r="D745" s="857"/>
      <c r="E745" s="858"/>
      <c r="F745" s="859"/>
      <c r="G745" s="860"/>
      <c r="H745" s="857"/>
      <c r="I745" s="861"/>
      <c r="J745" s="295"/>
      <c r="K745" s="296">
        <f t="shared" si="12"/>
        <v>0</v>
      </c>
      <c r="L745"/>
    </row>
    <row r="746" spans="1:12">
      <c r="A746" s="855" t="s">
        <v>579</v>
      </c>
      <c r="B746" s="856"/>
      <c r="C746" s="856"/>
      <c r="D746" s="857"/>
      <c r="E746" s="858"/>
      <c r="F746" s="859"/>
      <c r="G746" s="860"/>
      <c r="H746" s="857"/>
      <c r="I746" s="861"/>
      <c r="J746" s="295"/>
      <c r="K746" s="296">
        <f t="shared" si="12"/>
        <v>0</v>
      </c>
      <c r="L746"/>
    </row>
    <row r="747" spans="1:12">
      <c r="A747" s="855" t="s">
        <v>579</v>
      </c>
      <c r="B747" s="856"/>
      <c r="C747" s="856"/>
      <c r="D747" s="857"/>
      <c r="E747" s="858"/>
      <c r="F747" s="859"/>
      <c r="G747" s="860"/>
      <c r="H747" s="857"/>
      <c r="I747" s="861"/>
      <c r="J747" s="295"/>
      <c r="K747" s="296">
        <f t="shared" si="12"/>
        <v>0</v>
      </c>
      <c r="L747"/>
    </row>
    <row r="748" spans="1:12">
      <c r="A748" s="855" t="s">
        <v>579</v>
      </c>
      <c r="B748" s="856"/>
      <c r="C748" s="856"/>
      <c r="D748" s="857"/>
      <c r="E748" s="858"/>
      <c r="F748" s="859"/>
      <c r="G748" s="860"/>
      <c r="H748" s="857"/>
      <c r="I748" s="861"/>
      <c r="J748" s="295"/>
      <c r="K748" s="296">
        <f t="shared" si="12"/>
        <v>0</v>
      </c>
      <c r="L748"/>
    </row>
    <row r="749" spans="1:12">
      <c r="A749" s="855" t="s">
        <v>579</v>
      </c>
      <c r="B749" s="856"/>
      <c r="C749" s="856"/>
      <c r="D749" s="857"/>
      <c r="E749" s="858"/>
      <c r="F749" s="859"/>
      <c r="G749" s="860"/>
      <c r="H749" s="857"/>
      <c r="I749" s="861"/>
      <c r="J749" s="295"/>
      <c r="K749" s="296">
        <f t="shared" si="12"/>
        <v>0</v>
      </c>
      <c r="L749"/>
    </row>
    <row r="750" spans="1:12">
      <c r="A750" s="855" t="s">
        <v>579</v>
      </c>
      <c r="B750" s="856"/>
      <c r="C750" s="856"/>
      <c r="D750" s="857"/>
      <c r="E750" s="858"/>
      <c r="F750" s="859"/>
      <c r="G750" s="860"/>
      <c r="H750" s="857"/>
      <c r="I750" s="861"/>
      <c r="J750" s="295"/>
      <c r="K750" s="296">
        <f t="shared" si="12"/>
        <v>0</v>
      </c>
      <c r="L750"/>
    </row>
    <row r="751" spans="1:12">
      <c r="A751" s="855" t="s">
        <v>579</v>
      </c>
      <c r="B751" s="856"/>
      <c r="C751" s="856"/>
      <c r="D751" s="857"/>
      <c r="E751" s="858"/>
      <c r="F751" s="859"/>
      <c r="G751" s="860"/>
      <c r="H751" s="857"/>
      <c r="I751" s="861"/>
      <c r="J751" s="295"/>
      <c r="K751" s="296">
        <f t="shared" si="12"/>
        <v>0</v>
      </c>
      <c r="L751"/>
    </row>
    <row r="752" spans="1:12">
      <c r="A752" s="855" t="s">
        <v>579</v>
      </c>
      <c r="B752" s="856"/>
      <c r="C752" s="856"/>
      <c r="D752" s="857"/>
      <c r="E752" s="858"/>
      <c r="F752" s="859"/>
      <c r="G752" s="860"/>
      <c r="H752" s="857"/>
      <c r="I752" s="861"/>
      <c r="J752" s="295"/>
      <c r="K752" s="296">
        <f t="shared" si="12"/>
        <v>0</v>
      </c>
      <c r="L752"/>
    </row>
    <row r="753" spans="1:12">
      <c r="A753" s="855" t="s">
        <v>579</v>
      </c>
      <c r="B753" s="856"/>
      <c r="C753" s="856"/>
      <c r="D753" s="857"/>
      <c r="E753" s="858"/>
      <c r="F753" s="859"/>
      <c r="G753" s="860"/>
      <c r="H753" s="857"/>
      <c r="I753" s="861"/>
      <c r="J753" s="295"/>
      <c r="K753" s="296">
        <f t="shared" si="12"/>
        <v>0</v>
      </c>
      <c r="L753"/>
    </row>
    <row r="754" spans="1:12">
      <c r="A754" s="855" t="s">
        <v>579</v>
      </c>
      <c r="B754" s="856"/>
      <c r="C754" s="856"/>
      <c r="D754" s="857"/>
      <c r="E754" s="858"/>
      <c r="F754" s="859"/>
      <c r="G754" s="860"/>
      <c r="H754" s="857"/>
      <c r="I754" s="861"/>
      <c r="J754" s="295"/>
      <c r="K754" s="296">
        <f t="shared" si="12"/>
        <v>0</v>
      </c>
      <c r="L754"/>
    </row>
    <row r="755" spans="1:12">
      <c r="A755" s="855" t="s">
        <v>579</v>
      </c>
      <c r="B755" s="856"/>
      <c r="C755" s="856"/>
      <c r="D755" s="857"/>
      <c r="E755" s="858"/>
      <c r="F755" s="859"/>
      <c r="G755" s="860"/>
      <c r="H755" s="857"/>
      <c r="I755" s="861"/>
      <c r="J755" s="295"/>
      <c r="K755" s="296">
        <f t="shared" si="12"/>
        <v>0</v>
      </c>
      <c r="L755"/>
    </row>
    <row r="756" spans="1:12">
      <c r="A756" s="855" t="s">
        <v>579</v>
      </c>
      <c r="B756" s="856"/>
      <c r="C756" s="856"/>
      <c r="D756" s="857"/>
      <c r="E756" s="858"/>
      <c r="F756" s="859"/>
      <c r="G756" s="860"/>
      <c r="H756" s="857"/>
      <c r="I756" s="861"/>
      <c r="J756" s="295"/>
      <c r="K756" s="296">
        <f t="shared" si="12"/>
        <v>0</v>
      </c>
      <c r="L756"/>
    </row>
    <row r="757" spans="1:12">
      <c r="A757" s="855" t="s">
        <v>579</v>
      </c>
      <c r="B757" s="856"/>
      <c r="C757" s="856"/>
      <c r="D757" s="857"/>
      <c r="E757" s="858"/>
      <c r="F757" s="859"/>
      <c r="G757" s="860"/>
      <c r="H757" s="857"/>
      <c r="I757" s="861"/>
      <c r="J757" s="295"/>
      <c r="K757" s="296">
        <f t="shared" si="12"/>
        <v>0</v>
      </c>
      <c r="L757"/>
    </row>
    <row r="758" spans="1:12">
      <c r="A758" s="855" t="s">
        <v>588</v>
      </c>
      <c r="B758" s="856"/>
      <c r="C758" s="856"/>
      <c r="D758" s="857"/>
      <c r="E758" s="858"/>
      <c r="F758" s="859"/>
      <c r="G758" s="860"/>
      <c r="H758" s="857"/>
      <c r="I758" s="861"/>
      <c r="J758" s="295"/>
      <c r="K758" s="296">
        <f t="shared" si="12"/>
        <v>0</v>
      </c>
      <c r="L758"/>
    </row>
    <row r="759" spans="1:12">
      <c r="A759" s="855" t="s">
        <v>588</v>
      </c>
      <c r="B759" s="856"/>
      <c r="C759" s="856"/>
      <c r="D759" s="857"/>
      <c r="E759" s="858"/>
      <c r="F759" s="859"/>
      <c r="G759" s="860"/>
      <c r="H759" s="857"/>
      <c r="I759" s="861"/>
      <c r="J759" s="295"/>
      <c r="K759" s="296">
        <f t="shared" si="12"/>
        <v>0</v>
      </c>
      <c r="L759"/>
    </row>
    <row r="760" spans="1:12">
      <c r="A760" s="855" t="s">
        <v>588</v>
      </c>
      <c r="B760" s="856"/>
      <c r="C760" s="856"/>
      <c r="D760" s="857"/>
      <c r="E760" s="858"/>
      <c r="F760" s="859"/>
      <c r="G760" s="860"/>
      <c r="H760" s="857"/>
      <c r="I760" s="861"/>
      <c r="J760" s="295"/>
      <c r="K760" s="296">
        <f t="shared" si="12"/>
        <v>0</v>
      </c>
      <c r="L760"/>
    </row>
    <row r="761" spans="1:12">
      <c r="A761" s="855" t="s">
        <v>588</v>
      </c>
      <c r="B761" s="856"/>
      <c r="C761" s="856"/>
      <c r="D761" s="857"/>
      <c r="E761" s="858"/>
      <c r="F761" s="859"/>
      <c r="G761" s="860"/>
      <c r="H761" s="857"/>
      <c r="I761" s="861"/>
      <c r="J761" s="295"/>
      <c r="K761" s="296">
        <f t="shared" si="12"/>
        <v>0</v>
      </c>
      <c r="L761"/>
    </row>
    <row r="762" spans="1:12">
      <c r="A762" s="855" t="s">
        <v>590</v>
      </c>
      <c r="B762" s="856"/>
      <c r="C762" s="856"/>
      <c r="D762" s="857"/>
      <c r="E762" s="858"/>
      <c r="F762" s="859"/>
      <c r="G762" s="860"/>
      <c r="H762" s="857"/>
      <c r="I762" s="861"/>
      <c r="J762" s="295"/>
      <c r="K762" s="296">
        <f t="shared" si="12"/>
        <v>0</v>
      </c>
      <c r="L762"/>
    </row>
    <row r="763" spans="1:12">
      <c r="A763" s="855" t="s">
        <v>590</v>
      </c>
      <c r="B763" s="856"/>
      <c r="C763" s="856"/>
      <c r="D763" s="857"/>
      <c r="E763" s="858"/>
      <c r="F763" s="859"/>
      <c r="G763" s="860"/>
      <c r="H763" s="857"/>
      <c r="I763" s="861"/>
      <c r="J763" s="295"/>
      <c r="K763" s="296">
        <f t="shared" si="12"/>
        <v>0</v>
      </c>
      <c r="L763"/>
    </row>
    <row r="764" spans="1:12">
      <c r="A764" s="855" t="s">
        <v>590</v>
      </c>
      <c r="B764" s="856"/>
      <c r="C764" s="856"/>
      <c r="D764" s="857"/>
      <c r="E764" s="858"/>
      <c r="F764" s="859"/>
      <c r="G764" s="860"/>
      <c r="H764" s="857"/>
      <c r="I764" s="861"/>
      <c r="J764" s="295"/>
      <c r="K764" s="296">
        <f t="shared" si="12"/>
        <v>0</v>
      </c>
      <c r="L764"/>
    </row>
    <row r="765" spans="1:12">
      <c r="A765" s="855" t="s">
        <v>590</v>
      </c>
      <c r="B765" s="856"/>
      <c r="C765" s="856"/>
      <c r="D765" s="857"/>
      <c r="E765" s="858"/>
      <c r="F765" s="859"/>
      <c r="G765" s="860"/>
      <c r="H765" s="857"/>
      <c r="I765" s="861"/>
      <c r="J765" s="295"/>
      <c r="K765" s="296">
        <f t="shared" si="12"/>
        <v>0</v>
      </c>
      <c r="L765"/>
    </row>
    <row r="766" spans="1:12">
      <c r="A766" s="855" t="s">
        <v>590</v>
      </c>
      <c r="B766" s="856"/>
      <c r="C766" s="856"/>
      <c r="D766" s="857"/>
      <c r="E766" s="858"/>
      <c r="F766" s="859"/>
      <c r="G766" s="860"/>
      <c r="H766" s="857"/>
      <c r="I766" s="861"/>
      <c r="J766" s="295"/>
      <c r="K766" s="296">
        <f t="shared" si="12"/>
        <v>0</v>
      </c>
      <c r="L766"/>
    </row>
    <row r="767" spans="1:12">
      <c r="A767" s="855" t="s">
        <v>590</v>
      </c>
      <c r="B767" s="856"/>
      <c r="C767" s="856"/>
      <c r="D767" s="857"/>
      <c r="E767" s="858"/>
      <c r="F767" s="859"/>
      <c r="G767" s="860"/>
      <c r="H767" s="857"/>
      <c r="I767" s="861"/>
      <c r="J767" s="295"/>
      <c r="K767" s="296">
        <f t="shared" si="12"/>
        <v>0</v>
      </c>
      <c r="L767"/>
    </row>
    <row r="768" spans="1:12">
      <c r="A768" s="855" t="s">
        <v>590</v>
      </c>
      <c r="B768" s="856"/>
      <c r="C768" s="856"/>
      <c r="D768" s="857"/>
      <c r="E768" s="858"/>
      <c r="F768" s="859"/>
      <c r="G768" s="860"/>
      <c r="H768" s="857"/>
      <c r="I768" s="861"/>
      <c r="J768" s="295"/>
      <c r="K768" s="296">
        <f t="shared" si="12"/>
        <v>0</v>
      </c>
      <c r="L768"/>
    </row>
    <row r="769" spans="1:12">
      <c r="A769" s="855" t="s">
        <v>590</v>
      </c>
      <c r="B769" s="856"/>
      <c r="C769" s="856"/>
      <c r="D769" s="857"/>
      <c r="E769" s="858"/>
      <c r="F769" s="859"/>
      <c r="G769" s="860"/>
      <c r="H769" s="857"/>
      <c r="I769" s="861"/>
      <c r="J769" s="295"/>
      <c r="K769" s="296">
        <f t="shared" si="12"/>
        <v>0</v>
      </c>
      <c r="L769"/>
    </row>
    <row r="770" spans="1:12">
      <c r="A770" s="855" t="s">
        <v>590</v>
      </c>
      <c r="B770" s="856"/>
      <c r="C770" s="856"/>
      <c r="D770" s="857"/>
      <c r="E770" s="858"/>
      <c r="F770" s="859"/>
      <c r="G770" s="860"/>
      <c r="H770" s="857"/>
      <c r="I770" s="861"/>
      <c r="J770" s="295"/>
      <c r="K770" s="296">
        <f t="shared" si="12"/>
        <v>0</v>
      </c>
      <c r="L770"/>
    </row>
    <row r="771" spans="1:12">
      <c r="A771" s="855" t="s">
        <v>590</v>
      </c>
      <c r="B771" s="856"/>
      <c r="C771" s="856"/>
      <c r="D771" s="857"/>
      <c r="E771" s="858"/>
      <c r="F771" s="859"/>
      <c r="G771" s="860"/>
      <c r="H771" s="857"/>
      <c r="I771" s="861"/>
      <c r="J771" s="295"/>
      <c r="K771" s="296">
        <f t="shared" si="12"/>
        <v>0</v>
      </c>
      <c r="L771"/>
    </row>
    <row r="772" spans="1:12">
      <c r="A772" s="855" t="s">
        <v>590</v>
      </c>
      <c r="B772" s="856"/>
      <c r="C772" s="856"/>
      <c r="D772" s="857"/>
      <c r="E772" s="858"/>
      <c r="F772" s="859"/>
      <c r="G772" s="860"/>
      <c r="H772" s="857"/>
      <c r="I772" s="861"/>
      <c r="J772" s="295"/>
      <c r="K772" s="296">
        <f t="shared" si="12"/>
        <v>0</v>
      </c>
      <c r="L772"/>
    </row>
    <row r="773" spans="1:12">
      <c r="A773" s="855" t="s">
        <v>590</v>
      </c>
      <c r="B773" s="856"/>
      <c r="C773" s="856"/>
      <c r="D773" s="857"/>
      <c r="E773" s="858"/>
      <c r="F773" s="859"/>
      <c r="G773" s="860"/>
      <c r="H773" s="857"/>
      <c r="I773" s="861"/>
      <c r="J773" s="295"/>
      <c r="K773" s="296">
        <f t="shared" si="12"/>
        <v>0</v>
      </c>
      <c r="L773"/>
    </row>
    <row r="774" spans="1:12">
      <c r="A774" s="855" t="s">
        <v>590</v>
      </c>
      <c r="B774" s="856"/>
      <c r="C774" s="856"/>
      <c r="D774" s="857"/>
      <c r="E774" s="858"/>
      <c r="F774" s="859"/>
      <c r="G774" s="860"/>
      <c r="H774" s="857"/>
      <c r="I774" s="861"/>
      <c r="J774" s="295"/>
      <c r="K774" s="296">
        <f t="shared" si="12"/>
        <v>0</v>
      </c>
      <c r="L774"/>
    </row>
    <row r="775" spans="1:12">
      <c r="A775" s="855" t="s">
        <v>590</v>
      </c>
      <c r="B775" s="856"/>
      <c r="C775" s="856"/>
      <c r="D775" s="857"/>
      <c r="E775" s="858"/>
      <c r="F775" s="859"/>
      <c r="G775" s="860"/>
      <c r="H775" s="857"/>
      <c r="I775" s="861"/>
      <c r="J775" s="295"/>
      <c r="K775" s="296">
        <f t="shared" si="12"/>
        <v>0</v>
      </c>
      <c r="L775"/>
    </row>
    <row r="776" spans="1:12">
      <c r="A776" s="855" t="s">
        <v>588</v>
      </c>
      <c r="B776" s="856"/>
      <c r="C776" s="856"/>
      <c r="D776" s="857"/>
      <c r="E776" s="858"/>
      <c r="F776" s="859"/>
      <c r="G776" s="860"/>
      <c r="H776" s="857"/>
      <c r="I776" s="861"/>
      <c r="J776" s="295"/>
      <c r="K776" s="296">
        <f t="shared" si="12"/>
        <v>0</v>
      </c>
      <c r="L776"/>
    </row>
    <row r="777" spans="1:12">
      <c r="A777" s="855" t="s">
        <v>588</v>
      </c>
      <c r="B777" s="856"/>
      <c r="C777" s="856"/>
      <c r="D777" s="857"/>
      <c r="E777" s="858"/>
      <c r="F777" s="859"/>
      <c r="G777" s="860"/>
      <c r="H777" s="857"/>
      <c r="I777" s="861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55" t="s">
        <v>588</v>
      </c>
      <c r="B778" s="856"/>
      <c r="C778" s="856"/>
      <c r="D778" s="857"/>
      <c r="E778" s="858"/>
      <c r="F778" s="859"/>
      <c r="G778" s="860"/>
      <c r="H778" s="857"/>
      <c r="I778" s="861"/>
      <c r="J778" s="295"/>
      <c r="K778" s="296">
        <f t="shared" si="13"/>
        <v>0</v>
      </c>
      <c r="L778"/>
    </row>
    <row r="779" spans="1:12">
      <c r="A779" s="855" t="s">
        <v>590</v>
      </c>
      <c r="B779" s="856"/>
      <c r="C779" s="856"/>
      <c r="D779" s="857"/>
      <c r="E779" s="858"/>
      <c r="F779" s="859"/>
      <c r="G779" s="860"/>
      <c r="H779" s="857"/>
      <c r="I779" s="861"/>
      <c r="J779" s="295"/>
      <c r="K779" s="296">
        <f t="shared" si="13"/>
        <v>0</v>
      </c>
      <c r="L779"/>
    </row>
    <row r="780" spans="1:12">
      <c r="A780" s="855" t="s">
        <v>590</v>
      </c>
      <c r="B780" s="856"/>
      <c r="C780" s="856"/>
      <c r="D780" s="857"/>
      <c r="E780" s="858"/>
      <c r="F780" s="859"/>
      <c r="G780" s="860"/>
      <c r="H780" s="857"/>
      <c r="I780" s="861"/>
      <c r="J780" s="295"/>
      <c r="K780" s="296">
        <f t="shared" si="13"/>
        <v>0</v>
      </c>
      <c r="L780"/>
    </row>
    <row r="781" spans="1:12">
      <c r="A781" s="855" t="s">
        <v>590</v>
      </c>
      <c r="B781" s="856"/>
      <c r="C781" s="856"/>
      <c r="D781" s="857"/>
      <c r="E781" s="858"/>
      <c r="F781" s="859"/>
      <c r="G781" s="860"/>
      <c r="H781" s="857"/>
      <c r="I781" s="861"/>
      <c r="J781" s="295"/>
      <c r="K781" s="296">
        <f t="shared" si="13"/>
        <v>0</v>
      </c>
      <c r="L781"/>
    </row>
    <row r="782" spans="1:12">
      <c r="A782" s="855" t="s">
        <v>590</v>
      </c>
      <c r="B782" s="856"/>
      <c r="C782" s="856"/>
      <c r="D782" s="857"/>
      <c r="E782" s="858"/>
      <c r="F782" s="859"/>
      <c r="G782" s="860"/>
      <c r="H782" s="857"/>
      <c r="I782" s="861"/>
      <c r="J782" s="295"/>
      <c r="K782" s="296">
        <f t="shared" si="13"/>
        <v>0</v>
      </c>
      <c r="L782"/>
    </row>
    <row r="783" spans="1:12">
      <c r="A783" s="855" t="s">
        <v>588</v>
      </c>
      <c r="B783" s="856"/>
      <c r="C783" s="856"/>
      <c r="D783" s="857"/>
      <c r="E783" s="858"/>
      <c r="F783" s="859"/>
      <c r="G783" s="860"/>
      <c r="H783" s="857"/>
      <c r="I783" s="861"/>
      <c r="J783" s="295"/>
      <c r="K783" s="296">
        <f t="shared" si="13"/>
        <v>0</v>
      </c>
      <c r="L783"/>
    </row>
    <row r="784" spans="1:12">
      <c r="A784" s="855" t="s">
        <v>590</v>
      </c>
      <c r="B784" s="856"/>
      <c r="C784" s="856"/>
      <c r="D784" s="857"/>
      <c r="E784" s="858"/>
      <c r="F784" s="859"/>
      <c r="G784" s="860"/>
      <c r="H784" s="857"/>
      <c r="I784" s="861"/>
      <c r="J784" s="295"/>
      <c r="K784" s="296">
        <f t="shared" si="13"/>
        <v>0</v>
      </c>
      <c r="L784"/>
    </row>
    <row r="785" spans="1:12">
      <c r="A785" s="855" t="s">
        <v>588</v>
      </c>
      <c r="B785" s="856"/>
      <c r="C785" s="856"/>
      <c r="D785" s="857"/>
      <c r="E785" s="858"/>
      <c r="F785" s="859"/>
      <c r="G785" s="860"/>
      <c r="H785" s="857"/>
      <c r="I785" s="861"/>
      <c r="J785" s="295"/>
      <c r="K785" s="296">
        <f t="shared" si="13"/>
        <v>0</v>
      </c>
      <c r="L785"/>
    </row>
    <row r="786" spans="1:12">
      <c r="A786" s="855" t="s">
        <v>588</v>
      </c>
      <c r="B786" s="856"/>
      <c r="C786" s="856"/>
      <c r="D786" s="857"/>
      <c r="E786" s="858"/>
      <c r="F786" s="859"/>
      <c r="G786" s="860"/>
      <c r="H786" s="857"/>
      <c r="I786" s="861"/>
      <c r="J786" s="295"/>
      <c r="K786" s="296">
        <f t="shared" si="13"/>
        <v>0</v>
      </c>
      <c r="L786"/>
    </row>
    <row r="787" spans="1:12">
      <c r="A787" s="855" t="s">
        <v>588</v>
      </c>
      <c r="B787" s="856"/>
      <c r="C787" s="856"/>
      <c r="D787" s="857"/>
      <c r="E787" s="858"/>
      <c r="F787" s="859"/>
      <c r="G787" s="860"/>
      <c r="H787" s="857"/>
      <c r="I787" s="861"/>
      <c r="J787" s="295"/>
      <c r="K787" s="296">
        <f t="shared" si="13"/>
        <v>0</v>
      </c>
      <c r="L787"/>
    </row>
    <row r="788" spans="1:12">
      <c r="A788" s="855" t="s">
        <v>588</v>
      </c>
      <c r="B788" s="856"/>
      <c r="C788" s="856"/>
      <c r="D788" s="857"/>
      <c r="E788" s="858"/>
      <c r="F788" s="859"/>
      <c r="G788" s="860"/>
      <c r="H788" s="857"/>
      <c r="I788" s="861"/>
      <c r="J788" s="295"/>
      <c r="K788" s="296">
        <f t="shared" si="13"/>
        <v>0</v>
      </c>
      <c r="L788"/>
    </row>
    <row r="789" spans="1:12">
      <c r="A789" s="855" t="s">
        <v>588</v>
      </c>
      <c r="B789" s="856"/>
      <c r="C789" s="856"/>
      <c r="D789" s="857"/>
      <c r="E789" s="858"/>
      <c r="F789" s="859"/>
      <c r="G789" s="860"/>
      <c r="H789" s="857"/>
      <c r="I789" s="861"/>
      <c r="J789" s="295"/>
      <c r="K789" s="296">
        <f t="shared" si="13"/>
        <v>0</v>
      </c>
      <c r="L789"/>
    </row>
    <row r="790" spans="1:12">
      <c r="A790" s="855" t="s">
        <v>588</v>
      </c>
      <c r="B790" s="856"/>
      <c r="C790" s="856"/>
      <c r="D790" s="857"/>
      <c r="E790" s="858"/>
      <c r="F790" s="859"/>
      <c r="G790" s="860"/>
      <c r="H790" s="857"/>
      <c r="I790" s="861"/>
      <c r="J790" s="295"/>
      <c r="K790" s="296">
        <f t="shared" si="13"/>
        <v>0</v>
      </c>
      <c r="L790"/>
    </row>
    <row r="791" spans="1:12">
      <c r="A791" s="855" t="s">
        <v>590</v>
      </c>
      <c r="B791" s="856"/>
      <c r="C791" s="856"/>
      <c r="D791" s="857"/>
      <c r="E791" s="858"/>
      <c r="F791" s="859"/>
      <c r="G791" s="860"/>
      <c r="H791" s="857"/>
      <c r="I791" s="861"/>
      <c r="J791" s="295"/>
      <c r="K791" s="296">
        <f t="shared" si="13"/>
        <v>0</v>
      </c>
      <c r="L791"/>
    </row>
    <row r="792" spans="1:12">
      <c r="A792" s="855" t="s">
        <v>590</v>
      </c>
      <c r="B792" s="856"/>
      <c r="C792" s="856"/>
      <c r="D792" s="857"/>
      <c r="E792" s="858"/>
      <c r="F792" s="859"/>
      <c r="G792" s="860"/>
      <c r="H792" s="857"/>
      <c r="I792" s="861"/>
      <c r="J792" s="295"/>
      <c r="K792" s="296">
        <f t="shared" si="13"/>
        <v>0</v>
      </c>
      <c r="L792"/>
    </row>
    <row r="793" spans="1:12">
      <c r="A793" s="855" t="s">
        <v>588</v>
      </c>
      <c r="B793" s="856"/>
      <c r="C793" s="856"/>
      <c r="D793" s="857"/>
      <c r="E793" s="858"/>
      <c r="F793" s="859"/>
      <c r="G793" s="860"/>
      <c r="H793" s="857"/>
      <c r="I793" s="861"/>
      <c r="J793" s="295"/>
      <c r="K793" s="296">
        <f t="shared" si="13"/>
        <v>0</v>
      </c>
      <c r="L793"/>
    </row>
    <row r="794" spans="1:12">
      <c r="A794" s="855" t="s">
        <v>588</v>
      </c>
      <c r="B794" s="856"/>
      <c r="C794" s="856"/>
      <c r="D794" s="857"/>
      <c r="E794" s="858"/>
      <c r="F794" s="859"/>
      <c r="G794" s="860"/>
      <c r="H794" s="857"/>
      <c r="I794" s="861"/>
      <c r="J794" s="295"/>
      <c r="K794" s="296">
        <f t="shared" si="13"/>
        <v>0</v>
      </c>
      <c r="L794"/>
    </row>
    <row r="795" spans="1:12">
      <c r="A795" s="855" t="s">
        <v>588</v>
      </c>
      <c r="B795" s="856"/>
      <c r="C795" s="856"/>
      <c r="D795" s="857"/>
      <c r="E795" s="858"/>
      <c r="F795" s="859"/>
      <c r="G795" s="860"/>
      <c r="H795" s="857"/>
      <c r="I795" s="861"/>
      <c r="J795" s="295"/>
      <c r="K795" s="296">
        <f t="shared" si="13"/>
        <v>0</v>
      </c>
      <c r="L795"/>
    </row>
    <row r="796" spans="1:12">
      <c r="A796" s="855" t="s">
        <v>588</v>
      </c>
      <c r="B796" s="856"/>
      <c r="C796" s="856"/>
      <c r="D796" s="857"/>
      <c r="E796" s="858"/>
      <c r="F796" s="859"/>
      <c r="G796" s="860"/>
      <c r="H796" s="857"/>
      <c r="I796" s="861"/>
      <c r="J796" s="295"/>
      <c r="K796" s="296">
        <f t="shared" si="13"/>
        <v>0</v>
      </c>
      <c r="L796"/>
    </row>
    <row r="797" spans="1:12">
      <c r="A797" s="855" t="s">
        <v>590</v>
      </c>
      <c r="B797" s="856"/>
      <c r="C797" s="856"/>
      <c r="D797" s="857"/>
      <c r="E797" s="858"/>
      <c r="F797" s="859"/>
      <c r="G797" s="860"/>
      <c r="H797" s="857"/>
      <c r="I797" s="861"/>
      <c r="J797" s="295"/>
      <c r="K797" s="296">
        <f t="shared" si="13"/>
        <v>0</v>
      </c>
      <c r="L797"/>
    </row>
    <row r="798" spans="1:12">
      <c r="A798" s="855" t="s">
        <v>590</v>
      </c>
      <c r="B798" s="856"/>
      <c r="C798" s="856"/>
      <c r="D798" s="857"/>
      <c r="E798" s="858"/>
      <c r="F798" s="859"/>
      <c r="G798" s="860"/>
      <c r="H798" s="857"/>
      <c r="I798" s="861"/>
      <c r="J798" s="295"/>
      <c r="K798" s="296">
        <f t="shared" si="13"/>
        <v>0</v>
      </c>
      <c r="L798"/>
    </row>
    <row r="799" spans="1:12">
      <c r="A799" s="855" t="s">
        <v>590</v>
      </c>
      <c r="B799" s="856"/>
      <c r="C799" s="856"/>
      <c r="D799" s="857"/>
      <c r="E799" s="858"/>
      <c r="F799" s="859"/>
      <c r="G799" s="860"/>
      <c r="H799" s="857"/>
      <c r="I799" s="861"/>
      <c r="J799" s="295"/>
      <c r="K799" s="296">
        <f t="shared" si="13"/>
        <v>0</v>
      </c>
      <c r="L799"/>
    </row>
    <row r="800" spans="1:12">
      <c r="A800" s="855" t="s">
        <v>590</v>
      </c>
      <c r="B800" s="856"/>
      <c r="C800" s="856"/>
      <c r="D800" s="857"/>
      <c r="E800" s="858"/>
      <c r="F800" s="859"/>
      <c r="G800" s="860"/>
      <c r="H800" s="857"/>
      <c r="I800" s="861"/>
      <c r="J800" s="295"/>
      <c r="K800" s="296">
        <f t="shared" si="13"/>
        <v>0</v>
      </c>
      <c r="L800"/>
    </row>
    <row r="801" spans="1:12">
      <c r="A801" s="855" t="s">
        <v>588</v>
      </c>
      <c r="B801" s="856"/>
      <c r="C801" s="856"/>
      <c r="D801" s="857"/>
      <c r="E801" s="858"/>
      <c r="F801" s="859"/>
      <c r="G801" s="860"/>
      <c r="H801" s="857"/>
      <c r="I801" s="861"/>
      <c r="J801" s="295"/>
      <c r="K801" s="296">
        <f t="shared" si="13"/>
        <v>0</v>
      </c>
      <c r="L801"/>
    </row>
    <row r="802" spans="1:12">
      <c r="A802" s="855" t="s">
        <v>588</v>
      </c>
      <c r="B802" s="856"/>
      <c r="C802" s="856"/>
      <c r="D802" s="857"/>
      <c r="E802" s="858"/>
      <c r="F802" s="859"/>
      <c r="G802" s="860"/>
      <c r="H802" s="857"/>
      <c r="I802" s="861"/>
      <c r="J802" s="295"/>
      <c r="K802" s="296">
        <f t="shared" si="13"/>
        <v>0</v>
      </c>
      <c r="L802"/>
    </row>
    <row r="803" spans="1:12">
      <c r="A803" s="855" t="s">
        <v>588</v>
      </c>
      <c r="B803" s="856"/>
      <c r="C803" s="856"/>
      <c r="D803" s="857"/>
      <c r="E803" s="858"/>
      <c r="F803" s="859"/>
      <c r="G803" s="860"/>
      <c r="H803" s="857"/>
      <c r="I803" s="861"/>
      <c r="J803" s="295"/>
      <c r="K803" s="296">
        <f t="shared" si="13"/>
        <v>0</v>
      </c>
      <c r="L803"/>
    </row>
    <row r="804" spans="1:12">
      <c r="A804" s="855" t="s">
        <v>588</v>
      </c>
      <c r="B804" s="856"/>
      <c r="C804" s="856"/>
      <c r="D804" s="857"/>
      <c r="E804" s="858"/>
      <c r="F804" s="859"/>
      <c r="G804" s="860"/>
      <c r="H804" s="857"/>
      <c r="I804" s="861"/>
      <c r="J804" s="295"/>
      <c r="K804" s="296">
        <f t="shared" si="13"/>
        <v>0</v>
      </c>
      <c r="L804"/>
    </row>
    <row r="805" spans="1:12">
      <c r="A805" s="855" t="s">
        <v>588</v>
      </c>
      <c r="B805" s="856"/>
      <c r="C805" s="856"/>
      <c r="D805" s="857"/>
      <c r="E805" s="858"/>
      <c r="F805" s="859"/>
      <c r="G805" s="860"/>
      <c r="H805" s="857"/>
      <c r="I805" s="861"/>
      <c r="J805" s="295"/>
      <c r="K805" s="296">
        <f t="shared" si="13"/>
        <v>0</v>
      </c>
      <c r="L805"/>
    </row>
    <row r="806" spans="1:12">
      <c r="A806" s="855" t="s">
        <v>588</v>
      </c>
      <c r="B806" s="856"/>
      <c r="C806" s="856"/>
      <c r="D806" s="857"/>
      <c r="E806" s="858"/>
      <c r="F806" s="859"/>
      <c r="G806" s="860"/>
      <c r="H806" s="857"/>
      <c r="I806" s="861"/>
      <c r="J806" s="295"/>
      <c r="K806" s="296">
        <f t="shared" si="13"/>
        <v>0</v>
      </c>
      <c r="L806"/>
    </row>
    <row r="807" spans="1:12">
      <c r="A807" s="855" t="s">
        <v>588</v>
      </c>
      <c r="B807" s="856"/>
      <c r="C807" s="856"/>
      <c r="D807" s="857"/>
      <c r="E807" s="858"/>
      <c r="F807" s="859"/>
      <c r="G807" s="860"/>
      <c r="H807" s="857"/>
      <c r="I807" s="861"/>
      <c r="J807" s="295"/>
      <c r="K807" s="296">
        <f t="shared" si="13"/>
        <v>0</v>
      </c>
      <c r="L807"/>
    </row>
    <row r="808" spans="1:12">
      <c r="A808" s="855" t="s">
        <v>586</v>
      </c>
      <c r="B808" s="856"/>
      <c r="C808" s="856"/>
      <c r="D808" s="857"/>
      <c r="E808" s="858"/>
      <c r="F808" s="859"/>
      <c r="G808" s="860"/>
      <c r="H808" s="857"/>
      <c r="I808" s="861"/>
      <c r="J808" s="295"/>
      <c r="K808" s="296">
        <f t="shared" si="13"/>
        <v>0</v>
      </c>
      <c r="L808"/>
    </row>
    <row r="809" spans="1:12">
      <c r="A809" s="855" t="s">
        <v>586</v>
      </c>
      <c r="B809" s="856"/>
      <c r="C809" s="856"/>
      <c r="D809" s="857"/>
      <c r="E809" s="858"/>
      <c r="F809" s="859"/>
      <c r="G809" s="860"/>
      <c r="H809" s="857"/>
      <c r="I809" s="861"/>
      <c r="J809" s="295"/>
      <c r="K809" s="296">
        <f t="shared" si="13"/>
        <v>0</v>
      </c>
      <c r="L809"/>
    </row>
    <row r="810" spans="1:12">
      <c r="A810" s="855" t="s">
        <v>586</v>
      </c>
      <c r="B810" s="856"/>
      <c r="C810" s="856"/>
      <c r="D810" s="857"/>
      <c r="E810" s="858"/>
      <c r="F810" s="859"/>
      <c r="G810" s="860"/>
      <c r="H810" s="857"/>
      <c r="I810" s="861"/>
      <c r="J810" s="295"/>
      <c r="K810" s="296">
        <f t="shared" si="13"/>
        <v>0</v>
      </c>
      <c r="L810"/>
    </row>
    <row r="811" spans="1:12">
      <c r="A811" s="855" t="s">
        <v>586</v>
      </c>
      <c r="B811" s="856"/>
      <c r="C811" s="856"/>
      <c r="D811" s="857"/>
      <c r="E811" s="858"/>
      <c r="F811" s="859"/>
      <c r="G811" s="860"/>
      <c r="H811" s="857"/>
      <c r="I811" s="861"/>
      <c r="J811" s="295"/>
      <c r="K811" s="296">
        <f t="shared" si="13"/>
        <v>0</v>
      </c>
      <c r="L811"/>
    </row>
    <row r="812" spans="1:12">
      <c r="A812" s="855" t="s">
        <v>586</v>
      </c>
      <c r="B812" s="856"/>
      <c r="C812" s="856"/>
      <c r="D812" s="857"/>
      <c r="E812" s="858"/>
      <c r="F812" s="859"/>
      <c r="G812" s="860"/>
      <c r="H812" s="857"/>
      <c r="I812" s="861"/>
      <c r="J812" s="295"/>
      <c r="K812" s="296">
        <f t="shared" si="13"/>
        <v>0</v>
      </c>
      <c r="L812"/>
    </row>
    <row r="813" spans="1:12">
      <c r="A813" s="855" t="s">
        <v>586</v>
      </c>
      <c r="B813" s="856"/>
      <c r="C813" s="856"/>
      <c r="D813" s="857"/>
      <c r="E813" s="858"/>
      <c r="F813" s="859"/>
      <c r="G813" s="860"/>
      <c r="H813" s="857"/>
      <c r="I813" s="861"/>
      <c r="J813" s="295"/>
      <c r="K813" s="296">
        <f t="shared" si="13"/>
        <v>0</v>
      </c>
      <c r="L813"/>
    </row>
    <row r="814" spans="1:12">
      <c r="A814" s="855" t="s">
        <v>590</v>
      </c>
      <c r="B814" s="856"/>
      <c r="C814" s="856"/>
      <c r="D814" s="857"/>
      <c r="E814" s="858"/>
      <c r="F814" s="859"/>
      <c r="G814" s="860"/>
      <c r="H814" s="857"/>
      <c r="I814" s="861"/>
      <c r="J814" s="295"/>
      <c r="K814" s="296">
        <f t="shared" si="13"/>
        <v>0</v>
      </c>
      <c r="L814"/>
    </row>
    <row r="815" spans="1:12">
      <c r="A815" s="855" t="s">
        <v>590</v>
      </c>
      <c r="B815" s="856"/>
      <c r="C815" s="856"/>
      <c r="D815" s="857"/>
      <c r="E815" s="858"/>
      <c r="F815" s="859"/>
      <c r="G815" s="860"/>
      <c r="H815" s="857"/>
      <c r="I815" s="861"/>
      <c r="J815" s="295"/>
      <c r="K815" s="296">
        <f t="shared" si="13"/>
        <v>0</v>
      </c>
      <c r="L815"/>
    </row>
    <row r="816" spans="1:12">
      <c r="A816" s="855" t="s">
        <v>590</v>
      </c>
      <c r="B816" s="856"/>
      <c r="C816" s="856"/>
      <c r="D816" s="857"/>
      <c r="E816" s="858"/>
      <c r="F816" s="859"/>
      <c r="G816" s="860"/>
      <c r="H816" s="857"/>
      <c r="I816" s="861"/>
      <c r="J816" s="295"/>
      <c r="K816" s="296">
        <f t="shared" si="13"/>
        <v>0</v>
      </c>
      <c r="L816"/>
    </row>
    <row r="817" spans="1:12">
      <c r="A817" s="855" t="s">
        <v>590</v>
      </c>
      <c r="B817" s="856"/>
      <c r="C817" s="856"/>
      <c r="D817" s="857"/>
      <c r="E817" s="858"/>
      <c r="F817" s="859"/>
      <c r="G817" s="860"/>
      <c r="H817" s="857"/>
      <c r="I817" s="861"/>
      <c r="J817" s="295"/>
      <c r="K817" s="296">
        <f t="shared" si="13"/>
        <v>0</v>
      </c>
      <c r="L817"/>
    </row>
    <row r="818" spans="1:12">
      <c r="A818" s="855" t="s">
        <v>588</v>
      </c>
      <c r="B818" s="856"/>
      <c r="C818" s="856"/>
      <c r="D818" s="857"/>
      <c r="E818" s="858"/>
      <c r="F818" s="859"/>
      <c r="G818" s="860"/>
      <c r="H818" s="857"/>
      <c r="I818" s="861"/>
      <c r="J818" s="295"/>
      <c r="K818" s="296">
        <f t="shared" si="13"/>
        <v>0</v>
      </c>
      <c r="L818"/>
    </row>
    <row r="819" spans="1:12">
      <c r="A819" s="855" t="s">
        <v>590</v>
      </c>
      <c r="B819" s="856"/>
      <c r="C819" s="856"/>
      <c r="D819" s="857"/>
      <c r="E819" s="858"/>
      <c r="F819" s="859"/>
      <c r="G819" s="860"/>
      <c r="H819" s="857"/>
      <c r="I819" s="861"/>
      <c r="J819" s="295"/>
      <c r="K819" s="296">
        <f t="shared" si="13"/>
        <v>0</v>
      </c>
      <c r="L819"/>
    </row>
    <row r="820" spans="1:12">
      <c r="A820" s="855" t="s">
        <v>590</v>
      </c>
      <c r="B820" s="856"/>
      <c r="C820" s="856"/>
      <c r="D820" s="857"/>
      <c r="E820" s="858"/>
      <c r="F820" s="859"/>
      <c r="G820" s="860"/>
      <c r="H820" s="857"/>
      <c r="I820" s="861"/>
      <c r="J820" s="295"/>
      <c r="K820" s="296">
        <f t="shared" si="13"/>
        <v>0</v>
      </c>
      <c r="L820"/>
    </row>
    <row r="821" spans="1:12">
      <c r="A821" s="855" t="s">
        <v>590</v>
      </c>
      <c r="B821" s="856"/>
      <c r="C821" s="856"/>
      <c r="D821" s="857"/>
      <c r="E821" s="858"/>
      <c r="F821" s="859"/>
      <c r="G821" s="860"/>
      <c r="H821" s="857"/>
      <c r="I821" s="861"/>
      <c r="J821" s="295"/>
      <c r="K821" s="296">
        <f t="shared" si="13"/>
        <v>0</v>
      </c>
      <c r="L821"/>
    </row>
    <row r="822" spans="1:12">
      <c r="A822" s="855" t="s">
        <v>590</v>
      </c>
      <c r="B822" s="856"/>
      <c r="C822" s="856"/>
      <c r="D822" s="857"/>
      <c r="E822" s="858"/>
      <c r="F822" s="859"/>
      <c r="G822" s="860"/>
      <c r="H822" s="857"/>
      <c r="I822" s="861"/>
      <c r="J822" s="295"/>
      <c r="K822" s="296">
        <f t="shared" si="13"/>
        <v>0</v>
      </c>
      <c r="L822"/>
    </row>
    <row r="823" spans="1:12">
      <c r="A823" s="855" t="s">
        <v>590</v>
      </c>
      <c r="B823" s="856"/>
      <c r="C823" s="856"/>
      <c r="D823" s="857"/>
      <c r="E823" s="858"/>
      <c r="F823" s="859"/>
      <c r="G823" s="860"/>
      <c r="H823" s="857"/>
      <c r="I823" s="861"/>
      <c r="J823" s="295"/>
      <c r="K823" s="296">
        <f t="shared" si="13"/>
        <v>0</v>
      </c>
      <c r="L823"/>
    </row>
    <row r="824" spans="1:12">
      <c r="A824" s="855" t="s">
        <v>590</v>
      </c>
      <c r="B824" s="856"/>
      <c r="C824" s="856"/>
      <c r="D824" s="857"/>
      <c r="E824" s="858"/>
      <c r="F824" s="859"/>
      <c r="G824" s="860"/>
      <c r="H824" s="857"/>
      <c r="I824" s="861"/>
      <c r="J824" s="295"/>
      <c r="K824" s="296">
        <f t="shared" si="13"/>
        <v>0</v>
      </c>
      <c r="L824"/>
    </row>
    <row r="825" spans="1:12">
      <c r="A825" s="855" t="s">
        <v>590</v>
      </c>
      <c r="B825" s="856"/>
      <c r="C825" s="856"/>
      <c r="D825" s="857"/>
      <c r="E825" s="858"/>
      <c r="F825" s="859"/>
      <c r="G825" s="860"/>
      <c r="H825" s="857"/>
      <c r="I825" s="861"/>
      <c r="J825" s="295"/>
      <c r="K825" s="296">
        <f t="shared" si="13"/>
        <v>0</v>
      </c>
      <c r="L825"/>
    </row>
    <row r="826" spans="1:12">
      <c r="A826" s="855" t="s">
        <v>590</v>
      </c>
      <c r="B826" s="856"/>
      <c r="C826" s="856"/>
      <c r="D826" s="857"/>
      <c r="E826" s="858"/>
      <c r="F826" s="859"/>
      <c r="G826" s="860"/>
      <c r="H826" s="857"/>
      <c r="I826" s="861"/>
      <c r="J826" s="295"/>
      <c r="K826" s="296">
        <f t="shared" si="13"/>
        <v>0</v>
      </c>
      <c r="L826"/>
    </row>
    <row r="827" spans="1:12">
      <c r="A827" s="855" t="s">
        <v>588</v>
      </c>
      <c r="B827" s="856"/>
      <c r="C827" s="856"/>
      <c r="D827" s="857"/>
      <c r="E827" s="858"/>
      <c r="F827" s="859"/>
      <c r="G827" s="860"/>
      <c r="H827" s="857"/>
      <c r="I827" s="861"/>
      <c r="J827" s="295"/>
      <c r="K827" s="296">
        <f t="shared" si="13"/>
        <v>0</v>
      </c>
      <c r="L827"/>
    </row>
    <row r="828" spans="1:12">
      <c r="A828" s="855" t="s">
        <v>588</v>
      </c>
      <c r="B828" s="856"/>
      <c r="C828" s="856"/>
      <c r="D828" s="857"/>
      <c r="E828" s="858"/>
      <c r="F828" s="859"/>
      <c r="G828" s="860"/>
      <c r="H828" s="857"/>
      <c r="I828" s="861"/>
      <c r="J828" s="295"/>
      <c r="K828" s="296">
        <f t="shared" si="13"/>
        <v>0</v>
      </c>
      <c r="L828"/>
    </row>
    <row r="829" spans="1:12">
      <c r="A829" s="855" t="s">
        <v>588</v>
      </c>
      <c r="B829" s="856"/>
      <c r="C829" s="856"/>
      <c r="D829" s="857"/>
      <c r="E829" s="858"/>
      <c r="F829" s="859"/>
      <c r="G829" s="860"/>
      <c r="H829" s="857"/>
      <c r="I829" s="861"/>
      <c r="J829" s="295"/>
      <c r="K829" s="296">
        <f t="shared" si="13"/>
        <v>0</v>
      </c>
      <c r="L829"/>
    </row>
    <row r="830" spans="1:12">
      <c r="A830" s="855" t="s">
        <v>590</v>
      </c>
      <c r="B830" s="856"/>
      <c r="C830" s="856"/>
      <c r="D830" s="857"/>
      <c r="E830" s="858"/>
      <c r="F830" s="859"/>
      <c r="G830" s="860"/>
      <c r="H830" s="857"/>
      <c r="I830" s="861"/>
      <c r="J830" s="295"/>
      <c r="K830" s="296">
        <f t="shared" si="13"/>
        <v>0</v>
      </c>
      <c r="L830"/>
    </row>
    <row r="831" spans="1:12">
      <c r="A831" s="855" t="s">
        <v>590</v>
      </c>
      <c r="B831" s="856"/>
      <c r="C831" s="856"/>
      <c r="D831" s="857"/>
      <c r="E831" s="858"/>
      <c r="F831" s="859"/>
      <c r="G831" s="860"/>
      <c r="H831" s="857"/>
      <c r="I831" s="861"/>
      <c r="J831" s="295"/>
      <c r="K831" s="296">
        <f t="shared" si="13"/>
        <v>0</v>
      </c>
      <c r="L831"/>
    </row>
    <row r="832" spans="1:12">
      <c r="A832" s="855" t="s">
        <v>590</v>
      </c>
      <c r="B832" s="856"/>
      <c r="C832" s="856"/>
      <c r="D832" s="857"/>
      <c r="E832" s="858"/>
      <c r="F832" s="859"/>
      <c r="G832" s="860"/>
      <c r="H832" s="857"/>
      <c r="I832" s="861"/>
      <c r="J832" s="295"/>
      <c r="K832" s="296">
        <f t="shared" si="13"/>
        <v>0</v>
      </c>
      <c r="L832"/>
    </row>
    <row r="833" spans="1:12">
      <c r="A833" s="855" t="s">
        <v>590</v>
      </c>
      <c r="B833" s="856"/>
      <c r="C833" s="856"/>
      <c r="D833" s="857"/>
      <c r="E833" s="858"/>
      <c r="F833" s="859"/>
      <c r="G833" s="860"/>
      <c r="H833" s="857"/>
      <c r="I833" s="861"/>
      <c r="J833" s="295"/>
      <c r="K833" s="296">
        <f t="shared" si="13"/>
        <v>0</v>
      </c>
      <c r="L833"/>
    </row>
    <row r="834" spans="1:12">
      <c r="A834" s="855" t="s">
        <v>590</v>
      </c>
      <c r="B834" s="856"/>
      <c r="C834" s="856"/>
      <c r="D834" s="857"/>
      <c r="E834" s="858"/>
      <c r="F834" s="859"/>
      <c r="G834" s="860"/>
      <c r="H834" s="857"/>
      <c r="I834" s="861"/>
      <c r="J834" s="295"/>
      <c r="K834" s="296">
        <f t="shared" si="13"/>
        <v>0</v>
      </c>
      <c r="L834"/>
    </row>
    <row r="835" spans="1:12">
      <c r="A835" s="855" t="s">
        <v>590</v>
      </c>
      <c r="B835" s="856"/>
      <c r="C835" s="856"/>
      <c r="D835" s="857"/>
      <c r="E835" s="858"/>
      <c r="F835" s="859"/>
      <c r="G835" s="860"/>
      <c r="H835" s="857"/>
      <c r="I835" s="861"/>
      <c r="J835" s="295"/>
      <c r="K835" s="296">
        <f t="shared" si="13"/>
        <v>0</v>
      </c>
      <c r="L835"/>
    </row>
    <row r="836" spans="1:12">
      <c r="A836" s="855" t="s">
        <v>590</v>
      </c>
      <c r="B836" s="856"/>
      <c r="C836" s="856"/>
      <c r="D836" s="857"/>
      <c r="E836" s="858"/>
      <c r="F836" s="859"/>
      <c r="G836" s="860"/>
      <c r="H836" s="857"/>
      <c r="I836" s="861"/>
      <c r="J836" s="295"/>
      <c r="K836" s="296">
        <f t="shared" si="13"/>
        <v>0</v>
      </c>
      <c r="L836"/>
    </row>
    <row r="837" spans="1:12">
      <c r="A837" s="855" t="s">
        <v>588</v>
      </c>
      <c r="B837" s="856"/>
      <c r="C837" s="856"/>
      <c r="D837" s="857"/>
      <c r="E837" s="858"/>
      <c r="F837" s="859"/>
      <c r="G837" s="860"/>
      <c r="H837" s="857"/>
      <c r="I837" s="861"/>
      <c r="J837" s="295"/>
      <c r="K837" s="296">
        <f t="shared" si="13"/>
        <v>0</v>
      </c>
      <c r="L837"/>
    </row>
    <row r="838" spans="1:12">
      <c r="A838" s="855" t="s">
        <v>586</v>
      </c>
      <c r="B838" s="856"/>
      <c r="C838" s="856"/>
      <c r="D838" s="857"/>
      <c r="E838" s="858"/>
      <c r="F838" s="859"/>
      <c r="G838" s="860"/>
      <c r="H838" s="857"/>
      <c r="I838" s="861"/>
      <c r="J838" s="295"/>
      <c r="K838" s="296">
        <f t="shared" si="13"/>
        <v>0</v>
      </c>
      <c r="L838"/>
    </row>
    <row r="839" spans="1:12">
      <c r="A839" s="855" t="s">
        <v>590</v>
      </c>
      <c r="B839" s="856"/>
      <c r="C839" s="856"/>
      <c r="D839" s="857"/>
      <c r="E839" s="858"/>
      <c r="F839" s="859"/>
      <c r="G839" s="860"/>
      <c r="H839" s="857"/>
      <c r="I839" s="861"/>
      <c r="J839" s="295"/>
      <c r="K839" s="296">
        <f t="shared" si="13"/>
        <v>0</v>
      </c>
      <c r="L839"/>
    </row>
    <row r="840" spans="1:12">
      <c r="A840" s="855" t="s">
        <v>590</v>
      </c>
      <c r="B840" s="856"/>
      <c r="C840" s="856"/>
      <c r="D840" s="857"/>
      <c r="E840" s="858"/>
      <c r="F840" s="859"/>
      <c r="G840" s="860"/>
      <c r="H840" s="857"/>
      <c r="I840" s="861"/>
      <c r="J840" s="295"/>
      <c r="K840" s="296">
        <f t="shared" si="13"/>
        <v>0</v>
      </c>
      <c r="L840"/>
    </row>
    <row r="841" spans="1:12">
      <c r="A841" s="855" t="s">
        <v>586</v>
      </c>
      <c r="B841" s="856"/>
      <c r="C841" s="856"/>
      <c r="D841" s="857"/>
      <c r="E841" s="858"/>
      <c r="F841" s="859"/>
      <c r="G841" s="860"/>
      <c r="H841" s="857"/>
      <c r="I841" s="861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55" t="s">
        <v>586</v>
      </c>
      <c r="B842" s="856"/>
      <c r="C842" s="856"/>
      <c r="D842" s="857"/>
      <c r="E842" s="858"/>
      <c r="F842" s="859"/>
      <c r="G842" s="860"/>
      <c r="H842" s="857"/>
      <c r="I842" s="861"/>
      <c r="J842" s="295"/>
      <c r="K842" s="296">
        <f t="shared" si="14"/>
        <v>0</v>
      </c>
      <c r="L842"/>
    </row>
    <row r="843" spans="1:12">
      <c r="A843" s="855" t="s">
        <v>586</v>
      </c>
      <c r="B843" s="856"/>
      <c r="C843" s="856"/>
      <c r="D843" s="857"/>
      <c r="E843" s="858"/>
      <c r="F843" s="859"/>
      <c r="G843" s="860"/>
      <c r="H843" s="857"/>
      <c r="I843" s="861"/>
      <c r="J843" s="295"/>
      <c r="K843" s="296">
        <f t="shared" si="14"/>
        <v>0</v>
      </c>
      <c r="L843"/>
    </row>
    <row r="844" spans="1:12">
      <c r="A844" s="855" t="s">
        <v>586</v>
      </c>
      <c r="B844" s="856"/>
      <c r="C844" s="856"/>
      <c r="D844" s="857"/>
      <c r="E844" s="858"/>
      <c r="F844" s="859"/>
      <c r="G844" s="860"/>
      <c r="H844" s="857"/>
      <c r="I844" s="861"/>
      <c r="J844" s="295"/>
      <c r="K844" s="296">
        <f t="shared" si="14"/>
        <v>0</v>
      </c>
      <c r="L844"/>
    </row>
    <row r="845" spans="1:12">
      <c r="A845" s="855" t="s">
        <v>586</v>
      </c>
      <c r="B845" s="856"/>
      <c r="C845" s="856"/>
      <c r="D845" s="857"/>
      <c r="E845" s="858"/>
      <c r="F845" s="859"/>
      <c r="G845" s="860"/>
      <c r="H845" s="857"/>
      <c r="I845" s="861"/>
      <c r="J845" s="295"/>
      <c r="K845" s="296">
        <f t="shared" si="14"/>
        <v>0</v>
      </c>
      <c r="L845"/>
    </row>
    <row r="846" spans="1:12">
      <c r="A846" s="855" t="s">
        <v>586</v>
      </c>
      <c r="B846" s="856"/>
      <c r="C846" s="856"/>
      <c r="D846" s="857"/>
      <c r="E846" s="858"/>
      <c r="F846" s="859"/>
      <c r="G846" s="860"/>
      <c r="H846" s="857"/>
      <c r="I846" s="861"/>
      <c r="J846" s="295"/>
      <c r="K846" s="296">
        <f t="shared" si="14"/>
        <v>0</v>
      </c>
      <c r="L846"/>
    </row>
    <row r="847" spans="1:12">
      <c r="A847" s="855" t="s">
        <v>586</v>
      </c>
      <c r="B847" s="856"/>
      <c r="C847" s="856"/>
      <c r="D847" s="857"/>
      <c r="E847" s="858"/>
      <c r="F847" s="859"/>
      <c r="G847" s="860"/>
      <c r="H847" s="857"/>
      <c r="I847" s="861"/>
      <c r="J847" s="295"/>
      <c r="K847" s="296">
        <f t="shared" si="14"/>
        <v>0</v>
      </c>
      <c r="L847"/>
    </row>
    <row r="848" spans="1:12">
      <c r="A848" s="855" t="s">
        <v>586</v>
      </c>
      <c r="B848" s="856"/>
      <c r="C848" s="856"/>
      <c r="D848" s="857"/>
      <c r="E848" s="858"/>
      <c r="F848" s="859"/>
      <c r="G848" s="860"/>
      <c r="H848" s="857"/>
      <c r="I848" s="861"/>
      <c r="J848" s="295"/>
      <c r="K848" s="296">
        <f t="shared" si="14"/>
        <v>0</v>
      </c>
      <c r="L848"/>
    </row>
    <row r="849" spans="1:12">
      <c r="A849" s="855" t="s">
        <v>586</v>
      </c>
      <c r="B849" s="856"/>
      <c r="C849" s="856"/>
      <c r="D849" s="857"/>
      <c r="E849" s="858"/>
      <c r="F849" s="859"/>
      <c r="G849" s="860"/>
      <c r="H849" s="857"/>
      <c r="I849" s="861"/>
      <c r="J849" s="295"/>
      <c r="K849" s="296">
        <f t="shared" si="14"/>
        <v>0</v>
      </c>
      <c r="L849"/>
    </row>
    <row r="850" spans="1:12">
      <c r="A850" s="855" t="s">
        <v>586</v>
      </c>
      <c r="B850" s="856"/>
      <c r="C850" s="856"/>
      <c r="D850" s="857"/>
      <c r="E850" s="858"/>
      <c r="F850" s="859"/>
      <c r="G850" s="860"/>
      <c r="H850" s="857"/>
      <c r="I850" s="861"/>
      <c r="J850" s="295"/>
      <c r="K850" s="296">
        <f t="shared" si="14"/>
        <v>0</v>
      </c>
      <c r="L850"/>
    </row>
    <row r="851" spans="1:12">
      <c r="A851" s="855" t="s">
        <v>586</v>
      </c>
      <c r="B851" s="856"/>
      <c r="C851" s="856"/>
      <c r="D851" s="857"/>
      <c r="E851" s="858"/>
      <c r="F851" s="859"/>
      <c r="G851" s="860"/>
      <c r="H851" s="857"/>
      <c r="I851" s="861"/>
      <c r="J851" s="295"/>
      <c r="K851" s="296">
        <f t="shared" si="14"/>
        <v>0</v>
      </c>
      <c r="L851"/>
    </row>
    <row r="852" spans="1:12">
      <c r="A852" s="855" t="s">
        <v>586</v>
      </c>
      <c r="B852" s="856"/>
      <c r="C852" s="856"/>
      <c r="D852" s="857"/>
      <c r="E852" s="858"/>
      <c r="F852" s="859"/>
      <c r="G852" s="860"/>
      <c r="H852" s="857"/>
      <c r="I852" s="861"/>
      <c r="J852" s="295"/>
      <c r="K852" s="296">
        <f t="shared" si="14"/>
        <v>0</v>
      </c>
      <c r="L852"/>
    </row>
    <row r="853" spans="1:12">
      <c r="A853" s="855" t="s">
        <v>586</v>
      </c>
      <c r="B853" s="856"/>
      <c r="C853" s="856"/>
      <c r="D853" s="857"/>
      <c r="E853" s="858"/>
      <c r="F853" s="859"/>
      <c r="G853" s="860"/>
      <c r="H853" s="857"/>
      <c r="I853" s="861"/>
      <c r="J853" s="295"/>
      <c r="K853" s="296">
        <f t="shared" si="14"/>
        <v>0</v>
      </c>
      <c r="L853"/>
    </row>
    <row r="854" spans="1:12">
      <c r="A854" s="855" t="s">
        <v>586</v>
      </c>
      <c r="B854" s="856"/>
      <c r="C854" s="856"/>
      <c r="D854" s="857"/>
      <c r="E854" s="858"/>
      <c r="F854" s="859"/>
      <c r="G854" s="860"/>
      <c r="H854" s="857"/>
      <c r="I854" s="861"/>
      <c r="J854" s="295"/>
      <c r="K854" s="296">
        <f t="shared" si="14"/>
        <v>0</v>
      </c>
      <c r="L854"/>
    </row>
    <row r="855" spans="1:12">
      <c r="A855" s="855" t="s">
        <v>586</v>
      </c>
      <c r="B855" s="856"/>
      <c r="C855" s="856"/>
      <c r="D855" s="857"/>
      <c r="E855" s="858"/>
      <c r="F855" s="859"/>
      <c r="G855" s="860"/>
      <c r="H855" s="857"/>
      <c r="I855" s="861"/>
      <c r="J855" s="295"/>
      <c r="K855" s="296">
        <f t="shared" si="14"/>
        <v>0</v>
      </c>
      <c r="L855"/>
    </row>
    <row r="856" spans="1:12">
      <c r="A856" s="855" t="s">
        <v>586</v>
      </c>
      <c r="B856" s="856"/>
      <c r="C856" s="856"/>
      <c r="D856" s="857"/>
      <c r="E856" s="858"/>
      <c r="F856" s="859"/>
      <c r="G856" s="860"/>
      <c r="H856" s="857"/>
      <c r="I856" s="861"/>
      <c r="J856" s="295"/>
      <c r="K856" s="296">
        <f t="shared" si="14"/>
        <v>0</v>
      </c>
      <c r="L856"/>
    </row>
    <row r="857" spans="1:12">
      <c r="A857" s="855" t="s">
        <v>586</v>
      </c>
      <c r="B857" s="856"/>
      <c r="C857" s="856"/>
      <c r="D857" s="857"/>
      <c r="E857" s="858"/>
      <c r="F857" s="859"/>
      <c r="G857" s="860"/>
      <c r="H857" s="857"/>
      <c r="I857" s="861"/>
      <c r="J857" s="295"/>
      <c r="K857" s="296">
        <f t="shared" si="14"/>
        <v>0</v>
      </c>
      <c r="L857"/>
    </row>
    <row r="858" spans="1:12">
      <c r="A858" s="855" t="s">
        <v>586</v>
      </c>
      <c r="B858" s="856"/>
      <c r="C858" s="856"/>
      <c r="D858" s="857"/>
      <c r="E858" s="858"/>
      <c r="F858" s="859"/>
      <c r="G858" s="860"/>
      <c r="H858" s="857"/>
      <c r="I858" s="861"/>
      <c r="J858" s="295"/>
      <c r="K858" s="296">
        <f t="shared" si="14"/>
        <v>0</v>
      </c>
      <c r="L858"/>
    </row>
    <row r="859" spans="1:12">
      <c r="A859" s="855" t="s">
        <v>586</v>
      </c>
      <c r="B859" s="856"/>
      <c r="C859" s="856"/>
      <c r="D859" s="857"/>
      <c r="E859" s="858"/>
      <c r="F859" s="859"/>
      <c r="G859" s="860"/>
      <c r="H859" s="857"/>
      <c r="I859" s="861"/>
      <c r="J859" s="295"/>
      <c r="K859" s="296">
        <f t="shared" si="14"/>
        <v>0</v>
      </c>
      <c r="L859"/>
    </row>
    <row r="860" spans="1:12">
      <c r="A860" s="855" t="s">
        <v>586</v>
      </c>
      <c r="B860" s="856"/>
      <c r="C860" s="856"/>
      <c r="D860" s="857"/>
      <c r="E860" s="858"/>
      <c r="F860" s="859"/>
      <c r="G860" s="860"/>
      <c r="H860" s="857"/>
      <c r="I860" s="861"/>
      <c r="J860" s="295"/>
      <c r="K860" s="296">
        <f t="shared" si="14"/>
        <v>0</v>
      </c>
      <c r="L860"/>
    </row>
    <row r="861" spans="1:12">
      <c r="A861" s="855" t="s">
        <v>586</v>
      </c>
      <c r="B861" s="856"/>
      <c r="C861" s="856"/>
      <c r="D861" s="857"/>
      <c r="E861" s="858"/>
      <c r="F861" s="859"/>
      <c r="G861" s="860"/>
      <c r="H861" s="857"/>
      <c r="I861" s="861"/>
      <c r="J861" s="295"/>
      <c r="K861" s="296">
        <f t="shared" si="14"/>
        <v>0</v>
      </c>
      <c r="L861"/>
    </row>
    <row r="862" spans="1:12">
      <c r="A862" s="855" t="s">
        <v>586</v>
      </c>
      <c r="B862" s="856"/>
      <c r="C862" s="856"/>
      <c r="D862" s="857"/>
      <c r="E862" s="858"/>
      <c r="F862" s="859"/>
      <c r="G862" s="860"/>
      <c r="H862" s="857"/>
      <c r="I862" s="861"/>
      <c r="J862" s="295"/>
      <c r="K862" s="296">
        <f t="shared" si="14"/>
        <v>0</v>
      </c>
      <c r="L862"/>
    </row>
    <row r="863" spans="1:12">
      <c r="A863" s="855" t="s">
        <v>586</v>
      </c>
      <c r="B863" s="856"/>
      <c r="C863" s="856"/>
      <c r="D863" s="857"/>
      <c r="E863" s="858"/>
      <c r="F863" s="859"/>
      <c r="G863" s="860"/>
      <c r="H863" s="857"/>
      <c r="I863" s="861"/>
      <c r="J863" s="295"/>
      <c r="K863" s="296">
        <f t="shared" si="14"/>
        <v>0</v>
      </c>
      <c r="L863"/>
    </row>
    <row r="864" spans="1:12">
      <c r="A864" s="855" t="s">
        <v>586</v>
      </c>
      <c r="B864" s="856"/>
      <c r="C864" s="856"/>
      <c r="D864" s="857"/>
      <c r="E864" s="858"/>
      <c r="F864" s="859"/>
      <c r="G864" s="860"/>
      <c r="H864" s="857"/>
      <c r="I864" s="861"/>
      <c r="J864" s="295"/>
      <c r="K864" s="296">
        <f t="shared" si="14"/>
        <v>0</v>
      </c>
      <c r="L864"/>
    </row>
    <row r="865" spans="1:12">
      <c r="A865" s="855" t="s">
        <v>586</v>
      </c>
      <c r="B865" s="856"/>
      <c r="C865" s="856"/>
      <c r="D865" s="857"/>
      <c r="E865" s="858"/>
      <c r="F865" s="859"/>
      <c r="G865" s="860"/>
      <c r="H865" s="857"/>
      <c r="I865" s="861"/>
      <c r="J865" s="295"/>
      <c r="K865" s="296">
        <f t="shared" si="14"/>
        <v>0</v>
      </c>
      <c r="L865"/>
    </row>
    <row r="866" spans="1:12">
      <c r="A866" s="855" t="s">
        <v>586</v>
      </c>
      <c r="B866" s="856"/>
      <c r="C866" s="856"/>
      <c r="D866" s="857"/>
      <c r="E866" s="858"/>
      <c r="F866" s="859"/>
      <c r="G866" s="860"/>
      <c r="H866" s="857"/>
      <c r="I866" s="861"/>
      <c r="J866" s="295"/>
      <c r="K866" s="296">
        <f t="shared" si="14"/>
        <v>0</v>
      </c>
      <c r="L866"/>
    </row>
    <row r="867" spans="1:12">
      <c r="A867" s="855" t="s">
        <v>586</v>
      </c>
      <c r="B867" s="856"/>
      <c r="C867" s="856"/>
      <c r="D867" s="857"/>
      <c r="E867" s="858"/>
      <c r="F867" s="859"/>
      <c r="G867" s="860"/>
      <c r="H867" s="857"/>
      <c r="I867" s="861"/>
      <c r="J867" s="295"/>
      <c r="K867" s="296">
        <f t="shared" si="14"/>
        <v>0</v>
      </c>
      <c r="L867"/>
    </row>
    <row r="868" spans="1:12">
      <c r="A868" s="855" t="s">
        <v>586</v>
      </c>
      <c r="B868" s="856"/>
      <c r="C868" s="856"/>
      <c r="D868" s="857"/>
      <c r="E868" s="858"/>
      <c r="F868" s="859"/>
      <c r="G868" s="860"/>
      <c r="H868" s="857"/>
      <c r="I868" s="861"/>
      <c r="J868" s="295"/>
      <c r="K868" s="296">
        <f t="shared" si="14"/>
        <v>0</v>
      </c>
      <c r="L868"/>
    </row>
    <row r="869" spans="1:12">
      <c r="A869" s="855" t="s">
        <v>586</v>
      </c>
      <c r="B869" s="856"/>
      <c r="C869" s="856"/>
      <c r="D869" s="857"/>
      <c r="E869" s="858"/>
      <c r="F869" s="859"/>
      <c r="G869" s="860"/>
      <c r="H869" s="857"/>
      <c r="I869" s="861"/>
      <c r="J869" s="295"/>
      <c r="K869" s="296">
        <f t="shared" si="14"/>
        <v>0</v>
      </c>
      <c r="L869"/>
    </row>
    <row r="870" spans="1:12">
      <c r="A870" s="855" t="s">
        <v>586</v>
      </c>
      <c r="B870" s="856"/>
      <c r="C870" s="856"/>
      <c r="D870" s="857"/>
      <c r="E870" s="858"/>
      <c r="F870" s="859"/>
      <c r="G870" s="860"/>
      <c r="H870" s="857"/>
      <c r="I870" s="861"/>
      <c r="J870" s="295"/>
      <c r="K870" s="296">
        <f t="shared" si="14"/>
        <v>0</v>
      </c>
      <c r="L870"/>
    </row>
    <row r="871" spans="1:12">
      <c r="A871" s="855" t="s">
        <v>586</v>
      </c>
      <c r="B871" s="856"/>
      <c r="C871" s="856"/>
      <c r="D871" s="857"/>
      <c r="E871" s="858"/>
      <c r="F871" s="859"/>
      <c r="G871" s="860"/>
      <c r="H871" s="857"/>
      <c r="I871" s="861"/>
      <c r="J871" s="295"/>
      <c r="K871" s="296">
        <f t="shared" si="14"/>
        <v>0</v>
      </c>
      <c r="L871"/>
    </row>
    <row r="872" spans="1:12">
      <c r="A872" s="855" t="s">
        <v>586</v>
      </c>
      <c r="B872" s="856"/>
      <c r="C872" s="856"/>
      <c r="D872" s="857"/>
      <c r="E872" s="858"/>
      <c r="F872" s="859"/>
      <c r="G872" s="860"/>
      <c r="H872" s="857"/>
      <c r="I872" s="861"/>
      <c r="J872" s="295"/>
      <c r="K872" s="296">
        <f t="shared" si="14"/>
        <v>0</v>
      </c>
      <c r="L872"/>
    </row>
    <row r="873" spans="1:12">
      <c r="A873" s="855" t="s">
        <v>586</v>
      </c>
      <c r="B873" s="856"/>
      <c r="C873" s="856"/>
      <c r="D873" s="857"/>
      <c r="E873" s="858"/>
      <c r="F873" s="859"/>
      <c r="G873" s="860"/>
      <c r="H873" s="857"/>
      <c r="I873" s="861"/>
      <c r="J873" s="295"/>
      <c r="K873" s="296">
        <f t="shared" si="14"/>
        <v>0</v>
      </c>
      <c r="L873"/>
    </row>
    <row r="874" spans="1:12">
      <c r="A874" s="855" t="s">
        <v>586</v>
      </c>
      <c r="B874" s="856"/>
      <c r="C874" s="856"/>
      <c r="D874" s="857"/>
      <c r="E874" s="858"/>
      <c r="F874" s="859"/>
      <c r="G874" s="860"/>
      <c r="H874" s="857"/>
      <c r="I874" s="861"/>
      <c r="J874" s="295"/>
      <c r="K874" s="296">
        <f t="shared" si="14"/>
        <v>0</v>
      </c>
      <c r="L874"/>
    </row>
    <row r="875" spans="1:12">
      <c r="A875" s="855" t="s">
        <v>586</v>
      </c>
      <c r="B875" s="856"/>
      <c r="C875" s="856"/>
      <c r="D875" s="857"/>
      <c r="E875" s="858"/>
      <c r="F875" s="859"/>
      <c r="G875" s="860"/>
      <c r="H875" s="857"/>
      <c r="I875" s="861"/>
      <c r="J875" s="295"/>
      <c r="K875" s="296">
        <f t="shared" si="14"/>
        <v>0</v>
      </c>
      <c r="L875"/>
    </row>
    <row r="876" spans="1:12">
      <c r="A876" s="855" t="s">
        <v>586</v>
      </c>
      <c r="B876" s="856"/>
      <c r="C876" s="856"/>
      <c r="D876" s="857"/>
      <c r="E876" s="858"/>
      <c r="F876" s="859"/>
      <c r="G876" s="860"/>
      <c r="H876" s="857"/>
      <c r="I876" s="861"/>
      <c r="J876" s="295"/>
      <c r="K876" s="296">
        <f t="shared" si="14"/>
        <v>0</v>
      </c>
      <c r="L876"/>
    </row>
    <row r="877" spans="1:12">
      <c r="A877" s="855" t="s">
        <v>586</v>
      </c>
      <c r="B877" s="856"/>
      <c r="C877" s="856"/>
      <c r="D877" s="857"/>
      <c r="E877" s="858"/>
      <c r="F877" s="859"/>
      <c r="G877" s="860"/>
      <c r="H877" s="857"/>
      <c r="I877" s="861"/>
      <c r="J877" s="295"/>
      <c r="K877" s="296">
        <f t="shared" si="14"/>
        <v>0</v>
      </c>
      <c r="L877"/>
    </row>
    <row r="878" spans="1:12">
      <c r="A878" s="855" t="s">
        <v>586</v>
      </c>
      <c r="B878" s="856"/>
      <c r="C878" s="856"/>
      <c r="D878" s="857"/>
      <c r="E878" s="858"/>
      <c r="F878" s="859"/>
      <c r="G878" s="860"/>
      <c r="H878" s="857"/>
      <c r="I878" s="861"/>
      <c r="J878" s="295"/>
      <c r="K878" s="296">
        <f t="shared" si="14"/>
        <v>0</v>
      </c>
      <c r="L878"/>
    </row>
    <row r="879" spans="1:12">
      <c r="A879" s="855" t="s">
        <v>586</v>
      </c>
      <c r="B879" s="856"/>
      <c r="C879" s="856"/>
      <c r="D879" s="857"/>
      <c r="E879" s="858"/>
      <c r="F879" s="859"/>
      <c r="G879" s="860"/>
      <c r="H879" s="857"/>
      <c r="I879" s="861"/>
      <c r="J879" s="295"/>
      <c r="K879" s="296">
        <f t="shared" si="14"/>
        <v>0</v>
      </c>
      <c r="L879"/>
    </row>
    <row r="880" spans="1:12">
      <c r="A880" s="855" t="s">
        <v>586</v>
      </c>
      <c r="B880" s="856"/>
      <c r="C880" s="856"/>
      <c r="D880" s="857"/>
      <c r="E880" s="858"/>
      <c r="F880" s="859"/>
      <c r="G880" s="860"/>
      <c r="H880" s="857"/>
      <c r="I880" s="861"/>
      <c r="J880" s="295"/>
      <c r="K880" s="296">
        <f t="shared" si="14"/>
        <v>0</v>
      </c>
      <c r="L880"/>
    </row>
    <row r="881" spans="1:12">
      <c r="A881" s="855" t="s">
        <v>586</v>
      </c>
      <c r="B881" s="856"/>
      <c r="C881" s="856"/>
      <c r="D881" s="857"/>
      <c r="E881" s="858"/>
      <c r="F881" s="859"/>
      <c r="G881" s="860"/>
      <c r="H881" s="857"/>
      <c r="I881" s="861"/>
      <c r="J881" s="295"/>
      <c r="K881" s="296">
        <f t="shared" si="14"/>
        <v>0</v>
      </c>
      <c r="L881"/>
    </row>
    <row r="882" spans="1:12">
      <c r="A882" s="855" t="s">
        <v>586</v>
      </c>
      <c r="B882" s="856"/>
      <c r="C882" s="856"/>
      <c r="D882" s="857"/>
      <c r="E882" s="858"/>
      <c r="F882" s="859"/>
      <c r="G882" s="860"/>
      <c r="H882" s="857"/>
      <c r="I882" s="861"/>
      <c r="J882" s="295"/>
      <c r="K882" s="296">
        <f t="shared" si="14"/>
        <v>0</v>
      </c>
      <c r="L882"/>
    </row>
    <row r="883" spans="1:12">
      <c r="A883" s="855" t="s">
        <v>586</v>
      </c>
      <c r="B883" s="856"/>
      <c r="C883" s="856"/>
      <c r="D883" s="857"/>
      <c r="E883" s="858"/>
      <c r="F883" s="859"/>
      <c r="G883" s="860"/>
      <c r="H883" s="857"/>
      <c r="I883" s="861"/>
      <c r="J883" s="295"/>
      <c r="K883" s="296">
        <f t="shared" si="14"/>
        <v>0</v>
      </c>
      <c r="L883"/>
    </row>
    <row r="884" spans="1:12">
      <c r="A884" s="855" t="s">
        <v>586</v>
      </c>
      <c r="B884" s="856"/>
      <c r="C884" s="856"/>
      <c r="D884" s="857"/>
      <c r="E884" s="858"/>
      <c r="F884" s="859"/>
      <c r="G884" s="860"/>
      <c r="H884" s="857"/>
      <c r="I884" s="861"/>
      <c r="J884" s="295"/>
      <c r="K884" s="296">
        <f t="shared" si="14"/>
        <v>0</v>
      </c>
      <c r="L884"/>
    </row>
    <row r="885" spans="1:12">
      <c r="A885" s="855" t="s">
        <v>590</v>
      </c>
      <c r="B885" s="856"/>
      <c r="C885" s="856"/>
      <c r="D885" s="857"/>
      <c r="E885" s="858"/>
      <c r="F885" s="859"/>
      <c r="G885" s="860"/>
      <c r="H885" s="857"/>
      <c r="I885" s="861"/>
      <c r="J885" s="295"/>
      <c r="K885" s="296">
        <f t="shared" si="14"/>
        <v>0</v>
      </c>
      <c r="L885"/>
    </row>
    <row r="886" spans="1:12">
      <c r="A886" s="855" t="s">
        <v>590</v>
      </c>
      <c r="B886" s="856"/>
      <c r="C886" s="856"/>
      <c r="D886" s="857"/>
      <c r="E886" s="858"/>
      <c r="F886" s="859"/>
      <c r="G886" s="860"/>
      <c r="H886" s="857"/>
      <c r="I886" s="861"/>
      <c r="J886" s="295"/>
      <c r="K886" s="296">
        <f t="shared" si="14"/>
        <v>0</v>
      </c>
      <c r="L886"/>
    </row>
    <row r="887" spans="1:12">
      <c r="A887" s="855" t="s">
        <v>586</v>
      </c>
      <c r="B887" s="856"/>
      <c r="C887" s="856"/>
      <c r="D887" s="857"/>
      <c r="E887" s="858"/>
      <c r="F887" s="859"/>
      <c r="G887" s="860"/>
      <c r="H887" s="857"/>
      <c r="I887" s="861"/>
      <c r="J887" s="295"/>
      <c r="K887" s="296">
        <f t="shared" si="14"/>
        <v>0</v>
      </c>
      <c r="L887"/>
    </row>
    <row r="888" spans="1:12">
      <c r="A888" s="855" t="s">
        <v>586</v>
      </c>
      <c r="B888" s="856"/>
      <c r="C888" s="856"/>
      <c r="D888" s="857"/>
      <c r="E888" s="858"/>
      <c r="F888" s="859"/>
      <c r="G888" s="860"/>
      <c r="H888" s="857"/>
      <c r="I888" s="861"/>
      <c r="J888" s="295"/>
      <c r="K888" s="296">
        <f t="shared" si="14"/>
        <v>0</v>
      </c>
      <c r="L888"/>
    </row>
    <row r="889" spans="1:12">
      <c r="A889" s="855" t="s">
        <v>586</v>
      </c>
      <c r="B889" s="856"/>
      <c r="C889" s="856"/>
      <c r="D889" s="857"/>
      <c r="E889" s="858"/>
      <c r="F889" s="859"/>
      <c r="G889" s="860"/>
      <c r="H889" s="857"/>
      <c r="I889" s="861"/>
      <c r="J889" s="295"/>
      <c r="K889" s="296">
        <f t="shared" si="14"/>
        <v>0</v>
      </c>
      <c r="L889"/>
    </row>
    <row r="890" spans="1:12">
      <c r="A890" s="855" t="s">
        <v>586</v>
      </c>
      <c r="B890" s="856"/>
      <c r="C890" s="856"/>
      <c r="D890" s="857"/>
      <c r="E890" s="858"/>
      <c r="F890" s="859"/>
      <c r="G890" s="860"/>
      <c r="H890" s="857"/>
      <c r="I890" s="861"/>
      <c r="J890" s="295"/>
      <c r="K890" s="296">
        <f t="shared" si="14"/>
        <v>0</v>
      </c>
      <c r="L890"/>
    </row>
    <row r="891" spans="1:12">
      <c r="A891" s="855" t="s">
        <v>586</v>
      </c>
      <c r="B891" s="856"/>
      <c r="C891" s="856"/>
      <c r="D891" s="857"/>
      <c r="E891" s="858"/>
      <c r="F891" s="859"/>
      <c r="G891" s="860"/>
      <c r="H891" s="857"/>
      <c r="I891" s="861"/>
      <c r="J891" s="295"/>
      <c r="K891" s="296">
        <f t="shared" si="14"/>
        <v>0</v>
      </c>
      <c r="L891"/>
    </row>
    <row r="892" spans="1:12">
      <c r="A892" s="855" t="s">
        <v>586</v>
      </c>
      <c r="B892" s="856"/>
      <c r="C892" s="856"/>
      <c r="D892" s="857"/>
      <c r="E892" s="858"/>
      <c r="F892" s="859"/>
      <c r="G892" s="860"/>
      <c r="H892" s="857"/>
      <c r="I892" s="861"/>
      <c r="J892" s="295"/>
      <c r="K892" s="296">
        <f t="shared" si="14"/>
        <v>0</v>
      </c>
      <c r="L892"/>
    </row>
    <row r="893" spans="1:12">
      <c r="A893" s="855" t="s">
        <v>586</v>
      </c>
      <c r="B893" s="856"/>
      <c r="C893" s="856"/>
      <c r="D893" s="857"/>
      <c r="E893" s="858"/>
      <c r="F893" s="859"/>
      <c r="G893" s="860"/>
      <c r="H893" s="857"/>
      <c r="I893" s="861"/>
      <c r="J893" s="295"/>
      <c r="K893" s="296">
        <f t="shared" si="14"/>
        <v>0</v>
      </c>
      <c r="L893"/>
    </row>
    <row r="894" spans="1:12">
      <c r="A894" s="855" t="s">
        <v>586</v>
      </c>
      <c r="B894" s="856"/>
      <c r="C894" s="856"/>
      <c r="D894" s="857"/>
      <c r="E894" s="858"/>
      <c r="F894" s="859"/>
      <c r="G894" s="860"/>
      <c r="H894" s="857"/>
      <c r="I894" s="861"/>
      <c r="J894" s="295"/>
      <c r="K894" s="296">
        <f t="shared" si="14"/>
        <v>0</v>
      </c>
      <c r="L894"/>
    </row>
    <row r="895" spans="1:12">
      <c r="A895" s="855" t="s">
        <v>586</v>
      </c>
      <c r="B895" s="856"/>
      <c r="C895" s="856"/>
      <c r="D895" s="857"/>
      <c r="E895" s="858"/>
      <c r="F895" s="859"/>
      <c r="G895" s="860"/>
      <c r="H895" s="857"/>
      <c r="I895" s="861"/>
      <c r="J895" s="295"/>
      <c r="K895" s="296">
        <f t="shared" si="14"/>
        <v>0</v>
      </c>
      <c r="L895"/>
    </row>
    <row r="896" spans="1:12">
      <c r="A896" s="855" t="s">
        <v>586</v>
      </c>
      <c r="B896" s="856"/>
      <c r="C896" s="856"/>
      <c r="D896" s="857"/>
      <c r="E896" s="858"/>
      <c r="F896" s="859"/>
      <c r="G896" s="860"/>
      <c r="H896" s="857"/>
      <c r="I896" s="861"/>
      <c r="J896" s="295"/>
      <c r="K896" s="296">
        <f t="shared" si="14"/>
        <v>0</v>
      </c>
      <c r="L896"/>
    </row>
    <row r="897" spans="1:12">
      <c r="A897" s="855" t="s">
        <v>586</v>
      </c>
      <c r="B897" s="856"/>
      <c r="C897" s="856"/>
      <c r="D897" s="857"/>
      <c r="E897" s="858"/>
      <c r="F897" s="859"/>
      <c r="G897" s="860"/>
      <c r="H897" s="857"/>
      <c r="I897" s="861"/>
      <c r="J897" s="295"/>
      <c r="K897" s="296">
        <f t="shared" si="14"/>
        <v>0</v>
      </c>
      <c r="L897"/>
    </row>
    <row r="898" spans="1:12">
      <c r="A898" s="855" t="s">
        <v>586</v>
      </c>
      <c r="B898" s="856"/>
      <c r="C898" s="856"/>
      <c r="D898" s="857"/>
      <c r="E898" s="858"/>
      <c r="F898" s="859"/>
      <c r="G898" s="860"/>
      <c r="H898" s="857"/>
      <c r="I898" s="861"/>
      <c r="J898" s="295"/>
      <c r="K898" s="296">
        <f t="shared" si="14"/>
        <v>0</v>
      </c>
      <c r="L898"/>
    </row>
    <row r="899" spans="1:12">
      <c r="A899" s="855" t="s">
        <v>586</v>
      </c>
      <c r="B899" s="856"/>
      <c r="C899" s="856"/>
      <c r="D899" s="857"/>
      <c r="E899" s="858"/>
      <c r="F899" s="859"/>
      <c r="G899" s="860"/>
      <c r="H899" s="857"/>
      <c r="I899" s="861"/>
      <c r="J899" s="295"/>
      <c r="K899" s="296">
        <f t="shared" si="14"/>
        <v>0</v>
      </c>
      <c r="L899"/>
    </row>
    <row r="900" spans="1:12">
      <c r="A900" s="855" t="s">
        <v>586</v>
      </c>
      <c r="B900" s="856"/>
      <c r="C900" s="856"/>
      <c r="D900" s="857"/>
      <c r="E900" s="858"/>
      <c r="F900" s="859"/>
      <c r="G900" s="860"/>
      <c r="H900" s="857"/>
      <c r="I900" s="861"/>
      <c r="J900" s="295"/>
      <c r="K900" s="296">
        <f t="shared" si="14"/>
        <v>0</v>
      </c>
      <c r="L900"/>
    </row>
    <row r="901" spans="1:12">
      <c r="A901" s="855" t="s">
        <v>586</v>
      </c>
      <c r="B901" s="856"/>
      <c r="C901" s="856"/>
      <c r="D901" s="857"/>
      <c r="E901" s="858"/>
      <c r="F901" s="859"/>
      <c r="G901" s="860"/>
      <c r="H901" s="857"/>
      <c r="I901" s="861"/>
      <c r="J901" s="295"/>
      <c r="K901" s="296">
        <f t="shared" si="14"/>
        <v>0</v>
      </c>
      <c r="L901"/>
    </row>
    <row r="902" spans="1:12">
      <c r="A902" s="855" t="s">
        <v>586</v>
      </c>
      <c r="B902" s="856"/>
      <c r="C902" s="856"/>
      <c r="D902" s="857"/>
      <c r="E902" s="858"/>
      <c r="F902" s="859"/>
      <c r="G902" s="860"/>
      <c r="H902" s="857"/>
      <c r="I902" s="861"/>
      <c r="J902" s="295"/>
      <c r="K902" s="296">
        <f t="shared" si="14"/>
        <v>0</v>
      </c>
      <c r="L902"/>
    </row>
    <row r="903" spans="1:12">
      <c r="A903" s="855" t="s">
        <v>590</v>
      </c>
      <c r="B903" s="856"/>
      <c r="C903" s="856"/>
      <c r="D903" s="857"/>
      <c r="E903" s="858"/>
      <c r="F903" s="859"/>
      <c r="G903" s="860"/>
      <c r="H903" s="857"/>
      <c r="I903" s="861"/>
      <c r="J903" s="295"/>
      <c r="K903" s="296">
        <f t="shared" si="14"/>
        <v>0</v>
      </c>
      <c r="L903"/>
    </row>
    <row r="904" spans="1:12">
      <c r="A904" s="855" t="s">
        <v>590</v>
      </c>
      <c r="B904" s="856"/>
      <c r="C904" s="856"/>
      <c r="D904" s="857"/>
      <c r="E904" s="858"/>
      <c r="F904" s="859"/>
      <c r="G904" s="860"/>
      <c r="H904" s="857"/>
      <c r="I904" s="861"/>
      <c r="J904" s="295"/>
      <c r="K904" s="296">
        <f t="shared" si="14"/>
        <v>0</v>
      </c>
      <c r="L904"/>
    </row>
    <row r="905" spans="1:12">
      <c r="A905" s="855" t="s">
        <v>590</v>
      </c>
      <c r="B905" s="856"/>
      <c r="C905" s="856"/>
      <c r="D905" s="857"/>
      <c r="E905" s="858"/>
      <c r="F905" s="859"/>
      <c r="G905" s="860"/>
      <c r="H905" s="857"/>
      <c r="I905" s="861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55" t="s">
        <v>590</v>
      </c>
      <c r="B906" s="856"/>
      <c r="C906" s="856"/>
      <c r="D906" s="857"/>
      <c r="E906" s="858"/>
      <c r="F906" s="859"/>
      <c r="G906" s="860"/>
      <c r="H906" s="857"/>
      <c r="I906" s="861"/>
      <c r="J906" s="295"/>
      <c r="K906" s="296">
        <f t="shared" si="15"/>
        <v>0</v>
      </c>
      <c r="L906"/>
    </row>
    <row r="907" spans="1:12">
      <c r="A907" s="855" t="s">
        <v>590</v>
      </c>
      <c r="B907" s="856"/>
      <c r="C907" s="856"/>
      <c r="D907" s="857"/>
      <c r="E907" s="858"/>
      <c r="F907" s="859"/>
      <c r="G907" s="860"/>
      <c r="H907" s="857"/>
      <c r="I907" s="861"/>
      <c r="J907" s="295"/>
      <c r="K907" s="296">
        <f t="shared" si="15"/>
        <v>0</v>
      </c>
      <c r="L907"/>
    </row>
    <row r="908" spans="1:12">
      <c r="A908" s="855" t="s">
        <v>590</v>
      </c>
      <c r="B908" s="856"/>
      <c r="C908" s="856"/>
      <c r="D908" s="857"/>
      <c r="E908" s="858"/>
      <c r="F908" s="859"/>
      <c r="G908" s="860"/>
      <c r="H908" s="857"/>
      <c r="I908" s="861"/>
      <c r="J908" s="295"/>
      <c r="K908" s="296">
        <f t="shared" si="15"/>
        <v>0</v>
      </c>
      <c r="L908"/>
    </row>
    <row r="909" spans="1:12">
      <c r="A909" s="855" t="s">
        <v>590</v>
      </c>
      <c r="B909" s="856"/>
      <c r="C909" s="856"/>
      <c r="D909" s="857"/>
      <c r="E909" s="858"/>
      <c r="F909" s="859"/>
      <c r="G909" s="860"/>
      <c r="H909" s="857"/>
      <c r="I909" s="861"/>
      <c r="J909" s="295"/>
      <c r="K909" s="296">
        <f t="shared" si="15"/>
        <v>0</v>
      </c>
      <c r="L909"/>
    </row>
    <row r="910" spans="1:12">
      <c r="A910" s="855" t="s">
        <v>586</v>
      </c>
      <c r="B910" s="856"/>
      <c r="C910" s="856"/>
      <c r="D910" s="857"/>
      <c r="E910" s="858"/>
      <c r="F910" s="859"/>
      <c r="G910" s="860"/>
      <c r="H910" s="857"/>
      <c r="I910" s="861"/>
      <c r="J910" s="295"/>
      <c r="K910" s="296">
        <f t="shared" si="15"/>
        <v>0</v>
      </c>
      <c r="L910"/>
    </row>
    <row r="911" spans="1:12">
      <c r="A911" s="855" t="s">
        <v>586</v>
      </c>
      <c r="B911" s="856"/>
      <c r="C911" s="856"/>
      <c r="D911" s="857"/>
      <c r="E911" s="858"/>
      <c r="F911" s="859"/>
      <c r="G911" s="860"/>
      <c r="H911" s="857"/>
      <c r="I911" s="861"/>
      <c r="J911" s="295"/>
      <c r="K911" s="296">
        <f t="shared" si="15"/>
        <v>0</v>
      </c>
      <c r="L911"/>
    </row>
    <row r="912" spans="1:12">
      <c r="A912" s="855" t="s">
        <v>586</v>
      </c>
      <c r="B912" s="856"/>
      <c r="C912" s="856"/>
      <c r="D912" s="857"/>
      <c r="E912" s="858"/>
      <c r="F912" s="859"/>
      <c r="G912" s="860"/>
      <c r="H912" s="857"/>
      <c r="I912" s="861"/>
      <c r="J912" s="295"/>
      <c r="K912" s="296">
        <f t="shared" si="15"/>
        <v>0</v>
      </c>
      <c r="L912"/>
    </row>
    <row r="913" spans="1:12">
      <c r="A913" s="855" t="s">
        <v>586</v>
      </c>
      <c r="B913" s="856"/>
      <c r="C913" s="856"/>
      <c r="D913" s="857"/>
      <c r="E913" s="858"/>
      <c r="F913" s="859"/>
      <c r="G913" s="860"/>
      <c r="H913" s="857"/>
      <c r="I913" s="861"/>
      <c r="J913" s="295"/>
      <c r="K913" s="296">
        <f t="shared" si="15"/>
        <v>0</v>
      </c>
      <c r="L913"/>
    </row>
    <row r="914" spans="1:12">
      <c r="A914" s="855" t="s">
        <v>586</v>
      </c>
      <c r="B914" s="856"/>
      <c r="C914" s="856"/>
      <c r="D914" s="857"/>
      <c r="E914" s="858"/>
      <c r="F914" s="859"/>
      <c r="G914" s="860"/>
      <c r="H914" s="857"/>
      <c r="I914" s="861"/>
      <c r="J914" s="295"/>
      <c r="K914" s="296">
        <f t="shared" si="15"/>
        <v>0</v>
      </c>
      <c r="L914"/>
    </row>
    <row r="915" spans="1:12">
      <c r="A915" s="855" t="s">
        <v>586</v>
      </c>
      <c r="B915" s="856"/>
      <c r="C915" s="856"/>
      <c r="D915" s="857"/>
      <c r="E915" s="858"/>
      <c r="F915" s="859"/>
      <c r="G915" s="860"/>
      <c r="H915" s="857"/>
      <c r="I915" s="861"/>
      <c r="J915" s="295"/>
      <c r="K915" s="296">
        <f t="shared" si="15"/>
        <v>0</v>
      </c>
      <c r="L915"/>
    </row>
    <row r="916" spans="1:12">
      <c r="A916" s="855" t="s">
        <v>586</v>
      </c>
      <c r="B916" s="856"/>
      <c r="C916" s="856"/>
      <c r="D916" s="857"/>
      <c r="E916" s="858"/>
      <c r="F916" s="859"/>
      <c r="G916" s="860"/>
      <c r="H916" s="857"/>
      <c r="I916" s="861"/>
      <c r="J916" s="295"/>
      <c r="K916" s="296">
        <f t="shared" si="15"/>
        <v>0</v>
      </c>
      <c r="L916"/>
    </row>
    <row r="917" spans="1:12">
      <c r="A917" s="855" t="s">
        <v>586</v>
      </c>
      <c r="B917" s="856"/>
      <c r="C917" s="856"/>
      <c r="D917" s="857"/>
      <c r="E917" s="858"/>
      <c r="F917" s="859"/>
      <c r="G917" s="860"/>
      <c r="H917" s="857"/>
      <c r="I917" s="861"/>
      <c r="J917" s="295"/>
      <c r="K917" s="296">
        <f t="shared" si="15"/>
        <v>0</v>
      </c>
      <c r="L917"/>
    </row>
    <row r="918" spans="1:12">
      <c r="A918" s="855" t="s">
        <v>586</v>
      </c>
      <c r="B918" s="856"/>
      <c r="C918" s="856"/>
      <c r="D918" s="857"/>
      <c r="E918" s="858"/>
      <c r="F918" s="859"/>
      <c r="G918" s="860"/>
      <c r="H918" s="857"/>
      <c r="I918" s="861"/>
      <c r="J918" s="295"/>
      <c r="K918" s="296">
        <f t="shared" si="15"/>
        <v>0</v>
      </c>
      <c r="L918"/>
    </row>
    <row r="919" spans="1:12">
      <c r="A919" s="855" t="s">
        <v>590</v>
      </c>
      <c r="B919" s="856"/>
      <c r="C919" s="856"/>
      <c r="D919" s="857"/>
      <c r="E919" s="858"/>
      <c r="F919" s="859"/>
      <c r="G919" s="860"/>
      <c r="H919" s="857"/>
      <c r="I919" s="861"/>
      <c r="J919" s="295"/>
      <c r="K919" s="296">
        <f t="shared" si="15"/>
        <v>0</v>
      </c>
      <c r="L919"/>
    </row>
    <row r="920" spans="1:12">
      <c r="A920" s="855" t="s">
        <v>586</v>
      </c>
      <c r="B920" s="856"/>
      <c r="C920" s="856"/>
      <c r="D920" s="857"/>
      <c r="E920" s="858"/>
      <c r="F920" s="859"/>
      <c r="G920" s="860"/>
      <c r="H920" s="857"/>
      <c r="I920" s="861"/>
      <c r="J920" s="295"/>
      <c r="K920" s="296">
        <f t="shared" si="15"/>
        <v>0</v>
      </c>
      <c r="L920"/>
    </row>
    <row r="921" spans="1:12">
      <c r="A921" s="855" t="s">
        <v>586</v>
      </c>
      <c r="B921" s="856"/>
      <c r="C921" s="856"/>
      <c r="D921" s="857"/>
      <c r="E921" s="858"/>
      <c r="F921" s="859"/>
      <c r="G921" s="860"/>
      <c r="H921" s="857"/>
      <c r="I921" s="861"/>
      <c r="J921" s="295"/>
      <c r="K921" s="296">
        <f t="shared" si="15"/>
        <v>0</v>
      </c>
      <c r="L921"/>
    </row>
    <row r="922" spans="1:12">
      <c r="A922" s="855" t="s">
        <v>590</v>
      </c>
      <c r="B922" s="856"/>
      <c r="C922" s="856"/>
      <c r="D922" s="857"/>
      <c r="E922" s="858"/>
      <c r="F922" s="859"/>
      <c r="G922" s="860"/>
      <c r="H922" s="857"/>
      <c r="I922" s="861"/>
      <c r="J922" s="295"/>
      <c r="K922" s="296">
        <f t="shared" si="15"/>
        <v>0</v>
      </c>
      <c r="L922"/>
    </row>
    <row r="923" spans="1:12">
      <c r="A923" s="855" t="s">
        <v>586</v>
      </c>
      <c r="B923" s="856"/>
      <c r="C923" s="856"/>
      <c r="D923" s="857"/>
      <c r="E923" s="858"/>
      <c r="F923" s="859"/>
      <c r="G923" s="860"/>
      <c r="H923" s="857"/>
      <c r="I923" s="861"/>
      <c r="J923" s="295"/>
      <c r="K923" s="296">
        <f t="shared" si="15"/>
        <v>0</v>
      </c>
      <c r="L923"/>
    </row>
    <row r="924" spans="1:12">
      <c r="A924" s="855" t="s">
        <v>586</v>
      </c>
      <c r="B924" s="856"/>
      <c r="C924" s="856"/>
      <c r="D924" s="857"/>
      <c r="E924" s="858"/>
      <c r="F924" s="859"/>
      <c r="G924" s="860"/>
      <c r="H924" s="857"/>
      <c r="I924" s="861"/>
      <c r="J924" s="295"/>
      <c r="K924" s="296">
        <f t="shared" si="15"/>
        <v>0</v>
      </c>
      <c r="L924"/>
    </row>
    <row r="925" spans="1:12">
      <c r="A925" s="855" t="s">
        <v>586</v>
      </c>
      <c r="B925" s="856"/>
      <c r="C925" s="856"/>
      <c r="D925" s="857"/>
      <c r="E925" s="858"/>
      <c r="F925" s="859"/>
      <c r="G925" s="860"/>
      <c r="H925" s="857"/>
      <c r="I925" s="861"/>
      <c r="J925" s="295"/>
      <c r="K925" s="296">
        <f t="shared" si="15"/>
        <v>0</v>
      </c>
      <c r="L925"/>
    </row>
    <row r="926" spans="1:12">
      <c r="A926" s="855" t="s">
        <v>590</v>
      </c>
      <c r="B926" s="856"/>
      <c r="C926" s="856"/>
      <c r="D926" s="857"/>
      <c r="E926" s="858"/>
      <c r="F926" s="859"/>
      <c r="G926" s="860"/>
      <c r="H926" s="857"/>
      <c r="I926" s="861"/>
      <c r="J926" s="295"/>
      <c r="K926" s="296">
        <f t="shared" si="15"/>
        <v>0</v>
      </c>
      <c r="L926"/>
    </row>
    <row r="927" spans="1:12">
      <c r="A927" s="855" t="s">
        <v>590</v>
      </c>
      <c r="B927" s="856"/>
      <c r="C927" s="856"/>
      <c r="D927" s="857"/>
      <c r="E927" s="858"/>
      <c r="F927" s="859"/>
      <c r="G927" s="860"/>
      <c r="H927" s="857"/>
      <c r="I927" s="861"/>
      <c r="J927" s="295"/>
      <c r="K927" s="296">
        <f t="shared" si="15"/>
        <v>0</v>
      </c>
      <c r="L927"/>
    </row>
    <row r="928" spans="1:12">
      <c r="A928" s="855" t="s">
        <v>590</v>
      </c>
      <c r="B928" s="856"/>
      <c r="C928" s="856"/>
      <c r="D928" s="857"/>
      <c r="E928" s="858"/>
      <c r="F928" s="859"/>
      <c r="G928" s="860"/>
      <c r="H928" s="857"/>
      <c r="I928" s="861"/>
      <c r="J928" s="295"/>
      <c r="K928" s="296">
        <f t="shared" si="15"/>
        <v>0</v>
      </c>
      <c r="L928"/>
    </row>
    <row r="929" spans="1:12">
      <c r="A929" s="855" t="s">
        <v>590</v>
      </c>
      <c r="B929" s="856"/>
      <c r="C929" s="856"/>
      <c r="D929" s="857"/>
      <c r="E929" s="858"/>
      <c r="F929" s="859"/>
      <c r="G929" s="860"/>
      <c r="H929" s="857"/>
      <c r="I929" s="861"/>
      <c r="J929" s="295"/>
      <c r="K929" s="296">
        <f t="shared" si="15"/>
        <v>0</v>
      </c>
      <c r="L929"/>
    </row>
    <row r="930" spans="1:12">
      <c r="A930" s="855" t="s">
        <v>586</v>
      </c>
      <c r="B930" s="856"/>
      <c r="C930" s="856"/>
      <c r="D930" s="857"/>
      <c r="E930" s="858"/>
      <c r="F930" s="859"/>
      <c r="G930" s="860"/>
      <c r="H930" s="857"/>
      <c r="I930" s="861"/>
      <c r="J930" s="295"/>
      <c r="K930" s="296">
        <f t="shared" si="15"/>
        <v>0</v>
      </c>
      <c r="L930"/>
    </row>
    <row r="931" spans="1:12">
      <c r="A931" s="855" t="s">
        <v>586</v>
      </c>
      <c r="B931" s="856"/>
      <c r="C931" s="856"/>
      <c r="D931" s="857"/>
      <c r="E931" s="858"/>
      <c r="F931" s="859"/>
      <c r="G931" s="860"/>
      <c r="H931" s="857"/>
      <c r="I931" s="861"/>
      <c r="J931" s="295"/>
      <c r="K931" s="296">
        <f t="shared" si="15"/>
        <v>0</v>
      </c>
      <c r="L931"/>
    </row>
    <row r="932" spans="1:12">
      <c r="A932" s="855" t="s">
        <v>590</v>
      </c>
      <c r="B932" s="856"/>
      <c r="C932" s="856"/>
      <c r="D932" s="857"/>
      <c r="E932" s="858"/>
      <c r="F932" s="859"/>
      <c r="G932" s="860"/>
      <c r="H932" s="857"/>
      <c r="I932" s="861"/>
      <c r="J932" s="295"/>
      <c r="K932" s="296">
        <f t="shared" si="15"/>
        <v>0</v>
      </c>
      <c r="L932"/>
    </row>
    <row r="933" spans="1:12">
      <c r="A933" s="855" t="s">
        <v>590</v>
      </c>
      <c r="B933" s="856"/>
      <c r="C933" s="856"/>
      <c r="D933" s="857"/>
      <c r="E933" s="858"/>
      <c r="F933" s="859"/>
      <c r="G933" s="860"/>
      <c r="H933" s="857"/>
      <c r="I933" s="861"/>
      <c r="J933" s="295"/>
      <c r="K933" s="296">
        <f t="shared" si="15"/>
        <v>0</v>
      </c>
      <c r="L933"/>
    </row>
    <row r="934" spans="1:12">
      <c r="A934" s="855" t="s">
        <v>586</v>
      </c>
      <c r="B934" s="856"/>
      <c r="C934" s="856"/>
      <c r="D934" s="857"/>
      <c r="E934" s="858"/>
      <c r="F934" s="859"/>
      <c r="G934" s="860"/>
      <c r="H934" s="857"/>
      <c r="I934" s="861"/>
      <c r="J934" s="295"/>
      <c r="K934" s="296">
        <f t="shared" si="15"/>
        <v>0</v>
      </c>
      <c r="L934"/>
    </row>
    <row r="935" spans="1:12">
      <c r="A935" s="855" t="s">
        <v>590</v>
      </c>
      <c r="B935" s="856"/>
      <c r="C935" s="856"/>
      <c r="D935" s="857"/>
      <c r="E935" s="858"/>
      <c r="F935" s="859"/>
      <c r="G935" s="860"/>
      <c r="H935" s="857"/>
      <c r="I935" s="861"/>
      <c r="J935" s="295"/>
      <c r="K935" s="296">
        <f t="shared" si="15"/>
        <v>0</v>
      </c>
      <c r="L935"/>
    </row>
    <row r="936" spans="1:12">
      <c r="A936" s="855" t="s">
        <v>590</v>
      </c>
      <c r="B936" s="856"/>
      <c r="C936" s="856"/>
      <c r="D936" s="857"/>
      <c r="E936" s="858"/>
      <c r="F936" s="859"/>
      <c r="G936" s="860"/>
      <c r="H936" s="857"/>
      <c r="I936" s="861"/>
      <c r="J936" s="295"/>
      <c r="K936" s="296">
        <f t="shared" si="15"/>
        <v>0</v>
      </c>
      <c r="L936"/>
    </row>
    <row r="937" spans="1:12">
      <c r="A937" s="855" t="s">
        <v>590</v>
      </c>
      <c r="B937" s="856"/>
      <c r="C937" s="856"/>
      <c r="D937" s="857"/>
      <c r="E937" s="858"/>
      <c r="F937" s="859"/>
      <c r="G937" s="860"/>
      <c r="H937" s="857"/>
      <c r="I937" s="861"/>
      <c r="J937" s="295"/>
      <c r="K937" s="296">
        <f t="shared" si="15"/>
        <v>0</v>
      </c>
      <c r="L937"/>
    </row>
    <row r="938" spans="1:12">
      <c r="A938" s="855" t="s">
        <v>590</v>
      </c>
      <c r="B938" s="856"/>
      <c r="C938" s="856"/>
      <c r="D938" s="857"/>
      <c r="E938" s="858"/>
      <c r="F938" s="859"/>
      <c r="G938" s="860"/>
      <c r="H938" s="857"/>
      <c r="I938" s="861"/>
      <c r="J938" s="295"/>
      <c r="K938" s="296">
        <f t="shared" si="15"/>
        <v>0</v>
      </c>
      <c r="L938"/>
    </row>
    <row r="939" spans="1:12">
      <c r="A939" s="855" t="s">
        <v>590</v>
      </c>
      <c r="B939" s="856"/>
      <c r="C939" s="856"/>
      <c r="D939" s="857"/>
      <c r="E939" s="858"/>
      <c r="F939" s="859"/>
      <c r="G939" s="860"/>
      <c r="H939" s="857"/>
      <c r="I939" s="861"/>
      <c r="J939" s="295"/>
      <c r="K939" s="296">
        <f t="shared" si="15"/>
        <v>0</v>
      </c>
      <c r="L939"/>
    </row>
    <row r="940" spans="1:12">
      <c r="A940" s="855" t="s">
        <v>590</v>
      </c>
      <c r="B940" s="856"/>
      <c r="C940" s="856"/>
      <c r="D940" s="857"/>
      <c r="E940" s="858"/>
      <c r="F940" s="859"/>
      <c r="G940" s="860"/>
      <c r="H940" s="857"/>
      <c r="I940" s="861"/>
      <c r="J940" s="295"/>
      <c r="K940" s="296">
        <f t="shared" si="15"/>
        <v>0</v>
      </c>
      <c r="L940"/>
    </row>
    <row r="941" spans="1:12">
      <c r="A941" s="855" t="s">
        <v>586</v>
      </c>
      <c r="B941" s="856"/>
      <c r="C941" s="856"/>
      <c r="D941" s="857"/>
      <c r="E941" s="858"/>
      <c r="F941" s="859"/>
      <c r="G941" s="860"/>
      <c r="H941" s="857"/>
      <c r="I941" s="861"/>
      <c r="J941" s="295"/>
      <c r="K941" s="296">
        <f t="shared" si="15"/>
        <v>0</v>
      </c>
      <c r="L941"/>
    </row>
    <row r="942" spans="1:12">
      <c r="A942" s="855" t="s">
        <v>586</v>
      </c>
      <c r="B942" s="856"/>
      <c r="C942" s="856"/>
      <c r="D942" s="857"/>
      <c r="E942" s="858"/>
      <c r="F942" s="859"/>
      <c r="G942" s="860"/>
      <c r="H942" s="857"/>
      <c r="I942" s="861"/>
      <c r="J942" s="295"/>
      <c r="K942" s="296">
        <f t="shared" si="15"/>
        <v>0</v>
      </c>
      <c r="L942"/>
    </row>
    <row r="943" spans="1:12">
      <c r="A943" s="855" t="s">
        <v>586</v>
      </c>
      <c r="B943" s="856"/>
      <c r="C943" s="856"/>
      <c r="D943" s="857"/>
      <c r="E943" s="858"/>
      <c r="F943" s="859"/>
      <c r="G943" s="860"/>
      <c r="H943" s="857"/>
      <c r="I943" s="861"/>
      <c r="J943" s="295"/>
      <c r="K943" s="296">
        <f t="shared" si="15"/>
        <v>0</v>
      </c>
      <c r="L943"/>
    </row>
    <row r="944" spans="1:12">
      <c r="A944" s="855" t="s">
        <v>586</v>
      </c>
      <c r="B944" s="856"/>
      <c r="C944" s="856"/>
      <c r="D944" s="857"/>
      <c r="E944" s="858"/>
      <c r="F944" s="859"/>
      <c r="G944" s="860"/>
      <c r="H944" s="857"/>
      <c r="I944" s="861"/>
      <c r="J944" s="295"/>
      <c r="K944" s="296">
        <f t="shared" si="15"/>
        <v>0</v>
      </c>
      <c r="L944"/>
    </row>
    <row r="945" spans="1:12">
      <c r="A945" s="855" t="s">
        <v>590</v>
      </c>
      <c r="B945" s="856"/>
      <c r="C945" s="856"/>
      <c r="D945" s="857"/>
      <c r="E945" s="858"/>
      <c r="F945" s="859"/>
      <c r="G945" s="860"/>
      <c r="H945" s="857"/>
      <c r="I945" s="861"/>
      <c r="J945" s="295"/>
      <c r="K945" s="296">
        <f t="shared" si="15"/>
        <v>0</v>
      </c>
      <c r="L945"/>
    </row>
    <row r="946" spans="1:12">
      <c r="A946" s="855" t="s">
        <v>590</v>
      </c>
      <c r="B946" s="856"/>
      <c r="C946" s="856"/>
      <c r="D946" s="857"/>
      <c r="E946" s="858"/>
      <c r="F946" s="859"/>
      <c r="G946" s="860"/>
      <c r="H946" s="857"/>
      <c r="I946" s="861"/>
      <c r="J946" s="295"/>
      <c r="K946" s="296">
        <f t="shared" si="15"/>
        <v>0</v>
      </c>
      <c r="L946"/>
    </row>
    <row r="947" spans="1:12">
      <c r="A947" s="855" t="s">
        <v>586</v>
      </c>
      <c r="B947" s="856"/>
      <c r="C947" s="856"/>
      <c r="D947" s="857"/>
      <c r="E947" s="858"/>
      <c r="F947" s="859"/>
      <c r="G947" s="860"/>
      <c r="H947" s="857"/>
      <c r="I947" s="861"/>
      <c r="J947" s="295"/>
      <c r="K947" s="296">
        <f t="shared" si="15"/>
        <v>0</v>
      </c>
      <c r="L947"/>
    </row>
    <row r="948" spans="1:12">
      <c r="A948" s="855" t="s">
        <v>586</v>
      </c>
      <c r="B948" s="856"/>
      <c r="C948" s="856"/>
      <c r="D948" s="857"/>
      <c r="E948" s="858"/>
      <c r="F948" s="859"/>
      <c r="G948" s="860"/>
      <c r="H948" s="857"/>
      <c r="I948" s="861"/>
      <c r="J948" s="295"/>
      <c r="K948" s="296">
        <f t="shared" si="15"/>
        <v>0</v>
      </c>
      <c r="L948"/>
    </row>
    <row r="949" spans="1:12">
      <c r="A949" s="855" t="s">
        <v>586</v>
      </c>
      <c r="B949" s="856"/>
      <c r="C949" s="856"/>
      <c r="D949" s="857"/>
      <c r="E949" s="858"/>
      <c r="F949" s="859"/>
      <c r="G949" s="860"/>
      <c r="H949" s="857"/>
      <c r="I949" s="861"/>
      <c r="J949" s="295"/>
      <c r="K949" s="296">
        <f t="shared" si="15"/>
        <v>0</v>
      </c>
      <c r="L949"/>
    </row>
    <row r="950" spans="1:12">
      <c r="A950" s="855" t="s">
        <v>586</v>
      </c>
      <c r="B950" s="856"/>
      <c r="C950" s="856"/>
      <c r="D950" s="857"/>
      <c r="E950" s="858"/>
      <c r="F950" s="859"/>
      <c r="G950" s="860"/>
      <c r="H950" s="857"/>
      <c r="I950" s="861"/>
      <c r="J950" s="295"/>
      <c r="K950" s="296">
        <f t="shared" si="15"/>
        <v>0</v>
      </c>
      <c r="L950"/>
    </row>
    <row r="951" spans="1:12">
      <c r="A951" s="855" t="s">
        <v>586</v>
      </c>
      <c r="B951" s="856"/>
      <c r="C951" s="856"/>
      <c r="D951" s="857"/>
      <c r="E951" s="858"/>
      <c r="F951" s="859"/>
      <c r="G951" s="860"/>
      <c r="H951" s="857"/>
      <c r="I951" s="861"/>
      <c r="J951" s="295"/>
      <c r="K951" s="296">
        <f t="shared" si="15"/>
        <v>0</v>
      </c>
      <c r="L951"/>
    </row>
    <row r="952" spans="1:12">
      <c r="A952" s="855" t="s">
        <v>590</v>
      </c>
      <c r="B952" s="856"/>
      <c r="C952" s="856"/>
      <c r="D952" s="857"/>
      <c r="E952" s="858"/>
      <c r="F952" s="859"/>
      <c r="G952" s="860"/>
      <c r="H952" s="857"/>
      <c r="I952" s="861"/>
      <c r="J952" s="295"/>
      <c r="K952" s="296">
        <f t="shared" si="15"/>
        <v>0</v>
      </c>
      <c r="L952"/>
    </row>
    <row r="953" spans="1:12">
      <c r="A953" s="855" t="s">
        <v>590</v>
      </c>
      <c r="B953" s="856"/>
      <c r="C953" s="856"/>
      <c r="D953" s="857"/>
      <c r="E953" s="858"/>
      <c r="F953" s="859"/>
      <c r="G953" s="860"/>
      <c r="H953" s="857"/>
      <c r="I953" s="861"/>
      <c r="J953" s="295"/>
      <c r="K953" s="296">
        <f t="shared" si="15"/>
        <v>0</v>
      </c>
      <c r="L953"/>
    </row>
    <row r="954" spans="1:12">
      <c r="A954" s="855" t="s">
        <v>586</v>
      </c>
      <c r="B954" s="856"/>
      <c r="C954" s="856"/>
      <c r="D954" s="857"/>
      <c r="E954" s="858"/>
      <c r="F954" s="859"/>
      <c r="G954" s="860"/>
      <c r="H954" s="857"/>
      <c r="I954" s="861"/>
      <c r="J954" s="295"/>
      <c r="K954" s="296">
        <f t="shared" si="15"/>
        <v>0</v>
      </c>
      <c r="L954"/>
    </row>
    <row r="955" spans="1:12">
      <c r="A955" s="855" t="s">
        <v>586</v>
      </c>
      <c r="B955" s="856"/>
      <c r="C955" s="856"/>
      <c r="D955" s="857"/>
      <c r="E955" s="858"/>
      <c r="F955" s="859"/>
      <c r="G955" s="860"/>
      <c r="H955" s="857"/>
      <c r="I955" s="861"/>
      <c r="J955" s="295"/>
      <c r="K955" s="296">
        <f t="shared" si="15"/>
        <v>0</v>
      </c>
      <c r="L955"/>
    </row>
    <row r="956" spans="1:12">
      <c r="A956" s="855" t="s">
        <v>586</v>
      </c>
      <c r="B956" s="856"/>
      <c r="C956" s="856"/>
      <c r="D956" s="857"/>
      <c r="E956" s="858"/>
      <c r="F956" s="859"/>
      <c r="G956" s="860"/>
      <c r="H956" s="857"/>
      <c r="I956" s="861"/>
      <c r="J956" s="295"/>
      <c r="K956" s="296">
        <f t="shared" si="15"/>
        <v>0</v>
      </c>
      <c r="L956"/>
    </row>
    <row r="957" spans="1:12">
      <c r="A957" s="855" t="s">
        <v>586</v>
      </c>
      <c r="B957" s="856"/>
      <c r="C957" s="856"/>
      <c r="D957" s="857"/>
      <c r="E957" s="858"/>
      <c r="F957" s="859"/>
      <c r="G957" s="860"/>
      <c r="H957" s="857"/>
      <c r="I957" s="861"/>
      <c r="J957" s="295"/>
      <c r="K957" s="296">
        <f t="shared" si="15"/>
        <v>0</v>
      </c>
      <c r="L957"/>
    </row>
    <row r="958" spans="1:12">
      <c r="A958" s="855" t="s">
        <v>586</v>
      </c>
      <c r="B958" s="856"/>
      <c r="C958" s="856"/>
      <c r="D958" s="857"/>
      <c r="E958" s="858"/>
      <c r="F958" s="859"/>
      <c r="G958" s="860"/>
      <c r="H958" s="857"/>
      <c r="I958" s="861"/>
      <c r="J958" s="295"/>
      <c r="K958" s="296">
        <f t="shared" si="15"/>
        <v>0</v>
      </c>
      <c r="L958"/>
    </row>
    <row r="959" spans="1:12">
      <c r="A959" s="855" t="s">
        <v>586</v>
      </c>
      <c r="B959" s="856"/>
      <c r="C959" s="856"/>
      <c r="D959" s="857"/>
      <c r="E959" s="858"/>
      <c r="F959" s="859"/>
      <c r="G959" s="860"/>
      <c r="H959" s="857"/>
      <c r="I959" s="861"/>
      <c r="J959" s="295"/>
      <c r="K959" s="296">
        <f t="shared" si="15"/>
        <v>0</v>
      </c>
      <c r="L959"/>
    </row>
    <row r="960" spans="1:12">
      <c r="A960" s="855" t="s">
        <v>586</v>
      </c>
      <c r="B960" s="856"/>
      <c r="C960" s="856"/>
      <c r="D960" s="857"/>
      <c r="E960" s="858"/>
      <c r="F960" s="859"/>
      <c r="G960" s="860"/>
      <c r="H960" s="857"/>
      <c r="I960" s="861"/>
      <c r="J960" s="295"/>
      <c r="K960" s="296">
        <f t="shared" si="15"/>
        <v>0</v>
      </c>
      <c r="L960"/>
    </row>
    <row r="961" spans="1:12">
      <c r="A961" s="855" t="s">
        <v>586</v>
      </c>
      <c r="B961" s="856"/>
      <c r="C961" s="856"/>
      <c r="D961" s="857"/>
      <c r="E961" s="858"/>
      <c r="F961" s="859"/>
      <c r="G961" s="860"/>
      <c r="H961" s="857"/>
      <c r="I961" s="861"/>
      <c r="J961" s="295"/>
      <c r="K961" s="296">
        <f t="shared" si="15"/>
        <v>0</v>
      </c>
      <c r="L961"/>
    </row>
    <row r="962" spans="1:12">
      <c r="A962" s="855" t="s">
        <v>586</v>
      </c>
      <c r="B962" s="856"/>
      <c r="C962" s="856"/>
      <c r="D962" s="857"/>
      <c r="E962" s="858"/>
      <c r="F962" s="859"/>
      <c r="G962" s="860"/>
      <c r="H962" s="857"/>
      <c r="I962" s="861"/>
      <c r="J962" s="295"/>
      <c r="K962" s="296">
        <f t="shared" si="15"/>
        <v>0</v>
      </c>
      <c r="L962"/>
    </row>
    <row r="963" spans="1:12">
      <c r="A963" s="855" t="s">
        <v>586</v>
      </c>
      <c r="B963" s="856"/>
      <c r="C963" s="856"/>
      <c r="D963" s="857"/>
      <c r="E963" s="858"/>
      <c r="F963" s="859"/>
      <c r="G963" s="860"/>
      <c r="H963" s="857"/>
      <c r="I963" s="861"/>
      <c r="J963" s="295"/>
      <c r="K963" s="296">
        <f t="shared" si="15"/>
        <v>0</v>
      </c>
      <c r="L963"/>
    </row>
    <row r="964" spans="1:12">
      <c r="A964" s="855" t="s">
        <v>586</v>
      </c>
      <c r="B964" s="856"/>
      <c r="C964" s="856"/>
      <c r="D964" s="857"/>
      <c r="E964" s="858"/>
      <c r="F964" s="859"/>
      <c r="G964" s="860"/>
      <c r="H964" s="857"/>
      <c r="I964" s="861"/>
      <c r="J964" s="295"/>
      <c r="K964" s="296">
        <f t="shared" si="15"/>
        <v>0</v>
      </c>
      <c r="L964"/>
    </row>
    <row r="965" spans="1:12">
      <c r="A965" s="855" t="s">
        <v>586</v>
      </c>
      <c r="B965" s="856"/>
      <c r="C965" s="856"/>
      <c r="D965" s="857"/>
      <c r="E965" s="858"/>
      <c r="F965" s="859"/>
      <c r="G965" s="860"/>
      <c r="H965" s="857"/>
      <c r="I965" s="861"/>
      <c r="J965" s="295"/>
      <c r="K965" s="296">
        <f t="shared" si="15"/>
        <v>0</v>
      </c>
      <c r="L965"/>
    </row>
    <row r="966" spans="1:12">
      <c r="A966" s="855" t="s">
        <v>586</v>
      </c>
      <c r="B966" s="856"/>
      <c r="C966" s="856"/>
      <c r="D966" s="857"/>
      <c r="E966" s="858"/>
      <c r="F966" s="859"/>
      <c r="G966" s="860"/>
      <c r="H966" s="857"/>
      <c r="I966" s="861"/>
      <c r="J966" s="295"/>
      <c r="K966" s="296">
        <f t="shared" si="15"/>
        <v>0</v>
      </c>
      <c r="L966"/>
    </row>
    <row r="967" spans="1:12">
      <c r="A967" s="855" t="s">
        <v>590</v>
      </c>
      <c r="B967" s="856"/>
      <c r="C967" s="856"/>
      <c r="D967" s="857"/>
      <c r="E967" s="858"/>
      <c r="F967" s="859"/>
      <c r="G967" s="860"/>
      <c r="H967" s="857"/>
      <c r="I967" s="861"/>
      <c r="J967" s="295"/>
      <c r="K967" s="296">
        <f t="shared" si="15"/>
        <v>0</v>
      </c>
      <c r="L967"/>
    </row>
    <row r="968" spans="1:12">
      <c r="A968" s="855" t="s">
        <v>586</v>
      </c>
      <c r="B968" s="856"/>
      <c r="C968" s="856"/>
      <c r="D968" s="857"/>
      <c r="E968" s="858"/>
      <c r="F968" s="859"/>
      <c r="G968" s="860"/>
      <c r="H968" s="857"/>
      <c r="I968" s="861"/>
      <c r="J968" s="295"/>
      <c r="K968" s="296">
        <f t="shared" si="15"/>
        <v>0</v>
      </c>
      <c r="L968"/>
    </row>
    <row r="969" spans="1:12">
      <c r="A969" s="855" t="s">
        <v>586</v>
      </c>
      <c r="B969" s="856"/>
      <c r="C969" s="856"/>
      <c r="D969" s="857"/>
      <c r="E969" s="858"/>
      <c r="F969" s="859"/>
      <c r="G969" s="860"/>
      <c r="H969" s="857"/>
      <c r="I969" s="861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55" t="s">
        <v>586</v>
      </c>
      <c r="B970" s="856"/>
      <c r="C970" s="856"/>
      <c r="D970" s="857"/>
      <c r="E970" s="858"/>
      <c r="F970" s="859"/>
      <c r="G970" s="860"/>
      <c r="H970" s="857"/>
      <c r="I970" s="861"/>
      <c r="J970" s="295"/>
      <c r="K970" s="296">
        <f t="shared" si="16"/>
        <v>0</v>
      </c>
      <c r="L970"/>
    </row>
    <row r="971" spans="1:12">
      <c r="A971" s="855" t="s">
        <v>586</v>
      </c>
      <c r="B971" s="856"/>
      <c r="C971" s="856"/>
      <c r="D971" s="857"/>
      <c r="E971" s="858"/>
      <c r="F971" s="859"/>
      <c r="G971" s="860"/>
      <c r="H971" s="857"/>
      <c r="I971" s="861"/>
      <c r="J971" s="295"/>
      <c r="K971" s="296">
        <f t="shared" si="16"/>
        <v>0</v>
      </c>
      <c r="L971"/>
    </row>
    <row r="972" spans="1:12">
      <c r="A972" s="855" t="s">
        <v>586</v>
      </c>
      <c r="B972" s="856"/>
      <c r="C972" s="856"/>
      <c r="D972" s="857"/>
      <c r="E972" s="858"/>
      <c r="F972" s="859"/>
      <c r="G972" s="860"/>
      <c r="H972" s="857"/>
      <c r="I972" s="861"/>
      <c r="J972" s="295"/>
      <c r="K972" s="296">
        <f t="shared" si="16"/>
        <v>0</v>
      </c>
      <c r="L972"/>
    </row>
    <row r="973" spans="1:12">
      <c r="A973" s="855" t="s">
        <v>590</v>
      </c>
      <c r="B973" s="856"/>
      <c r="C973" s="856"/>
      <c r="D973" s="857"/>
      <c r="E973" s="858"/>
      <c r="F973" s="859"/>
      <c r="G973" s="860"/>
      <c r="H973" s="857"/>
      <c r="I973" s="861"/>
      <c r="J973" s="295"/>
      <c r="K973" s="296">
        <f t="shared" si="16"/>
        <v>0</v>
      </c>
      <c r="L973"/>
    </row>
    <row r="974" spans="1:12">
      <c r="A974" s="855" t="s">
        <v>590</v>
      </c>
      <c r="B974" s="856"/>
      <c r="C974" s="856"/>
      <c r="D974" s="857"/>
      <c r="E974" s="858"/>
      <c r="F974" s="859"/>
      <c r="G974" s="860"/>
      <c r="H974" s="857"/>
      <c r="I974" s="861"/>
      <c r="J974" s="295"/>
      <c r="K974" s="296">
        <f t="shared" si="16"/>
        <v>0</v>
      </c>
      <c r="L974"/>
    </row>
    <row r="975" spans="1:12">
      <c r="A975" s="855" t="s">
        <v>590</v>
      </c>
      <c r="B975" s="856"/>
      <c r="C975" s="856"/>
      <c r="D975" s="857"/>
      <c r="E975" s="858"/>
      <c r="F975" s="859"/>
      <c r="G975" s="860"/>
      <c r="H975" s="857"/>
      <c r="I975" s="861"/>
      <c r="J975" s="295"/>
      <c r="K975" s="296">
        <f t="shared" si="16"/>
        <v>0</v>
      </c>
      <c r="L975"/>
    </row>
    <row r="976" spans="1:12">
      <c r="A976" s="855" t="s">
        <v>590</v>
      </c>
      <c r="B976" s="856"/>
      <c r="C976" s="856"/>
      <c r="D976" s="857"/>
      <c r="E976" s="858"/>
      <c r="F976" s="859"/>
      <c r="G976" s="860"/>
      <c r="H976" s="857"/>
      <c r="I976" s="861"/>
      <c r="J976" s="295"/>
      <c r="K976" s="296">
        <f t="shared" si="16"/>
        <v>0</v>
      </c>
      <c r="L976"/>
    </row>
    <row r="977" spans="1:12">
      <c r="A977" s="855" t="s">
        <v>586</v>
      </c>
      <c r="B977" s="856"/>
      <c r="C977" s="856"/>
      <c r="D977" s="857"/>
      <c r="E977" s="858"/>
      <c r="F977" s="859"/>
      <c r="G977" s="860"/>
      <c r="H977" s="857"/>
      <c r="I977" s="861"/>
      <c r="J977" s="295"/>
      <c r="K977" s="296">
        <f t="shared" si="16"/>
        <v>0</v>
      </c>
      <c r="L977"/>
    </row>
    <row r="978" spans="1:12">
      <c r="A978" s="855" t="s">
        <v>586</v>
      </c>
      <c r="B978" s="856"/>
      <c r="C978" s="856"/>
      <c r="D978" s="857"/>
      <c r="E978" s="858"/>
      <c r="F978" s="859"/>
      <c r="G978" s="860"/>
      <c r="H978" s="857"/>
      <c r="I978" s="861"/>
      <c r="J978" s="295"/>
      <c r="K978" s="296">
        <f t="shared" si="16"/>
        <v>0</v>
      </c>
      <c r="L978"/>
    </row>
    <row r="979" spans="1:12">
      <c r="A979" s="855" t="s">
        <v>586</v>
      </c>
      <c r="B979" s="856"/>
      <c r="C979" s="856"/>
      <c r="D979" s="857"/>
      <c r="E979" s="858"/>
      <c r="F979" s="859"/>
      <c r="G979" s="860"/>
      <c r="H979" s="857"/>
      <c r="I979" s="861"/>
      <c r="J979" s="295"/>
      <c r="K979" s="296">
        <f t="shared" si="16"/>
        <v>0</v>
      </c>
      <c r="L979"/>
    </row>
    <row r="980" spans="1:12">
      <c r="A980" s="855" t="s">
        <v>586</v>
      </c>
      <c r="B980" s="856"/>
      <c r="C980" s="856"/>
      <c r="D980" s="857"/>
      <c r="E980" s="858"/>
      <c r="F980" s="859"/>
      <c r="G980" s="860"/>
      <c r="H980" s="857"/>
      <c r="I980" s="861"/>
      <c r="J980" s="295"/>
      <c r="K980" s="296">
        <f t="shared" si="16"/>
        <v>0</v>
      </c>
      <c r="L980"/>
    </row>
    <row r="981" spans="1:12">
      <c r="A981" s="855" t="s">
        <v>590</v>
      </c>
      <c r="B981" s="856"/>
      <c r="C981" s="856"/>
      <c r="D981" s="857"/>
      <c r="E981" s="858"/>
      <c r="F981" s="859"/>
      <c r="G981" s="860"/>
      <c r="H981" s="857"/>
      <c r="I981" s="861"/>
      <c r="J981" s="295"/>
      <c r="K981" s="296">
        <f t="shared" si="16"/>
        <v>0</v>
      </c>
      <c r="L981"/>
    </row>
    <row r="982" spans="1:12">
      <c r="A982" s="855" t="s">
        <v>586</v>
      </c>
      <c r="B982" s="856"/>
      <c r="C982" s="856"/>
      <c r="D982" s="857"/>
      <c r="E982" s="858"/>
      <c r="F982" s="859"/>
      <c r="G982" s="860"/>
      <c r="H982" s="857"/>
      <c r="I982" s="861"/>
      <c r="J982" s="295"/>
      <c r="K982" s="296">
        <f t="shared" si="16"/>
        <v>0</v>
      </c>
      <c r="L982"/>
    </row>
    <row r="983" spans="1:12">
      <c r="A983" s="855" t="s">
        <v>586</v>
      </c>
      <c r="B983" s="856"/>
      <c r="C983" s="856"/>
      <c r="D983" s="857"/>
      <c r="E983" s="858"/>
      <c r="F983" s="859"/>
      <c r="G983" s="860"/>
      <c r="H983" s="857"/>
      <c r="I983" s="861"/>
      <c r="J983" s="295"/>
      <c r="K983" s="296">
        <f t="shared" si="16"/>
        <v>0</v>
      </c>
      <c r="L983"/>
    </row>
    <row r="984" spans="1:12">
      <c r="A984" s="855" t="s">
        <v>586</v>
      </c>
      <c r="B984" s="856"/>
      <c r="C984" s="856"/>
      <c r="D984" s="857"/>
      <c r="E984" s="858"/>
      <c r="F984" s="859"/>
      <c r="G984" s="860"/>
      <c r="H984" s="857"/>
      <c r="I984" s="861"/>
      <c r="J984" s="295"/>
      <c r="K984" s="296">
        <f t="shared" si="16"/>
        <v>0</v>
      </c>
      <c r="L984"/>
    </row>
    <row r="985" spans="1:12">
      <c r="A985" s="855" t="s">
        <v>590</v>
      </c>
      <c r="B985" s="856"/>
      <c r="C985" s="856"/>
      <c r="D985" s="857"/>
      <c r="E985" s="858"/>
      <c r="F985" s="859"/>
      <c r="G985" s="860"/>
      <c r="H985" s="857"/>
      <c r="I985" s="861"/>
      <c r="J985" s="295"/>
      <c r="K985" s="296">
        <f t="shared" si="16"/>
        <v>0</v>
      </c>
      <c r="L985"/>
    </row>
    <row r="986" spans="1:12">
      <c r="A986" s="855" t="s">
        <v>590</v>
      </c>
      <c r="B986" s="856"/>
      <c r="C986" s="856"/>
      <c r="D986" s="857"/>
      <c r="E986" s="858"/>
      <c r="F986" s="859"/>
      <c r="G986" s="860"/>
      <c r="H986" s="857"/>
      <c r="I986" s="861"/>
      <c r="J986" s="295"/>
      <c r="K986" s="296">
        <f t="shared" si="16"/>
        <v>0</v>
      </c>
      <c r="L986"/>
    </row>
    <row r="987" spans="1:12">
      <c r="A987" s="855" t="s">
        <v>590</v>
      </c>
      <c r="B987" s="856"/>
      <c r="C987" s="856"/>
      <c r="D987" s="857"/>
      <c r="E987" s="858"/>
      <c r="F987" s="859"/>
      <c r="G987" s="860"/>
      <c r="H987" s="857"/>
      <c r="I987" s="861"/>
      <c r="J987" s="295"/>
      <c r="K987" s="296">
        <f t="shared" si="16"/>
        <v>0</v>
      </c>
      <c r="L987"/>
    </row>
    <row r="988" spans="1:12">
      <c r="A988" s="855" t="s">
        <v>586</v>
      </c>
      <c r="B988" s="856"/>
      <c r="C988" s="856"/>
      <c r="D988" s="857"/>
      <c r="E988" s="858"/>
      <c r="F988" s="859"/>
      <c r="G988" s="860"/>
      <c r="H988" s="857"/>
      <c r="I988" s="861"/>
      <c r="J988" s="295"/>
      <c r="K988" s="296">
        <f t="shared" si="16"/>
        <v>0</v>
      </c>
      <c r="L988"/>
    </row>
    <row r="989" spans="1:12">
      <c r="A989" s="855" t="s">
        <v>586</v>
      </c>
      <c r="B989" s="856"/>
      <c r="C989" s="856"/>
      <c r="D989" s="857"/>
      <c r="E989" s="858"/>
      <c r="F989" s="859"/>
      <c r="G989" s="860"/>
      <c r="H989" s="857"/>
      <c r="I989" s="861"/>
      <c r="J989" s="295"/>
      <c r="K989" s="296">
        <f t="shared" si="16"/>
        <v>0</v>
      </c>
      <c r="L989"/>
    </row>
    <row r="990" spans="1:12">
      <c r="A990" s="855" t="s">
        <v>586</v>
      </c>
      <c r="B990" s="856"/>
      <c r="C990" s="856"/>
      <c r="D990" s="857"/>
      <c r="E990" s="858"/>
      <c r="F990" s="859"/>
      <c r="G990" s="860"/>
      <c r="H990" s="857"/>
      <c r="I990" s="861"/>
      <c r="J990" s="295"/>
      <c r="K990" s="296">
        <f t="shared" si="16"/>
        <v>0</v>
      </c>
      <c r="L990"/>
    </row>
    <row r="991" spans="1:12">
      <c r="A991" s="855" t="s">
        <v>586</v>
      </c>
      <c r="B991" s="856"/>
      <c r="C991" s="856"/>
      <c r="D991" s="857"/>
      <c r="E991" s="858"/>
      <c r="F991" s="859"/>
      <c r="G991" s="860"/>
      <c r="H991" s="857"/>
      <c r="I991" s="861"/>
      <c r="J991" s="295"/>
      <c r="K991" s="296">
        <f t="shared" si="16"/>
        <v>0</v>
      </c>
      <c r="L991"/>
    </row>
    <row r="992" spans="1:12">
      <c r="A992" s="855" t="s">
        <v>586</v>
      </c>
      <c r="B992" s="856"/>
      <c r="C992" s="856"/>
      <c r="D992" s="857"/>
      <c r="E992" s="858"/>
      <c r="F992" s="859"/>
      <c r="G992" s="860"/>
      <c r="H992" s="857"/>
      <c r="I992" s="861"/>
      <c r="J992" s="295"/>
      <c r="K992" s="296">
        <f t="shared" si="16"/>
        <v>0</v>
      </c>
      <c r="L992"/>
    </row>
    <row r="993" spans="1:12">
      <c r="A993" s="855" t="s">
        <v>586</v>
      </c>
      <c r="B993" s="856"/>
      <c r="C993" s="856"/>
      <c r="D993" s="857"/>
      <c r="E993" s="858"/>
      <c r="F993" s="859"/>
      <c r="G993" s="860"/>
      <c r="H993" s="857"/>
      <c r="I993" s="861"/>
      <c r="J993" s="295"/>
      <c r="K993" s="296">
        <f t="shared" si="16"/>
        <v>0</v>
      </c>
      <c r="L993"/>
    </row>
    <row r="994" spans="1:12">
      <c r="A994" s="855" t="s">
        <v>586</v>
      </c>
      <c r="B994" s="856"/>
      <c r="C994" s="856"/>
      <c r="D994" s="857"/>
      <c r="E994" s="858"/>
      <c r="F994" s="859"/>
      <c r="G994" s="860"/>
      <c r="H994" s="857"/>
      <c r="I994" s="861"/>
      <c r="J994" s="295"/>
      <c r="K994" s="296">
        <f t="shared" si="16"/>
        <v>0</v>
      </c>
      <c r="L994"/>
    </row>
    <row r="995" spans="1:12">
      <c r="A995" s="855" t="s">
        <v>590</v>
      </c>
      <c r="B995" s="856"/>
      <c r="C995" s="856"/>
      <c r="D995" s="857"/>
      <c r="E995" s="858"/>
      <c r="F995" s="859"/>
      <c r="G995" s="860"/>
      <c r="H995" s="857"/>
      <c r="I995" s="861"/>
      <c r="J995" s="295"/>
      <c r="K995" s="296">
        <f t="shared" si="16"/>
        <v>0</v>
      </c>
      <c r="L995"/>
    </row>
    <row r="996" spans="1:12">
      <c r="A996" s="855" t="s">
        <v>586</v>
      </c>
      <c r="B996" s="856"/>
      <c r="C996" s="856"/>
      <c r="D996" s="857"/>
      <c r="E996" s="858"/>
      <c r="F996" s="859"/>
      <c r="G996" s="860"/>
      <c r="H996" s="857"/>
      <c r="I996" s="861"/>
      <c r="J996" s="295"/>
      <c r="K996" s="296">
        <f t="shared" si="16"/>
        <v>0</v>
      </c>
      <c r="L996"/>
    </row>
    <row r="997" spans="1:12">
      <c r="A997" s="855" t="s">
        <v>586</v>
      </c>
      <c r="B997" s="856"/>
      <c r="C997" s="856"/>
      <c r="D997" s="857"/>
      <c r="E997" s="858"/>
      <c r="F997" s="859"/>
      <c r="G997" s="860"/>
      <c r="H997" s="857"/>
      <c r="I997" s="861"/>
      <c r="J997" s="295"/>
      <c r="K997" s="296">
        <f t="shared" si="16"/>
        <v>0</v>
      </c>
      <c r="L997"/>
    </row>
    <row r="998" spans="1:12">
      <c r="A998" s="855" t="s">
        <v>586</v>
      </c>
      <c r="B998" s="856"/>
      <c r="C998" s="856"/>
      <c r="D998" s="857"/>
      <c r="E998" s="858"/>
      <c r="F998" s="859"/>
      <c r="G998" s="860"/>
      <c r="H998" s="857"/>
      <c r="I998" s="861"/>
      <c r="J998" s="295"/>
      <c r="K998" s="296">
        <f t="shared" si="16"/>
        <v>0</v>
      </c>
      <c r="L998"/>
    </row>
    <row r="999" spans="1:12">
      <c r="A999" s="855" t="s">
        <v>586</v>
      </c>
      <c r="B999" s="856"/>
      <c r="C999" s="856"/>
      <c r="D999" s="857"/>
      <c r="E999" s="858"/>
      <c r="F999" s="859"/>
      <c r="G999" s="860"/>
      <c r="H999" s="857"/>
      <c r="I999" s="861"/>
      <c r="J999" s="295"/>
      <c r="K999" s="296">
        <f t="shared" si="16"/>
        <v>0</v>
      </c>
      <c r="L999"/>
    </row>
    <row r="1000" spans="1:12">
      <c r="A1000" s="855" t="s">
        <v>590</v>
      </c>
      <c r="B1000" s="856"/>
      <c r="C1000" s="856"/>
      <c r="D1000" s="857"/>
      <c r="E1000" s="858"/>
      <c r="F1000" s="859"/>
      <c r="G1000" s="860"/>
      <c r="H1000" s="857"/>
      <c r="I1000" s="861"/>
      <c r="J1000" s="295"/>
      <c r="K1000" s="296">
        <f t="shared" si="16"/>
        <v>0</v>
      </c>
      <c r="L1000"/>
    </row>
    <row r="1001" spans="1:12">
      <c r="A1001" s="855" t="s">
        <v>590</v>
      </c>
      <c r="B1001" s="856"/>
      <c r="C1001" s="856"/>
      <c r="D1001" s="857"/>
      <c r="E1001" s="858"/>
      <c r="F1001" s="859"/>
      <c r="G1001" s="860"/>
      <c r="H1001" s="857"/>
      <c r="I1001" s="861"/>
      <c r="J1001" s="295"/>
      <c r="K1001" s="296">
        <f t="shared" si="16"/>
        <v>0</v>
      </c>
      <c r="L1001"/>
    </row>
    <row r="1002" spans="1:12">
      <c r="A1002" s="855" t="s">
        <v>586</v>
      </c>
      <c r="B1002" s="856"/>
      <c r="C1002" s="856"/>
      <c r="D1002" s="857"/>
      <c r="E1002" s="858"/>
      <c r="F1002" s="859"/>
      <c r="G1002" s="860"/>
      <c r="H1002" s="857"/>
      <c r="I1002" s="861"/>
      <c r="J1002" s="295"/>
      <c r="K1002" s="296">
        <f t="shared" si="16"/>
        <v>0</v>
      </c>
      <c r="L1002"/>
    </row>
    <row r="1003" spans="1:12">
      <c r="A1003" s="855" t="s">
        <v>586</v>
      </c>
      <c r="B1003" s="856"/>
      <c r="C1003" s="856"/>
      <c r="D1003" s="857"/>
      <c r="E1003" s="858"/>
      <c r="F1003" s="859"/>
      <c r="G1003" s="860"/>
      <c r="H1003" s="857"/>
      <c r="I1003" s="861"/>
      <c r="J1003" s="295"/>
      <c r="K1003" s="296">
        <f t="shared" si="16"/>
        <v>0</v>
      </c>
      <c r="L1003"/>
    </row>
    <row r="1004" spans="1:12">
      <c r="A1004" s="855" t="s">
        <v>586</v>
      </c>
      <c r="B1004" s="856"/>
      <c r="C1004" s="856"/>
      <c r="D1004" s="857"/>
      <c r="E1004" s="858"/>
      <c r="F1004" s="859"/>
      <c r="G1004" s="860"/>
      <c r="H1004" s="857"/>
      <c r="I1004" s="861"/>
      <c r="J1004" s="295"/>
      <c r="K1004" s="296">
        <f t="shared" si="16"/>
        <v>0</v>
      </c>
      <c r="L1004"/>
    </row>
    <row r="1005" spans="1:12">
      <c r="A1005" s="855" t="s">
        <v>586</v>
      </c>
      <c r="B1005" s="856"/>
      <c r="C1005" s="856"/>
      <c r="D1005" s="857"/>
      <c r="E1005" s="858"/>
      <c r="F1005" s="859"/>
      <c r="G1005" s="860"/>
      <c r="H1005" s="857"/>
      <c r="I1005" s="861"/>
      <c r="J1005" s="295"/>
      <c r="K1005" s="296">
        <f t="shared" si="16"/>
        <v>0</v>
      </c>
      <c r="L1005"/>
    </row>
    <row r="1006" spans="1:12">
      <c r="A1006" s="855" t="s">
        <v>586</v>
      </c>
      <c r="B1006" s="856"/>
      <c r="C1006" s="856"/>
      <c r="D1006" s="857"/>
      <c r="E1006" s="858"/>
      <c r="F1006" s="859"/>
      <c r="G1006" s="860"/>
      <c r="H1006" s="857"/>
      <c r="I1006" s="861"/>
      <c r="J1006" s="295"/>
      <c r="K1006" s="296">
        <f t="shared" si="16"/>
        <v>0</v>
      </c>
      <c r="L1006"/>
    </row>
    <row r="1007" spans="1:12">
      <c r="A1007" s="855" t="s">
        <v>586</v>
      </c>
      <c r="B1007" s="856"/>
      <c r="C1007" s="856"/>
      <c r="D1007" s="857"/>
      <c r="E1007" s="858"/>
      <c r="F1007" s="859"/>
      <c r="G1007" s="860"/>
      <c r="H1007" s="857"/>
      <c r="I1007" s="861"/>
      <c r="J1007" s="295"/>
      <c r="K1007" s="296">
        <f t="shared" si="16"/>
        <v>0</v>
      </c>
      <c r="L1007"/>
    </row>
    <row r="1008" spans="1:12">
      <c r="A1008" s="855" t="s">
        <v>586</v>
      </c>
      <c r="B1008" s="856"/>
      <c r="C1008" s="856"/>
      <c r="D1008" s="857"/>
      <c r="E1008" s="858"/>
      <c r="F1008" s="859"/>
      <c r="G1008" s="860"/>
      <c r="H1008" s="857"/>
      <c r="I1008" s="861"/>
      <c r="J1008" s="295"/>
      <c r="K1008" s="296">
        <f t="shared" si="16"/>
        <v>0</v>
      </c>
      <c r="L1008"/>
    </row>
    <row r="1009" spans="1:12">
      <c r="A1009" s="855" t="s">
        <v>586</v>
      </c>
      <c r="B1009" s="856"/>
      <c r="C1009" s="856"/>
      <c r="D1009" s="857"/>
      <c r="E1009" s="858"/>
      <c r="F1009" s="859"/>
      <c r="G1009" s="860"/>
      <c r="H1009" s="857"/>
      <c r="I1009" s="861"/>
      <c r="J1009" s="295"/>
      <c r="K1009" s="296">
        <f t="shared" si="16"/>
        <v>0</v>
      </c>
      <c r="L1009"/>
    </row>
    <row r="1010" spans="1:12">
      <c r="A1010" s="855" t="s">
        <v>586</v>
      </c>
      <c r="B1010" s="856"/>
      <c r="C1010" s="856"/>
      <c r="D1010" s="857"/>
      <c r="E1010" s="858"/>
      <c r="F1010" s="859"/>
      <c r="G1010" s="860"/>
      <c r="H1010" s="857"/>
      <c r="I1010" s="861"/>
      <c r="J1010" s="295"/>
      <c r="K1010" s="296">
        <f t="shared" si="16"/>
        <v>0</v>
      </c>
      <c r="L1010"/>
    </row>
    <row r="1011" spans="1:12">
      <c r="A1011" s="855" t="s">
        <v>590</v>
      </c>
      <c r="B1011" s="856"/>
      <c r="C1011" s="856"/>
      <c r="D1011" s="857"/>
      <c r="E1011" s="858"/>
      <c r="F1011" s="859"/>
      <c r="G1011" s="860"/>
      <c r="H1011" s="857"/>
      <c r="I1011" s="861"/>
      <c r="J1011" s="295"/>
      <c r="K1011" s="296">
        <f t="shared" si="16"/>
        <v>0</v>
      </c>
      <c r="L1011"/>
    </row>
    <row r="1012" spans="1:12">
      <c r="A1012" s="855" t="s">
        <v>590</v>
      </c>
      <c r="B1012" s="856"/>
      <c r="C1012" s="856"/>
      <c r="D1012" s="857"/>
      <c r="E1012" s="858"/>
      <c r="F1012" s="859"/>
      <c r="G1012" s="860"/>
      <c r="H1012" s="857"/>
      <c r="I1012" s="861"/>
      <c r="J1012" s="295"/>
      <c r="K1012" s="296">
        <f t="shared" si="16"/>
        <v>0</v>
      </c>
      <c r="L1012"/>
    </row>
    <row r="1013" spans="1:12">
      <c r="A1013" s="855" t="s">
        <v>586</v>
      </c>
      <c r="B1013" s="856"/>
      <c r="C1013" s="856"/>
      <c r="D1013" s="857"/>
      <c r="E1013" s="858"/>
      <c r="F1013" s="859"/>
      <c r="G1013" s="860"/>
      <c r="H1013" s="857"/>
      <c r="I1013" s="861"/>
      <c r="J1013" s="295"/>
      <c r="K1013" s="296">
        <f t="shared" si="16"/>
        <v>0</v>
      </c>
      <c r="L1013"/>
    </row>
    <row r="1014" spans="1:12">
      <c r="A1014" s="855" t="s">
        <v>586</v>
      </c>
      <c r="B1014" s="856"/>
      <c r="C1014" s="856"/>
      <c r="D1014" s="857"/>
      <c r="E1014" s="858"/>
      <c r="F1014" s="859"/>
      <c r="G1014" s="860"/>
      <c r="H1014" s="857"/>
      <c r="I1014" s="861"/>
      <c r="J1014" s="295"/>
      <c r="K1014" s="296">
        <f t="shared" si="16"/>
        <v>0</v>
      </c>
      <c r="L1014"/>
    </row>
    <row r="1015" spans="1:12">
      <c r="A1015" s="855" t="s">
        <v>586</v>
      </c>
      <c r="B1015" s="856"/>
      <c r="C1015" s="856"/>
      <c r="D1015" s="857"/>
      <c r="E1015" s="858"/>
      <c r="F1015" s="859"/>
      <c r="G1015" s="860"/>
      <c r="H1015" s="857"/>
      <c r="I1015" s="861"/>
      <c r="J1015" s="295"/>
      <c r="K1015" s="296">
        <f t="shared" si="16"/>
        <v>0</v>
      </c>
      <c r="L1015"/>
    </row>
    <row r="1016" spans="1:12">
      <c r="A1016" s="855" t="s">
        <v>586</v>
      </c>
      <c r="B1016" s="856"/>
      <c r="C1016" s="856"/>
      <c r="D1016" s="857"/>
      <c r="E1016" s="858"/>
      <c r="F1016" s="859"/>
      <c r="G1016" s="860"/>
      <c r="H1016" s="857"/>
      <c r="I1016" s="861"/>
      <c r="J1016" s="295"/>
      <c r="K1016" s="296">
        <f t="shared" si="16"/>
        <v>0</v>
      </c>
      <c r="L1016"/>
    </row>
    <row r="1017" spans="1:12">
      <c r="A1017" s="855" t="s">
        <v>586</v>
      </c>
      <c r="B1017" s="856"/>
      <c r="C1017" s="856"/>
      <c r="D1017" s="857"/>
      <c r="E1017" s="858"/>
      <c r="F1017" s="859"/>
      <c r="G1017" s="860"/>
      <c r="H1017" s="857"/>
      <c r="I1017" s="861"/>
      <c r="J1017" s="295"/>
      <c r="K1017" s="296">
        <f t="shared" si="16"/>
        <v>0</v>
      </c>
      <c r="L1017"/>
    </row>
    <row r="1018" spans="1:12">
      <c r="A1018" s="855" t="s">
        <v>586</v>
      </c>
      <c r="B1018" s="856"/>
      <c r="C1018" s="856"/>
      <c r="D1018" s="857"/>
      <c r="E1018" s="858"/>
      <c r="F1018" s="859"/>
      <c r="G1018" s="860"/>
      <c r="H1018" s="857"/>
      <c r="I1018" s="861"/>
      <c r="J1018" s="295"/>
      <c r="K1018" s="296">
        <f t="shared" si="16"/>
        <v>0</v>
      </c>
      <c r="L1018"/>
    </row>
    <row r="1019" spans="1:12">
      <c r="A1019" s="855" t="s">
        <v>586</v>
      </c>
      <c r="B1019" s="856"/>
      <c r="C1019" s="856"/>
      <c r="D1019" s="857"/>
      <c r="E1019" s="858"/>
      <c r="F1019" s="859"/>
      <c r="G1019" s="860"/>
      <c r="H1019" s="857"/>
      <c r="I1019" s="861"/>
      <c r="J1019" s="295"/>
      <c r="K1019" s="296">
        <f t="shared" si="16"/>
        <v>0</v>
      </c>
      <c r="L1019"/>
    </row>
    <row r="1020" spans="1:12">
      <c r="A1020" s="855" t="s">
        <v>590</v>
      </c>
      <c r="B1020" s="856"/>
      <c r="C1020" s="856"/>
      <c r="D1020" s="857"/>
      <c r="E1020" s="858"/>
      <c r="F1020" s="859"/>
      <c r="G1020" s="860"/>
      <c r="H1020" s="857"/>
      <c r="I1020" s="861"/>
      <c r="J1020" s="295"/>
      <c r="K1020" s="296">
        <f t="shared" si="16"/>
        <v>0</v>
      </c>
      <c r="L1020"/>
    </row>
    <row r="1021" spans="1:12">
      <c r="A1021" s="855" t="s">
        <v>590</v>
      </c>
      <c r="B1021" s="856"/>
      <c r="C1021" s="856"/>
      <c r="D1021" s="857"/>
      <c r="E1021" s="858"/>
      <c r="F1021" s="859"/>
      <c r="G1021" s="860"/>
      <c r="H1021" s="857"/>
      <c r="I1021" s="861"/>
      <c r="J1021" s="295"/>
      <c r="K1021" s="296">
        <f t="shared" si="16"/>
        <v>0</v>
      </c>
      <c r="L1021"/>
    </row>
    <row r="1022" spans="1:12">
      <c r="A1022" s="855" t="s">
        <v>590</v>
      </c>
      <c r="B1022" s="856"/>
      <c r="C1022" s="856"/>
      <c r="D1022" s="857"/>
      <c r="E1022" s="858"/>
      <c r="F1022" s="859"/>
      <c r="G1022" s="860"/>
      <c r="H1022" s="857"/>
      <c r="I1022" s="861"/>
      <c r="J1022" s="295"/>
      <c r="K1022" s="296">
        <f t="shared" si="16"/>
        <v>0</v>
      </c>
      <c r="L1022"/>
    </row>
    <row r="1023" spans="1:12">
      <c r="A1023" s="855" t="s">
        <v>590</v>
      </c>
      <c r="B1023" s="856"/>
      <c r="C1023" s="856"/>
      <c r="D1023" s="857"/>
      <c r="E1023" s="858"/>
      <c r="F1023" s="859"/>
      <c r="G1023" s="860"/>
      <c r="H1023" s="857"/>
      <c r="I1023" s="861"/>
      <c r="J1023" s="295"/>
      <c r="K1023" s="296">
        <f t="shared" si="16"/>
        <v>0</v>
      </c>
      <c r="L1023"/>
    </row>
    <row r="1024" spans="1:12">
      <c r="A1024" s="855" t="s">
        <v>590</v>
      </c>
      <c r="B1024" s="856"/>
      <c r="C1024" s="856"/>
      <c r="D1024" s="857"/>
      <c r="E1024" s="858"/>
      <c r="F1024" s="859"/>
      <c r="G1024" s="860"/>
      <c r="H1024" s="857"/>
      <c r="I1024" s="861"/>
      <c r="J1024" s="295"/>
      <c r="K1024" s="296">
        <f t="shared" si="16"/>
        <v>0</v>
      </c>
      <c r="L1024"/>
    </row>
    <row r="1025" spans="1:12">
      <c r="A1025" s="855" t="s">
        <v>586</v>
      </c>
      <c r="B1025" s="856"/>
      <c r="C1025" s="856"/>
      <c r="D1025" s="857"/>
      <c r="E1025" s="858"/>
      <c r="F1025" s="859"/>
      <c r="G1025" s="860"/>
      <c r="H1025" s="857"/>
      <c r="I1025" s="861"/>
      <c r="J1025" s="295"/>
      <c r="K1025" s="296">
        <f t="shared" si="16"/>
        <v>0</v>
      </c>
      <c r="L1025"/>
    </row>
    <row r="1026" spans="1:12">
      <c r="A1026" s="855" t="s">
        <v>590</v>
      </c>
      <c r="B1026" s="856"/>
      <c r="C1026" s="856"/>
      <c r="D1026" s="857"/>
      <c r="E1026" s="858"/>
      <c r="F1026" s="859"/>
      <c r="G1026" s="860"/>
      <c r="H1026" s="857"/>
      <c r="I1026" s="861"/>
      <c r="J1026" s="295"/>
      <c r="K1026" s="296">
        <f t="shared" si="16"/>
        <v>0</v>
      </c>
      <c r="L1026"/>
    </row>
    <row r="1027" spans="1:12">
      <c r="A1027" s="855" t="s">
        <v>590</v>
      </c>
      <c r="B1027" s="856"/>
      <c r="C1027" s="856"/>
      <c r="D1027" s="857"/>
      <c r="E1027" s="858"/>
      <c r="F1027" s="859"/>
      <c r="G1027" s="860"/>
      <c r="H1027" s="857"/>
      <c r="I1027" s="861"/>
      <c r="J1027" s="295"/>
      <c r="K1027" s="296">
        <f t="shared" si="16"/>
        <v>0</v>
      </c>
      <c r="L1027"/>
    </row>
    <row r="1028" spans="1:12">
      <c r="A1028" s="855" t="s">
        <v>590</v>
      </c>
      <c r="B1028" s="856"/>
      <c r="C1028" s="856"/>
      <c r="D1028" s="857"/>
      <c r="E1028" s="858"/>
      <c r="F1028" s="859"/>
      <c r="G1028" s="860"/>
      <c r="H1028" s="857"/>
      <c r="I1028" s="861"/>
      <c r="J1028" s="295"/>
      <c r="K1028" s="296">
        <f t="shared" si="16"/>
        <v>0</v>
      </c>
      <c r="L1028"/>
    </row>
    <row r="1029" spans="1:12">
      <c r="A1029" s="855" t="s">
        <v>590</v>
      </c>
      <c r="B1029" s="856"/>
      <c r="C1029" s="856"/>
      <c r="D1029" s="857"/>
      <c r="E1029" s="858"/>
      <c r="F1029" s="859"/>
      <c r="G1029" s="860"/>
      <c r="H1029" s="857"/>
      <c r="I1029" s="861"/>
      <c r="J1029" s="295"/>
      <c r="K1029" s="296">
        <f t="shared" si="16"/>
        <v>0</v>
      </c>
      <c r="L1029"/>
    </row>
    <row r="1030" spans="1:12">
      <c r="A1030" s="855" t="s">
        <v>590</v>
      </c>
      <c r="B1030" s="856"/>
      <c r="C1030" s="856"/>
      <c r="D1030" s="857"/>
      <c r="E1030" s="858"/>
      <c r="F1030" s="859"/>
      <c r="G1030" s="860"/>
      <c r="H1030" s="857"/>
      <c r="I1030" s="861"/>
      <c r="J1030" s="295"/>
      <c r="K1030" s="296">
        <f t="shared" si="16"/>
        <v>0</v>
      </c>
      <c r="L1030"/>
    </row>
    <row r="1031" spans="1:12">
      <c r="A1031" s="855" t="s">
        <v>586</v>
      </c>
      <c r="B1031" s="856"/>
      <c r="C1031" s="856"/>
      <c r="D1031" s="857"/>
      <c r="E1031" s="858"/>
      <c r="F1031" s="859"/>
      <c r="G1031" s="860"/>
      <c r="H1031" s="857"/>
      <c r="I1031" s="861"/>
      <c r="J1031" s="295"/>
      <c r="K1031" s="296">
        <f t="shared" si="16"/>
        <v>0</v>
      </c>
      <c r="L1031"/>
    </row>
    <row r="1032" spans="1:12">
      <c r="A1032" s="855" t="s">
        <v>602</v>
      </c>
      <c r="B1032" s="856"/>
      <c r="C1032" s="856"/>
      <c r="D1032" s="857"/>
      <c r="E1032" s="858"/>
      <c r="F1032" s="859"/>
      <c r="G1032" s="860"/>
      <c r="H1032" s="857"/>
      <c r="I1032" s="861"/>
      <c r="J1032" s="295"/>
      <c r="K1032" s="296">
        <f t="shared" si="16"/>
        <v>0</v>
      </c>
      <c r="L1032"/>
    </row>
    <row r="1033" spans="1:12">
      <c r="A1033" s="855" t="s">
        <v>607</v>
      </c>
      <c r="B1033" s="856"/>
      <c r="C1033" s="856"/>
      <c r="D1033" s="857"/>
      <c r="E1033" s="858"/>
      <c r="F1033" s="859"/>
      <c r="G1033" s="860"/>
      <c r="H1033" s="857"/>
      <c r="I1033" s="861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55" t="s">
        <v>607</v>
      </c>
      <c r="B1034" s="856"/>
      <c r="C1034" s="856"/>
      <c r="D1034" s="857"/>
      <c r="E1034" s="858"/>
      <c r="F1034" s="859"/>
      <c r="G1034" s="860"/>
      <c r="H1034" s="857"/>
      <c r="I1034" s="861"/>
      <c r="J1034" s="295"/>
      <c r="K1034" s="296">
        <f t="shared" si="17"/>
        <v>0</v>
      </c>
      <c r="L1034"/>
    </row>
    <row r="1035" spans="1:12">
      <c r="A1035" s="855" t="s">
        <v>607</v>
      </c>
      <c r="B1035" s="856"/>
      <c r="C1035" s="856"/>
      <c r="D1035" s="857"/>
      <c r="E1035" s="858"/>
      <c r="F1035" s="859"/>
      <c r="G1035" s="860"/>
      <c r="H1035" s="857"/>
      <c r="I1035" s="861"/>
      <c r="J1035" s="295"/>
      <c r="K1035" s="296">
        <f t="shared" si="17"/>
        <v>0</v>
      </c>
      <c r="L1035"/>
    </row>
    <row r="1036" spans="1:12">
      <c r="A1036" s="855" t="s">
        <v>607</v>
      </c>
      <c r="B1036" s="856"/>
      <c r="C1036" s="856"/>
      <c r="D1036" s="857"/>
      <c r="E1036" s="858"/>
      <c r="F1036" s="859"/>
      <c r="G1036" s="860"/>
      <c r="H1036" s="857"/>
      <c r="I1036" s="861"/>
      <c r="J1036" s="295"/>
      <c r="K1036" s="296">
        <f t="shared" si="17"/>
        <v>0</v>
      </c>
      <c r="L1036"/>
    </row>
    <row r="1037" spans="1:12">
      <c r="A1037" s="855" t="s">
        <v>602</v>
      </c>
      <c r="B1037" s="856"/>
      <c r="C1037" s="856"/>
      <c r="D1037" s="857"/>
      <c r="E1037" s="858"/>
      <c r="F1037" s="859"/>
      <c r="G1037" s="860"/>
      <c r="H1037" s="857"/>
      <c r="I1037" s="861"/>
      <c r="J1037" s="295"/>
      <c r="K1037" s="296">
        <f t="shared" si="17"/>
        <v>0</v>
      </c>
      <c r="L1037"/>
    </row>
    <row r="1038" spans="1:12">
      <c r="A1038" s="855" t="s">
        <v>607</v>
      </c>
      <c r="B1038" s="856"/>
      <c r="C1038" s="856"/>
      <c r="D1038" s="857"/>
      <c r="E1038" s="858"/>
      <c r="F1038" s="859"/>
      <c r="G1038" s="860"/>
      <c r="H1038" s="857"/>
      <c r="I1038" s="861"/>
      <c r="J1038" s="295"/>
      <c r="K1038" s="296">
        <f t="shared" si="17"/>
        <v>0</v>
      </c>
      <c r="L1038"/>
    </row>
    <row r="1039" spans="1:12">
      <c r="A1039" s="855" t="s">
        <v>607</v>
      </c>
      <c r="B1039" s="856"/>
      <c r="C1039" s="856"/>
      <c r="D1039" s="857"/>
      <c r="E1039" s="858"/>
      <c r="F1039" s="859"/>
      <c r="G1039" s="860"/>
      <c r="H1039" s="857"/>
      <c r="I1039" s="861"/>
      <c r="J1039" s="295"/>
      <c r="K1039" s="296">
        <f t="shared" si="17"/>
        <v>0</v>
      </c>
      <c r="L1039"/>
    </row>
    <row r="1040" spans="1:12">
      <c r="A1040" s="855" t="s">
        <v>607</v>
      </c>
      <c r="B1040" s="856"/>
      <c r="C1040" s="856"/>
      <c r="D1040" s="857"/>
      <c r="E1040" s="858"/>
      <c r="F1040" s="859"/>
      <c r="G1040" s="860"/>
      <c r="H1040" s="857"/>
      <c r="I1040" s="861"/>
      <c r="J1040" s="295"/>
      <c r="K1040" s="296">
        <f t="shared" si="17"/>
        <v>0</v>
      </c>
      <c r="L1040"/>
    </row>
    <row r="1041" spans="1:12">
      <c r="A1041" s="855" t="s">
        <v>602</v>
      </c>
      <c r="B1041" s="856"/>
      <c r="C1041" s="856"/>
      <c r="D1041" s="857"/>
      <c r="E1041" s="858"/>
      <c r="F1041" s="859"/>
      <c r="G1041" s="860"/>
      <c r="H1041" s="857"/>
      <c r="I1041" s="861"/>
      <c r="J1041" s="295"/>
      <c r="K1041" s="296">
        <f t="shared" si="17"/>
        <v>0</v>
      </c>
      <c r="L1041"/>
    </row>
    <row r="1042" spans="1:12">
      <c r="A1042" s="855" t="s">
        <v>602</v>
      </c>
      <c r="B1042" s="856"/>
      <c r="C1042" s="856"/>
      <c r="D1042" s="857"/>
      <c r="E1042" s="858"/>
      <c r="F1042" s="859"/>
      <c r="G1042" s="860"/>
      <c r="H1042" s="857"/>
      <c r="I1042" s="861"/>
      <c r="J1042" s="295"/>
      <c r="K1042" s="296">
        <f t="shared" si="17"/>
        <v>0</v>
      </c>
      <c r="L1042"/>
    </row>
    <row r="1043" spans="1:12">
      <c r="A1043" s="855" t="s">
        <v>607</v>
      </c>
      <c r="B1043" s="856"/>
      <c r="C1043" s="856"/>
      <c r="D1043" s="857"/>
      <c r="E1043" s="858"/>
      <c r="F1043" s="859"/>
      <c r="G1043" s="860"/>
      <c r="H1043" s="857"/>
      <c r="I1043" s="861"/>
      <c r="J1043" s="295"/>
      <c r="K1043" s="296">
        <f t="shared" si="17"/>
        <v>0</v>
      </c>
      <c r="L1043"/>
    </row>
    <row r="1044" spans="1:12">
      <c r="A1044" s="855" t="s">
        <v>602</v>
      </c>
      <c r="B1044" s="856"/>
      <c r="C1044" s="856"/>
      <c r="D1044" s="857"/>
      <c r="E1044" s="858"/>
      <c r="F1044" s="859"/>
      <c r="G1044" s="860"/>
      <c r="H1044" s="857"/>
      <c r="I1044" s="861"/>
      <c r="J1044" s="295"/>
      <c r="K1044" s="296">
        <f t="shared" si="17"/>
        <v>0</v>
      </c>
      <c r="L1044"/>
    </row>
    <row r="1045" spans="1:12">
      <c r="A1045" s="855" t="s">
        <v>607</v>
      </c>
      <c r="B1045" s="856"/>
      <c r="C1045" s="856"/>
      <c r="D1045" s="857"/>
      <c r="E1045" s="858"/>
      <c r="F1045" s="859"/>
      <c r="G1045" s="860"/>
      <c r="H1045" s="857"/>
      <c r="I1045" s="861"/>
      <c r="J1045" s="295"/>
      <c r="K1045" s="296">
        <f t="shared" si="17"/>
        <v>0</v>
      </c>
      <c r="L1045"/>
    </row>
    <row r="1046" spans="1:12">
      <c r="A1046" s="855" t="s">
        <v>607</v>
      </c>
      <c r="B1046" s="856"/>
      <c r="C1046" s="856"/>
      <c r="D1046" s="857"/>
      <c r="E1046" s="858"/>
      <c r="F1046" s="859"/>
      <c r="G1046" s="860"/>
      <c r="H1046" s="857"/>
      <c r="I1046" s="861"/>
      <c r="J1046" s="295"/>
      <c r="K1046" s="296">
        <f t="shared" si="17"/>
        <v>0</v>
      </c>
      <c r="L1046"/>
    </row>
    <row r="1047" spans="1:12">
      <c r="A1047" s="855" t="s">
        <v>607</v>
      </c>
      <c r="B1047" s="856"/>
      <c r="C1047" s="856"/>
      <c r="D1047" s="857"/>
      <c r="E1047" s="858"/>
      <c r="F1047" s="859"/>
      <c r="G1047" s="860"/>
      <c r="H1047" s="857"/>
      <c r="I1047" s="861"/>
      <c r="J1047" s="295"/>
      <c r="K1047" s="296">
        <f t="shared" si="17"/>
        <v>0</v>
      </c>
      <c r="L1047"/>
    </row>
    <row r="1048" spans="1:12">
      <c r="A1048" s="855" t="s">
        <v>607</v>
      </c>
      <c r="B1048" s="856"/>
      <c r="C1048" s="856"/>
      <c r="D1048" s="857"/>
      <c r="E1048" s="858"/>
      <c r="F1048" s="859"/>
      <c r="G1048" s="860"/>
      <c r="H1048" s="857"/>
      <c r="I1048" s="861"/>
      <c r="J1048" s="295"/>
      <c r="K1048" s="296">
        <f t="shared" si="17"/>
        <v>0</v>
      </c>
      <c r="L1048"/>
    </row>
    <row r="1049" spans="1:12">
      <c r="A1049" s="855" t="s">
        <v>607</v>
      </c>
      <c r="B1049" s="856"/>
      <c r="C1049" s="856"/>
      <c r="D1049" s="857"/>
      <c r="E1049" s="858"/>
      <c r="F1049" s="859"/>
      <c r="G1049" s="860"/>
      <c r="H1049" s="857"/>
      <c r="I1049" s="861"/>
      <c r="J1049" s="295"/>
      <c r="K1049" s="296">
        <f t="shared" si="17"/>
        <v>0</v>
      </c>
      <c r="L1049"/>
    </row>
    <row r="1050" spans="1:12">
      <c r="A1050" s="855" t="s">
        <v>607</v>
      </c>
      <c r="B1050" s="856"/>
      <c r="C1050" s="856"/>
      <c r="D1050" s="857"/>
      <c r="E1050" s="858"/>
      <c r="F1050" s="859"/>
      <c r="G1050" s="860"/>
      <c r="H1050" s="857"/>
      <c r="I1050" s="861"/>
      <c r="J1050" s="295"/>
      <c r="K1050" s="296">
        <f t="shared" si="17"/>
        <v>0</v>
      </c>
      <c r="L1050"/>
    </row>
    <row r="1051" spans="1:12">
      <c r="A1051" s="855" t="s">
        <v>607</v>
      </c>
      <c r="B1051" s="856"/>
      <c r="C1051" s="856"/>
      <c r="D1051" s="857"/>
      <c r="E1051" s="858"/>
      <c r="F1051" s="859"/>
      <c r="G1051" s="860"/>
      <c r="H1051" s="857"/>
      <c r="I1051" s="861"/>
      <c r="J1051" s="295"/>
      <c r="K1051" s="296">
        <f t="shared" si="17"/>
        <v>0</v>
      </c>
      <c r="L1051"/>
    </row>
    <row r="1052" spans="1:12">
      <c r="A1052" s="855" t="s">
        <v>607</v>
      </c>
      <c r="B1052" s="856"/>
      <c r="C1052" s="856"/>
      <c r="D1052" s="857"/>
      <c r="E1052" s="858"/>
      <c r="F1052" s="859"/>
      <c r="G1052" s="860"/>
      <c r="H1052" s="857"/>
      <c r="I1052" s="861"/>
      <c r="J1052" s="295"/>
      <c r="K1052" s="296">
        <f t="shared" si="17"/>
        <v>0</v>
      </c>
      <c r="L1052"/>
    </row>
    <row r="1053" spans="1:12">
      <c r="A1053" s="855" t="s">
        <v>607</v>
      </c>
      <c r="B1053" s="856"/>
      <c r="C1053" s="856"/>
      <c r="D1053" s="857"/>
      <c r="E1053" s="858"/>
      <c r="F1053" s="859"/>
      <c r="G1053" s="860"/>
      <c r="H1053" s="857"/>
      <c r="I1053" s="861"/>
      <c r="J1053" s="295"/>
      <c r="K1053" s="296">
        <f t="shared" si="17"/>
        <v>0</v>
      </c>
      <c r="L1053"/>
    </row>
    <row r="1054" spans="1:12">
      <c r="A1054" s="855" t="s">
        <v>607</v>
      </c>
      <c r="B1054" s="856"/>
      <c r="C1054" s="856"/>
      <c r="D1054" s="857"/>
      <c r="E1054" s="858"/>
      <c r="F1054" s="859"/>
      <c r="G1054" s="860"/>
      <c r="H1054" s="857"/>
      <c r="I1054" s="861"/>
      <c r="J1054" s="295"/>
      <c r="K1054" s="296">
        <f t="shared" si="17"/>
        <v>0</v>
      </c>
      <c r="L1054"/>
    </row>
    <row r="1055" spans="1:12">
      <c r="A1055" s="855" t="s">
        <v>602</v>
      </c>
      <c r="B1055" s="856"/>
      <c r="C1055" s="856"/>
      <c r="D1055" s="857"/>
      <c r="E1055" s="858"/>
      <c r="F1055" s="859"/>
      <c r="G1055" s="860"/>
      <c r="H1055" s="857"/>
      <c r="I1055" s="861"/>
      <c r="J1055" s="295"/>
      <c r="K1055" s="296">
        <f t="shared" si="17"/>
        <v>0</v>
      </c>
      <c r="L1055"/>
    </row>
    <row r="1056" spans="1:12">
      <c r="A1056" s="855" t="s">
        <v>602</v>
      </c>
      <c r="B1056" s="856"/>
      <c r="C1056" s="856"/>
      <c r="D1056" s="857"/>
      <c r="E1056" s="858"/>
      <c r="F1056" s="859"/>
      <c r="G1056" s="860"/>
      <c r="H1056" s="857"/>
      <c r="I1056" s="861"/>
      <c r="J1056" s="295"/>
      <c r="K1056" s="296">
        <f t="shared" si="17"/>
        <v>0</v>
      </c>
      <c r="L1056"/>
    </row>
    <row r="1057" spans="1:12">
      <c r="A1057" s="855" t="s">
        <v>602</v>
      </c>
      <c r="B1057" s="856"/>
      <c r="C1057" s="856"/>
      <c r="D1057" s="857"/>
      <c r="E1057" s="858"/>
      <c r="F1057" s="859"/>
      <c r="G1057" s="860"/>
      <c r="H1057" s="857"/>
      <c r="I1057" s="861"/>
      <c r="J1057" s="295"/>
      <c r="K1057" s="296">
        <f t="shared" si="17"/>
        <v>0</v>
      </c>
      <c r="L1057"/>
    </row>
    <row r="1058" spans="1:12">
      <c r="A1058" s="855" t="s">
        <v>602</v>
      </c>
      <c r="B1058" s="856"/>
      <c r="C1058" s="856"/>
      <c r="D1058" s="857"/>
      <c r="E1058" s="858"/>
      <c r="F1058" s="859"/>
      <c r="G1058" s="860"/>
      <c r="H1058" s="857"/>
      <c r="I1058" s="861"/>
      <c r="J1058" s="295"/>
      <c r="K1058" s="296">
        <f t="shared" si="17"/>
        <v>0</v>
      </c>
      <c r="L1058"/>
    </row>
    <row r="1059" spans="1:12">
      <c r="A1059" s="855" t="s">
        <v>607</v>
      </c>
      <c r="B1059" s="856"/>
      <c r="C1059" s="856"/>
      <c r="D1059" s="857"/>
      <c r="E1059" s="858"/>
      <c r="F1059" s="859"/>
      <c r="G1059" s="860"/>
      <c r="H1059" s="857"/>
      <c r="I1059" s="861"/>
      <c r="J1059" s="295"/>
      <c r="K1059" s="296">
        <f t="shared" si="17"/>
        <v>0</v>
      </c>
      <c r="L1059"/>
    </row>
    <row r="1060" spans="1:12">
      <c r="A1060" s="855" t="s">
        <v>607</v>
      </c>
      <c r="B1060" s="856"/>
      <c r="C1060" s="856"/>
      <c r="D1060" s="857"/>
      <c r="E1060" s="858"/>
      <c r="F1060" s="859"/>
      <c r="G1060" s="860"/>
      <c r="H1060" s="857"/>
      <c r="I1060" s="861"/>
      <c r="J1060" s="295"/>
      <c r="K1060" s="296">
        <f t="shared" si="17"/>
        <v>0</v>
      </c>
      <c r="L1060"/>
    </row>
    <row r="1061" spans="1:12">
      <c r="A1061" s="855" t="s">
        <v>602</v>
      </c>
      <c r="B1061" s="856"/>
      <c r="C1061" s="856"/>
      <c r="D1061" s="857"/>
      <c r="E1061" s="858"/>
      <c r="F1061" s="859"/>
      <c r="G1061" s="860"/>
      <c r="H1061" s="857"/>
      <c r="I1061" s="861"/>
      <c r="J1061" s="295"/>
      <c r="K1061" s="296">
        <f t="shared" si="17"/>
        <v>0</v>
      </c>
      <c r="L1061"/>
    </row>
    <row r="1062" spans="1:12">
      <c r="A1062" s="855" t="s">
        <v>602</v>
      </c>
      <c r="B1062" s="856"/>
      <c r="C1062" s="856"/>
      <c r="D1062" s="857"/>
      <c r="E1062" s="858"/>
      <c r="F1062" s="859"/>
      <c r="G1062" s="860"/>
      <c r="H1062" s="857"/>
      <c r="I1062" s="861"/>
      <c r="J1062" s="295"/>
      <c r="K1062" s="296">
        <f t="shared" si="17"/>
        <v>0</v>
      </c>
      <c r="L1062"/>
    </row>
    <row r="1063" spans="1:12">
      <c r="A1063" s="855" t="s">
        <v>608</v>
      </c>
      <c r="B1063" s="856"/>
      <c r="C1063" s="856"/>
      <c r="D1063" s="857"/>
      <c r="E1063" s="858"/>
      <c r="F1063" s="859"/>
      <c r="G1063" s="860"/>
      <c r="H1063" s="857"/>
      <c r="I1063" s="861"/>
      <c r="J1063" s="295"/>
      <c r="K1063" s="296">
        <f t="shared" si="17"/>
        <v>0</v>
      </c>
      <c r="L1063"/>
    </row>
    <row r="1064" spans="1:12">
      <c r="A1064" s="855" t="s">
        <v>608</v>
      </c>
      <c r="B1064" s="856"/>
      <c r="C1064" s="856"/>
      <c r="D1064" s="857"/>
      <c r="E1064" s="858"/>
      <c r="F1064" s="859"/>
      <c r="G1064" s="860"/>
      <c r="H1064" s="857"/>
      <c r="I1064" s="861"/>
      <c r="J1064" s="295"/>
      <c r="K1064" s="296">
        <f t="shared" si="17"/>
        <v>0</v>
      </c>
      <c r="L1064"/>
    </row>
    <row r="1065" spans="1:12">
      <c r="A1065" s="855" t="s">
        <v>602</v>
      </c>
      <c r="B1065" s="856"/>
      <c r="C1065" s="856"/>
      <c r="D1065" s="857"/>
      <c r="E1065" s="858"/>
      <c r="F1065" s="859"/>
      <c r="G1065" s="860"/>
      <c r="H1065" s="857"/>
      <c r="I1065" s="861"/>
      <c r="J1065" s="295"/>
      <c r="K1065" s="296">
        <f t="shared" si="17"/>
        <v>0</v>
      </c>
      <c r="L1065"/>
    </row>
    <row r="1066" spans="1:12">
      <c r="A1066" s="855" t="s">
        <v>602</v>
      </c>
      <c r="B1066" s="856"/>
      <c r="C1066" s="856"/>
      <c r="D1066" s="857"/>
      <c r="E1066" s="858"/>
      <c r="F1066" s="859"/>
      <c r="G1066" s="860"/>
      <c r="H1066" s="857"/>
      <c r="I1066" s="861"/>
      <c r="J1066" s="295"/>
      <c r="K1066" s="296">
        <f t="shared" si="17"/>
        <v>0</v>
      </c>
      <c r="L1066"/>
    </row>
    <row r="1067" spans="1:12">
      <c r="A1067" s="855" t="s">
        <v>608</v>
      </c>
      <c r="B1067" s="856"/>
      <c r="C1067" s="856"/>
      <c r="D1067" s="857"/>
      <c r="E1067" s="858"/>
      <c r="F1067" s="859"/>
      <c r="G1067" s="860"/>
      <c r="H1067" s="857"/>
      <c r="I1067" s="861"/>
      <c r="J1067" s="295"/>
      <c r="K1067" s="296">
        <f t="shared" si="17"/>
        <v>0</v>
      </c>
      <c r="L1067"/>
    </row>
    <row r="1068" spans="1:12">
      <c r="A1068" s="855" t="s">
        <v>608</v>
      </c>
      <c r="B1068" s="856"/>
      <c r="C1068" s="856"/>
      <c r="D1068" s="857"/>
      <c r="E1068" s="858"/>
      <c r="F1068" s="859"/>
      <c r="G1068" s="860"/>
      <c r="H1068" s="857"/>
      <c r="I1068" s="861"/>
      <c r="J1068" s="295"/>
      <c r="K1068" s="296">
        <f t="shared" si="17"/>
        <v>0</v>
      </c>
      <c r="L1068"/>
    </row>
    <row r="1069" spans="1:12">
      <c r="A1069" s="855" t="s">
        <v>608</v>
      </c>
      <c r="B1069" s="856"/>
      <c r="C1069" s="856"/>
      <c r="D1069" s="857"/>
      <c r="E1069" s="858"/>
      <c r="F1069" s="859"/>
      <c r="G1069" s="860"/>
      <c r="H1069" s="857"/>
      <c r="I1069" s="861"/>
      <c r="J1069" s="295"/>
      <c r="K1069" s="296">
        <f t="shared" si="17"/>
        <v>0</v>
      </c>
      <c r="L1069"/>
    </row>
    <row r="1070" spans="1:12">
      <c r="A1070" s="855" t="s">
        <v>608</v>
      </c>
      <c r="B1070" s="856"/>
      <c r="C1070" s="856"/>
      <c r="D1070" s="857"/>
      <c r="E1070" s="858"/>
      <c r="F1070" s="859"/>
      <c r="G1070" s="860"/>
      <c r="H1070" s="857"/>
      <c r="I1070" s="861"/>
      <c r="J1070" s="295"/>
      <c r="K1070" s="296">
        <f t="shared" si="17"/>
        <v>0</v>
      </c>
      <c r="L1070"/>
    </row>
    <row r="1071" spans="1:12">
      <c r="A1071" s="855" t="s">
        <v>602</v>
      </c>
      <c r="B1071" s="856"/>
      <c r="C1071" s="856"/>
      <c r="D1071" s="857"/>
      <c r="E1071" s="858"/>
      <c r="F1071" s="859"/>
      <c r="G1071" s="860"/>
      <c r="H1071" s="857"/>
      <c r="I1071" s="861"/>
      <c r="J1071" s="295"/>
      <c r="K1071" s="296">
        <f t="shared" si="17"/>
        <v>0</v>
      </c>
      <c r="L1071"/>
    </row>
    <row r="1072" spans="1:12">
      <c r="A1072" s="855" t="s">
        <v>602</v>
      </c>
      <c r="B1072" s="856"/>
      <c r="C1072" s="856"/>
      <c r="D1072" s="857"/>
      <c r="E1072" s="858"/>
      <c r="F1072" s="859"/>
      <c r="G1072" s="860"/>
      <c r="H1072" s="857"/>
      <c r="I1072" s="861"/>
      <c r="J1072" s="295"/>
      <c r="K1072" s="296">
        <f t="shared" si="17"/>
        <v>0</v>
      </c>
      <c r="L1072"/>
    </row>
    <row r="1073" spans="1:12">
      <c r="A1073" s="855" t="s">
        <v>602</v>
      </c>
      <c r="B1073" s="856"/>
      <c r="C1073" s="856"/>
      <c r="D1073" s="857"/>
      <c r="E1073" s="858"/>
      <c r="F1073" s="859"/>
      <c r="G1073" s="860"/>
      <c r="H1073" s="857"/>
      <c r="I1073" s="861"/>
      <c r="J1073" s="295"/>
      <c r="K1073" s="296">
        <f t="shared" si="17"/>
        <v>0</v>
      </c>
      <c r="L1073"/>
    </row>
    <row r="1074" spans="1:12">
      <c r="A1074" s="855" t="s">
        <v>602</v>
      </c>
      <c r="B1074" s="856"/>
      <c r="C1074" s="856"/>
      <c r="D1074" s="857"/>
      <c r="E1074" s="858"/>
      <c r="F1074" s="859"/>
      <c r="G1074" s="860"/>
      <c r="H1074" s="857"/>
      <c r="I1074" s="861"/>
      <c r="J1074" s="295"/>
      <c r="K1074" s="296">
        <f t="shared" si="17"/>
        <v>0</v>
      </c>
      <c r="L1074"/>
    </row>
    <row r="1075" spans="1:12">
      <c r="A1075" s="855" t="s">
        <v>602</v>
      </c>
      <c r="B1075" s="856"/>
      <c r="C1075" s="856"/>
      <c r="D1075" s="857"/>
      <c r="E1075" s="858"/>
      <c r="F1075" s="859"/>
      <c r="G1075" s="860"/>
      <c r="H1075" s="857"/>
      <c r="I1075" s="861"/>
      <c r="J1075" s="295"/>
      <c r="K1075" s="296">
        <f t="shared" si="17"/>
        <v>0</v>
      </c>
      <c r="L1075"/>
    </row>
    <row r="1076" spans="1:12">
      <c r="A1076" s="855" t="s">
        <v>607</v>
      </c>
      <c r="B1076" s="856"/>
      <c r="C1076" s="856"/>
      <c r="D1076" s="857"/>
      <c r="E1076" s="858"/>
      <c r="F1076" s="859"/>
      <c r="G1076" s="860"/>
      <c r="H1076" s="857"/>
      <c r="I1076" s="861"/>
      <c r="J1076" s="295"/>
      <c r="K1076" s="296">
        <f t="shared" si="17"/>
        <v>0</v>
      </c>
      <c r="L1076"/>
    </row>
    <row r="1077" spans="1:12">
      <c r="A1077" s="855" t="s">
        <v>607</v>
      </c>
      <c r="B1077" s="856"/>
      <c r="C1077" s="856"/>
      <c r="D1077" s="857"/>
      <c r="E1077" s="858"/>
      <c r="F1077" s="859"/>
      <c r="G1077" s="860"/>
      <c r="H1077" s="857"/>
      <c r="I1077" s="861"/>
      <c r="J1077" s="295"/>
      <c r="K1077" s="296">
        <f t="shared" si="17"/>
        <v>0</v>
      </c>
      <c r="L1077"/>
    </row>
    <row r="1078" spans="1:12">
      <c r="A1078" s="855" t="s">
        <v>607</v>
      </c>
      <c r="B1078" s="856"/>
      <c r="C1078" s="856"/>
      <c r="D1078" s="857"/>
      <c r="E1078" s="858"/>
      <c r="F1078" s="859"/>
      <c r="G1078" s="860"/>
      <c r="H1078" s="857"/>
      <c r="I1078" s="861"/>
      <c r="J1078" s="295"/>
      <c r="K1078" s="296">
        <f t="shared" si="17"/>
        <v>0</v>
      </c>
      <c r="L1078"/>
    </row>
    <row r="1079" spans="1:12">
      <c r="A1079" s="855" t="s">
        <v>602</v>
      </c>
      <c r="B1079" s="856"/>
      <c r="C1079" s="856"/>
      <c r="D1079" s="857"/>
      <c r="E1079" s="858"/>
      <c r="F1079" s="859"/>
      <c r="G1079" s="860"/>
      <c r="H1079" s="857"/>
      <c r="I1079" s="861"/>
      <c r="J1079" s="295"/>
      <c r="K1079" s="296">
        <f t="shared" si="17"/>
        <v>0</v>
      </c>
      <c r="L1079"/>
    </row>
    <row r="1080" spans="1:12">
      <c r="A1080" s="855" t="s">
        <v>602</v>
      </c>
      <c r="B1080" s="856"/>
      <c r="C1080" s="856"/>
      <c r="D1080" s="857"/>
      <c r="E1080" s="858"/>
      <c r="F1080" s="859"/>
      <c r="G1080" s="860"/>
      <c r="H1080" s="857"/>
      <c r="I1080" s="861"/>
      <c r="J1080" s="295"/>
      <c r="K1080" s="296">
        <f t="shared" si="17"/>
        <v>0</v>
      </c>
      <c r="L1080"/>
    </row>
    <row r="1081" spans="1:12">
      <c r="A1081" s="855" t="s">
        <v>602</v>
      </c>
      <c r="B1081" s="856"/>
      <c r="C1081" s="856"/>
      <c r="D1081" s="857"/>
      <c r="E1081" s="858"/>
      <c r="F1081" s="859"/>
      <c r="G1081" s="860"/>
      <c r="H1081" s="857"/>
      <c r="I1081" s="861"/>
      <c r="J1081" s="295"/>
      <c r="K1081" s="296">
        <f t="shared" si="17"/>
        <v>0</v>
      </c>
      <c r="L1081"/>
    </row>
    <row r="1082" spans="1:12">
      <c r="A1082" s="855" t="s">
        <v>608</v>
      </c>
      <c r="B1082" s="856"/>
      <c r="C1082" s="856"/>
      <c r="D1082" s="857"/>
      <c r="E1082" s="858"/>
      <c r="F1082" s="859"/>
      <c r="G1082" s="860"/>
      <c r="H1082" s="857"/>
      <c r="I1082" s="861"/>
      <c r="J1082" s="295"/>
      <c r="K1082" s="296">
        <f t="shared" si="17"/>
        <v>0</v>
      </c>
      <c r="L1082"/>
    </row>
    <row r="1083" spans="1:12">
      <c r="A1083" s="855" t="s">
        <v>608</v>
      </c>
      <c r="B1083" s="856"/>
      <c r="C1083" s="856"/>
      <c r="D1083" s="857"/>
      <c r="E1083" s="858"/>
      <c r="F1083" s="859"/>
      <c r="G1083" s="860"/>
      <c r="H1083" s="857"/>
      <c r="I1083" s="861"/>
      <c r="J1083" s="295"/>
      <c r="K1083" s="296">
        <f t="shared" si="17"/>
        <v>0</v>
      </c>
      <c r="L1083"/>
    </row>
    <row r="1084" spans="1:12">
      <c r="A1084" s="855" t="s">
        <v>608</v>
      </c>
      <c r="B1084" s="856"/>
      <c r="C1084" s="856"/>
      <c r="D1084" s="857"/>
      <c r="E1084" s="858"/>
      <c r="F1084" s="859"/>
      <c r="G1084" s="860"/>
      <c r="H1084" s="857"/>
      <c r="I1084" s="861"/>
      <c r="J1084" s="295"/>
      <c r="K1084" s="296">
        <f t="shared" si="17"/>
        <v>0</v>
      </c>
      <c r="L1084"/>
    </row>
    <row r="1085" spans="1:12">
      <c r="A1085" s="855" t="s">
        <v>608</v>
      </c>
      <c r="B1085" s="856"/>
      <c r="C1085" s="856"/>
      <c r="D1085" s="857"/>
      <c r="E1085" s="858"/>
      <c r="F1085" s="859"/>
      <c r="G1085" s="860"/>
      <c r="H1085" s="857"/>
      <c r="I1085" s="861"/>
      <c r="J1085" s="295"/>
      <c r="K1085" s="296">
        <f t="shared" si="17"/>
        <v>0</v>
      </c>
      <c r="L1085"/>
    </row>
    <row r="1086" spans="1:12">
      <c r="A1086" s="855" t="s">
        <v>607</v>
      </c>
      <c r="B1086" s="856"/>
      <c r="C1086" s="856"/>
      <c r="D1086" s="857"/>
      <c r="E1086" s="858"/>
      <c r="F1086" s="859"/>
      <c r="G1086" s="860"/>
      <c r="H1086" s="857"/>
      <c r="I1086" s="861"/>
      <c r="J1086" s="295"/>
      <c r="K1086" s="296">
        <f t="shared" si="17"/>
        <v>0</v>
      </c>
      <c r="L1086"/>
    </row>
    <row r="1087" spans="1:12">
      <c r="A1087" s="855" t="s">
        <v>607</v>
      </c>
      <c r="B1087" s="856"/>
      <c r="C1087" s="856"/>
      <c r="D1087" s="857"/>
      <c r="E1087" s="858"/>
      <c r="F1087" s="859"/>
      <c r="G1087" s="860"/>
      <c r="H1087" s="857"/>
      <c r="I1087" s="861"/>
      <c r="J1087" s="295"/>
      <c r="K1087" s="296">
        <f t="shared" si="17"/>
        <v>0</v>
      </c>
      <c r="L1087"/>
    </row>
    <row r="1088" spans="1:12">
      <c r="A1088" s="855" t="s">
        <v>607</v>
      </c>
      <c r="B1088" s="856"/>
      <c r="C1088" s="856"/>
      <c r="D1088" s="857"/>
      <c r="E1088" s="858"/>
      <c r="F1088" s="859"/>
      <c r="G1088" s="860"/>
      <c r="H1088" s="857"/>
      <c r="I1088" s="861"/>
      <c r="J1088" s="295"/>
      <c r="K1088" s="296">
        <f t="shared" si="17"/>
        <v>0</v>
      </c>
      <c r="L1088"/>
    </row>
    <row r="1089" spans="1:12">
      <c r="A1089" s="855" t="s">
        <v>607</v>
      </c>
      <c r="B1089" s="856"/>
      <c r="C1089" s="856"/>
      <c r="D1089" s="857"/>
      <c r="E1089" s="858"/>
      <c r="F1089" s="859"/>
      <c r="G1089" s="860"/>
      <c r="H1089" s="857"/>
      <c r="I1089" s="861"/>
      <c r="J1089" s="295"/>
      <c r="K1089" s="296">
        <f t="shared" si="17"/>
        <v>0</v>
      </c>
      <c r="L1089"/>
    </row>
    <row r="1090" spans="1:12">
      <c r="A1090" s="855" t="s">
        <v>607</v>
      </c>
      <c r="B1090" s="856"/>
      <c r="C1090" s="856"/>
      <c r="D1090" s="857"/>
      <c r="E1090" s="858"/>
      <c r="F1090" s="859"/>
      <c r="G1090" s="860"/>
      <c r="H1090" s="857"/>
      <c r="I1090" s="861"/>
      <c r="J1090" s="295"/>
      <c r="K1090" s="296">
        <f t="shared" si="17"/>
        <v>0</v>
      </c>
      <c r="L1090"/>
    </row>
    <row r="1091" spans="1:12">
      <c r="A1091" s="855" t="s">
        <v>608</v>
      </c>
      <c r="B1091" s="856"/>
      <c r="C1091" s="856"/>
      <c r="D1091" s="857"/>
      <c r="E1091" s="858"/>
      <c r="F1091" s="859"/>
      <c r="G1091" s="860"/>
      <c r="H1091" s="857"/>
      <c r="I1091" s="861"/>
      <c r="J1091" s="295"/>
      <c r="K1091" s="296">
        <f t="shared" si="17"/>
        <v>0</v>
      </c>
      <c r="L1091"/>
    </row>
    <row r="1092" spans="1:12">
      <c r="A1092" s="855" t="s">
        <v>608</v>
      </c>
      <c r="B1092" s="856"/>
      <c r="C1092" s="856"/>
      <c r="D1092" s="857"/>
      <c r="E1092" s="858"/>
      <c r="F1092" s="859"/>
      <c r="G1092" s="860"/>
      <c r="H1092" s="857"/>
      <c r="I1092" s="861"/>
      <c r="J1092" s="295"/>
      <c r="K1092" s="296">
        <f t="shared" si="17"/>
        <v>0</v>
      </c>
      <c r="L1092"/>
    </row>
    <row r="1093" spans="1:12">
      <c r="A1093" s="855" t="s">
        <v>608</v>
      </c>
      <c r="B1093" s="856"/>
      <c r="C1093" s="856"/>
      <c r="D1093" s="857"/>
      <c r="E1093" s="858"/>
      <c r="F1093" s="859"/>
      <c r="G1093" s="860"/>
      <c r="H1093" s="857"/>
      <c r="I1093" s="861"/>
      <c r="J1093" s="295"/>
      <c r="K1093" s="296">
        <f t="shared" si="17"/>
        <v>0</v>
      </c>
      <c r="L1093"/>
    </row>
    <row r="1094" spans="1:12">
      <c r="A1094" s="855" t="s">
        <v>608</v>
      </c>
      <c r="B1094" s="856"/>
      <c r="C1094" s="856"/>
      <c r="D1094" s="857"/>
      <c r="E1094" s="858"/>
      <c r="F1094" s="859"/>
      <c r="G1094" s="860"/>
      <c r="H1094" s="857"/>
      <c r="I1094" s="861"/>
      <c r="J1094" s="295"/>
      <c r="K1094" s="296">
        <f t="shared" si="17"/>
        <v>0</v>
      </c>
      <c r="L1094"/>
    </row>
    <row r="1095" spans="1:12">
      <c r="A1095" s="855" t="s">
        <v>607</v>
      </c>
      <c r="B1095" s="856"/>
      <c r="C1095" s="856"/>
      <c r="D1095" s="857"/>
      <c r="E1095" s="858"/>
      <c r="F1095" s="859"/>
      <c r="G1095" s="860"/>
      <c r="H1095" s="857"/>
      <c r="I1095" s="861"/>
      <c r="J1095" s="295"/>
      <c r="K1095" s="296">
        <f t="shared" si="17"/>
        <v>0</v>
      </c>
      <c r="L1095"/>
    </row>
    <row r="1096" spans="1:12">
      <c r="A1096" s="855" t="s">
        <v>608</v>
      </c>
      <c r="B1096" s="856"/>
      <c r="C1096" s="856"/>
      <c r="D1096" s="857"/>
      <c r="E1096" s="858"/>
      <c r="F1096" s="859"/>
      <c r="G1096" s="860"/>
      <c r="H1096" s="857"/>
      <c r="I1096" s="861"/>
      <c r="J1096" s="295"/>
      <c r="K1096" s="296">
        <f t="shared" si="17"/>
        <v>0</v>
      </c>
      <c r="L1096"/>
    </row>
    <row r="1097" spans="1:12">
      <c r="A1097" s="855" t="s">
        <v>608</v>
      </c>
      <c r="B1097" s="856"/>
      <c r="C1097" s="856"/>
      <c r="D1097" s="857"/>
      <c r="E1097" s="858"/>
      <c r="F1097" s="859"/>
      <c r="G1097" s="860"/>
      <c r="H1097" s="857"/>
      <c r="I1097" s="861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55" t="s">
        <v>608</v>
      </c>
      <c r="B1098" s="856"/>
      <c r="C1098" s="856"/>
      <c r="D1098" s="857"/>
      <c r="E1098" s="858"/>
      <c r="F1098" s="859"/>
      <c r="G1098" s="860"/>
      <c r="H1098" s="857"/>
      <c r="I1098" s="861"/>
      <c r="J1098" s="295"/>
      <c r="K1098" s="296">
        <f t="shared" si="18"/>
        <v>0</v>
      </c>
      <c r="L1098"/>
    </row>
    <row r="1099" spans="1:12">
      <c r="A1099" s="855" t="s">
        <v>608</v>
      </c>
      <c r="B1099" s="856"/>
      <c r="C1099" s="856"/>
      <c r="D1099" s="857"/>
      <c r="E1099" s="858"/>
      <c r="F1099" s="859"/>
      <c r="G1099" s="860"/>
      <c r="H1099" s="857"/>
      <c r="I1099" s="861"/>
      <c r="J1099" s="295"/>
      <c r="K1099" s="296">
        <f t="shared" si="18"/>
        <v>0</v>
      </c>
      <c r="L1099"/>
    </row>
    <row r="1100" spans="1:12">
      <c r="A1100" s="855" t="s">
        <v>607</v>
      </c>
      <c r="B1100" s="856"/>
      <c r="C1100" s="856"/>
      <c r="D1100" s="857"/>
      <c r="E1100" s="858"/>
      <c r="F1100" s="859"/>
      <c r="G1100" s="860"/>
      <c r="H1100" s="857"/>
      <c r="I1100" s="861"/>
      <c r="J1100" s="295"/>
      <c r="K1100" s="296">
        <f t="shared" si="18"/>
        <v>0</v>
      </c>
      <c r="L1100"/>
    </row>
    <row r="1101" spans="1:12">
      <c r="A1101" s="855" t="s">
        <v>607</v>
      </c>
      <c r="B1101" s="856"/>
      <c r="C1101" s="856"/>
      <c r="D1101" s="857"/>
      <c r="E1101" s="858"/>
      <c r="F1101" s="859"/>
      <c r="G1101" s="860"/>
      <c r="H1101" s="857"/>
      <c r="I1101" s="861"/>
      <c r="J1101" s="295"/>
      <c r="K1101" s="296">
        <f t="shared" si="18"/>
        <v>0</v>
      </c>
      <c r="L1101"/>
    </row>
    <row r="1102" spans="1:12">
      <c r="A1102" s="855" t="s">
        <v>607</v>
      </c>
      <c r="B1102" s="856"/>
      <c r="C1102" s="856"/>
      <c r="D1102" s="857"/>
      <c r="E1102" s="858"/>
      <c r="F1102" s="859"/>
      <c r="G1102" s="860"/>
      <c r="H1102" s="857"/>
      <c r="I1102" s="861"/>
      <c r="J1102" s="295"/>
      <c r="K1102" s="296">
        <f t="shared" si="18"/>
        <v>0</v>
      </c>
      <c r="L1102"/>
    </row>
    <row r="1103" spans="1:12">
      <c r="A1103" s="855" t="s">
        <v>607</v>
      </c>
      <c r="B1103" s="856"/>
      <c r="C1103" s="856"/>
      <c r="D1103" s="857"/>
      <c r="E1103" s="858"/>
      <c r="F1103" s="859"/>
      <c r="G1103" s="860"/>
      <c r="H1103" s="857"/>
      <c r="I1103" s="861"/>
      <c r="J1103" s="295"/>
      <c r="K1103" s="296">
        <f t="shared" si="18"/>
        <v>0</v>
      </c>
      <c r="L1103"/>
    </row>
    <row r="1104" spans="1:12">
      <c r="A1104" s="855" t="s">
        <v>607</v>
      </c>
      <c r="B1104" s="856"/>
      <c r="C1104" s="856"/>
      <c r="D1104" s="857"/>
      <c r="E1104" s="858"/>
      <c r="F1104" s="859"/>
      <c r="G1104" s="860"/>
      <c r="H1104" s="857"/>
      <c r="I1104" s="861"/>
      <c r="J1104" s="295"/>
      <c r="K1104" s="296">
        <f t="shared" si="18"/>
        <v>0</v>
      </c>
      <c r="L1104"/>
    </row>
    <row r="1105" spans="1:12">
      <c r="A1105" s="855" t="s">
        <v>607</v>
      </c>
      <c r="B1105" s="856"/>
      <c r="C1105" s="856"/>
      <c r="D1105" s="857"/>
      <c r="E1105" s="858"/>
      <c r="F1105" s="859"/>
      <c r="G1105" s="860"/>
      <c r="H1105" s="857"/>
      <c r="I1105" s="861"/>
      <c r="J1105" s="295"/>
      <c r="K1105" s="296">
        <f t="shared" si="18"/>
        <v>0</v>
      </c>
      <c r="L1105"/>
    </row>
    <row r="1106" spans="1:12">
      <c r="A1106" s="855" t="s">
        <v>607</v>
      </c>
      <c r="B1106" s="856"/>
      <c r="C1106" s="856"/>
      <c r="D1106" s="857"/>
      <c r="E1106" s="858"/>
      <c r="F1106" s="859"/>
      <c r="G1106" s="860"/>
      <c r="H1106" s="857"/>
      <c r="I1106" s="861"/>
      <c r="J1106" s="295"/>
      <c r="K1106" s="296">
        <f t="shared" si="18"/>
        <v>0</v>
      </c>
      <c r="L1106"/>
    </row>
    <row r="1107" spans="1:12">
      <c r="A1107" s="855" t="s">
        <v>607</v>
      </c>
      <c r="B1107" s="856"/>
      <c r="C1107" s="856"/>
      <c r="D1107" s="857"/>
      <c r="E1107" s="858"/>
      <c r="F1107" s="859"/>
      <c r="G1107" s="860"/>
      <c r="H1107" s="857"/>
      <c r="I1107" s="861"/>
      <c r="J1107" s="295"/>
      <c r="K1107" s="296">
        <f t="shared" si="18"/>
        <v>0</v>
      </c>
      <c r="L1107"/>
    </row>
    <row r="1108" spans="1:12">
      <c r="A1108" s="855" t="s">
        <v>607</v>
      </c>
      <c r="B1108" s="856"/>
      <c r="C1108" s="856"/>
      <c r="D1108" s="857"/>
      <c r="E1108" s="858"/>
      <c r="F1108" s="859"/>
      <c r="G1108" s="860"/>
      <c r="H1108" s="857"/>
      <c r="I1108" s="861"/>
      <c r="J1108" s="295"/>
      <c r="K1108" s="296">
        <f t="shared" si="18"/>
        <v>0</v>
      </c>
      <c r="L1108"/>
    </row>
    <row r="1109" spans="1:12">
      <c r="A1109" s="855" t="s">
        <v>607</v>
      </c>
      <c r="B1109" s="856"/>
      <c r="C1109" s="856"/>
      <c r="D1109" s="857"/>
      <c r="E1109" s="858"/>
      <c r="F1109" s="859"/>
      <c r="G1109" s="860"/>
      <c r="H1109" s="857"/>
      <c r="I1109" s="861"/>
      <c r="J1109" s="295"/>
      <c r="K1109" s="296">
        <f t="shared" si="18"/>
        <v>0</v>
      </c>
      <c r="L1109"/>
    </row>
    <row r="1110" spans="1:12">
      <c r="A1110" s="855" t="s">
        <v>607</v>
      </c>
      <c r="B1110" s="856"/>
      <c r="C1110" s="856"/>
      <c r="D1110" s="857"/>
      <c r="E1110" s="858"/>
      <c r="F1110" s="859"/>
      <c r="G1110" s="860"/>
      <c r="H1110" s="857"/>
      <c r="I1110" s="861"/>
      <c r="J1110" s="295"/>
      <c r="K1110" s="296">
        <f t="shared" si="18"/>
        <v>0</v>
      </c>
      <c r="L1110"/>
    </row>
    <row r="1111" spans="1:12">
      <c r="A1111" s="855" t="s">
        <v>607</v>
      </c>
      <c r="B1111" s="856"/>
      <c r="C1111" s="856"/>
      <c r="D1111" s="857"/>
      <c r="E1111" s="858"/>
      <c r="F1111" s="859"/>
      <c r="G1111" s="860"/>
      <c r="H1111" s="857"/>
      <c r="I1111" s="861"/>
      <c r="J1111" s="295"/>
      <c r="K1111" s="296">
        <f t="shared" si="18"/>
        <v>0</v>
      </c>
      <c r="L1111"/>
    </row>
    <row r="1112" spans="1:12">
      <c r="A1112" s="855" t="s">
        <v>607</v>
      </c>
      <c r="B1112" s="856"/>
      <c r="C1112" s="856"/>
      <c r="D1112" s="857"/>
      <c r="E1112" s="858"/>
      <c r="F1112" s="859"/>
      <c r="G1112" s="860"/>
      <c r="H1112" s="857"/>
      <c r="I1112" s="861"/>
      <c r="J1112" s="295"/>
      <c r="K1112" s="296">
        <f t="shared" si="18"/>
        <v>0</v>
      </c>
      <c r="L1112"/>
    </row>
    <row r="1113" spans="1:12">
      <c r="A1113" s="855" t="s">
        <v>607</v>
      </c>
      <c r="B1113" s="856"/>
      <c r="C1113" s="856"/>
      <c r="D1113" s="857"/>
      <c r="E1113" s="858"/>
      <c r="F1113" s="859"/>
      <c r="G1113" s="860"/>
      <c r="H1113" s="857"/>
      <c r="I1113" s="861"/>
      <c r="J1113" s="295"/>
      <c r="K1113" s="296">
        <f t="shared" si="18"/>
        <v>0</v>
      </c>
      <c r="L1113"/>
    </row>
    <row r="1114" spans="1:12">
      <c r="A1114" s="855" t="s">
        <v>607</v>
      </c>
      <c r="B1114" s="856"/>
      <c r="C1114" s="856"/>
      <c r="D1114" s="857"/>
      <c r="E1114" s="858"/>
      <c r="F1114" s="859"/>
      <c r="G1114" s="860"/>
      <c r="H1114" s="857"/>
      <c r="I1114" s="861"/>
      <c r="J1114" s="295"/>
      <c r="K1114" s="296">
        <f t="shared" si="18"/>
        <v>0</v>
      </c>
      <c r="L1114"/>
    </row>
    <row r="1115" spans="1:12">
      <c r="A1115" s="855" t="s">
        <v>607</v>
      </c>
      <c r="B1115" s="856"/>
      <c r="C1115" s="856"/>
      <c r="D1115" s="857"/>
      <c r="E1115" s="858"/>
      <c r="F1115" s="859"/>
      <c r="G1115" s="860"/>
      <c r="H1115" s="857"/>
      <c r="I1115" s="861"/>
      <c r="J1115" s="295"/>
      <c r="K1115" s="296">
        <f t="shared" si="18"/>
        <v>0</v>
      </c>
      <c r="L1115"/>
    </row>
    <row r="1116" spans="1:12">
      <c r="A1116" s="855" t="s">
        <v>607</v>
      </c>
      <c r="B1116" s="856"/>
      <c r="C1116" s="856"/>
      <c r="D1116" s="857"/>
      <c r="E1116" s="858"/>
      <c r="F1116" s="859"/>
      <c r="G1116" s="860"/>
      <c r="H1116" s="857"/>
      <c r="I1116" s="861"/>
      <c r="J1116" s="295"/>
      <c r="K1116" s="296">
        <f t="shared" si="18"/>
        <v>0</v>
      </c>
      <c r="L1116"/>
    </row>
    <row r="1117" spans="1:12">
      <c r="A1117" s="855" t="s">
        <v>607</v>
      </c>
      <c r="B1117" s="856"/>
      <c r="C1117" s="856"/>
      <c r="D1117" s="857"/>
      <c r="E1117" s="858"/>
      <c r="F1117" s="859"/>
      <c r="G1117" s="860"/>
      <c r="H1117" s="857"/>
      <c r="I1117" s="861"/>
      <c r="J1117" s="295"/>
      <c r="K1117" s="296">
        <f t="shared" si="18"/>
        <v>0</v>
      </c>
      <c r="L1117"/>
    </row>
    <row r="1118" spans="1:12">
      <c r="A1118" s="855" t="s">
        <v>607</v>
      </c>
      <c r="B1118" s="856"/>
      <c r="C1118" s="856"/>
      <c r="D1118" s="857"/>
      <c r="E1118" s="858"/>
      <c r="F1118" s="859"/>
      <c r="G1118" s="860"/>
      <c r="H1118" s="857"/>
      <c r="I1118" s="861"/>
      <c r="J1118" s="295"/>
      <c r="K1118" s="296">
        <f t="shared" si="18"/>
        <v>0</v>
      </c>
      <c r="L1118"/>
    </row>
    <row r="1119" spans="1:12">
      <c r="A1119" s="855" t="s">
        <v>607</v>
      </c>
      <c r="B1119" s="856"/>
      <c r="C1119" s="856"/>
      <c r="D1119" s="857"/>
      <c r="E1119" s="858"/>
      <c r="F1119" s="859"/>
      <c r="G1119" s="860"/>
      <c r="H1119" s="857"/>
      <c r="I1119" s="861"/>
      <c r="J1119" s="295"/>
      <c r="K1119" s="296">
        <f t="shared" si="18"/>
        <v>0</v>
      </c>
      <c r="L1119"/>
    </row>
    <row r="1120" spans="1:12">
      <c r="A1120" s="855" t="s">
        <v>607</v>
      </c>
      <c r="B1120" s="856"/>
      <c r="C1120" s="856"/>
      <c r="D1120" s="857"/>
      <c r="E1120" s="858"/>
      <c r="F1120" s="859"/>
      <c r="G1120" s="860"/>
      <c r="H1120" s="857"/>
      <c r="I1120" s="861"/>
      <c r="J1120" s="295"/>
      <c r="K1120" s="296">
        <f t="shared" si="18"/>
        <v>0</v>
      </c>
      <c r="L1120"/>
    </row>
    <row r="1121" spans="1:12">
      <c r="A1121" s="855" t="s">
        <v>607</v>
      </c>
      <c r="B1121" s="856"/>
      <c r="C1121" s="856"/>
      <c r="D1121" s="857"/>
      <c r="E1121" s="858"/>
      <c r="F1121" s="859"/>
      <c r="G1121" s="860"/>
      <c r="H1121" s="857"/>
      <c r="I1121" s="861"/>
      <c r="J1121" s="295"/>
      <c r="K1121" s="296">
        <f t="shared" si="18"/>
        <v>0</v>
      </c>
      <c r="L1121"/>
    </row>
    <row r="1122" spans="1:12">
      <c r="A1122" s="855" t="s">
        <v>607</v>
      </c>
      <c r="B1122" s="856"/>
      <c r="C1122" s="856"/>
      <c r="D1122" s="857"/>
      <c r="E1122" s="858"/>
      <c r="F1122" s="859"/>
      <c r="G1122" s="860"/>
      <c r="H1122" s="857"/>
      <c r="I1122" s="861"/>
      <c r="J1122" s="295"/>
      <c r="K1122" s="296">
        <f t="shared" si="18"/>
        <v>0</v>
      </c>
      <c r="L1122"/>
    </row>
    <row r="1123" spans="1:12">
      <c r="A1123" s="855" t="s">
        <v>607</v>
      </c>
      <c r="B1123" s="856"/>
      <c r="C1123" s="856"/>
      <c r="D1123" s="857"/>
      <c r="E1123" s="858"/>
      <c r="F1123" s="859"/>
      <c r="G1123" s="860"/>
      <c r="H1123" s="857"/>
      <c r="I1123" s="861"/>
      <c r="J1123" s="295"/>
      <c r="K1123" s="296">
        <f t="shared" si="18"/>
        <v>0</v>
      </c>
      <c r="L1123"/>
    </row>
    <row r="1124" spans="1:12">
      <c r="A1124" s="855" t="s">
        <v>607</v>
      </c>
      <c r="B1124" s="856"/>
      <c r="C1124" s="856"/>
      <c r="D1124" s="857"/>
      <c r="E1124" s="858"/>
      <c r="F1124" s="859"/>
      <c r="G1124" s="860"/>
      <c r="H1124" s="857"/>
      <c r="I1124" s="861"/>
      <c r="J1124" s="295"/>
      <c r="K1124" s="296">
        <f t="shared" si="18"/>
        <v>0</v>
      </c>
      <c r="L1124"/>
    </row>
    <row r="1125" spans="1:12">
      <c r="A1125" s="855" t="s">
        <v>607</v>
      </c>
      <c r="B1125" s="856"/>
      <c r="C1125" s="856"/>
      <c r="D1125" s="857"/>
      <c r="E1125" s="858"/>
      <c r="F1125" s="859"/>
      <c r="G1125" s="860"/>
      <c r="H1125" s="857"/>
      <c r="I1125" s="861"/>
      <c r="J1125" s="295"/>
      <c r="K1125" s="296">
        <f t="shared" si="18"/>
        <v>0</v>
      </c>
      <c r="L1125"/>
    </row>
    <row r="1126" spans="1:12">
      <c r="A1126" s="855" t="s">
        <v>607</v>
      </c>
      <c r="B1126" s="856"/>
      <c r="C1126" s="856"/>
      <c r="D1126" s="857"/>
      <c r="E1126" s="858"/>
      <c r="F1126" s="859"/>
      <c r="G1126" s="860"/>
      <c r="H1126" s="857"/>
      <c r="I1126" s="861"/>
      <c r="J1126" s="295"/>
      <c r="K1126" s="296">
        <f t="shared" si="18"/>
        <v>0</v>
      </c>
      <c r="L1126"/>
    </row>
    <row r="1127" spans="1:12">
      <c r="A1127" s="855" t="s">
        <v>607</v>
      </c>
      <c r="B1127" s="856"/>
      <c r="C1127" s="856"/>
      <c r="D1127" s="857"/>
      <c r="E1127" s="858"/>
      <c r="F1127" s="859"/>
      <c r="G1127" s="860"/>
      <c r="H1127" s="857"/>
      <c r="I1127" s="861"/>
      <c r="J1127" s="295"/>
      <c r="K1127" s="296">
        <f t="shared" si="18"/>
        <v>0</v>
      </c>
      <c r="L1127"/>
    </row>
    <row r="1128" spans="1:12">
      <c r="A1128" s="855" t="s">
        <v>607</v>
      </c>
      <c r="B1128" s="856"/>
      <c r="C1128" s="856"/>
      <c r="D1128" s="857"/>
      <c r="E1128" s="858"/>
      <c r="F1128" s="859"/>
      <c r="G1128" s="860"/>
      <c r="H1128" s="857"/>
      <c r="I1128" s="861"/>
      <c r="J1128" s="295"/>
      <c r="K1128" s="296">
        <f t="shared" si="18"/>
        <v>0</v>
      </c>
      <c r="L1128"/>
    </row>
    <row r="1129" spans="1:12">
      <c r="A1129" s="855" t="s">
        <v>607</v>
      </c>
      <c r="B1129" s="856"/>
      <c r="C1129" s="856"/>
      <c r="D1129" s="857"/>
      <c r="E1129" s="858"/>
      <c r="F1129" s="859"/>
      <c r="G1129" s="860"/>
      <c r="H1129" s="857"/>
      <c r="I1129" s="861"/>
      <c r="J1129" s="295"/>
      <c r="K1129" s="296">
        <f t="shared" si="18"/>
        <v>0</v>
      </c>
      <c r="L1129"/>
    </row>
    <row r="1130" spans="1:12">
      <c r="A1130" s="855" t="s">
        <v>607</v>
      </c>
      <c r="B1130" s="856"/>
      <c r="C1130" s="856"/>
      <c r="D1130" s="857"/>
      <c r="E1130" s="858"/>
      <c r="F1130" s="859"/>
      <c r="G1130" s="860"/>
      <c r="H1130" s="857"/>
      <c r="I1130" s="861"/>
      <c r="J1130" s="295"/>
      <c r="K1130" s="296">
        <f t="shared" si="18"/>
        <v>0</v>
      </c>
      <c r="L1130"/>
    </row>
    <row r="1131" spans="1:12">
      <c r="A1131" s="855" t="s">
        <v>607</v>
      </c>
      <c r="B1131" s="856"/>
      <c r="C1131" s="856"/>
      <c r="D1131" s="857"/>
      <c r="E1131" s="858"/>
      <c r="F1131" s="859"/>
      <c r="G1131" s="860"/>
      <c r="H1131" s="857"/>
      <c r="I1131" s="861"/>
      <c r="J1131" s="295"/>
      <c r="K1131" s="296">
        <f t="shared" si="18"/>
        <v>0</v>
      </c>
      <c r="L1131"/>
    </row>
    <row r="1132" spans="1:12">
      <c r="A1132" s="855" t="s">
        <v>602</v>
      </c>
      <c r="B1132" s="856"/>
      <c r="C1132" s="856"/>
      <c r="D1132" s="857"/>
      <c r="E1132" s="858"/>
      <c r="F1132" s="859"/>
      <c r="G1132" s="860"/>
      <c r="H1132" s="857"/>
      <c r="I1132" s="861"/>
      <c r="J1132" s="295"/>
      <c r="K1132" s="296">
        <f t="shared" si="18"/>
        <v>0</v>
      </c>
      <c r="L1132"/>
    </row>
    <row r="1133" spans="1:12">
      <c r="A1133" s="855" t="s">
        <v>602</v>
      </c>
      <c r="B1133" s="856"/>
      <c r="C1133" s="856"/>
      <c r="D1133" s="857"/>
      <c r="E1133" s="858"/>
      <c r="F1133" s="859"/>
      <c r="G1133" s="860"/>
      <c r="H1133" s="857"/>
      <c r="I1133" s="861"/>
      <c r="J1133" s="295"/>
      <c r="K1133" s="296">
        <f t="shared" si="18"/>
        <v>0</v>
      </c>
      <c r="L1133"/>
    </row>
    <row r="1134" spans="1:12">
      <c r="A1134" s="855" t="s">
        <v>602</v>
      </c>
      <c r="B1134" s="856"/>
      <c r="C1134" s="856"/>
      <c r="D1134" s="857"/>
      <c r="E1134" s="858"/>
      <c r="F1134" s="859"/>
      <c r="G1134" s="860"/>
      <c r="H1134" s="857"/>
      <c r="I1134" s="861"/>
      <c r="J1134" s="295"/>
      <c r="K1134" s="296">
        <f t="shared" si="18"/>
        <v>0</v>
      </c>
      <c r="L1134"/>
    </row>
    <row r="1135" spans="1:12">
      <c r="A1135" s="855" t="s">
        <v>602</v>
      </c>
      <c r="B1135" s="856"/>
      <c r="C1135" s="856"/>
      <c r="D1135" s="857"/>
      <c r="E1135" s="858"/>
      <c r="F1135" s="859"/>
      <c r="G1135" s="860"/>
      <c r="H1135" s="857"/>
      <c r="I1135" s="861"/>
      <c r="J1135" s="295"/>
      <c r="K1135" s="296">
        <f t="shared" si="18"/>
        <v>0</v>
      </c>
      <c r="L1135"/>
    </row>
    <row r="1136" spans="1:12">
      <c r="A1136" s="855" t="s">
        <v>602</v>
      </c>
      <c r="B1136" s="856"/>
      <c r="C1136" s="856"/>
      <c r="D1136" s="857"/>
      <c r="E1136" s="858"/>
      <c r="F1136" s="859"/>
      <c r="G1136" s="860"/>
      <c r="H1136" s="857"/>
      <c r="I1136" s="861"/>
      <c r="J1136" s="295"/>
      <c r="K1136" s="296">
        <f t="shared" si="18"/>
        <v>0</v>
      </c>
      <c r="L1136"/>
    </row>
    <row r="1137" spans="1:12">
      <c r="A1137" s="855" t="s">
        <v>602</v>
      </c>
      <c r="B1137" s="856"/>
      <c r="C1137" s="856"/>
      <c r="D1137" s="857"/>
      <c r="E1137" s="858"/>
      <c r="F1137" s="859"/>
      <c r="G1137" s="860"/>
      <c r="H1137" s="857"/>
      <c r="I1137" s="861"/>
      <c r="J1137" s="295"/>
      <c r="K1137" s="296">
        <f t="shared" si="18"/>
        <v>0</v>
      </c>
      <c r="L1137"/>
    </row>
    <row r="1138" spans="1:12">
      <c r="A1138" s="855" t="s">
        <v>602</v>
      </c>
      <c r="B1138" s="856"/>
      <c r="C1138" s="856"/>
      <c r="D1138" s="857"/>
      <c r="E1138" s="858"/>
      <c r="F1138" s="859"/>
      <c r="G1138" s="860"/>
      <c r="H1138" s="857"/>
      <c r="I1138" s="861"/>
      <c r="J1138" s="295"/>
      <c r="K1138" s="296">
        <f t="shared" si="18"/>
        <v>0</v>
      </c>
      <c r="L1138"/>
    </row>
    <row r="1139" spans="1:12">
      <c r="A1139" s="855" t="s">
        <v>602</v>
      </c>
      <c r="B1139" s="856"/>
      <c r="C1139" s="856"/>
      <c r="D1139" s="857"/>
      <c r="E1139" s="858"/>
      <c r="F1139" s="859"/>
      <c r="G1139" s="860"/>
      <c r="H1139" s="857"/>
      <c r="I1139" s="861"/>
      <c r="J1139" s="295"/>
      <c r="K1139" s="296">
        <f t="shared" si="18"/>
        <v>0</v>
      </c>
      <c r="L1139"/>
    </row>
    <row r="1140" spans="1:12">
      <c r="A1140" s="855" t="s">
        <v>602</v>
      </c>
      <c r="B1140" s="856"/>
      <c r="C1140" s="856"/>
      <c r="D1140" s="857"/>
      <c r="E1140" s="858"/>
      <c r="F1140" s="859"/>
      <c r="G1140" s="860"/>
      <c r="H1140" s="857"/>
      <c r="I1140" s="861"/>
      <c r="J1140" s="295"/>
      <c r="K1140" s="296">
        <f t="shared" si="18"/>
        <v>0</v>
      </c>
      <c r="L1140"/>
    </row>
    <row r="1141" spans="1:12">
      <c r="A1141" s="855" t="s">
        <v>602</v>
      </c>
      <c r="B1141" s="856"/>
      <c r="C1141" s="856"/>
      <c r="D1141" s="857"/>
      <c r="E1141" s="858"/>
      <c r="F1141" s="859"/>
      <c r="G1141" s="860"/>
      <c r="H1141" s="857"/>
      <c r="I1141" s="861"/>
      <c r="J1141" s="295"/>
      <c r="K1141" s="296">
        <f t="shared" si="18"/>
        <v>0</v>
      </c>
      <c r="L1141"/>
    </row>
    <row r="1142" spans="1:12">
      <c r="A1142" s="855" t="s">
        <v>602</v>
      </c>
      <c r="B1142" s="856"/>
      <c r="C1142" s="856"/>
      <c r="D1142" s="857"/>
      <c r="E1142" s="858"/>
      <c r="F1142" s="859"/>
      <c r="G1142" s="860"/>
      <c r="H1142" s="857"/>
      <c r="I1142" s="861"/>
      <c r="J1142" s="295"/>
      <c r="K1142" s="296">
        <f t="shared" si="18"/>
        <v>0</v>
      </c>
      <c r="L1142"/>
    </row>
    <row r="1143" spans="1:12">
      <c r="A1143" s="855" t="s">
        <v>602</v>
      </c>
      <c r="B1143" s="856"/>
      <c r="C1143" s="856"/>
      <c r="D1143" s="857"/>
      <c r="E1143" s="858"/>
      <c r="F1143" s="859"/>
      <c r="G1143" s="860"/>
      <c r="H1143" s="857"/>
      <c r="I1143" s="861"/>
      <c r="J1143" s="295"/>
      <c r="K1143" s="296">
        <f t="shared" si="18"/>
        <v>0</v>
      </c>
      <c r="L1143"/>
    </row>
    <row r="1144" spans="1:12">
      <c r="A1144" s="855" t="s">
        <v>602</v>
      </c>
      <c r="B1144" s="856"/>
      <c r="C1144" s="856"/>
      <c r="D1144" s="857"/>
      <c r="E1144" s="858"/>
      <c r="F1144" s="859"/>
      <c r="G1144" s="860"/>
      <c r="H1144" s="857"/>
      <c r="I1144" s="861"/>
      <c r="J1144" s="295"/>
      <c r="K1144" s="296">
        <f t="shared" si="18"/>
        <v>0</v>
      </c>
      <c r="L1144"/>
    </row>
    <row r="1145" spans="1:12">
      <c r="A1145" s="855" t="s">
        <v>602</v>
      </c>
      <c r="B1145" s="856"/>
      <c r="C1145" s="856"/>
      <c r="D1145" s="857"/>
      <c r="E1145" s="858"/>
      <c r="F1145" s="859"/>
      <c r="G1145" s="860"/>
      <c r="H1145" s="857"/>
      <c r="I1145" s="861"/>
      <c r="J1145" s="295"/>
      <c r="K1145" s="296">
        <f t="shared" si="18"/>
        <v>0</v>
      </c>
      <c r="L1145"/>
    </row>
    <row r="1146" spans="1:12">
      <c r="A1146" s="855" t="s">
        <v>602</v>
      </c>
      <c r="B1146" s="856"/>
      <c r="C1146" s="856"/>
      <c r="D1146" s="857"/>
      <c r="E1146" s="858"/>
      <c r="F1146" s="859"/>
      <c r="G1146" s="860"/>
      <c r="H1146" s="857"/>
      <c r="I1146" s="861"/>
      <c r="J1146" s="295"/>
      <c r="K1146" s="296">
        <f t="shared" si="18"/>
        <v>0</v>
      </c>
      <c r="L1146"/>
    </row>
    <row r="1147" spans="1:12">
      <c r="A1147" s="855" t="s">
        <v>602</v>
      </c>
      <c r="B1147" s="856"/>
      <c r="C1147" s="856"/>
      <c r="D1147" s="857"/>
      <c r="E1147" s="858"/>
      <c r="F1147" s="859"/>
      <c r="G1147" s="860"/>
      <c r="H1147" s="857"/>
      <c r="I1147" s="861"/>
      <c r="J1147" s="295"/>
      <c r="K1147" s="296">
        <f t="shared" si="18"/>
        <v>0</v>
      </c>
      <c r="L1147"/>
    </row>
    <row r="1148" spans="1:12">
      <c r="A1148" s="855" t="s">
        <v>602</v>
      </c>
      <c r="B1148" s="856"/>
      <c r="C1148" s="856"/>
      <c r="D1148" s="857"/>
      <c r="E1148" s="858"/>
      <c r="F1148" s="859"/>
      <c r="G1148" s="860"/>
      <c r="H1148" s="857"/>
      <c r="I1148" s="861"/>
      <c r="J1148" s="295"/>
      <c r="K1148" s="296">
        <f t="shared" si="18"/>
        <v>0</v>
      </c>
      <c r="L1148"/>
    </row>
    <row r="1149" spans="1:12">
      <c r="A1149" s="855" t="s">
        <v>602</v>
      </c>
      <c r="B1149" s="856"/>
      <c r="C1149" s="856"/>
      <c r="D1149" s="857"/>
      <c r="E1149" s="858"/>
      <c r="F1149" s="859"/>
      <c r="G1149" s="860"/>
      <c r="H1149" s="857"/>
      <c r="I1149" s="861"/>
      <c r="J1149" s="295"/>
      <c r="K1149" s="296">
        <f t="shared" si="18"/>
        <v>0</v>
      </c>
      <c r="L1149"/>
    </row>
    <row r="1150" spans="1:12">
      <c r="A1150" s="855" t="s">
        <v>602</v>
      </c>
      <c r="B1150" s="856"/>
      <c r="C1150" s="856"/>
      <c r="D1150" s="857"/>
      <c r="E1150" s="858"/>
      <c r="F1150" s="859"/>
      <c r="G1150" s="860"/>
      <c r="H1150" s="857"/>
      <c r="I1150" s="861"/>
      <c r="J1150" s="295"/>
      <c r="K1150" s="296">
        <f t="shared" si="18"/>
        <v>0</v>
      </c>
      <c r="L1150"/>
    </row>
    <row r="1151" spans="1:12">
      <c r="A1151" s="855" t="s">
        <v>602</v>
      </c>
      <c r="B1151" s="856"/>
      <c r="C1151" s="856"/>
      <c r="D1151" s="857"/>
      <c r="E1151" s="858"/>
      <c r="F1151" s="859"/>
      <c r="G1151" s="860"/>
      <c r="H1151" s="857"/>
      <c r="I1151" s="861"/>
      <c r="J1151" s="295"/>
      <c r="K1151" s="296">
        <f t="shared" si="18"/>
        <v>0</v>
      </c>
      <c r="L1151"/>
    </row>
    <row r="1152" spans="1:12">
      <c r="A1152" s="855" t="s">
        <v>602</v>
      </c>
      <c r="B1152" s="856"/>
      <c r="C1152" s="856"/>
      <c r="D1152" s="857"/>
      <c r="E1152" s="858"/>
      <c r="F1152" s="859"/>
      <c r="G1152" s="860"/>
      <c r="H1152" s="857"/>
      <c r="I1152" s="861"/>
      <c r="J1152" s="295"/>
      <c r="K1152" s="296">
        <f t="shared" si="18"/>
        <v>0</v>
      </c>
      <c r="L1152"/>
    </row>
    <row r="1153" spans="1:12">
      <c r="A1153" s="855" t="s">
        <v>602</v>
      </c>
      <c r="B1153" s="856"/>
      <c r="C1153" s="856"/>
      <c r="D1153" s="857"/>
      <c r="E1153" s="858"/>
      <c r="F1153" s="859"/>
      <c r="G1153" s="860"/>
      <c r="H1153" s="857"/>
      <c r="I1153" s="861"/>
      <c r="J1153" s="295"/>
      <c r="K1153" s="296">
        <f t="shared" si="18"/>
        <v>0</v>
      </c>
      <c r="L1153"/>
    </row>
    <row r="1154" spans="1:12">
      <c r="A1154" s="855" t="s">
        <v>602</v>
      </c>
      <c r="B1154" s="856"/>
      <c r="C1154" s="856"/>
      <c r="D1154" s="857"/>
      <c r="E1154" s="858"/>
      <c r="F1154" s="859"/>
      <c r="G1154" s="860"/>
      <c r="H1154" s="857"/>
      <c r="I1154" s="861"/>
      <c r="J1154" s="295"/>
      <c r="K1154" s="296">
        <f t="shared" si="18"/>
        <v>0</v>
      </c>
      <c r="L1154"/>
    </row>
    <row r="1155" spans="1:12">
      <c r="A1155" s="855" t="s">
        <v>602</v>
      </c>
      <c r="B1155" s="856"/>
      <c r="C1155" s="856"/>
      <c r="D1155" s="857"/>
      <c r="E1155" s="858"/>
      <c r="F1155" s="859"/>
      <c r="G1155" s="860"/>
      <c r="H1155" s="857"/>
      <c r="I1155" s="861"/>
      <c r="J1155" s="295"/>
      <c r="K1155" s="296">
        <f t="shared" si="18"/>
        <v>0</v>
      </c>
      <c r="L1155"/>
    </row>
    <row r="1156" spans="1:12">
      <c r="A1156" s="855" t="s">
        <v>602</v>
      </c>
      <c r="B1156" s="856"/>
      <c r="C1156" s="856"/>
      <c r="D1156" s="857"/>
      <c r="E1156" s="858"/>
      <c r="F1156" s="859"/>
      <c r="G1156" s="860"/>
      <c r="H1156" s="857"/>
      <c r="I1156" s="861"/>
      <c r="J1156" s="295"/>
      <c r="K1156" s="296">
        <f t="shared" si="18"/>
        <v>0</v>
      </c>
      <c r="L1156"/>
    </row>
    <row r="1157" spans="1:12">
      <c r="A1157" s="855" t="s">
        <v>602</v>
      </c>
      <c r="B1157" s="856"/>
      <c r="C1157" s="856"/>
      <c r="D1157" s="857"/>
      <c r="E1157" s="858"/>
      <c r="F1157" s="859"/>
      <c r="G1157" s="860"/>
      <c r="H1157" s="857"/>
      <c r="I1157" s="861"/>
      <c r="J1157" s="295"/>
      <c r="K1157" s="296">
        <f t="shared" si="18"/>
        <v>0</v>
      </c>
      <c r="L1157"/>
    </row>
    <row r="1158" spans="1:12">
      <c r="A1158" s="855" t="s">
        <v>602</v>
      </c>
      <c r="B1158" s="856"/>
      <c r="C1158" s="856"/>
      <c r="D1158" s="857"/>
      <c r="E1158" s="858"/>
      <c r="F1158" s="859"/>
      <c r="G1158" s="860"/>
      <c r="H1158" s="857"/>
      <c r="I1158" s="861"/>
      <c r="J1158" s="295"/>
      <c r="K1158" s="296">
        <f t="shared" si="18"/>
        <v>0</v>
      </c>
      <c r="L1158"/>
    </row>
    <row r="1159" spans="1:12">
      <c r="A1159" s="855" t="s">
        <v>602</v>
      </c>
      <c r="B1159" s="856"/>
      <c r="C1159" s="856"/>
      <c r="D1159" s="857"/>
      <c r="E1159" s="858"/>
      <c r="F1159" s="859"/>
      <c r="G1159" s="860"/>
      <c r="H1159" s="857"/>
      <c r="I1159" s="861"/>
      <c r="J1159" s="295"/>
      <c r="K1159" s="296">
        <f t="shared" si="18"/>
        <v>0</v>
      </c>
      <c r="L1159"/>
    </row>
    <row r="1160" spans="1:12">
      <c r="A1160" s="855" t="s">
        <v>602</v>
      </c>
      <c r="B1160" s="856"/>
      <c r="C1160" s="856"/>
      <c r="D1160" s="857"/>
      <c r="E1160" s="858"/>
      <c r="F1160" s="859"/>
      <c r="G1160" s="860"/>
      <c r="H1160" s="857"/>
      <c r="I1160" s="861"/>
      <c r="J1160" s="295"/>
      <c r="K1160" s="296">
        <f t="shared" si="18"/>
        <v>0</v>
      </c>
      <c r="L1160"/>
    </row>
    <row r="1161" spans="1:12">
      <c r="A1161" s="855" t="s">
        <v>602</v>
      </c>
      <c r="B1161" s="856"/>
      <c r="C1161" s="856"/>
      <c r="D1161" s="857"/>
      <c r="E1161" s="858"/>
      <c r="F1161" s="859"/>
      <c r="G1161" s="860"/>
      <c r="H1161" s="857"/>
      <c r="I1161" s="861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55" t="s">
        <v>602</v>
      </c>
      <c r="B1162" s="856"/>
      <c r="C1162" s="856"/>
      <c r="D1162" s="857"/>
      <c r="E1162" s="858"/>
      <c r="F1162" s="859"/>
      <c r="G1162" s="860"/>
      <c r="H1162" s="857"/>
      <c r="I1162" s="861"/>
      <c r="J1162" s="295"/>
      <c r="K1162" s="296">
        <f t="shared" si="19"/>
        <v>0</v>
      </c>
      <c r="L1162"/>
    </row>
    <row r="1163" spans="1:12">
      <c r="A1163" s="855" t="s">
        <v>602</v>
      </c>
      <c r="B1163" s="856"/>
      <c r="C1163" s="856"/>
      <c r="D1163" s="857"/>
      <c r="E1163" s="858"/>
      <c r="F1163" s="859"/>
      <c r="G1163" s="860"/>
      <c r="H1163" s="857"/>
      <c r="I1163" s="861"/>
      <c r="J1163" s="295"/>
      <c r="K1163" s="296">
        <f t="shared" si="19"/>
        <v>0</v>
      </c>
      <c r="L1163"/>
    </row>
    <row r="1164" spans="1:12">
      <c r="A1164" s="855" t="s">
        <v>602</v>
      </c>
      <c r="B1164" s="856"/>
      <c r="C1164" s="856"/>
      <c r="D1164" s="857"/>
      <c r="E1164" s="858"/>
      <c r="F1164" s="859"/>
      <c r="G1164" s="860"/>
      <c r="H1164" s="857"/>
      <c r="I1164" s="861"/>
      <c r="J1164" s="295"/>
      <c r="K1164" s="296">
        <f t="shared" si="19"/>
        <v>0</v>
      </c>
      <c r="L1164"/>
    </row>
    <row r="1165" spans="1:12">
      <c r="A1165" s="855" t="s">
        <v>602</v>
      </c>
      <c r="B1165" s="856"/>
      <c r="C1165" s="856"/>
      <c r="D1165" s="857"/>
      <c r="E1165" s="858"/>
      <c r="F1165" s="859"/>
      <c r="G1165" s="860"/>
      <c r="H1165" s="857"/>
      <c r="I1165" s="861"/>
      <c r="J1165" s="295"/>
      <c r="K1165" s="296">
        <f t="shared" si="19"/>
        <v>0</v>
      </c>
      <c r="L1165"/>
    </row>
    <row r="1166" spans="1:12">
      <c r="A1166" s="855" t="s">
        <v>602</v>
      </c>
      <c r="B1166" s="856"/>
      <c r="C1166" s="856"/>
      <c r="D1166" s="857"/>
      <c r="E1166" s="858"/>
      <c r="F1166" s="859"/>
      <c r="G1166" s="860"/>
      <c r="H1166" s="857"/>
      <c r="I1166" s="861"/>
      <c r="J1166" s="295"/>
      <c r="K1166" s="296">
        <f t="shared" si="19"/>
        <v>0</v>
      </c>
      <c r="L1166"/>
    </row>
    <row r="1167" spans="1:12">
      <c r="A1167" s="855" t="s">
        <v>602</v>
      </c>
      <c r="B1167" s="856"/>
      <c r="C1167" s="856"/>
      <c r="D1167" s="857"/>
      <c r="E1167" s="858"/>
      <c r="F1167" s="859"/>
      <c r="G1167" s="860"/>
      <c r="H1167" s="857"/>
      <c r="I1167" s="861"/>
      <c r="J1167" s="295"/>
      <c r="K1167" s="296">
        <f t="shared" si="19"/>
        <v>0</v>
      </c>
      <c r="L1167"/>
    </row>
    <row r="1168" spans="1:12">
      <c r="A1168" s="855" t="s">
        <v>602</v>
      </c>
      <c r="B1168" s="856"/>
      <c r="C1168" s="856"/>
      <c r="D1168" s="857"/>
      <c r="E1168" s="858"/>
      <c r="F1168" s="859"/>
      <c r="G1168" s="860"/>
      <c r="H1168" s="857"/>
      <c r="I1168" s="861"/>
      <c r="J1168" s="295"/>
      <c r="K1168" s="296">
        <f t="shared" si="19"/>
        <v>0</v>
      </c>
      <c r="L1168"/>
    </row>
    <row r="1169" spans="1:12">
      <c r="A1169" s="855" t="s">
        <v>602</v>
      </c>
      <c r="B1169" s="856"/>
      <c r="C1169" s="856"/>
      <c r="D1169" s="857"/>
      <c r="E1169" s="858"/>
      <c r="F1169" s="859"/>
      <c r="G1169" s="860"/>
      <c r="H1169" s="857"/>
      <c r="I1169" s="861"/>
      <c r="J1169" s="295"/>
      <c r="K1169" s="296">
        <f t="shared" si="19"/>
        <v>0</v>
      </c>
      <c r="L1169"/>
    </row>
    <row r="1170" spans="1:12">
      <c r="A1170" s="855" t="s">
        <v>602</v>
      </c>
      <c r="B1170" s="856"/>
      <c r="C1170" s="856"/>
      <c r="D1170" s="857"/>
      <c r="E1170" s="858"/>
      <c r="F1170" s="859"/>
      <c r="G1170" s="860"/>
      <c r="H1170" s="857"/>
      <c r="I1170" s="861"/>
      <c r="J1170" s="295"/>
      <c r="K1170" s="296">
        <f t="shared" si="19"/>
        <v>0</v>
      </c>
      <c r="L1170"/>
    </row>
    <row r="1171" spans="1:12">
      <c r="A1171" s="855" t="s">
        <v>602</v>
      </c>
      <c r="B1171" s="856"/>
      <c r="C1171" s="856"/>
      <c r="D1171" s="857"/>
      <c r="E1171" s="858"/>
      <c r="F1171" s="859"/>
      <c r="G1171" s="860"/>
      <c r="H1171" s="857"/>
      <c r="I1171" s="861"/>
      <c r="J1171" s="295"/>
      <c r="K1171" s="296">
        <f t="shared" si="19"/>
        <v>0</v>
      </c>
      <c r="L1171"/>
    </row>
    <row r="1172" spans="1:12">
      <c r="A1172" s="855" t="s">
        <v>602</v>
      </c>
      <c r="B1172" s="856"/>
      <c r="C1172" s="856"/>
      <c r="D1172" s="857"/>
      <c r="E1172" s="858"/>
      <c r="F1172" s="859"/>
      <c r="G1172" s="860"/>
      <c r="H1172" s="857"/>
      <c r="I1172" s="861"/>
      <c r="J1172" s="295"/>
      <c r="K1172" s="296">
        <f t="shared" si="19"/>
        <v>0</v>
      </c>
      <c r="L1172"/>
    </row>
    <row r="1173" spans="1:12">
      <c r="A1173" s="855" t="s">
        <v>602</v>
      </c>
      <c r="B1173" s="856"/>
      <c r="C1173" s="856"/>
      <c r="D1173" s="857"/>
      <c r="E1173" s="858"/>
      <c r="F1173" s="859"/>
      <c r="G1173" s="860"/>
      <c r="H1173" s="857"/>
      <c r="I1173" s="861"/>
      <c r="J1173" s="295"/>
      <c r="K1173" s="296">
        <f t="shared" si="19"/>
        <v>0</v>
      </c>
      <c r="L1173"/>
    </row>
    <row r="1174" spans="1:12">
      <c r="A1174" s="855" t="s">
        <v>608</v>
      </c>
      <c r="B1174" s="856"/>
      <c r="C1174" s="856"/>
      <c r="D1174" s="857"/>
      <c r="E1174" s="858"/>
      <c r="F1174" s="859"/>
      <c r="G1174" s="860"/>
      <c r="H1174" s="857"/>
      <c r="I1174" s="861"/>
      <c r="J1174" s="295"/>
      <c r="K1174" s="296">
        <f t="shared" si="19"/>
        <v>0</v>
      </c>
      <c r="L1174"/>
    </row>
    <row r="1175" spans="1:12">
      <c r="A1175" s="855" t="s">
        <v>608</v>
      </c>
      <c r="B1175" s="856"/>
      <c r="C1175" s="856"/>
      <c r="D1175" s="857"/>
      <c r="E1175" s="858"/>
      <c r="F1175" s="859"/>
      <c r="G1175" s="860"/>
      <c r="H1175" s="857"/>
      <c r="I1175" s="861"/>
      <c r="J1175" s="295"/>
      <c r="K1175" s="296">
        <f t="shared" si="19"/>
        <v>0</v>
      </c>
      <c r="L1175"/>
    </row>
    <row r="1176" spans="1:12">
      <c r="A1176" s="855" t="s">
        <v>608</v>
      </c>
      <c r="B1176" s="856"/>
      <c r="C1176" s="856"/>
      <c r="D1176" s="857"/>
      <c r="E1176" s="858"/>
      <c r="F1176" s="859"/>
      <c r="G1176" s="860"/>
      <c r="H1176" s="857"/>
      <c r="I1176" s="861"/>
      <c r="J1176" s="295"/>
      <c r="K1176" s="296">
        <f t="shared" si="19"/>
        <v>0</v>
      </c>
      <c r="L1176"/>
    </row>
    <row r="1177" spans="1:12">
      <c r="A1177" s="855" t="s">
        <v>608</v>
      </c>
      <c r="B1177" s="856"/>
      <c r="C1177" s="856"/>
      <c r="D1177" s="857"/>
      <c r="E1177" s="858"/>
      <c r="F1177" s="859"/>
      <c r="G1177" s="860"/>
      <c r="H1177" s="857"/>
      <c r="I1177" s="861"/>
      <c r="J1177" s="295"/>
      <c r="K1177" s="296">
        <f t="shared" si="19"/>
        <v>0</v>
      </c>
      <c r="L1177"/>
    </row>
    <row r="1178" spans="1:12">
      <c r="A1178" s="855" t="s">
        <v>608</v>
      </c>
      <c r="B1178" s="856"/>
      <c r="C1178" s="856"/>
      <c r="D1178" s="857"/>
      <c r="E1178" s="858"/>
      <c r="F1178" s="859"/>
      <c r="G1178" s="860"/>
      <c r="H1178" s="857"/>
      <c r="I1178" s="861"/>
      <c r="J1178" s="295"/>
      <c r="K1178" s="296">
        <f t="shared" si="19"/>
        <v>0</v>
      </c>
      <c r="L1178"/>
    </row>
    <row r="1179" spans="1:12">
      <c r="A1179" s="855" t="s">
        <v>608</v>
      </c>
      <c r="B1179" s="856"/>
      <c r="C1179" s="856"/>
      <c r="D1179" s="857"/>
      <c r="E1179" s="858"/>
      <c r="F1179" s="859"/>
      <c r="G1179" s="860"/>
      <c r="H1179" s="857"/>
      <c r="I1179" s="861"/>
      <c r="J1179" s="295"/>
      <c r="K1179" s="296">
        <f t="shared" si="19"/>
        <v>0</v>
      </c>
      <c r="L1179" s="60"/>
    </row>
    <row r="1180" spans="1:12">
      <c r="A1180" s="855" t="s">
        <v>608</v>
      </c>
      <c r="B1180" s="856"/>
      <c r="C1180" s="856"/>
      <c r="D1180" s="857"/>
      <c r="E1180" s="858"/>
      <c r="F1180" s="859"/>
      <c r="G1180" s="860"/>
      <c r="H1180" s="857"/>
      <c r="I1180" s="861"/>
      <c r="J1180" s="295"/>
      <c r="K1180" s="296">
        <f t="shared" si="19"/>
        <v>0</v>
      </c>
      <c r="L1180"/>
    </row>
    <row r="1181" spans="1:12">
      <c r="A1181" s="855" t="s">
        <v>608</v>
      </c>
      <c r="B1181" s="856"/>
      <c r="C1181" s="856"/>
      <c r="D1181" s="857"/>
      <c r="E1181" s="858"/>
      <c r="F1181" s="859"/>
      <c r="G1181" s="860"/>
      <c r="H1181" s="857"/>
      <c r="I1181" s="861"/>
      <c r="J1181" s="295"/>
      <c r="K1181" s="296">
        <f t="shared" si="19"/>
        <v>0</v>
      </c>
      <c r="L1181"/>
    </row>
    <row r="1182" spans="1:12">
      <c r="A1182" s="855" t="s">
        <v>608</v>
      </c>
      <c r="B1182" s="856"/>
      <c r="C1182" s="856"/>
      <c r="D1182" s="857"/>
      <c r="E1182" s="858"/>
      <c r="F1182" s="859"/>
      <c r="G1182" s="860"/>
      <c r="H1182" s="857"/>
      <c r="I1182" s="861"/>
      <c r="J1182" s="295"/>
      <c r="K1182" s="296">
        <f t="shared" si="19"/>
        <v>0</v>
      </c>
      <c r="L1182"/>
    </row>
    <row r="1183" spans="1:12">
      <c r="A1183" s="855" t="s">
        <v>608</v>
      </c>
      <c r="B1183" s="856"/>
      <c r="C1183" s="856"/>
      <c r="D1183" s="857"/>
      <c r="E1183" s="858"/>
      <c r="F1183" s="859"/>
      <c r="G1183" s="860"/>
      <c r="H1183" s="857"/>
      <c r="I1183" s="861"/>
      <c r="J1183" s="295"/>
      <c r="K1183" s="296">
        <f t="shared" si="19"/>
        <v>0</v>
      </c>
      <c r="L1183"/>
    </row>
    <row r="1184" spans="1:12">
      <c r="A1184" s="855" t="s">
        <v>608</v>
      </c>
      <c r="B1184" s="856"/>
      <c r="C1184" s="856"/>
      <c r="D1184" s="857"/>
      <c r="E1184" s="858"/>
      <c r="F1184" s="859"/>
      <c r="G1184" s="860"/>
      <c r="H1184" s="857"/>
      <c r="I1184" s="861"/>
      <c r="J1184" s="295"/>
      <c r="K1184" s="296">
        <f t="shared" si="19"/>
        <v>0</v>
      </c>
      <c r="L1184"/>
    </row>
    <row r="1185" spans="1:12">
      <c r="A1185" s="855" t="s">
        <v>608</v>
      </c>
      <c r="B1185" s="856"/>
      <c r="C1185" s="856"/>
      <c r="D1185" s="857"/>
      <c r="E1185" s="858"/>
      <c r="F1185" s="859"/>
      <c r="G1185" s="860"/>
      <c r="H1185" s="857"/>
      <c r="I1185" s="861"/>
      <c r="J1185" s="295"/>
      <c r="K1185" s="296">
        <f t="shared" si="19"/>
        <v>0</v>
      </c>
      <c r="L1185"/>
    </row>
    <row r="1186" spans="1:12">
      <c r="A1186" s="855" t="s">
        <v>607</v>
      </c>
      <c r="B1186" s="856"/>
      <c r="C1186" s="856"/>
      <c r="D1186" s="857"/>
      <c r="E1186" s="858"/>
      <c r="F1186" s="859"/>
      <c r="G1186" s="860"/>
      <c r="H1186" s="857"/>
      <c r="I1186" s="861"/>
      <c r="J1186" s="295"/>
      <c r="K1186" s="296">
        <f t="shared" si="19"/>
        <v>0</v>
      </c>
      <c r="L1186"/>
    </row>
    <row r="1187" spans="1:12">
      <c r="A1187" s="855" t="s">
        <v>608</v>
      </c>
      <c r="B1187" s="856"/>
      <c r="C1187" s="856"/>
      <c r="D1187" s="857"/>
      <c r="E1187" s="858"/>
      <c r="F1187" s="859"/>
      <c r="G1187" s="860"/>
      <c r="H1187" s="857"/>
      <c r="I1187" s="861"/>
      <c r="J1187" s="295"/>
      <c r="K1187" s="296">
        <f t="shared" si="19"/>
        <v>0</v>
      </c>
      <c r="L1187"/>
    </row>
    <row r="1188" spans="1:12">
      <c r="A1188" s="855" t="s">
        <v>608</v>
      </c>
      <c r="B1188" s="856"/>
      <c r="C1188" s="856"/>
      <c r="D1188" s="857"/>
      <c r="E1188" s="858"/>
      <c r="F1188" s="859"/>
      <c r="G1188" s="860"/>
      <c r="H1188" s="857"/>
      <c r="I1188" s="861"/>
      <c r="J1188" s="295"/>
      <c r="K1188" s="296">
        <f t="shared" si="19"/>
        <v>0</v>
      </c>
      <c r="L1188"/>
    </row>
    <row r="1189" spans="1:12">
      <c r="A1189" s="855" t="s">
        <v>608</v>
      </c>
      <c r="B1189" s="856"/>
      <c r="C1189" s="856"/>
      <c r="D1189" s="857"/>
      <c r="E1189" s="858"/>
      <c r="F1189" s="859"/>
      <c r="G1189" s="860"/>
      <c r="H1189" s="857"/>
      <c r="I1189" s="861"/>
      <c r="J1189" s="295"/>
      <c r="K1189" s="296">
        <f t="shared" si="19"/>
        <v>0</v>
      </c>
      <c r="L1189" s="60"/>
    </row>
    <row r="1190" spans="1:12">
      <c r="A1190" s="855" t="s">
        <v>608</v>
      </c>
      <c r="B1190" s="856"/>
      <c r="C1190" s="856"/>
      <c r="D1190" s="857"/>
      <c r="E1190" s="858"/>
      <c r="F1190" s="859"/>
      <c r="G1190" s="860"/>
      <c r="H1190" s="857"/>
      <c r="I1190" s="861"/>
      <c r="J1190" s="295"/>
      <c r="K1190" s="296">
        <f t="shared" si="19"/>
        <v>0</v>
      </c>
      <c r="L1190"/>
    </row>
    <row r="1191" spans="1:12">
      <c r="A1191" s="855" t="s">
        <v>608</v>
      </c>
      <c r="B1191" s="856"/>
      <c r="C1191" s="856"/>
      <c r="D1191" s="857"/>
      <c r="E1191" s="858"/>
      <c r="F1191" s="859"/>
      <c r="G1191" s="860"/>
      <c r="H1191" s="857"/>
      <c r="I1191" s="861"/>
      <c r="J1191" s="295"/>
      <c r="K1191" s="296">
        <f t="shared" si="19"/>
        <v>0</v>
      </c>
      <c r="L1191"/>
    </row>
    <row r="1192" spans="1:12">
      <c r="A1192" s="855" t="s">
        <v>608</v>
      </c>
      <c r="B1192" s="856"/>
      <c r="C1192" s="856"/>
      <c r="D1192" s="857"/>
      <c r="E1192" s="858"/>
      <c r="F1192" s="859"/>
      <c r="G1192" s="860"/>
      <c r="H1192" s="857"/>
      <c r="I1192" s="861"/>
      <c r="J1192" s="295"/>
      <c r="K1192" s="296">
        <f t="shared" si="19"/>
        <v>0</v>
      </c>
      <c r="L1192"/>
    </row>
    <row r="1193" spans="1:12">
      <c r="A1193" s="855" t="s">
        <v>608</v>
      </c>
      <c r="B1193" s="856"/>
      <c r="C1193" s="856"/>
      <c r="D1193" s="857"/>
      <c r="E1193" s="858"/>
      <c r="F1193" s="859"/>
      <c r="G1193" s="860"/>
      <c r="H1193" s="857"/>
      <c r="I1193" s="861"/>
      <c r="J1193" s="295"/>
      <c r="K1193" s="296">
        <f t="shared" si="19"/>
        <v>0</v>
      </c>
      <c r="L1193"/>
    </row>
    <row r="1194" spans="1:12">
      <c r="A1194" s="855" t="s">
        <v>608</v>
      </c>
      <c r="B1194" s="856"/>
      <c r="C1194" s="856"/>
      <c r="D1194" s="857"/>
      <c r="E1194" s="858"/>
      <c r="F1194" s="859"/>
      <c r="G1194" s="860"/>
      <c r="H1194" s="857"/>
      <c r="I1194" s="861"/>
      <c r="J1194" s="295"/>
      <c r="K1194" s="296">
        <f t="shared" si="19"/>
        <v>0</v>
      </c>
      <c r="L1194"/>
    </row>
    <row r="1195" spans="1:12">
      <c r="A1195" s="855" t="s">
        <v>608</v>
      </c>
      <c r="B1195" s="856"/>
      <c r="C1195" s="856"/>
      <c r="D1195" s="857"/>
      <c r="E1195" s="858"/>
      <c r="F1195" s="859"/>
      <c r="G1195" s="860"/>
      <c r="H1195" s="857"/>
      <c r="I1195" s="861"/>
      <c r="J1195" s="295"/>
      <c r="K1195" s="296">
        <f t="shared" si="19"/>
        <v>0</v>
      </c>
      <c r="L1195"/>
    </row>
    <row r="1196" spans="1:12">
      <c r="A1196" s="855" t="s">
        <v>608</v>
      </c>
      <c r="B1196" s="856"/>
      <c r="C1196" s="856"/>
      <c r="D1196" s="857"/>
      <c r="E1196" s="858"/>
      <c r="F1196" s="859"/>
      <c r="G1196" s="860"/>
      <c r="H1196" s="857"/>
      <c r="I1196" s="861"/>
      <c r="J1196" s="295"/>
      <c r="K1196" s="296">
        <f t="shared" si="19"/>
        <v>0</v>
      </c>
      <c r="L1196"/>
    </row>
    <row r="1197" spans="1:12">
      <c r="A1197" s="855" t="s">
        <v>608</v>
      </c>
      <c r="B1197" s="856"/>
      <c r="C1197" s="856"/>
      <c r="D1197" s="857"/>
      <c r="E1197" s="858"/>
      <c r="F1197" s="859"/>
      <c r="G1197" s="860"/>
      <c r="H1197" s="857"/>
      <c r="I1197" s="861"/>
      <c r="J1197" s="295"/>
      <c r="K1197" s="296">
        <f t="shared" si="19"/>
        <v>0</v>
      </c>
      <c r="L1197"/>
    </row>
    <row r="1198" spans="1:12">
      <c r="A1198" s="855" t="s">
        <v>608</v>
      </c>
      <c r="B1198" s="856"/>
      <c r="C1198" s="856"/>
      <c r="D1198" s="857"/>
      <c r="E1198" s="858"/>
      <c r="F1198" s="859"/>
      <c r="G1198" s="860"/>
      <c r="H1198" s="857"/>
      <c r="I1198" s="861"/>
      <c r="J1198" s="295"/>
      <c r="K1198" s="296">
        <f t="shared" si="19"/>
        <v>0</v>
      </c>
      <c r="L1198"/>
    </row>
    <row r="1199" spans="1:12">
      <c r="A1199" s="855" t="s">
        <v>608</v>
      </c>
      <c r="B1199" s="856"/>
      <c r="C1199" s="856"/>
      <c r="D1199" s="857"/>
      <c r="E1199" s="858"/>
      <c r="F1199" s="859"/>
      <c r="G1199" s="860"/>
      <c r="H1199" s="857"/>
      <c r="I1199" s="861"/>
      <c r="J1199" s="295"/>
      <c r="K1199" s="296">
        <f t="shared" si="19"/>
        <v>0</v>
      </c>
      <c r="L1199"/>
    </row>
    <row r="1200" spans="1:12">
      <c r="A1200" s="855" t="s">
        <v>608</v>
      </c>
      <c r="B1200" s="856"/>
      <c r="C1200" s="856"/>
      <c r="D1200" s="857"/>
      <c r="E1200" s="858"/>
      <c r="F1200" s="859"/>
      <c r="G1200" s="860"/>
      <c r="H1200" s="857"/>
      <c r="I1200" s="861"/>
      <c r="J1200" s="295"/>
      <c r="K1200" s="296">
        <f t="shared" si="19"/>
        <v>0</v>
      </c>
      <c r="L1200"/>
    </row>
    <row r="1201" spans="1:12">
      <c r="A1201" s="855" t="s">
        <v>608</v>
      </c>
      <c r="B1201" s="856"/>
      <c r="C1201" s="856"/>
      <c r="D1201" s="857"/>
      <c r="E1201" s="858"/>
      <c r="F1201" s="859"/>
      <c r="G1201" s="860"/>
      <c r="H1201" s="857"/>
      <c r="I1201" s="861"/>
      <c r="J1201" s="295"/>
      <c r="K1201" s="296">
        <f t="shared" si="19"/>
        <v>0</v>
      </c>
      <c r="L1201"/>
    </row>
    <row r="1202" spans="1:12">
      <c r="A1202" s="855" t="s">
        <v>608</v>
      </c>
      <c r="B1202" s="856"/>
      <c r="C1202" s="856"/>
      <c r="D1202" s="857"/>
      <c r="E1202" s="858"/>
      <c r="F1202" s="859"/>
      <c r="G1202" s="860"/>
      <c r="H1202" s="857"/>
      <c r="I1202" s="861"/>
      <c r="J1202" s="295"/>
      <c r="K1202" s="296">
        <f t="shared" si="19"/>
        <v>0</v>
      </c>
      <c r="L1202"/>
    </row>
    <row r="1203" spans="1:12">
      <c r="A1203" s="855" t="s">
        <v>608</v>
      </c>
      <c r="B1203" s="856"/>
      <c r="C1203" s="856"/>
      <c r="D1203" s="857"/>
      <c r="E1203" s="858"/>
      <c r="F1203" s="859"/>
      <c r="G1203" s="860"/>
      <c r="H1203" s="857"/>
      <c r="I1203" s="861"/>
      <c r="J1203" s="295"/>
      <c r="K1203" s="296">
        <f t="shared" si="19"/>
        <v>0</v>
      </c>
      <c r="L1203"/>
    </row>
    <row r="1204" spans="1:12">
      <c r="A1204" s="855" t="s">
        <v>608</v>
      </c>
      <c r="B1204" s="856"/>
      <c r="C1204" s="856"/>
      <c r="D1204" s="857"/>
      <c r="E1204" s="858"/>
      <c r="F1204" s="859"/>
      <c r="G1204" s="860"/>
      <c r="H1204" s="857"/>
      <c r="I1204" s="861"/>
      <c r="J1204" s="295"/>
      <c r="K1204" s="296">
        <f t="shared" si="19"/>
        <v>0</v>
      </c>
      <c r="L1204"/>
    </row>
    <row r="1205" spans="1:12">
      <c r="A1205" s="855" t="s">
        <v>608</v>
      </c>
      <c r="B1205" s="856"/>
      <c r="C1205" s="856"/>
      <c r="D1205" s="857"/>
      <c r="E1205" s="858"/>
      <c r="F1205" s="859"/>
      <c r="G1205" s="860"/>
      <c r="H1205" s="857"/>
      <c r="I1205" s="861"/>
      <c r="J1205" s="295"/>
      <c r="K1205" s="296">
        <f t="shared" si="19"/>
        <v>0</v>
      </c>
      <c r="L1205"/>
    </row>
    <row r="1206" spans="1:12">
      <c r="A1206" s="855" t="s">
        <v>607</v>
      </c>
      <c r="B1206" s="856"/>
      <c r="C1206" s="856"/>
      <c r="D1206" s="857"/>
      <c r="E1206" s="858"/>
      <c r="F1206" s="859"/>
      <c r="G1206" s="860"/>
      <c r="H1206" s="857"/>
      <c r="I1206" s="861"/>
      <c r="J1206" s="295"/>
      <c r="K1206" s="296">
        <f t="shared" si="19"/>
        <v>0</v>
      </c>
      <c r="L1206"/>
    </row>
    <row r="1207" spans="1:12">
      <c r="A1207" s="855" t="s">
        <v>607</v>
      </c>
      <c r="B1207" s="856"/>
      <c r="C1207" s="856"/>
      <c r="D1207" s="857"/>
      <c r="E1207" s="858"/>
      <c r="F1207" s="859"/>
      <c r="G1207" s="860"/>
      <c r="H1207" s="857"/>
      <c r="I1207" s="861"/>
      <c r="J1207" s="295"/>
      <c r="K1207" s="296">
        <f t="shared" si="19"/>
        <v>0</v>
      </c>
      <c r="L1207"/>
    </row>
    <row r="1208" spans="1:12">
      <c r="A1208" s="855" t="s">
        <v>607</v>
      </c>
      <c r="B1208" s="856"/>
      <c r="C1208" s="856"/>
      <c r="D1208" s="857"/>
      <c r="E1208" s="858"/>
      <c r="F1208" s="859"/>
      <c r="G1208" s="860"/>
      <c r="H1208" s="857"/>
      <c r="I1208" s="861"/>
      <c r="J1208" s="295"/>
      <c r="K1208" s="296">
        <f t="shared" si="19"/>
        <v>0</v>
      </c>
      <c r="L1208"/>
    </row>
    <row r="1209" spans="1:12">
      <c r="A1209" s="855" t="s">
        <v>607</v>
      </c>
      <c r="B1209" s="856"/>
      <c r="C1209" s="856"/>
      <c r="D1209" s="857"/>
      <c r="E1209" s="858"/>
      <c r="F1209" s="859"/>
      <c r="G1209" s="860"/>
      <c r="H1209" s="857"/>
      <c r="I1209" s="861"/>
      <c r="J1209" s="295"/>
      <c r="K1209" s="296">
        <f t="shared" si="19"/>
        <v>0</v>
      </c>
      <c r="L1209"/>
    </row>
    <row r="1210" spans="1:12">
      <c r="A1210" s="855" t="s">
        <v>607</v>
      </c>
      <c r="B1210" s="856"/>
      <c r="C1210" s="856"/>
      <c r="D1210" s="857"/>
      <c r="E1210" s="858"/>
      <c r="F1210" s="859"/>
      <c r="G1210" s="860"/>
      <c r="H1210" s="857"/>
      <c r="I1210" s="861"/>
      <c r="J1210" s="295"/>
      <c r="K1210" s="296">
        <f t="shared" si="19"/>
        <v>0</v>
      </c>
      <c r="L1210"/>
    </row>
    <row r="1211" spans="1:12">
      <c r="A1211" s="855" t="s">
        <v>607</v>
      </c>
      <c r="B1211" s="856"/>
      <c r="C1211" s="856"/>
      <c r="D1211" s="857"/>
      <c r="E1211" s="858"/>
      <c r="F1211" s="859"/>
      <c r="G1211" s="860"/>
      <c r="H1211" s="857"/>
      <c r="I1211" s="861"/>
      <c r="J1211" s="295"/>
      <c r="K1211" s="296">
        <f t="shared" si="19"/>
        <v>0</v>
      </c>
      <c r="L1211"/>
    </row>
    <row r="1212" spans="1:12">
      <c r="A1212" s="855" t="s">
        <v>607</v>
      </c>
      <c r="B1212" s="856"/>
      <c r="C1212" s="856"/>
      <c r="D1212" s="857"/>
      <c r="E1212" s="858"/>
      <c r="F1212" s="859"/>
      <c r="G1212" s="860"/>
      <c r="H1212" s="857"/>
      <c r="I1212" s="861"/>
      <c r="J1212" s="295"/>
      <c r="K1212" s="296">
        <f t="shared" si="19"/>
        <v>0</v>
      </c>
      <c r="L1212"/>
    </row>
    <row r="1213" spans="1:12">
      <c r="A1213" s="855" t="s">
        <v>607</v>
      </c>
      <c r="B1213" s="856"/>
      <c r="C1213" s="856"/>
      <c r="D1213" s="857"/>
      <c r="E1213" s="858"/>
      <c r="F1213" s="859"/>
      <c r="G1213" s="860"/>
      <c r="H1213" s="857"/>
      <c r="I1213" s="861"/>
      <c r="J1213" s="295"/>
      <c r="K1213" s="296">
        <f t="shared" si="19"/>
        <v>0</v>
      </c>
      <c r="L1213"/>
    </row>
    <row r="1214" spans="1:12">
      <c r="A1214" s="855" t="s">
        <v>607</v>
      </c>
      <c r="B1214" s="856"/>
      <c r="C1214" s="856"/>
      <c r="D1214" s="857"/>
      <c r="E1214" s="858"/>
      <c r="F1214" s="859"/>
      <c r="G1214" s="860"/>
      <c r="H1214" s="857"/>
      <c r="I1214" s="861"/>
      <c r="J1214" s="295"/>
      <c r="K1214" s="296">
        <f t="shared" si="19"/>
        <v>0</v>
      </c>
      <c r="L1214"/>
    </row>
    <row r="1215" spans="1:12">
      <c r="A1215" s="855" t="s">
        <v>607</v>
      </c>
      <c r="B1215" s="856"/>
      <c r="C1215" s="856"/>
      <c r="D1215" s="857"/>
      <c r="E1215" s="858"/>
      <c r="F1215" s="859"/>
      <c r="G1215" s="860"/>
      <c r="H1215" s="857"/>
      <c r="I1215" s="861"/>
      <c r="J1215" s="295"/>
      <c r="K1215" s="296">
        <f t="shared" si="19"/>
        <v>0</v>
      </c>
      <c r="L1215"/>
    </row>
    <row r="1216" spans="1:12">
      <c r="A1216" s="855" t="s">
        <v>607</v>
      </c>
      <c r="B1216" s="856"/>
      <c r="C1216" s="856"/>
      <c r="D1216" s="857"/>
      <c r="E1216" s="858"/>
      <c r="F1216" s="859"/>
      <c r="G1216" s="860"/>
      <c r="H1216" s="857"/>
      <c r="I1216" s="861"/>
      <c r="J1216" s="295"/>
      <c r="K1216" s="296">
        <f t="shared" si="19"/>
        <v>0</v>
      </c>
      <c r="L1216"/>
    </row>
    <row r="1217" spans="1:12">
      <c r="A1217" s="855" t="s">
        <v>607</v>
      </c>
      <c r="B1217" s="856"/>
      <c r="C1217" s="856"/>
      <c r="D1217" s="857"/>
      <c r="E1217" s="858"/>
      <c r="F1217" s="859"/>
      <c r="G1217" s="860"/>
      <c r="H1217" s="857"/>
      <c r="I1217" s="861"/>
      <c r="J1217" s="295"/>
      <c r="K1217" s="296">
        <f t="shared" si="19"/>
        <v>0</v>
      </c>
      <c r="L1217"/>
    </row>
    <row r="1218" spans="1:12">
      <c r="A1218" s="855" t="s">
        <v>607</v>
      </c>
      <c r="B1218" s="856"/>
      <c r="C1218" s="856"/>
      <c r="D1218" s="857"/>
      <c r="E1218" s="858"/>
      <c r="F1218" s="859"/>
      <c r="G1218" s="860"/>
      <c r="H1218" s="857"/>
      <c r="I1218" s="861"/>
      <c r="J1218" s="295"/>
      <c r="K1218" s="296">
        <f t="shared" si="19"/>
        <v>0</v>
      </c>
      <c r="L1218"/>
    </row>
    <row r="1219" spans="1:12">
      <c r="A1219" s="855" t="s">
        <v>607</v>
      </c>
      <c r="B1219" s="856"/>
      <c r="C1219" s="856"/>
      <c r="D1219" s="857"/>
      <c r="E1219" s="858"/>
      <c r="F1219" s="859"/>
      <c r="G1219" s="860"/>
      <c r="H1219" s="857"/>
      <c r="I1219" s="861"/>
      <c r="J1219" s="295"/>
      <c r="K1219" s="296">
        <f t="shared" si="19"/>
        <v>0</v>
      </c>
      <c r="L1219"/>
    </row>
    <row r="1220" spans="1:12">
      <c r="A1220" s="855" t="s">
        <v>607</v>
      </c>
      <c r="B1220" s="856"/>
      <c r="C1220" s="856"/>
      <c r="D1220" s="857"/>
      <c r="E1220" s="858"/>
      <c r="F1220" s="859"/>
      <c r="G1220" s="860"/>
      <c r="H1220" s="857"/>
      <c r="I1220" s="861"/>
      <c r="J1220" s="295"/>
      <c r="K1220" s="296">
        <f t="shared" si="19"/>
        <v>0</v>
      </c>
      <c r="L1220"/>
    </row>
    <row r="1221" spans="1:12">
      <c r="A1221" s="855" t="s">
        <v>607</v>
      </c>
      <c r="B1221" s="856"/>
      <c r="C1221" s="856"/>
      <c r="D1221" s="857"/>
      <c r="E1221" s="858"/>
      <c r="F1221" s="859"/>
      <c r="G1221" s="860"/>
      <c r="H1221" s="857"/>
      <c r="I1221" s="861"/>
      <c r="J1221" s="295"/>
      <c r="K1221" s="296">
        <f t="shared" si="19"/>
        <v>0</v>
      </c>
      <c r="L1221"/>
    </row>
    <row r="1222" spans="1:12">
      <c r="A1222" s="855" t="s">
        <v>607</v>
      </c>
      <c r="B1222" s="856"/>
      <c r="C1222" s="856"/>
      <c r="D1222" s="857"/>
      <c r="E1222" s="858"/>
      <c r="F1222" s="859"/>
      <c r="G1222" s="860"/>
      <c r="H1222" s="857"/>
      <c r="I1222" s="861"/>
      <c r="J1222" s="295"/>
      <c r="K1222" s="296">
        <f t="shared" si="19"/>
        <v>0</v>
      </c>
      <c r="L1222"/>
    </row>
    <row r="1223" spans="1:12">
      <c r="A1223" s="855" t="s">
        <v>607</v>
      </c>
      <c r="B1223" s="856"/>
      <c r="C1223" s="856"/>
      <c r="D1223" s="857"/>
      <c r="E1223" s="858"/>
      <c r="F1223" s="859"/>
      <c r="G1223" s="860"/>
      <c r="H1223" s="857"/>
      <c r="I1223" s="861"/>
      <c r="J1223" s="295"/>
      <c r="K1223" s="296">
        <f t="shared" si="19"/>
        <v>0</v>
      </c>
      <c r="L1223"/>
    </row>
    <row r="1224" spans="1:12">
      <c r="A1224" s="855" t="s">
        <v>608</v>
      </c>
      <c r="B1224" s="856"/>
      <c r="C1224" s="856"/>
      <c r="D1224" s="857"/>
      <c r="E1224" s="858"/>
      <c r="F1224" s="859"/>
      <c r="G1224" s="860"/>
      <c r="H1224" s="857"/>
      <c r="I1224" s="861"/>
      <c r="J1224" s="295"/>
      <c r="K1224" s="296">
        <f t="shared" si="19"/>
        <v>0</v>
      </c>
      <c r="L1224"/>
    </row>
    <row r="1225" spans="1:12">
      <c r="A1225" s="855" t="s">
        <v>608</v>
      </c>
      <c r="B1225" s="856"/>
      <c r="C1225" s="856"/>
      <c r="D1225" s="857"/>
      <c r="E1225" s="858"/>
      <c r="F1225" s="859"/>
      <c r="G1225" s="860"/>
      <c r="H1225" s="857"/>
      <c r="I1225" s="861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55" t="s">
        <v>608</v>
      </c>
      <c r="B1226" s="856"/>
      <c r="C1226" s="856"/>
      <c r="D1226" s="857"/>
      <c r="E1226" s="858"/>
      <c r="F1226" s="859"/>
      <c r="G1226" s="860"/>
      <c r="H1226" s="857"/>
      <c r="I1226" s="861"/>
      <c r="J1226" s="295"/>
      <c r="K1226" s="296">
        <f t="shared" si="20"/>
        <v>0</v>
      </c>
      <c r="L1226"/>
    </row>
    <row r="1227" spans="1:12">
      <c r="A1227" s="855" t="s">
        <v>608</v>
      </c>
      <c r="B1227" s="856"/>
      <c r="C1227" s="856"/>
      <c r="D1227" s="857"/>
      <c r="E1227" s="858"/>
      <c r="F1227" s="859"/>
      <c r="G1227" s="860"/>
      <c r="H1227" s="857"/>
      <c r="I1227" s="861"/>
      <c r="J1227" s="295"/>
      <c r="K1227" s="296">
        <f t="shared" si="20"/>
        <v>0</v>
      </c>
      <c r="L1227"/>
    </row>
    <row r="1228" spans="1:12">
      <c r="A1228" s="855" t="s">
        <v>608</v>
      </c>
      <c r="B1228" s="856"/>
      <c r="C1228" s="856"/>
      <c r="D1228" s="857"/>
      <c r="E1228" s="858"/>
      <c r="F1228" s="859"/>
      <c r="G1228" s="860"/>
      <c r="H1228" s="857"/>
      <c r="I1228" s="861"/>
      <c r="J1228" s="295"/>
      <c r="K1228" s="296">
        <f t="shared" si="20"/>
        <v>0</v>
      </c>
      <c r="L1228"/>
    </row>
    <row r="1229" spans="1:12">
      <c r="A1229" s="855" t="s">
        <v>608</v>
      </c>
      <c r="B1229" s="856"/>
      <c r="C1229" s="856"/>
      <c r="D1229" s="857"/>
      <c r="E1229" s="858"/>
      <c r="F1229" s="859"/>
      <c r="G1229" s="860"/>
      <c r="H1229" s="857"/>
      <c r="I1229" s="861"/>
      <c r="J1229" s="295"/>
      <c r="K1229" s="296">
        <f t="shared" si="20"/>
        <v>0</v>
      </c>
      <c r="L1229"/>
    </row>
    <row r="1230" spans="1:12">
      <c r="A1230" s="855" t="s">
        <v>608</v>
      </c>
      <c r="B1230" s="856"/>
      <c r="C1230" s="856"/>
      <c r="D1230" s="857"/>
      <c r="E1230" s="858"/>
      <c r="F1230" s="859"/>
      <c r="G1230" s="860"/>
      <c r="H1230" s="857"/>
      <c r="I1230" s="861"/>
      <c r="J1230" s="295"/>
      <c r="K1230" s="296">
        <f t="shared" si="20"/>
        <v>0</v>
      </c>
      <c r="L1230"/>
    </row>
    <row r="1231" spans="1:12">
      <c r="A1231" s="855" t="s">
        <v>608</v>
      </c>
      <c r="B1231" s="856"/>
      <c r="C1231" s="856"/>
      <c r="D1231" s="857"/>
      <c r="E1231" s="858"/>
      <c r="F1231" s="859"/>
      <c r="G1231" s="860"/>
      <c r="H1231" s="857"/>
      <c r="I1231" s="861"/>
      <c r="J1231" s="295"/>
      <c r="K1231" s="296">
        <f t="shared" si="20"/>
        <v>0</v>
      </c>
      <c r="L1231"/>
    </row>
    <row r="1232" spans="1:12">
      <c r="A1232" s="855" t="s">
        <v>608</v>
      </c>
      <c r="B1232" s="856"/>
      <c r="C1232" s="856"/>
      <c r="D1232" s="857"/>
      <c r="E1232" s="858"/>
      <c r="F1232" s="859"/>
      <c r="G1232" s="860"/>
      <c r="H1232" s="857"/>
      <c r="I1232" s="861"/>
      <c r="J1232" s="295"/>
      <c r="K1232" s="296">
        <f t="shared" si="20"/>
        <v>0</v>
      </c>
      <c r="L1232"/>
    </row>
    <row r="1233" spans="1:12">
      <c r="A1233" s="855" t="s">
        <v>608</v>
      </c>
      <c r="B1233" s="856"/>
      <c r="C1233" s="856"/>
      <c r="D1233" s="857"/>
      <c r="E1233" s="858"/>
      <c r="F1233" s="859"/>
      <c r="G1233" s="860"/>
      <c r="H1233" s="857"/>
      <c r="I1233" s="861"/>
      <c r="J1233" s="295"/>
      <c r="K1233" s="296">
        <f t="shared" si="20"/>
        <v>0</v>
      </c>
      <c r="L1233"/>
    </row>
    <row r="1234" spans="1:12">
      <c r="A1234" s="855" t="s">
        <v>607</v>
      </c>
      <c r="B1234" s="856"/>
      <c r="C1234" s="856"/>
      <c r="D1234" s="857"/>
      <c r="E1234" s="858"/>
      <c r="F1234" s="859"/>
      <c r="G1234" s="860"/>
      <c r="H1234" s="857"/>
      <c r="I1234" s="861"/>
      <c r="J1234" s="295"/>
      <c r="K1234" s="296">
        <f t="shared" si="20"/>
        <v>0</v>
      </c>
      <c r="L1234"/>
    </row>
    <row r="1235" spans="1:12">
      <c r="A1235" s="855" t="s">
        <v>607</v>
      </c>
      <c r="B1235" s="856"/>
      <c r="C1235" s="856"/>
      <c r="D1235" s="857"/>
      <c r="E1235" s="858"/>
      <c r="F1235" s="859"/>
      <c r="G1235" s="860"/>
      <c r="H1235" s="857"/>
      <c r="I1235" s="861"/>
      <c r="J1235" s="295"/>
      <c r="K1235" s="296">
        <f t="shared" si="20"/>
        <v>0</v>
      </c>
      <c r="L1235"/>
    </row>
    <row r="1236" spans="1:12">
      <c r="A1236" s="855" t="s">
        <v>607</v>
      </c>
      <c r="B1236" s="856"/>
      <c r="C1236" s="856"/>
      <c r="D1236" s="857"/>
      <c r="E1236" s="858"/>
      <c r="F1236" s="859"/>
      <c r="G1236" s="860"/>
      <c r="H1236" s="857"/>
      <c r="I1236" s="861"/>
      <c r="J1236" s="295"/>
      <c r="K1236" s="296">
        <f t="shared" si="20"/>
        <v>0</v>
      </c>
      <c r="L1236"/>
    </row>
    <row r="1237" spans="1:12">
      <c r="A1237" s="855" t="s">
        <v>607</v>
      </c>
      <c r="B1237" s="856"/>
      <c r="C1237" s="856"/>
      <c r="D1237" s="857"/>
      <c r="E1237" s="858"/>
      <c r="F1237" s="859"/>
      <c r="G1237" s="860"/>
      <c r="H1237" s="857"/>
      <c r="I1237" s="861"/>
      <c r="J1237" s="295"/>
      <c r="K1237" s="296">
        <f t="shared" si="20"/>
        <v>0</v>
      </c>
      <c r="L1237"/>
    </row>
    <row r="1238" spans="1:12">
      <c r="A1238" s="855" t="s">
        <v>607</v>
      </c>
      <c r="B1238" s="856"/>
      <c r="C1238" s="856"/>
      <c r="D1238" s="857"/>
      <c r="E1238" s="858"/>
      <c r="F1238" s="859"/>
      <c r="G1238" s="860"/>
      <c r="H1238" s="857"/>
      <c r="I1238" s="861"/>
      <c r="J1238" s="295"/>
      <c r="K1238" s="296">
        <f t="shared" si="20"/>
        <v>0</v>
      </c>
      <c r="L1238"/>
    </row>
    <row r="1239" spans="1:12">
      <c r="A1239" s="855" t="s">
        <v>607</v>
      </c>
      <c r="B1239" s="856"/>
      <c r="C1239" s="856"/>
      <c r="D1239" s="857"/>
      <c r="E1239" s="858"/>
      <c r="F1239" s="859"/>
      <c r="G1239" s="860"/>
      <c r="H1239" s="857"/>
      <c r="I1239" s="861"/>
      <c r="J1239" s="295"/>
      <c r="K1239" s="296">
        <f t="shared" si="20"/>
        <v>0</v>
      </c>
      <c r="L1239"/>
    </row>
    <row r="1240" spans="1:12">
      <c r="A1240" s="855" t="s">
        <v>607</v>
      </c>
      <c r="B1240" s="856"/>
      <c r="C1240" s="856"/>
      <c r="D1240" s="857"/>
      <c r="E1240" s="858"/>
      <c r="F1240" s="859"/>
      <c r="G1240" s="860"/>
      <c r="H1240" s="857"/>
      <c r="I1240" s="861"/>
      <c r="J1240" s="295"/>
      <c r="K1240" s="296">
        <f t="shared" si="20"/>
        <v>0</v>
      </c>
      <c r="L1240"/>
    </row>
    <row r="1241" spans="1:12">
      <c r="A1241" s="855" t="s">
        <v>607</v>
      </c>
      <c r="B1241" s="856"/>
      <c r="C1241" s="856"/>
      <c r="D1241" s="857"/>
      <c r="E1241" s="858"/>
      <c r="F1241" s="859"/>
      <c r="G1241" s="860"/>
      <c r="H1241" s="857"/>
      <c r="I1241" s="861"/>
      <c r="J1241" s="295"/>
      <c r="K1241" s="296">
        <f t="shared" si="20"/>
        <v>0</v>
      </c>
      <c r="L1241"/>
    </row>
    <row r="1242" spans="1:12">
      <c r="A1242" s="855" t="s">
        <v>607</v>
      </c>
      <c r="B1242" s="856"/>
      <c r="C1242" s="856"/>
      <c r="D1242" s="857"/>
      <c r="E1242" s="858"/>
      <c r="F1242" s="859"/>
      <c r="G1242" s="860"/>
      <c r="H1242" s="857"/>
      <c r="I1242" s="861"/>
      <c r="J1242" s="295"/>
      <c r="K1242" s="296">
        <f t="shared" si="20"/>
        <v>0</v>
      </c>
      <c r="L1242"/>
    </row>
    <row r="1243" spans="1:12">
      <c r="A1243" s="855" t="s">
        <v>607</v>
      </c>
      <c r="B1243" s="856"/>
      <c r="C1243" s="856"/>
      <c r="D1243" s="857"/>
      <c r="E1243" s="858"/>
      <c r="F1243" s="859"/>
      <c r="G1243" s="860"/>
      <c r="H1243" s="857"/>
      <c r="I1243" s="861"/>
      <c r="J1243" s="295"/>
      <c r="K1243" s="296">
        <f t="shared" si="20"/>
        <v>0</v>
      </c>
      <c r="L1243"/>
    </row>
    <row r="1244" spans="1:12">
      <c r="A1244" s="855" t="s">
        <v>607</v>
      </c>
      <c r="B1244" s="856"/>
      <c r="C1244" s="856"/>
      <c r="D1244" s="857"/>
      <c r="E1244" s="858"/>
      <c r="F1244" s="859"/>
      <c r="G1244" s="860"/>
      <c r="H1244" s="857"/>
      <c r="I1244" s="861"/>
      <c r="J1244" s="295"/>
      <c r="K1244" s="296">
        <f t="shared" si="20"/>
        <v>0</v>
      </c>
      <c r="L1244"/>
    </row>
    <row r="1245" spans="1:12">
      <c r="A1245" s="855" t="s">
        <v>608</v>
      </c>
      <c r="B1245" s="856"/>
      <c r="C1245" s="856"/>
      <c r="D1245" s="857"/>
      <c r="E1245" s="858"/>
      <c r="F1245" s="859"/>
      <c r="G1245" s="860"/>
      <c r="H1245" s="857"/>
      <c r="I1245" s="861"/>
      <c r="J1245" s="295"/>
      <c r="K1245" s="296">
        <f t="shared" si="20"/>
        <v>0</v>
      </c>
      <c r="L1245"/>
    </row>
    <row r="1246" spans="1:12">
      <c r="A1246" s="855" t="s">
        <v>608</v>
      </c>
      <c r="B1246" s="856"/>
      <c r="C1246" s="856"/>
      <c r="D1246" s="857"/>
      <c r="E1246" s="858"/>
      <c r="F1246" s="859"/>
      <c r="G1246" s="860"/>
      <c r="H1246" s="857"/>
      <c r="I1246" s="861"/>
      <c r="J1246" s="295"/>
      <c r="K1246" s="296">
        <f t="shared" si="20"/>
        <v>0</v>
      </c>
      <c r="L1246"/>
    </row>
    <row r="1247" spans="1:12">
      <c r="A1247" s="855" t="s">
        <v>608</v>
      </c>
      <c r="B1247" s="856"/>
      <c r="C1247" s="856"/>
      <c r="D1247" s="857"/>
      <c r="E1247" s="858"/>
      <c r="F1247" s="859"/>
      <c r="G1247" s="860"/>
      <c r="H1247" s="857"/>
      <c r="I1247" s="861"/>
      <c r="J1247" s="295"/>
      <c r="K1247" s="296">
        <f t="shared" si="20"/>
        <v>0</v>
      </c>
      <c r="L1247"/>
    </row>
    <row r="1248" spans="1:12">
      <c r="A1248" s="855" t="s">
        <v>608</v>
      </c>
      <c r="B1248" s="856"/>
      <c r="C1248" s="856"/>
      <c r="D1248" s="857"/>
      <c r="E1248" s="858"/>
      <c r="F1248" s="859"/>
      <c r="G1248" s="860"/>
      <c r="H1248" s="857"/>
      <c r="I1248" s="861"/>
      <c r="J1248" s="295"/>
      <c r="K1248" s="296">
        <f t="shared" si="20"/>
        <v>0</v>
      </c>
      <c r="L1248"/>
    </row>
    <row r="1249" spans="1:12">
      <c r="A1249" s="855" t="s">
        <v>608</v>
      </c>
      <c r="B1249" s="856"/>
      <c r="C1249" s="856"/>
      <c r="D1249" s="857"/>
      <c r="E1249" s="858"/>
      <c r="F1249" s="859"/>
      <c r="G1249" s="860"/>
      <c r="H1249" s="857"/>
      <c r="I1249" s="861"/>
      <c r="J1249" s="295"/>
      <c r="K1249" s="296">
        <f t="shared" si="20"/>
        <v>0</v>
      </c>
      <c r="L1249"/>
    </row>
    <row r="1250" spans="1:12">
      <c r="A1250" s="855" t="s">
        <v>608</v>
      </c>
      <c r="B1250" s="856"/>
      <c r="C1250" s="856"/>
      <c r="D1250" s="857"/>
      <c r="E1250" s="858"/>
      <c r="F1250" s="859"/>
      <c r="G1250" s="860"/>
      <c r="H1250" s="857"/>
      <c r="I1250" s="861"/>
      <c r="J1250" s="295"/>
      <c r="K1250" s="296">
        <f t="shared" si="20"/>
        <v>0</v>
      </c>
      <c r="L1250"/>
    </row>
    <row r="1251" spans="1:12">
      <c r="A1251" s="855" t="s">
        <v>608</v>
      </c>
      <c r="B1251" s="856"/>
      <c r="C1251" s="856"/>
      <c r="D1251" s="857"/>
      <c r="E1251" s="858"/>
      <c r="F1251" s="859"/>
      <c r="G1251" s="860"/>
      <c r="H1251" s="857"/>
      <c r="I1251" s="861"/>
      <c r="J1251" s="295"/>
      <c r="K1251" s="296">
        <f t="shared" si="20"/>
        <v>0</v>
      </c>
      <c r="L1251"/>
    </row>
    <row r="1252" spans="1:12">
      <c r="A1252" s="855" t="s">
        <v>607</v>
      </c>
      <c r="B1252" s="856"/>
      <c r="C1252" s="856"/>
      <c r="D1252" s="857"/>
      <c r="E1252" s="858"/>
      <c r="F1252" s="859"/>
      <c r="G1252" s="860"/>
      <c r="H1252" s="857"/>
      <c r="I1252" s="861"/>
      <c r="J1252" s="295"/>
      <c r="K1252" s="296">
        <f t="shared" si="20"/>
        <v>0</v>
      </c>
      <c r="L1252"/>
    </row>
    <row r="1253" spans="1:12">
      <c r="A1253" s="855" t="s">
        <v>607</v>
      </c>
      <c r="B1253" s="856"/>
      <c r="C1253" s="856"/>
      <c r="D1253" s="857"/>
      <c r="E1253" s="858"/>
      <c r="F1253" s="859"/>
      <c r="G1253" s="860"/>
      <c r="H1253" s="857"/>
      <c r="I1253" s="861"/>
      <c r="J1253" s="295"/>
      <c r="K1253" s="296">
        <f t="shared" si="20"/>
        <v>0</v>
      </c>
      <c r="L1253"/>
    </row>
    <row r="1254" spans="1:12">
      <c r="A1254" s="855" t="s">
        <v>607</v>
      </c>
      <c r="B1254" s="856"/>
      <c r="C1254" s="856"/>
      <c r="D1254" s="857"/>
      <c r="E1254" s="858"/>
      <c r="F1254" s="859"/>
      <c r="G1254" s="860"/>
      <c r="H1254" s="857"/>
      <c r="I1254" s="861"/>
      <c r="J1254" s="295"/>
      <c r="K1254" s="296">
        <f t="shared" si="20"/>
        <v>0</v>
      </c>
      <c r="L1254"/>
    </row>
    <row r="1255" spans="1:12">
      <c r="A1255" s="855" t="s">
        <v>607</v>
      </c>
      <c r="B1255" s="856"/>
      <c r="C1255" s="856"/>
      <c r="D1255" s="857"/>
      <c r="E1255" s="858"/>
      <c r="F1255" s="859"/>
      <c r="G1255" s="860"/>
      <c r="H1255" s="857"/>
      <c r="I1255" s="861"/>
      <c r="J1255" s="295"/>
      <c r="K1255" s="296">
        <f t="shared" si="20"/>
        <v>0</v>
      </c>
      <c r="L1255"/>
    </row>
    <row r="1256" spans="1:12">
      <c r="A1256" s="855" t="s">
        <v>607</v>
      </c>
      <c r="B1256" s="856"/>
      <c r="C1256" s="856"/>
      <c r="D1256" s="857"/>
      <c r="E1256" s="858"/>
      <c r="F1256" s="859"/>
      <c r="G1256" s="860"/>
      <c r="H1256" s="857"/>
      <c r="I1256" s="861"/>
      <c r="J1256" s="295"/>
      <c r="K1256" s="296">
        <f t="shared" si="20"/>
        <v>0</v>
      </c>
      <c r="L1256"/>
    </row>
    <row r="1257" spans="1:12">
      <c r="A1257" s="855" t="s">
        <v>607</v>
      </c>
      <c r="B1257" s="856"/>
      <c r="C1257" s="856"/>
      <c r="D1257" s="857"/>
      <c r="E1257" s="858"/>
      <c r="F1257" s="859"/>
      <c r="G1257" s="860"/>
      <c r="H1257" s="857"/>
      <c r="I1257" s="861"/>
      <c r="J1257" s="295"/>
      <c r="K1257" s="296">
        <f t="shared" si="20"/>
        <v>0</v>
      </c>
      <c r="L1257"/>
    </row>
    <row r="1258" spans="1:12">
      <c r="A1258" s="855" t="s">
        <v>607</v>
      </c>
      <c r="B1258" s="856"/>
      <c r="C1258" s="856"/>
      <c r="D1258" s="857"/>
      <c r="E1258" s="858"/>
      <c r="F1258" s="859"/>
      <c r="G1258" s="860"/>
      <c r="H1258" s="857"/>
      <c r="I1258" s="861"/>
      <c r="J1258" s="295"/>
      <c r="K1258" s="296">
        <f t="shared" si="20"/>
        <v>0</v>
      </c>
      <c r="L1258"/>
    </row>
    <row r="1259" spans="1:12">
      <c r="A1259" s="855" t="s">
        <v>607</v>
      </c>
      <c r="B1259" s="856"/>
      <c r="C1259" s="856"/>
      <c r="D1259" s="857"/>
      <c r="E1259" s="858"/>
      <c r="F1259" s="859"/>
      <c r="G1259" s="860"/>
      <c r="H1259" s="857"/>
      <c r="I1259" s="861"/>
      <c r="J1259" s="295"/>
      <c r="K1259" s="296">
        <f t="shared" si="20"/>
        <v>0</v>
      </c>
      <c r="L1259"/>
    </row>
    <row r="1260" spans="1:12">
      <c r="A1260" s="855" t="s">
        <v>607</v>
      </c>
      <c r="B1260" s="856"/>
      <c r="C1260" s="856"/>
      <c r="D1260" s="857"/>
      <c r="E1260" s="858"/>
      <c r="F1260" s="859"/>
      <c r="G1260" s="860"/>
      <c r="H1260" s="857"/>
      <c r="I1260" s="861"/>
      <c r="J1260" s="295"/>
      <c r="K1260" s="296">
        <f t="shared" si="20"/>
        <v>0</v>
      </c>
      <c r="L1260"/>
    </row>
    <row r="1261" spans="1:12">
      <c r="A1261" s="855" t="s">
        <v>607</v>
      </c>
      <c r="B1261" s="856"/>
      <c r="C1261" s="856"/>
      <c r="D1261" s="857"/>
      <c r="E1261" s="858"/>
      <c r="F1261" s="859"/>
      <c r="G1261" s="860"/>
      <c r="H1261" s="857"/>
      <c r="I1261" s="861"/>
      <c r="J1261" s="295"/>
      <c r="K1261" s="296">
        <f t="shared" si="20"/>
        <v>0</v>
      </c>
      <c r="L1261"/>
    </row>
    <row r="1262" spans="1:12">
      <c r="A1262" s="855" t="s">
        <v>607</v>
      </c>
      <c r="B1262" s="856"/>
      <c r="C1262" s="856"/>
      <c r="D1262" s="857"/>
      <c r="E1262" s="858"/>
      <c r="F1262" s="859"/>
      <c r="G1262" s="860"/>
      <c r="H1262" s="857"/>
      <c r="I1262" s="861"/>
      <c r="J1262" s="295"/>
      <c r="K1262" s="296">
        <f t="shared" si="20"/>
        <v>0</v>
      </c>
      <c r="L1262"/>
    </row>
    <row r="1263" spans="1:12">
      <c r="A1263" s="855" t="s">
        <v>607</v>
      </c>
      <c r="B1263" s="856"/>
      <c r="C1263" s="856"/>
      <c r="D1263" s="857"/>
      <c r="E1263" s="858"/>
      <c r="F1263" s="859"/>
      <c r="G1263" s="860"/>
      <c r="H1263" s="857"/>
      <c r="I1263" s="861"/>
      <c r="J1263" s="295"/>
      <c r="K1263" s="296">
        <f t="shared" si="20"/>
        <v>0</v>
      </c>
      <c r="L1263"/>
    </row>
    <row r="1264" spans="1:12">
      <c r="A1264" s="855" t="s">
        <v>607</v>
      </c>
      <c r="B1264" s="856"/>
      <c r="C1264" s="856"/>
      <c r="D1264" s="857"/>
      <c r="E1264" s="858"/>
      <c r="F1264" s="859"/>
      <c r="G1264" s="860"/>
      <c r="H1264" s="857"/>
      <c r="I1264" s="861"/>
      <c r="J1264" s="295"/>
      <c r="K1264" s="296">
        <f t="shared" si="20"/>
        <v>0</v>
      </c>
      <c r="L1264"/>
    </row>
    <row r="1265" spans="1:12">
      <c r="A1265" s="855" t="s">
        <v>607</v>
      </c>
      <c r="B1265" s="856"/>
      <c r="C1265" s="856"/>
      <c r="D1265" s="857"/>
      <c r="E1265" s="858"/>
      <c r="F1265" s="859"/>
      <c r="G1265" s="860"/>
      <c r="H1265" s="857"/>
      <c r="I1265" s="861"/>
      <c r="J1265" s="295"/>
      <c r="K1265" s="296">
        <f t="shared" si="20"/>
        <v>0</v>
      </c>
      <c r="L1265"/>
    </row>
    <row r="1266" spans="1:12">
      <c r="A1266" s="855" t="s">
        <v>607</v>
      </c>
      <c r="B1266" s="856"/>
      <c r="C1266" s="856"/>
      <c r="D1266" s="857"/>
      <c r="E1266" s="858"/>
      <c r="F1266" s="859"/>
      <c r="G1266" s="860"/>
      <c r="H1266" s="857"/>
      <c r="I1266" s="861"/>
      <c r="J1266" s="295"/>
      <c r="K1266" s="296">
        <f t="shared" si="20"/>
        <v>0</v>
      </c>
      <c r="L1266"/>
    </row>
    <row r="1267" spans="1:12">
      <c r="A1267" s="855" t="s">
        <v>607</v>
      </c>
      <c r="B1267" s="856"/>
      <c r="C1267" s="856"/>
      <c r="D1267" s="857"/>
      <c r="E1267" s="858"/>
      <c r="F1267" s="859"/>
      <c r="G1267" s="860"/>
      <c r="H1267" s="857"/>
      <c r="I1267" s="861"/>
      <c r="J1267" s="295"/>
      <c r="K1267" s="296">
        <f t="shared" si="20"/>
        <v>0</v>
      </c>
      <c r="L1267"/>
    </row>
    <row r="1268" spans="1:12">
      <c r="A1268" s="855" t="s">
        <v>607</v>
      </c>
      <c r="B1268" s="856"/>
      <c r="C1268" s="856"/>
      <c r="D1268" s="857"/>
      <c r="E1268" s="858"/>
      <c r="F1268" s="859"/>
      <c r="G1268" s="860"/>
      <c r="H1268" s="857"/>
      <c r="I1268" s="861"/>
      <c r="J1268" s="295"/>
      <c r="K1268" s="296">
        <f t="shared" si="20"/>
        <v>0</v>
      </c>
      <c r="L1268"/>
    </row>
    <row r="1269" spans="1:12">
      <c r="A1269" s="855" t="s">
        <v>602</v>
      </c>
      <c r="B1269" s="856"/>
      <c r="C1269" s="856"/>
      <c r="D1269" s="857"/>
      <c r="E1269" s="858"/>
      <c r="F1269" s="859"/>
      <c r="G1269" s="860"/>
      <c r="H1269" s="857"/>
      <c r="I1269" s="861"/>
      <c r="J1269" s="295"/>
      <c r="K1269" s="296">
        <f t="shared" si="20"/>
        <v>0</v>
      </c>
      <c r="L1269"/>
    </row>
    <row r="1270" spans="1:12">
      <c r="A1270" s="855" t="s">
        <v>602</v>
      </c>
      <c r="B1270" s="856"/>
      <c r="C1270" s="856"/>
      <c r="D1270" s="857"/>
      <c r="E1270" s="858"/>
      <c r="F1270" s="859"/>
      <c r="G1270" s="860"/>
      <c r="H1270" s="857"/>
      <c r="I1270" s="861"/>
      <c r="J1270" s="295"/>
      <c r="K1270" s="296">
        <f t="shared" si="20"/>
        <v>0</v>
      </c>
      <c r="L1270"/>
    </row>
    <row r="1271" spans="1:12">
      <c r="A1271" s="855" t="s">
        <v>602</v>
      </c>
      <c r="B1271" s="856"/>
      <c r="C1271" s="856"/>
      <c r="D1271" s="857"/>
      <c r="E1271" s="858"/>
      <c r="F1271" s="859"/>
      <c r="G1271" s="860"/>
      <c r="H1271" s="857"/>
      <c r="I1271" s="861"/>
      <c r="J1271" s="295"/>
      <c r="K1271" s="296">
        <f t="shared" si="20"/>
        <v>0</v>
      </c>
      <c r="L1271"/>
    </row>
    <row r="1272" spans="1:12">
      <c r="A1272" s="855" t="s">
        <v>602</v>
      </c>
      <c r="B1272" s="856"/>
      <c r="C1272" s="856"/>
      <c r="D1272" s="857"/>
      <c r="E1272" s="858"/>
      <c r="F1272" s="859"/>
      <c r="G1272" s="860"/>
      <c r="H1272" s="857"/>
      <c r="I1272" s="861"/>
      <c r="J1272" s="295"/>
      <c r="K1272" s="296">
        <f t="shared" si="20"/>
        <v>0</v>
      </c>
      <c r="L1272"/>
    </row>
    <row r="1273" spans="1:12">
      <c r="A1273" s="855" t="s">
        <v>602</v>
      </c>
      <c r="B1273" s="856"/>
      <c r="C1273" s="856"/>
      <c r="D1273" s="857"/>
      <c r="E1273" s="858"/>
      <c r="F1273" s="859"/>
      <c r="G1273" s="860"/>
      <c r="H1273" s="857"/>
      <c r="I1273" s="861"/>
      <c r="J1273" s="295"/>
      <c r="K1273" s="296">
        <f t="shared" si="20"/>
        <v>0</v>
      </c>
      <c r="L1273"/>
    </row>
    <row r="1274" spans="1:12">
      <c r="A1274" s="855" t="s">
        <v>602</v>
      </c>
      <c r="B1274" s="856"/>
      <c r="C1274" s="856"/>
      <c r="D1274" s="857"/>
      <c r="E1274" s="858"/>
      <c r="F1274" s="859"/>
      <c r="G1274" s="860"/>
      <c r="H1274" s="857"/>
      <c r="I1274" s="861"/>
      <c r="J1274" s="295"/>
      <c r="K1274" s="296">
        <f t="shared" si="20"/>
        <v>0</v>
      </c>
      <c r="L1274"/>
    </row>
    <row r="1275" spans="1:12">
      <c r="A1275" s="855" t="s">
        <v>602</v>
      </c>
      <c r="B1275" s="856"/>
      <c r="C1275" s="856"/>
      <c r="D1275" s="857"/>
      <c r="E1275" s="858"/>
      <c r="F1275" s="859"/>
      <c r="G1275" s="860"/>
      <c r="H1275" s="857"/>
      <c r="I1275" s="861"/>
      <c r="J1275" s="295"/>
      <c r="K1275" s="296">
        <f t="shared" si="20"/>
        <v>0</v>
      </c>
      <c r="L1275"/>
    </row>
    <row r="1276" spans="1:12">
      <c r="A1276" s="855" t="s">
        <v>602</v>
      </c>
      <c r="B1276" s="856"/>
      <c r="C1276" s="856"/>
      <c r="D1276" s="857"/>
      <c r="E1276" s="858"/>
      <c r="F1276" s="859"/>
      <c r="G1276" s="860"/>
      <c r="H1276" s="857"/>
      <c r="I1276" s="861"/>
      <c r="J1276" s="295"/>
      <c r="K1276" s="296">
        <f t="shared" si="20"/>
        <v>0</v>
      </c>
      <c r="L1276"/>
    </row>
    <row r="1277" spans="1:12">
      <c r="A1277" s="855" t="s">
        <v>602</v>
      </c>
      <c r="B1277" s="856"/>
      <c r="C1277" s="856"/>
      <c r="D1277" s="857"/>
      <c r="E1277" s="858"/>
      <c r="F1277" s="859"/>
      <c r="G1277" s="860"/>
      <c r="H1277" s="857"/>
      <c r="I1277" s="861"/>
      <c r="J1277" s="295"/>
      <c r="K1277" s="296">
        <f t="shared" si="20"/>
        <v>0</v>
      </c>
      <c r="L1277"/>
    </row>
    <row r="1278" spans="1:12">
      <c r="A1278" s="855" t="s">
        <v>602</v>
      </c>
      <c r="B1278" s="856"/>
      <c r="C1278" s="856"/>
      <c r="D1278" s="857"/>
      <c r="E1278" s="858"/>
      <c r="F1278" s="859"/>
      <c r="G1278" s="860"/>
      <c r="H1278" s="857"/>
      <c r="I1278" s="861"/>
      <c r="J1278" s="295"/>
      <c r="K1278" s="296">
        <f t="shared" si="20"/>
        <v>0</v>
      </c>
      <c r="L1278"/>
    </row>
    <row r="1279" spans="1:12">
      <c r="A1279" s="855" t="s">
        <v>602</v>
      </c>
      <c r="B1279" s="856"/>
      <c r="C1279" s="856"/>
      <c r="D1279" s="857"/>
      <c r="E1279" s="858"/>
      <c r="F1279" s="859"/>
      <c r="G1279" s="860"/>
      <c r="H1279" s="857"/>
      <c r="I1279" s="861"/>
      <c r="J1279" s="295"/>
      <c r="K1279" s="296">
        <f t="shared" si="20"/>
        <v>0</v>
      </c>
      <c r="L1279"/>
    </row>
    <row r="1280" spans="1:12">
      <c r="A1280" s="855" t="s">
        <v>602</v>
      </c>
      <c r="B1280" s="856"/>
      <c r="C1280" s="856"/>
      <c r="D1280" s="857"/>
      <c r="E1280" s="858"/>
      <c r="F1280" s="859"/>
      <c r="G1280" s="860"/>
      <c r="H1280" s="857"/>
      <c r="I1280" s="861"/>
      <c r="J1280" s="295"/>
      <c r="K1280" s="296">
        <f t="shared" si="20"/>
        <v>0</v>
      </c>
      <c r="L1280"/>
    </row>
    <row r="1281" spans="1:12">
      <c r="A1281" s="855" t="s">
        <v>602</v>
      </c>
      <c r="B1281" s="856"/>
      <c r="C1281" s="856"/>
      <c r="D1281" s="857"/>
      <c r="E1281" s="858"/>
      <c r="F1281" s="859"/>
      <c r="G1281" s="860"/>
      <c r="H1281" s="857"/>
      <c r="I1281" s="861"/>
      <c r="J1281" s="295"/>
      <c r="K1281" s="296">
        <f t="shared" si="20"/>
        <v>0</v>
      </c>
      <c r="L1281"/>
    </row>
    <row r="1282" spans="1:12">
      <c r="A1282" s="855" t="s">
        <v>602</v>
      </c>
      <c r="B1282" s="856"/>
      <c r="C1282" s="856"/>
      <c r="D1282" s="857"/>
      <c r="E1282" s="858"/>
      <c r="F1282" s="859"/>
      <c r="G1282" s="860"/>
      <c r="H1282" s="857"/>
      <c r="I1282" s="861"/>
      <c r="J1282" s="295"/>
      <c r="K1282" s="296">
        <f t="shared" si="20"/>
        <v>0</v>
      </c>
      <c r="L1282"/>
    </row>
    <row r="1283" spans="1:12">
      <c r="A1283" s="855" t="s">
        <v>602</v>
      </c>
      <c r="B1283" s="856"/>
      <c r="C1283" s="856"/>
      <c r="D1283" s="857"/>
      <c r="E1283" s="858"/>
      <c r="F1283" s="859"/>
      <c r="G1283" s="860"/>
      <c r="H1283" s="857"/>
      <c r="I1283" s="861"/>
      <c r="J1283" s="295"/>
      <c r="K1283" s="296">
        <f t="shared" si="20"/>
        <v>0</v>
      </c>
      <c r="L1283"/>
    </row>
    <row r="1284" spans="1:12">
      <c r="A1284" s="855" t="s">
        <v>602</v>
      </c>
      <c r="B1284" s="856"/>
      <c r="C1284" s="856"/>
      <c r="D1284" s="857"/>
      <c r="E1284" s="858"/>
      <c r="F1284" s="859"/>
      <c r="G1284" s="860"/>
      <c r="H1284" s="857"/>
      <c r="I1284" s="861"/>
      <c r="J1284" s="295"/>
      <c r="K1284" s="296">
        <f t="shared" si="20"/>
        <v>0</v>
      </c>
      <c r="L1284"/>
    </row>
    <row r="1285" spans="1:12">
      <c r="A1285" s="855" t="s">
        <v>607</v>
      </c>
      <c r="B1285" s="856"/>
      <c r="C1285" s="856"/>
      <c r="D1285" s="857"/>
      <c r="E1285" s="858"/>
      <c r="F1285" s="859"/>
      <c r="G1285" s="860"/>
      <c r="H1285" s="857"/>
      <c r="I1285" s="861"/>
      <c r="J1285" s="295"/>
      <c r="K1285" s="296">
        <f t="shared" si="20"/>
        <v>0</v>
      </c>
      <c r="L1285"/>
    </row>
    <row r="1286" spans="1:12">
      <c r="A1286" s="855" t="s">
        <v>607</v>
      </c>
      <c r="B1286" s="856"/>
      <c r="C1286" s="856"/>
      <c r="D1286" s="857"/>
      <c r="E1286" s="858"/>
      <c r="F1286" s="859"/>
      <c r="G1286" s="860"/>
      <c r="H1286" s="857"/>
      <c r="I1286" s="861"/>
      <c r="J1286" s="295"/>
      <c r="K1286" s="296">
        <f t="shared" si="20"/>
        <v>0</v>
      </c>
      <c r="L1286"/>
    </row>
    <row r="1287" spans="1:12">
      <c r="A1287" s="855" t="s">
        <v>607</v>
      </c>
      <c r="B1287" s="856"/>
      <c r="C1287" s="856"/>
      <c r="D1287" s="857"/>
      <c r="E1287" s="858"/>
      <c r="F1287" s="859"/>
      <c r="G1287" s="860"/>
      <c r="H1287" s="857"/>
      <c r="I1287" s="861"/>
      <c r="J1287" s="295"/>
      <c r="K1287" s="296">
        <f t="shared" si="20"/>
        <v>0</v>
      </c>
      <c r="L1287"/>
    </row>
    <row r="1288" spans="1:12">
      <c r="A1288" s="855" t="s">
        <v>607</v>
      </c>
      <c r="B1288" s="856"/>
      <c r="C1288" s="856"/>
      <c r="D1288" s="857"/>
      <c r="E1288" s="858"/>
      <c r="F1288" s="859"/>
      <c r="G1288" s="860"/>
      <c r="H1288" s="857"/>
      <c r="I1288" s="861"/>
      <c r="J1288" s="295"/>
      <c r="K1288" s="296">
        <f t="shared" si="20"/>
        <v>0</v>
      </c>
      <c r="L1288"/>
    </row>
    <row r="1289" spans="1:12">
      <c r="A1289" s="855" t="s">
        <v>602</v>
      </c>
      <c r="B1289" s="856"/>
      <c r="C1289" s="856"/>
      <c r="D1289" s="857"/>
      <c r="E1289" s="858"/>
      <c r="F1289" s="859"/>
      <c r="G1289" s="860"/>
      <c r="H1289" s="857"/>
      <c r="I1289" s="861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55" t="s">
        <v>607</v>
      </c>
      <c r="B1290" s="856"/>
      <c r="C1290" s="856"/>
      <c r="D1290" s="857"/>
      <c r="E1290" s="858"/>
      <c r="F1290" s="859"/>
      <c r="G1290" s="860"/>
      <c r="H1290" s="857"/>
      <c r="I1290" s="861"/>
      <c r="J1290" s="295"/>
      <c r="K1290" s="296">
        <f t="shared" si="21"/>
        <v>0</v>
      </c>
      <c r="L1290"/>
    </row>
    <row r="1291" spans="1:12">
      <c r="A1291" s="855" t="s">
        <v>607</v>
      </c>
      <c r="B1291" s="856"/>
      <c r="C1291" s="856"/>
      <c r="D1291" s="857"/>
      <c r="E1291" s="858"/>
      <c r="F1291" s="859"/>
      <c r="G1291" s="860"/>
      <c r="H1291" s="857"/>
      <c r="I1291" s="861"/>
      <c r="J1291" s="295"/>
      <c r="K1291" s="296">
        <f t="shared" si="21"/>
        <v>0</v>
      </c>
      <c r="L1291"/>
    </row>
    <row r="1292" spans="1:12">
      <c r="A1292" s="855" t="s">
        <v>607</v>
      </c>
      <c r="B1292" s="856"/>
      <c r="C1292" s="856"/>
      <c r="D1292" s="857"/>
      <c r="E1292" s="858"/>
      <c r="F1292" s="859"/>
      <c r="G1292" s="860"/>
      <c r="H1292" s="857"/>
      <c r="I1292" s="861"/>
      <c r="J1292" s="295"/>
      <c r="K1292" s="296">
        <f t="shared" si="21"/>
        <v>0</v>
      </c>
      <c r="L1292"/>
    </row>
    <row r="1293" spans="1:12">
      <c r="A1293" s="855" t="s">
        <v>607</v>
      </c>
      <c r="B1293" s="856"/>
      <c r="C1293" s="856"/>
      <c r="D1293" s="857"/>
      <c r="E1293" s="858"/>
      <c r="F1293" s="859"/>
      <c r="G1293" s="860"/>
      <c r="H1293" s="857"/>
      <c r="I1293" s="861"/>
      <c r="J1293" s="295"/>
      <c r="K1293" s="296">
        <f t="shared" si="21"/>
        <v>0</v>
      </c>
      <c r="L1293"/>
    </row>
    <row r="1294" spans="1:12">
      <c r="A1294" s="855" t="s">
        <v>607</v>
      </c>
      <c r="B1294" s="856"/>
      <c r="C1294" s="856"/>
      <c r="D1294" s="857"/>
      <c r="E1294" s="858"/>
      <c r="F1294" s="859"/>
      <c r="G1294" s="860"/>
      <c r="H1294" s="857"/>
      <c r="I1294" s="861"/>
      <c r="J1294" s="295"/>
      <c r="K1294" s="296">
        <f t="shared" si="21"/>
        <v>0</v>
      </c>
      <c r="L1294"/>
    </row>
    <row r="1295" spans="1:12">
      <c r="A1295" s="855" t="s">
        <v>607</v>
      </c>
      <c r="B1295" s="856"/>
      <c r="C1295" s="856"/>
      <c r="D1295" s="857"/>
      <c r="E1295" s="858"/>
      <c r="F1295" s="859"/>
      <c r="G1295" s="860"/>
      <c r="H1295" s="857"/>
      <c r="I1295" s="861"/>
      <c r="J1295" s="295"/>
      <c r="K1295" s="296">
        <f t="shared" si="21"/>
        <v>0</v>
      </c>
      <c r="L1295"/>
    </row>
    <row r="1296" spans="1:12">
      <c r="A1296" s="855" t="s">
        <v>607</v>
      </c>
      <c r="B1296" s="856"/>
      <c r="C1296" s="856"/>
      <c r="D1296" s="857"/>
      <c r="E1296" s="858"/>
      <c r="F1296" s="859"/>
      <c r="G1296" s="860"/>
      <c r="H1296" s="857"/>
      <c r="I1296" s="861"/>
      <c r="J1296" s="295"/>
      <c r="K1296" s="296">
        <f t="shared" si="21"/>
        <v>0</v>
      </c>
      <c r="L1296"/>
    </row>
    <row r="1297" spans="1:12">
      <c r="A1297" s="855" t="s">
        <v>607</v>
      </c>
      <c r="B1297" s="856"/>
      <c r="C1297" s="856"/>
      <c r="D1297" s="857"/>
      <c r="E1297" s="858"/>
      <c r="F1297" s="859"/>
      <c r="G1297" s="860"/>
      <c r="H1297" s="857"/>
      <c r="I1297" s="861"/>
      <c r="J1297" s="295"/>
      <c r="K1297" s="296">
        <f t="shared" si="21"/>
        <v>0</v>
      </c>
      <c r="L1297"/>
    </row>
    <row r="1298" spans="1:12">
      <c r="A1298" s="855" t="s">
        <v>602</v>
      </c>
      <c r="B1298" s="856"/>
      <c r="C1298" s="856"/>
      <c r="D1298" s="857"/>
      <c r="E1298" s="858"/>
      <c r="F1298" s="859"/>
      <c r="G1298" s="860"/>
      <c r="H1298" s="857"/>
      <c r="I1298" s="861"/>
      <c r="J1298" s="295"/>
      <c r="K1298" s="296">
        <f t="shared" si="21"/>
        <v>0</v>
      </c>
      <c r="L1298"/>
    </row>
    <row r="1299" spans="1:12">
      <c r="A1299" s="855" t="s">
        <v>602</v>
      </c>
      <c r="B1299" s="856"/>
      <c r="C1299" s="856"/>
      <c r="D1299" s="857"/>
      <c r="E1299" s="858"/>
      <c r="F1299" s="859"/>
      <c r="G1299" s="860"/>
      <c r="H1299" s="857"/>
      <c r="I1299" s="861"/>
      <c r="J1299" s="295"/>
      <c r="K1299" s="296">
        <f t="shared" si="21"/>
        <v>0</v>
      </c>
      <c r="L1299"/>
    </row>
    <row r="1300" spans="1:12">
      <c r="A1300" s="855" t="s">
        <v>602</v>
      </c>
      <c r="B1300" s="856"/>
      <c r="C1300" s="856"/>
      <c r="D1300" s="857"/>
      <c r="E1300" s="858"/>
      <c r="F1300" s="859"/>
      <c r="G1300" s="860"/>
      <c r="H1300" s="857"/>
      <c r="I1300" s="861"/>
      <c r="J1300" s="295"/>
      <c r="K1300" s="296">
        <f t="shared" si="21"/>
        <v>0</v>
      </c>
      <c r="L1300"/>
    </row>
    <row r="1301" spans="1:12">
      <c r="A1301" s="855" t="s">
        <v>602</v>
      </c>
      <c r="B1301" s="856"/>
      <c r="C1301" s="856"/>
      <c r="D1301" s="857"/>
      <c r="E1301" s="858"/>
      <c r="F1301" s="859"/>
      <c r="G1301" s="860"/>
      <c r="H1301" s="857"/>
      <c r="I1301" s="861"/>
      <c r="J1301" s="295"/>
      <c r="K1301" s="296">
        <f t="shared" si="21"/>
        <v>0</v>
      </c>
      <c r="L1301"/>
    </row>
    <row r="1302" spans="1:12">
      <c r="A1302" s="855" t="s">
        <v>602</v>
      </c>
      <c r="B1302" s="856"/>
      <c r="C1302" s="856"/>
      <c r="D1302" s="857"/>
      <c r="E1302" s="858"/>
      <c r="F1302" s="859"/>
      <c r="G1302" s="860"/>
      <c r="H1302" s="857"/>
      <c r="I1302" s="861"/>
      <c r="J1302" s="295"/>
      <c r="K1302" s="296">
        <f t="shared" si="21"/>
        <v>0</v>
      </c>
      <c r="L1302"/>
    </row>
    <row r="1303" spans="1:12">
      <c r="A1303" s="855" t="s">
        <v>607</v>
      </c>
      <c r="B1303" s="856"/>
      <c r="C1303" s="856"/>
      <c r="D1303" s="857"/>
      <c r="E1303" s="858"/>
      <c r="F1303" s="859"/>
      <c r="G1303" s="860"/>
      <c r="H1303" s="857"/>
      <c r="I1303" s="861"/>
      <c r="J1303" s="295"/>
      <c r="K1303" s="296">
        <f t="shared" si="21"/>
        <v>0</v>
      </c>
      <c r="L1303"/>
    </row>
    <row r="1304" spans="1:12">
      <c r="A1304" s="855" t="s">
        <v>607</v>
      </c>
      <c r="B1304" s="856"/>
      <c r="C1304" s="856"/>
      <c r="D1304" s="857"/>
      <c r="E1304" s="858"/>
      <c r="F1304" s="859"/>
      <c r="G1304" s="860"/>
      <c r="H1304" s="857"/>
      <c r="I1304" s="861"/>
      <c r="J1304" s="295"/>
      <c r="K1304" s="296">
        <f t="shared" si="21"/>
        <v>0</v>
      </c>
      <c r="L1304"/>
    </row>
    <row r="1305" spans="1:12">
      <c r="A1305" s="855" t="s">
        <v>607</v>
      </c>
      <c r="B1305" s="856"/>
      <c r="C1305" s="856"/>
      <c r="D1305" s="857"/>
      <c r="E1305" s="858"/>
      <c r="F1305" s="859"/>
      <c r="G1305" s="860"/>
      <c r="H1305" s="857"/>
      <c r="I1305" s="861"/>
      <c r="J1305" s="295"/>
      <c r="K1305" s="296">
        <f t="shared" si="21"/>
        <v>0</v>
      </c>
      <c r="L1305"/>
    </row>
    <row r="1306" spans="1:12">
      <c r="A1306" s="855" t="s">
        <v>607</v>
      </c>
      <c r="B1306" s="856"/>
      <c r="C1306" s="856"/>
      <c r="D1306" s="857"/>
      <c r="E1306" s="858"/>
      <c r="F1306" s="859"/>
      <c r="G1306" s="860"/>
      <c r="H1306" s="857"/>
      <c r="I1306" s="861"/>
      <c r="J1306" s="295"/>
      <c r="K1306" s="296">
        <f t="shared" si="21"/>
        <v>0</v>
      </c>
      <c r="L1306"/>
    </row>
    <row r="1307" spans="1:12">
      <c r="A1307" s="855" t="s">
        <v>607</v>
      </c>
      <c r="B1307" s="856"/>
      <c r="C1307" s="856"/>
      <c r="D1307" s="857"/>
      <c r="E1307" s="858"/>
      <c r="F1307" s="859"/>
      <c r="G1307" s="860"/>
      <c r="H1307" s="857"/>
      <c r="I1307" s="861"/>
      <c r="J1307" s="295"/>
      <c r="K1307" s="296">
        <f t="shared" si="21"/>
        <v>0</v>
      </c>
      <c r="L1307"/>
    </row>
    <row r="1308" spans="1:12">
      <c r="A1308" s="855" t="s">
        <v>607</v>
      </c>
      <c r="B1308" s="856"/>
      <c r="C1308" s="856"/>
      <c r="D1308" s="857"/>
      <c r="E1308" s="858"/>
      <c r="F1308" s="859"/>
      <c r="G1308" s="860"/>
      <c r="H1308" s="857"/>
      <c r="I1308" s="861"/>
      <c r="J1308" s="295"/>
      <c r="K1308" s="296">
        <f t="shared" si="21"/>
        <v>0</v>
      </c>
      <c r="L1308"/>
    </row>
    <row r="1309" spans="1:12">
      <c r="A1309" s="855" t="s">
        <v>607</v>
      </c>
      <c r="B1309" s="856"/>
      <c r="C1309" s="856"/>
      <c r="D1309" s="857"/>
      <c r="E1309" s="858"/>
      <c r="F1309" s="859"/>
      <c r="G1309" s="860"/>
      <c r="H1309" s="857"/>
      <c r="I1309" s="861"/>
      <c r="J1309" s="295"/>
      <c r="K1309" s="296">
        <f t="shared" si="21"/>
        <v>0</v>
      </c>
      <c r="L1309"/>
    </row>
    <row r="1310" spans="1:12">
      <c r="A1310" s="855" t="s">
        <v>607</v>
      </c>
      <c r="B1310" s="856"/>
      <c r="C1310" s="856"/>
      <c r="D1310" s="857"/>
      <c r="E1310" s="858"/>
      <c r="F1310" s="859"/>
      <c r="G1310" s="860"/>
      <c r="H1310" s="857"/>
      <c r="I1310" s="861"/>
      <c r="J1310" s="295"/>
      <c r="K1310" s="296">
        <f t="shared" si="21"/>
        <v>0</v>
      </c>
      <c r="L1310"/>
    </row>
    <row r="1311" spans="1:12">
      <c r="A1311" s="855" t="s">
        <v>607</v>
      </c>
      <c r="B1311" s="856"/>
      <c r="C1311" s="856"/>
      <c r="D1311" s="857"/>
      <c r="E1311" s="858"/>
      <c r="F1311" s="859"/>
      <c r="G1311" s="860"/>
      <c r="H1311" s="857"/>
      <c r="I1311" s="861"/>
      <c r="J1311" s="295"/>
      <c r="K1311" s="296">
        <f t="shared" si="21"/>
        <v>0</v>
      </c>
      <c r="L1311"/>
    </row>
    <row r="1312" spans="1:12">
      <c r="A1312" s="855" t="s">
        <v>607</v>
      </c>
      <c r="B1312" s="856"/>
      <c r="C1312" s="856"/>
      <c r="D1312" s="857"/>
      <c r="E1312" s="858"/>
      <c r="F1312" s="859"/>
      <c r="G1312" s="860"/>
      <c r="H1312" s="857"/>
      <c r="I1312" s="861"/>
      <c r="J1312" s="295"/>
      <c r="K1312" s="296">
        <f t="shared" si="21"/>
        <v>0</v>
      </c>
      <c r="L1312"/>
    </row>
    <row r="1313" spans="1:12">
      <c r="A1313" s="855" t="s">
        <v>607</v>
      </c>
      <c r="B1313" s="856"/>
      <c r="C1313" s="856"/>
      <c r="D1313" s="857"/>
      <c r="E1313" s="858"/>
      <c r="F1313" s="859"/>
      <c r="G1313" s="860"/>
      <c r="H1313" s="857"/>
      <c r="I1313" s="861"/>
      <c r="J1313" s="295"/>
      <c r="K1313" s="296">
        <f t="shared" si="21"/>
        <v>0</v>
      </c>
      <c r="L1313"/>
    </row>
    <row r="1314" spans="1:12">
      <c r="A1314" s="855" t="s">
        <v>607</v>
      </c>
      <c r="B1314" s="856"/>
      <c r="C1314" s="856"/>
      <c r="D1314" s="857"/>
      <c r="E1314" s="858"/>
      <c r="F1314" s="859"/>
      <c r="G1314" s="860"/>
      <c r="H1314" s="857"/>
      <c r="I1314" s="861"/>
      <c r="J1314" s="295"/>
      <c r="K1314" s="296">
        <f t="shared" si="21"/>
        <v>0</v>
      </c>
      <c r="L1314"/>
    </row>
    <row r="1315" spans="1:12">
      <c r="A1315" s="855" t="s">
        <v>607</v>
      </c>
      <c r="B1315" s="856"/>
      <c r="C1315" s="856"/>
      <c r="D1315" s="857"/>
      <c r="E1315" s="858"/>
      <c r="F1315" s="859"/>
      <c r="G1315" s="860"/>
      <c r="H1315" s="857"/>
      <c r="I1315" s="861"/>
      <c r="J1315" s="295"/>
      <c r="K1315" s="296">
        <f t="shared" si="21"/>
        <v>0</v>
      </c>
      <c r="L1315"/>
    </row>
    <row r="1316" spans="1:12">
      <c r="A1316" s="855" t="s">
        <v>607</v>
      </c>
      <c r="B1316" s="856"/>
      <c r="C1316" s="856"/>
      <c r="D1316" s="857"/>
      <c r="E1316" s="858"/>
      <c r="F1316" s="859"/>
      <c r="G1316" s="860"/>
      <c r="H1316" s="857"/>
      <c r="I1316" s="861"/>
      <c r="J1316" s="295"/>
      <c r="K1316" s="296">
        <f t="shared" si="21"/>
        <v>0</v>
      </c>
      <c r="L1316"/>
    </row>
    <row r="1317" spans="1:12">
      <c r="A1317" s="855" t="s">
        <v>607</v>
      </c>
      <c r="B1317" s="856"/>
      <c r="C1317" s="856"/>
      <c r="D1317" s="857"/>
      <c r="E1317" s="858"/>
      <c r="F1317" s="859"/>
      <c r="G1317" s="860"/>
      <c r="H1317" s="857"/>
      <c r="I1317" s="861"/>
      <c r="J1317" s="295"/>
      <c r="K1317" s="296">
        <f t="shared" si="21"/>
        <v>0</v>
      </c>
      <c r="L1317"/>
    </row>
    <row r="1318" spans="1:12">
      <c r="A1318" s="855" t="s">
        <v>607</v>
      </c>
      <c r="B1318" s="856"/>
      <c r="C1318" s="856"/>
      <c r="D1318" s="857"/>
      <c r="E1318" s="858"/>
      <c r="F1318" s="859"/>
      <c r="G1318" s="860"/>
      <c r="H1318" s="857"/>
      <c r="I1318" s="861"/>
      <c r="J1318" s="295"/>
      <c r="K1318" s="296">
        <f t="shared" si="21"/>
        <v>0</v>
      </c>
      <c r="L1318"/>
    </row>
    <row r="1319" spans="1:12">
      <c r="A1319" s="855" t="s">
        <v>607</v>
      </c>
      <c r="B1319" s="856"/>
      <c r="C1319" s="856"/>
      <c r="D1319" s="857"/>
      <c r="E1319" s="858"/>
      <c r="F1319" s="859"/>
      <c r="G1319" s="860"/>
      <c r="H1319" s="857"/>
      <c r="I1319" s="861"/>
      <c r="J1319" s="295"/>
      <c r="K1319" s="296">
        <f t="shared" si="21"/>
        <v>0</v>
      </c>
      <c r="L1319"/>
    </row>
    <row r="1320" spans="1:12">
      <c r="A1320" s="855" t="s">
        <v>607</v>
      </c>
      <c r="B1320" s="856"/>
      <c r="C1320" s="856"/>
      <c r="D1320" s="857"/>
      <c r="E1320" s="858"/>
      <c r="F1320" s="859"/>
      <c r="G1320" s="860"/>
      <c r="H1320" s="857"/>
      <c r="I1320" s="861"/>
      <c r="J1320" s="295"/>
      <c r="K1320" s="296">
        <f t="shared" si="21"/>
        <v>0</v>
      </c>
      <c r="L1320"/>
    </row>
    <row r="1321" spans="1:12">
      <c r="A1321" s="855" t="s">
        <v>607</v>
      </c>
      <c r="B1321" s="856"/>
      <c r="C1321" s="856"/>
      <c r="D1321" s="857"/>
      <c r="E1321" s="858"/>
      <c r="F1321" s="859"/>
      <c r="G1321" s="860"/>
      <c r="H1321" s="857"/>
      <c r="I1321" s="861"/>
      <c r="J1321" s="295"/>
      <c r="K1321" s="296">
        <f t="shared" si="21"/>
        <v>0</v>
      </c>
      <c r="L1321"/>
    </row>
    <row r="1322" spans="1:12">
      <c r="A1322" s="855" t="s">
        <v>607</v>
      </c>
      <c r="B1322" s="856"/>
      <c r="C1322" s="856"/>
      <c r="D1322" s="857"/>
      <c r="E1322" s="858"/>
      <c r="F1322" s="859"/>
      <c r="G1322" s="860"/>
      <c r="H1322" s="857"/>
      <c r="I1322" s="861"/>
      <c r="J1322" s="295"/>
      <c r="K1322" s="296">
        <f t="shared" si="21"/>
        <v>0</v>
      </c>
      <c r="L1322"/>
    </row>
    <row r="1323" spans="1:12">
      <c r="A1323" s="855" t="s">
        <v>607</v>
      </c>
      <c r="B1323" s="856"/>
      <c r="C1323" s="856"/>
      <c r="D1323" s="857"/>
      <c r="E1323" s="858"/>
      <c r="F1323" s="859"/>
      <c r="G1323" s="860"/>
      <c r="H1323" s="857"/>
      <c r="I1323" s="861"/>
      <c r="J1323" s="295"/>
      <c r="K1323" s="296">
        <f t="shared" si="21"/>
        <v>0</v>
      </c>
      <c r="L1323"/>
    </row>
    <row r="1324" spans="1:12">
      <c r="A1324" s="855" t="s">
        <v>607</v>
      </c>
      <c r="B1324" s="856"/>
      <c r="C1324" s="856"/>
      <c r="D1324" s="857"/>
      <c r="E1324" s="858"/>
      <c r="F1324" s="859"/>
      <c r="G1324" s="860"/>
      <c r="H1324" s="857"/>
      <c r="I1324" s="861"/>
      <c r="J1324" s="295"/>
      <c r="K1324" s="296">
        <f t="shared" si="21"/>
        <v>0</v>
      </c>
      <c r="L1324"/>
    </row>
    <row r="1325" spans="1:12">
      <c r="A1325" s="855" t="s">
        <v>607</v>
      </c>
      <c r="B1325" s="856"/>
      <c r="C1325" s="856"/>
      <c r="D1325" s="857"/>
      <c r="E1325" s="858"/>
      <c r="F1325" s="859"/>
      <c r="G1325" s="860"/>
      <c r="H1325" s="857"/>
      <c r="I1325" s="861"/>
      <c r="J1325" s="295"/>
      <c r="K1325" s="296">
        <f t="shared" si="21"/>
        <v>0</v>
      </c>
      <c r="L1325"/>
    </row>
    <row r="1326" spans="1:12">
      <c r="A1326" s="855" t="s">
        <v>602</v>
      </c>
      <c r="B1326" s="856"/>
      <c r="C1326" s="856"/>
      <c r="D1326" s="857"/>
      <c r="E1326" s="858"/>
      <c r="F1326" s="859"/>
      <c r="G1326" s="860"/>
      <c r="H1326" s="857"/>
      <c r="I1326" s="861"/>
      <c r="J1326" s="295"/>
      <c r="K1326" s="296">
        <f t="shared" si="21"/>
        <v>0</v>
      </c>
      <c r="L1326"/>
    </row>
    <row r="1327" spans="1:12">
      <c r="A1327" s="855" t="s">
        <v>607</v>
      </c>
      <c r="B1327" s="856"/>
      <c r="C1327" s="856"/>
      <c r="D1327" s="857"/>
      <c r="E1327" s="858"/>
      <c r="F1327" s="859"/>
      <c r="G1327" s="860"/>
      <c r="H1327" s="857"/>
      <c r="I1327" s="861"/>
      <c r="J1327" s="295"/>
      <c r="K1327" s="296">
        <f t="shared" si="21"/>
        <v>0</v>
      </c>
      <c r="L1327"/>
    </row>
    <row r="1328" spans="1:12">
      <c r="A1328" s="855" t="s">
        <v>607</v>
      </c>
      <c r="B1328" s="856"/>
      <c r="C1328" s="856"/>
      <c r="D1328" s="857"/>
      <c r="E1328" s="858"/>
      <c r="F1328" s="859"/>
      <c r="G1328" s="860"/>
      <c r="H1328" s="857"/>
      <c r="I1328" s="861"/>
      <c r="J1328" s="295"/>
      <c r="K1328" s="296">
        <f t="shared" si="21"/>
        <v>0</v>
      </c>
      <c r="L1328"/>
    </row>
    <row r="1329" spans="1:12">
      <c r="A1329" s="855" t="s">
        <v>602</v>
      </c>
      <c r="B1329" s="856"/>
      <c r="C1329" s="856"/>
      <c r="D1329" s="857"/>
      <c r="E1329" s="858"/>
      <c r="F1329" s="859"/>
      <c r="G1329" s="860"/>
      <c r="H1329" s="857"/>
      <c r="I1329" s="861"/>
      <c r="J1329" s="295"/>
      <c r="K1329" s="296">
        <f t="shared" si="21"/>
        <v>0</v>
      </c>
      <c r="L1329"/>
    </row>
    <row r="1330" spans="1:12">
      <c r="A1330" s="855" t="s">
        <v>602</v>
      </c>
      <c r="B1330" s="856"/>
      <c r="C1330" s="856"/>
      <c r="D1330" s="857"/>
      <c r="E1330" s="858"/>
      <c r="F1330" s="859"/>
      <c r="G1330" s="860"/>
      <c r="H1330" s="857"/>
      <c r="I1330" s="861"/>
      <c r="J1330" s="295"/>
      <c r="K1330" s="296">
        <f t="shared" si="21"/>
        <v>0</v>
      </c>
      <c r="L1330"/>
    </row>
    <row r="1331" spans="1:12">
      <c r="A1331" s="855" t="s">
        <v>602</v>
      </c>
      <c r="B1331" s="856"/>
      <c r="C1331" s="856"/>
      <c r="D1331" s="857"/>
      <c r="E1331" s="858"/>
      <c r="F1331" s="859"/>
      <c r="G1331" s="860"/>
      <c r="H1331" s="857"/>
      <c r="I1331" s="861"/>
      <c r="J1331" s="295"/>
      <c r="K1331" s="296">
        <f t="shared" si="21"/>
        <v>0</v>
      </c>
      <c r="L1331"/>
    </row>
    <row r="1332" spans="1:12">
      <c r="A1332" s="855" t="s">
        <v>607</v>
      </c>
      <c r="B1332" s="856"/>
      <c r="C1332" s="856"/>
      <c r="D1332" s="857"/>
      <c r="E1332" s="858"/>
      <c r="F1332" s="859"/>
      <c r="G1332" s="860"/>
      <c r="H1332" s="857"/>
      <c r="I1332" s="861"/>
      <c r="J1332" s="295"/>
      <c r="K1332" s="296">
        <f t="shared" si="21"/>
        <v>0</v>
      </c>
      <c r="L1332"/>
    </row>
    <row r="1333" spans="1:12">
      <c r="A1333" s="855" t="s">
        <v>607</v>
      </c>
      <c r="B1333" s="856"/>
      <c r="C1333" s="856"/>
      <c r="D1333" s="857"/>
      <c r="E1333" s="858"/>
      <c r="F1333" s="859"/>
      <c r="G1333" s="860"/>
      <c r="H1333" s="857"/>
      <c r="I1333" s="861"/>
      <c r="J1333" s="295"/>
      <c r="K1333" s="296">
        <f t="shared" si="21"/>
        <v>0</v>
      </c>
      <c r="L1333"/>
    </row>
    <row r="1334" spans="1:12">
      <c r="A1334" s="855" t="s">
        <v>602</v>
      </c>
      <c r="B1334" s="856"/>
      <c r="C1334" s="856"/>
      <c r="D1334" s="857"/>
      <c r="E1334" s="858"/>
      <c r="F1334" s="859"/>
      <c r="G1334" s="860"/>
      <c r="H1334" s="857"/>
      <c r="I1334" s="861"/>
      <c r="J1334" s="295"/>
      <c r="K1334" s="296">
        <f t="shared" si="21"/>
        <v>0</v>
      </c>
      <c r="L1334"/>
    </row>
    <row r="1335" spans="1:12">
      <c r="A1335" s="855" t="s">
        <v>602</v>
      </c>
      <c r="B1335" s="856"/>
      <c r="C1335" s="856"/>
      <c r="D1335" s="857"/>
      <c r="E1335" s="858"/>
      <c r="F1335" s="859"/>
      <c r="G1335" s="860"/>
      <c r="H1335" s="857"/>
      <c r="I1335" s="861"/>
      <c r="J1335" s="295"/>
      <c r="K1335" s="296">
        <f t="shared" si="21"/>
        <v>0</v>
      </c>
      <c r="L1335"/>
    </row>
    <row r="1336" spans="1:12">
      <c r="A1336" s="855" t="s">
        <v>607</v>
      </c>
      <c r="B1336" s="856"/>
      <c r="C1336" s="856"/>
      <c r="D1336" s="857"/>
      <c r="E1336" s="858"/>
      <c r="F1336" s="859"/>
      <c r="G1336" s="860"/>
      <c r="H1336" s="857"/>
      <c r="I1336" s="861"/>
      <c r="J1336" s="295"/>
      <c r="K1336" s="296">
        <f t="shared" si="21"/>
        <v>0</v>
      </c>
      <c r="L1336"/>
    </row>
    <row r="1337" spans="1:12">
      <c r="A1337" s="855" t="s">
        <v>607</v>
      </c>
      <c r="B1337" s="856"/>
      <c r="C1337" s="856"/>
      <c r="D1337" s="857"/>
      <c r="E1337" s="858"/>
      <c r="F1337" s="859"/>
      <c r="G1337" s="860"/>
      <c r="H1337" s="857"/>
      <c r="I1337" s="861"/>
      <c r="J1337" s="295"/>
      <c r="K1337" s="296">
        <f t="shared" si="21"/>
        <v>0</v>
      </c>
      <c r="L1337"/>
    </row>
    <row r="1338" spans="1:12">
      <c r="A1338" s="855" t="s">
        <v>607</v>
      </c>
      <c r="B1338" s="856"/>
      <c r="C1338" s="856"/>
      <c r="D1338" s="857"/>
      <c r="E1338" s="858"/>
      <c r="F1338" s="859"/>
      <c r="G1338" s="860"/>
      <c r="H1338" s="857"/>
      <c r="I1338" s="861"/>
      <c r="J1338" s="295"/>
      <c r="K1338" s="296">
        <f t="shared" si="21"/>
        <v>0</v>
      </c>
      <c r="L1338"/>
    </row>
    <row r="1339" spans="1:12">
      <c r="A1339" s="855" t="s">
        <v>607</v>
      </c>
      <c r="B1339" s="856"/>
      <c r="C1339" s="856"/>
      <c r="D1339" s="857"/>
      <c r="E1339" s="858"/>
      <c r="F1339" s="859"/>
      <c r="G1339" s="860"/>
      <c r="H1339" s="857"/>
      <c r="I1339" s="861"/>
      <c r="J1339" s="295"/>
      <c r="K1339" s="296">
        <f t="shared" si="21"/>
        <v>0</v>
      </c>
      <c r="L1339"/>
    </row>
    <row r="1340" spans="1:12">
      <c r="A1340" s="855" t="s">
        <v>607</v>
      </c>
      <c r="B1340" s="856"/>
      <c r="C1340" s="856"/>
      <c r="D1340" s="857"/>
      <c r="E1340" s="858"/>
      <c r="F1340" s="859"/>
      <c r="G1340" s="860"/>
      <c r="H1340" s="857"/>
      <c r="I1340" s="861"/>
      <c r="J1340" s="295"/>
      <c r="K1340" s="296">
        <f t="shared" si="21"/>
        <v>0</v>
      </c>
      <c r="L1340"/>
    </row>
    <row r="1341" spans="1:12">
      <c r="A1341" s="855" t="s">
        <v>607</v>
      </c>
      <c r="B1341" s="856"/>
      <c r="C1341" s="856"/>
      <c r="D1341" s="857"/>
      <c r="E1341" s="858"/>
      <c r="F1341" s="859"/>
      <c r="G1341" s="860"/>
      <c r="H1341" s="857"/>
      <c r="I1341" s="861"/>
      <c r="J1341" s="295"/>
      <c r="K1341" s="296">
        <f t="shared" si="21"/>
        <v>0</v>
      </c>
      <c r="L1341"/>
    </row>
    <row r="1342" spans="1:12">
      <c r="A1342" s="855" t="s">
        <v>602</v>
      </c>
      <c r="B1342" s="856"/>
      <c r="C1342" s="856"/>
      <c r="D1342" s="857"/>
      <c r="E1342" s="858"/>
      <c r="F1342" s="859"/>
      <c r="G1342" s="860"/>
      <c r="H1342" s="857"/>
      <c r="I1342" s="861"/>
      <c r="J1342" s="295"/>
      <c r="K1342" s="296">
        <f t="shared" si="21"/>
        <v>0</v>
      </c>
      <c r="L1342"/>
    </row>
    <row r="1343" spans="1:12">
      <c r="A1343" s="855" t="s">
        <v>602</v>
      </c>
      <c r="B1343" s="856"/>
      <c r="C1343" s="856"/>
      <c r="D1343" s="857"/>
      <c r="E1343" s="858"/>
      <c r="F1343" s="859"/>
      <c r="G1343" s="860"/>
      <c r="H1343" s="857"/>
      <c r="I1343" s="861"/>
      <c r="J1343" s="295"/>
      <c r="K1343" s="296">
        <f t="shared" si="21"/>
        <v>0</v>
      </c>
      <c r="L1343"/>
    </row>
    <row r="1344" spans="1:12">
      <c r="A1344" s="855" t="s">
        <v>602</v>
      </c>
      <c r="B1344" s="856"/>
      <c r="C1344" s="856"/>
      <c r="D1344" s="857"/>
      <c r="E1344" s="858"/>
      <c r="F1344" s="859"/>
      <c r="G1344" s="860"/>
      <c r="H1344" s="857"/>
      <c r="I1344" s="861"/>
      <c r="J1344" s="295"/>
      <c r="K1344" s="296">
        <f t="shared" si="21"/>
        <v>0</v>
      </c>
      <c r="L1344"/>
    </row>
    <row r="1345" spans="1:12">
      <c r="A1345" s="855" t="s">
        <v>602</v>
      </c>
      <c r="B1345" s="856"/>
      <c r="C1345" s="856"/>
      <c r="D1345" s="857"/>
      <c r="E1345" s="858"/>
      <c r="F1345" s="859"/>
      <c r="G1345" s="860"/>
      <c r="H1345" s="857"/>
      <c r="I1345" s="861"/>
      <c r="J1345" s="295"/>
      <c r="K1345" s="296">
        <f t="shared" si="21"/>
        <v>0</v>
      </c>
      <c r="L1345"/>
    </row>
    <row r="1346" spans="1:12">
      <c r="A1346" s="855" t="s">
        <v>602</v>
      </c>
      <c r="B1346" s="856"/>
      <c r="C1346" s="856"/>
      <c r="D1346" s="857"/>
      <c r="E1346" s="858"/>
      <c r="F1346" s="859"/>
      <c r="G1346" s="860"/>
      <c r="H1346" s="857"/>
      <c r="I1346" s="861"/>
      <c r="J1346" s="295"/>
      <c r="K1346" s="296">
        <f t="shared" si="21"/>
        <v>0</v>
      </c>
      <c r="L1346"/>
    </row>
    <row r="1347" spans="1:12">
      <c r="A1347" s="855" t="s">
        <v>602</v>
      </c>
      <c r="B1347" s="856"/>
      <c r="C1347" s="856"/>
      <c r="D1347" s="857"/>
      <c r="E1347" s="858"/>
      <c r="F1347" s="859"/>
      <c r="G1347" s="860"/>
      <c r="H1347" s="857"/>
      <c r="I1347" s="861"/>
      <c r="J1347" s="295"/>
      <c r="K1347" s="296">
        <f t="shared" si="21"/>
        <v>0</v>
      </c>
      <c r="L1347"/>
    </row>
    <row r="1348" spans="1:12">
      <c r="A1348" s="855" t="s">
        <v>602</v>
      </c>
      <c r="B1348" s="856"/>
      <c r="C1348" s="856"/>
      <c r="D1348" s="857"/>
      <c r="E1348" s="858"/>
      <c r="F1348" s="859"/>
      <c r="G1348" s="860"/>
      <c r="H1348" s="857"/>
      <c r="I1348" s="861"/>
      <c r="J1348" s="295"/>
      <c r="K1348" s="296">
        <f t="shared" si="21"/>
        <v>0</v>
      </c>
      <c r="L1348"/>
    </row>
    <row r="1349" spans="1:12">
      <c r="A1349" s="855" t="s">
        <v>602</v>
      </c>
      <c r="B1349" s="856"/>
      <c r="C1349" s="856"/>
      <c r="D1349" s="857"/>
      <c r="E1349" s="858"/>
      <c r="F1349" s="859"/>
      <c r="G1349" s="860"/>
      <c r="H1349" s="857"/>
      <c r="I1349" s="861"/>
      <c r="J1349" s="295"/>
      <c r="K1349" s="296">
        <f t="shared" si="21"/>
        <v>0</v>
      </c>
      <c r="L1349"/>
    </row>
    <row r="1350" spans="1:12">
      <c r="A1350" s="855" t="s">
        <v>602</v>
      </c>
      <c r="B1350" s="856"/>
      <c r="C1350" s="856"/>
      <c r="D1350" s="857"/>
      <c r="E1350" s="858"/>
      <c r="F1350" s="859"/>
      <c r="G1350" s="860"/>
      <c r="H1350" s="857"/>
      <c r="I1350" s="861"/>
      <c r="J1350" s="295"/>
      <c r="K1350" s="296">
        <f t="shared" si="21"/>
        <v>0</v>
      </c>
      <c r="L1350"/>
    </row>
    <row r="1351" spans="1:12">
      <c r="A1351" s="855" t="s">
        <v>602</v>
      </c>
      <c r="B1351" s="856"/>
      <c r="C1351" s="856"/>
      <c r="D1351" s="857"/>
      <c r="E1351" s="858"/>
      <c r="F1351" s="859"/>
      <c r="G1351" s="860"/>
      <c r="H1351" s="857"/>
      <c r="I1351" s="861"/>
      <c r="J1351" s="295"/>
      <c r="K1351" s="296">
        <f t="shared" si="21"/>
        <v>0</v>
      </c>
      <c r="L1351"/>
    </row>
    <row r="1352" spans="1:12">
      <c r="A1352" s="855" t="s">
        <v>602</v>
      </c>
      <c r="B1352" s="856"/>
      <c r="C1352" s="856"/>
      <c r="D1352" s="857"/>
      <c r="E1352" s="858"/>
      <c r="F1352" s="859"/>
      <c r="G1352" s="860"/>
      <c r="H1352" s="857"/>
      <c r="I1352" s="861"/>
      <c r="J1352" s="295"/>
      <c r="K1352" s="296">
        <f t="shared" si="21"/>
        <v>0</v>
      </c>
      <c r="L1352"/>
    </row>
    <row r="1353" spans="1:12">
      <c r="A1353" s="855" t="s">
        <v>602</v>
      </c>
      <c r="B1353" s="856"/>
      <c r="C1353" s="856"/>
      <c r="D1353" s="857"/>
      <c r="E1353" s="858"/>
      <c r="F1353" s="859"/>
      <c r="G1353" s="860"/>
      <c r="H1353" s="857"/>
      <c r="I1353" s="861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55" t="s">
        <v>607</v>
      </c>
      <c r="B1354" s="856"/>
      <c r="C1354" s="856"/>
      <c r="D1354" s="857"/>
      <c r="E1354" s="858"/>
      <c r="F1354" s="859"/>
      <c r="G1354" s="860"/>
      <c r="H1354" s="857"/>
      <c r="I1354" s="861"/>
      <c r="J1354" s="295"/>
      <c r="K1354" s="296">
        <f t="shared" si="22"/>
        <v>0</v>
      </c>
      <c r="L1354"/>
    </row>
    <row r="1355" spans="1:12">
      <c r="A1355" s="855" t="s">
        <v>602</v>
      </c>
      <c r="B1355" s="856"/>
      <c r="C1355" s="856"/>
      <c r="D1355" s="857"/>
      <c r="E1355" s="858"/>
      <c r="F1355" s="859"/>
      <c r="G1355" s="860"/>
      <c r="H1355" s="857"/>
      <c r="I1355" s="861"/>
      <c r="J1355" s="295"/>
      <c r="K1355" s="296">
        <f t="shared" si="22"/>
        <v>0</v>
      </c>
      <c r="L1355"/>
    </row>
    <row r="1356" spans="1:12">
      <c r="A1356" s="855" t="s">
        <v>602</v>
      </c>
      <c r="B1356" s="856"/>
      <c r="C1356" s="856"/>
      <c r="D1356" s="857"/>
      <c r="E1356" s="858"/>
      <c r="F1356" s="859"/>
      <c r="G1356" s="860"/>
      <c r="H1356" s="857"/>
      <c r="I1356" s="861"/>
      <c r="J1356" s="295"/>
      <c r="K1356" s="296">
        <f t="shared" si="22"/>
        <v>0</v>
      </c>
      <c r="L1356"/>
    </row>
    <row r="1357" spans="1:12">
      <c r="A1357" s="855" t="s">
        <v>602</v>
      </c>
      <c r="B1357" s="856"/>
      <c r="C1357" s="856"/>
      <c r="D1357" s="857"/>
      <c r="E1357" s="858"/>
      <c r="F1357" s="859"/>
      <c r="G1357" s="860"/>
      <c r="H1357" s="857"/>
      <c r="I1357" s="861"/>
      <c r="J1357" s="295"/>
      <c r="K1357" s="296">
        <f t="shared" si="22"/>
        <v>0</v>
      </c>
      <c r="L1357"/>
    </row>
    <row r="1358" spans="1:12">
      <c r="A1358" s="855" t="s">
        <v>602</v>
      </c>
      <c r="B1358" s="856"/>
      <c r="C1358" s="856"/>
      <c r="D1358" s="857"/>
      <c r="E1358" s="858"/>
      <c r="F1358" s="859"/>
      <c r="G1358" s="860"/>
      <c r="H1358" s="857"/>
      <c r="I1358" s="861"/>
      <c r="J1358" s="295"/>
      <c r="K1358" s="296">
        <f t="shared" si="22"/>
        <v>0</v>
      </c>
      <c r="L1358"/>
    </row>
    <row r="1359" spans="1:12">
      <c r="A1359" s="855" t="s">
        <v>607</v>
      </c>
      <c r="B1359" s="856"/>
      <c r="C1359" s="856"/>
      <c r="D1359" s="857"/>
      <c r="E1359" s="858"/>
      <c r="F1359" s="859"/>
      <c r="G1359" s="860"/>
      <c r="H1359" s="857"/>
      <c r="I1359" s="861"/>
      <c r="J1359" s="295"/>
      <c r="K1359" s="296">
        <f t="shared" si="22"/>
        <v>0</v>
      </c>
      <c r="L1359"/>
    </row>
    <row r="1360" spans="1:12">
      <c r="A1360" s="855" t="s">
        <v>607</v>
      </c>
      <c r="B1360" s="856"/>
      <c r="C1360" s="856"/>
      <c r="D1360" s="857"/>
      <c r="E1360" s="858"/>
      <c r="F1360" s="859"/>
      <c r="G1360" s="860"/>
      <c r="H1360" s="857"/>
      <c r="I1360" s="861"/>
      <c r="J1360" s="295"/>
      <c r="K1360" s="296">
        <f t="shared" si="22"/>
        <v>0</v>
      </c>
      <c r="L1360"/>
    </row>
    <row r="1361" spans="1:12">
      <c r="A1361" s="855" t="s">
        <v>602</v>
      </c>
      <c r="B1361" s="856"/>
      <c r="C1361" s="856"/>
      <c r="D1361" s="857"/>
      <c r="E1361" s="858"/>
      <c r="F1361" s="859"/>
      <c r="G1361" s="860"/>
      <c r="H1361" s="857"/>
      <c r="I1361" s="861"/>
      <c r="J1361" s="295"/>
      <c r="K1361" s="296">
        <f t="shared" si="22"/>
        <v>0</v>
      </c>
      <c r="L1361"/>
    </row>
    <row r="1362" spans="1:12">
      <c r="A1362" s="855" t="s">
        <v>602</v>
      </c>
      <c r="B1362" s="856"/>
      <c r="C1362" s="856"/>
      <c r="D1362" s="857"/>
      <c r="E1362" s="858"/>
      <c r="F1362" s="859"/>
      <c r="G1362" s="860"/>
      <c r="H1362" s="857"/>
      <c r="I1362" s="861"/>
      <c r="J1362" s="295"/>
      <c r="K1362" s="296">
        <f t="shared" si="22"/>
        <v>0</v>
      </c>
      <c r="L1362"/>
    </row>
    <row r="1363" spans="1:12">
      <c r="A1363" s="855" t="s">
        <v>602</v>
      </c>
      <c r="B1363" s="856"/>
      <c r="C1363" s="856"/>
      <c r="D1363" s="857"/>
      <c r="E1363" s="858"/>
      <c r="F1363" s="859"/>
      <c r="G1363" s="860"/>
      <c r="H1363" s="857"/>
      <c r="I1363" s="861"/>
      <c r="J1363" s="295"/>
      <c r="K1363" s="296">
        <f t="shared" si="22"/>
        <v>0</v>
      </c>
      <c r="L1363"/>
    </row>
    <row r="1364" spans="1:12">
      <c r="A1364" s="855" t="s">
        <v>602</v>
      </c>
      <c r="B1364" s="856"/>
      <c r="C1364" s="856"/>
      <c r="D1364" s="857"/>
      <c r="E1364" s="858"/>
      <c r="F1364" s="859"/>
      <c r="G1364" s="860"/>
      <c r="H1364" s="857"/>
      <c r="I1364" s="861"/>
      <c r="J1364" s="295"/>
      <c r="K1364" s="296">
        <f t="shared" si="22"/>
        <v>0</v>
      </c>
      <c r="L1364"/>
    </row>
    <row r="1365" spans="1:12">
      <c r="A1365" s="855" t="s">
        <v>602</v>
      </c>
      <c r="B1365" s="856"/>
      <c r="C1365" s="856"/>
      <c r="D1365" s="857"/>
      <c r="E1365" s="858"/>
      <c r="F1365" s="859"/>
      <c r="G1365" s="860"/>
      <c r="H1365" s="857"/>
      <c r="I1365" s="861"/>
      <c r="J1365" s="295"/>
      <c r="K1365" s="296">
        <f t="shared" si="22"/>
        <v>0</v>
      </c>
      <c r="L1365"/>
    </row>
    <row r="1366" spans="1:12">
      <c r="A1366" s="855" t="s">
        <v>602</v>
      </c>
      <c r="B1366" s="856"/>
      <c r="C1366" s="856"/>
      <c r="D1366" s="857"/>
      <c r="E1366" s="858"/>
      <c r="F1366" s="859"/>
      <c r="G1366" s="860"/>
      <c r="H1366" s="857"/>
      <c r="I1366" s="861"/>
      <c r="J1366" s="295"/>
      <c r="K1366" s="296">
        <f t="shared" si="22"/>
        <v>0</v>
      </c>
      <c r="L1366"/>
    </row>
    <row r="1367" spans="1:12">
      <c r="A1367" s="855" t="s">
        <v>602</v>
      </c>
      <c r="B1367" s="856"/>
      <c r="C1367" s="856"/>
      <c r="D1367" s="857"/>
      <c r="E1367" s="858"/>
      <c r="F1367" s="859"/>
      <c r="G1367" s="860"/>
      <c r="H1367" s="857"/>
      <c r="I1367" s="861"/>
      <c r="J1367" s="295"/>
      <c r="K1367" s="296">
        <f t="shared" si="22"/>
        <v>0</v>
      </c>
      <c r="L1367"/>
    </row>
    <row r="1368" spans="1:12">
      <c r="A1368" s="855" t="s">
        <v>602</v>
      </c>
      <c r="B1368" s="856"/>
      <c r="C1368" s="856"/>
      <c r="D1368" s="857"/>
      <c r="E1368" s="858"/>
      <c r="F1368" s="859"/>
      <c r="G1368" s="860"/>
      <c r="H1368" s="857"/>
      <c r="I1368" s="861"/>
      <c r="J1368" s="295"/>
      <c r="K1368" s="296">
        <f t="shared" si="22"/>
        <v>0</v>
      </c>
      <c r="L1368"/>
    </row>
    <row r="1369" spans="1:12">
      <c r="A1369" s="855" t="s">
        <v>602</v>
      </c>
      <c r="B1369" s="856"/>
      <c r="C1369" s="856"/>
      <c r="D1369" s="857"/>
      <c r="E1369" s="858"/>
      <c r="F1369" s="859"/>
      <c r="G1369" s="860"/>
      <c r="H1369" s="857"/>
      <c r="I1369" s="861"/>
      <c r="J1369" s="295"/>
      <c r="K1369" s="296">
        <f t="shared" si="22"/>
        <v>0</v>
      </c>
      <c r="L1369"/>
    </row>
    <row r="1370" spans="1:12">
      <c r="A1370" s="855" t="s">
        <v>629</v>
      </c>
      <c r="B1370" s="856"/>
      <c r="C1370" s="856"/>
      <c r="D1370" s="857"/>
      <c r="E1370" s="858"/>
      <c r="F1370" s="859"/>
      <c r="G1370" s="860"/>
      <c r="H1370" s="857"/>
      <c r="I1370" s="861"/>
      <c r="J1370" s="295"/>
      <c r="K1370" s="296">
        <f t="shared" si="22"/>
        <v>0</v>
      </c>
      <c r="L1370"/>
    </row>
    <row r="1371" spans="1:12">
      <c r="A1371" s="855" t="s">
        <v>631</v>
      </c>
      <c r="B1371" s="856"/>
      <c r="C1371" s="856"/>
      <c r="D1371" s="857"/>
      <c r="E1371" s="858"/>
      <c r="F1371" s="859"/>
      <c r="G1371" s="860"/>
      <c r="H1371" s="857"/>
      <c r="I1371" s="861"/>
      <c r="J1371" s="295"/>
      <c r="K1371" s="296">
        <f t="shared" si="22"/>
        <v>0</v>
      </c>
      <c r="L1371"/>
    </row>
    <row r="1372" spans="1:12">
      <c r="A1372" s="855" t="s">
        <v>631</v>
      </c>
      <c r="B1372" s="856"/>
      <c r="C1372" s="856"/>
      <c r="D1372" s="857"/>
      <c r="E1372" s="858"/>
      <c r="F1372" s="859"/>
      <c r="G1372" s="860"/>
      <c r="H1372" s="857"/>
      <c r="I1372" s="861"/>
      <c r="J1372" s="295"/>
      <c r="K1372" s="296">
        <f t="shared" si="22"/>
        <v>0</v>
      </c>
      <c r="L1372"/>
    </row>
    <row r="1373" spans="1:12">
      <c r="A1373" s="855" t="s">
        <v>629</v>
      </c>
      <c r="B1373" s="856"/>
      <c r="C1373" s="856"/>
      <c r="D1373" s="857"/>
      <c r="E1373" s="858"/>
      <c r="F1373" s="859"/>
      <c r="G1373" s="860"/>
      <c r="H1373" s="857"/>
      <c r="I1373" s="861"/>
      <c r="J1373" s="295"/>
      <c r="K1373" s="296">
        <f t="shared" si="22"/>
        <v>0</v>
      </c>
      <c r="L1373"/>
    </row>
    <row r="1374" spans="1:12">
      <c r="A1374" s="855" t="s">
        <v>629</v>
      </c>
      <c r="B1374" s="856"/>
      <c r="C1374" s="856"/>
      <c r="D1374" s="857"/>
      <c r="E1374" s="858"/>
      <c r="F1374" s="859"/>
      <c r="G1374" s="860"/>
      <c r="H1374" s="857"/>
      <c r="I1374" s="861"/>
      <c r="J1374" s="295"/>
      <c r="K1374" s="296">
        <f t="shared" si="22"/>
        <v>0</v>
      </c>
      <c r="L1374"/>
    </row>
    <row r="1375" spans="1:12">
      <c r="A1375" s="855" t="s">
        <v>629</v>
      </c>
      <c r="B1375" s="856"/>
      <c r="C1375" s="856"/>
      <c r="D1375" s="857"/>
      <c r="E1375" s="858"/>
      <c r="F1375" s="859"/>
      <c r="G1375" s="860"/>
      <c r="H1375" s="857"/>
      <c r="I1375" s="861"/>
      <c r="J1375" s="295"/>
      <c r="K1375" s="296">
        <f t="shared" si="22"/>
        <v>0</v>
      </c>
      <c r="L1375"/>
    </row>
    <row r="1376" spans="1:12">
      <c r="A1376" s="855" t="s">
        <v>629</v>
      </c>
      <c r="B1376" s="856"/>
      <c r="C1376" s="856"/>
      <c r="D1376" s="857"/>
      <c r="E1376" s="858"/>
      <c r="F1376" s="859"/>
      <c r="G1376" s="860"/>
      <c r="H1376" s="857"/>
      <c r="I1376" s="861"/>
      <c r="J1376" s="295"/>
      <c r="K1376" s="296">
        <f t="shared" si="22"/>
        <v>0</v>
      </c>
      <c r="L1376"/>
    </row>
    <row r="1377" spans="1:12">
      <c r="A1377" s="855" t="s">
        <v>629</v>
      </c>
      <c r="B1377" s="856"/>
      <c r="C1377" s="856"/>
      <c r="D1377" s="857"/>
      <c r="E1377" s="858"/>
      <c r="F1377" s="859"/>
      <c r="G1377" s="860"/>
      <c r="H1377" s="857"/>
      <c r="I1377" s="861"/>
      <c r="J1377" s="295"/>
      <c r="K1377" s="296">
        <f t="shared" si="22"/>
        <v>0</v>
      </c>
      <c r="L1377"/>
    </row>
    <row r="1378" spans="1:12">
      <c r="A1378" s="855" t="s">
        <v>631</v>
      </c>
      <c r="B1378" s="856"/>
      <c r="C1378" s="856"/>
      <c r="D1378" s="857"/>
      <c r="E1378" s="858"/>
      <c r="F1378" s="859"/>
      <c r="G1378" s="860"/>
      <c r="H1378" s="857"/>
      <c r="I1378" s="861"/>
      <c r="J1378" s="295"/>
      <c r="K1378" s="296">
        <f t="shared" si="22"/>
        <v>0</v>
      </c>
      <c r="L1378"/>
    </row>
    <row r="1379" spans="1:12">
      <c r="A1379" s="855" t="s">
        <v>629</v>
      </c>
      <c r="B1379" s="856"/>
      <c r="C1379" s="856"/>
      <c r="D1379" s="857"/>
      <c r="E1379" s="858"/>
      <c r="F1379" s="859"/>
      <c r="G1379" s="860"/>
      <c r="H1379" s="857"/>
      <c r="I1379" s="861"/>
      <c r="J1379" s="295"/>
      <c r="K1379" s="296">
        <f t="shared" si="22"/>
        <v>0</v>
      </c>
      <c r="L1379"/>
    </row>
    <row r="1380" spans="1:12">
      <c r="A1380" s="855" t="s">
        <v>629</v>
      </c>
      <c r="B1380" s="856"/>
      <c r="C1380" s="856"/>
      <c r="D1380" s="857"/>
      <c r="E1380" s="858"/>
      <c r="F1380" s="859"/>
      <c r="G1380" s="860"/>
      <c r="H1380" s="857"/>
      <c r="I1380" s="861"/>
      <c r="J1380" s="295"/>
      <c r="K1380" s="296">
        <f t="shared" si="22"/>
        <v>0</v>
      </c>
      <c r="L1380"/>
    </row>
    <row r="1381" spans="1:12">
      <c r="A1381" s="855" t="s">
        <v>629</v>
      </c>
      <c r="B1381" s="856"/>
      <c r="C1381" s="856"/>
      <c r="D1381" s="857"/>
      <c r="E1381" s="858"/>
      <c r="F1381" s="859"/>
      <c r="G1381" s="860"/>
      <c r="H1381" s="857"/>
      <c r="I1381" s="861"/>
      <c r="J1381" s="295"/>
      <c r="K1381" s="296">
        <f t="shared" si="22"/>
        <v>0</v>
      </c>
      <c r="L1381"/>
    </row>
    <row r="1382" spans="1:12">
      <c r="A1382" s="855" t="s">
        <v>629</v>
      </c>
      <c r="B1382" s="856"/>
      <c r="C1382" s="856"/>
      <c r="D1382" s="857"/>
      <c r="E1382" s="858"/>
      <c r="F1382" s="859"/>
      <c r="G1382" s="860"/>
      <c r="H1382" s="857"/>
      <c r="I1382" s="861"/>
      <c r="J1382" s="295"/>
      <c r="K1382" s="296">
        <f t="shared" si="22"/>
        <v>0</v>
      </c>
      <c r="L1382"/>
    </row>
    <row r="1383" spans="1:12">
      <c r="A1383" s="855" t="s">
        <v>631</v>
      </c>
      <c r="B1383" s="856"/>
      <c r="C1383" s="856"/>
      <c r="D1383" s="857"/>
      <c r="E1383" s="858"/>
      <c r="F1383" s="859"/>
      <c r="G1383" s="860"/>
      <c r="H1383" s="857"/>
      <c r="I1383" s="861"/>
      <c r="J1383" s="295"/>
      <c r="K1383" s="296">
        <f t="shared" si="22"/>
        <v>0</v>
      </c>
      <c r="L1383"/>
    </row>
    <row r="1384" spans="1:12">
      <c r="A1384" s="855" t="s">
        <v>631</v>
      </c>
      <c r="B1384" s="856"/>
      <c r="C1384" s="856"/>
      <c r="D1384" s="857"/>
      <c r="E1384" s="858"/>
      <c r="F1384" s="859"/>
      <c r="G1384" s="860"/>
      <c r="H1384" s="857"/>
      <c r="I1384" s="861"/>
      <c r="J1384" s="295"/>
      <c r="K1384" s="296">
        <f t="shared" si="22"/>
        <v>0</v>
      </c>
      <c r="L1384"/>
    </row>
    <row r="1385" spans="1:12">
      <c r="A1385" s="855" t="s">
        <v>629</v>
      </c>
      <c r="B1385" s="856"/>
      <c r="C1385" s="856"/>
      <c r="D1385" s="857"/>
      <c r="E1385" s="858"/>
      <c r="F1385" s="859"/>
      <c r="G1385" s="860"/>
      <c r="H1385" s="857"/>
      <c r="I1385" s="861"/>
      <c r="J1385" s="295"/>
      <c r="K1385" s="296">
        <f t="shared" si="22"/>
        <v>0</v>
      </c>
      <c r="L1385"/>
    </row>
    <row r="1386" spans="1:12">
      <c r="A1386" s="855" t="s">
        <v>629</v>
      </c>
      <c r="B1386" s="856"/>
      <c r="C1386" s="856"/>
      <c r="D1386" s="857"/>
      <c r="E1386" s="858"/>
      <c r="F1386" s="859"/>
      <c r="G1386" s="860"/>
      <c r="H1386" s="857"/>
      <c r="I1386" s="861"/>
      <c r="J1386" s="295"/>
      <c r="K1386" s="296">
        <f t="shared" si="22"/>
        <v>0</v>
      </c>
      <c r="L1386"/>
    </row>
    <row r="1387" spans="1:12">
      <c r="A1387" s="855" t="s">
        <v>629</v>
      </c>
      <c r="B1387" s="856"/>
      <c r="C1387" s="856"/>
      <c r="D1387" s="857"/>
      <c r="E1387" s="858"/>
      <c r="F1387" s="859"/>
      <c r="G1387" s="860"/>
      <c r="H1387" s="857"/>
      <c r="I1387" s="861"/>
      <c r="J1387" s="295"/>
      <c r="K1387" s="296">
        <f t="shared" si="22"/>
        <v>0</v>
      </c>
      <c r="L1387"/>
    </row>
    <row r="1388" spans="1:12">
      <c r="A1388" s="855" t="s">
        <v>629</v>
      </c>
      <c r="B1388" s="856"/>
      <c r="C1388" s="856"/>
      <c r="D1388" s="857"/>
      <c r="E1388" s="858"/>
      <c r="F1388" s="859"/>
      <c r="G1388" s="860"/>
      <c r="H1388" s="857"/>
      <c r="I1388" s="861"/>
      <c r="J1388" s="295"/>
      <c r="K1388" s="296">
        <f t="shared" si="22"/>
        <v>0</v>
      </c>
      <c r="L1388"/>
    </row>
    <row r="1389" spans="1:12">
      <c r="A1389" s="855" t="s">
        <v>629</v>
      </c>
      <c r="B1389" s="856"/>
      <c r="C1389" s="856"/>
      <c r="D1389" s="857"/>
      <c r="E1389" s="858"/>
      <c r="F1389" s="859"/>
      <c r="G1389" s="860"/>
      <c r="H1389" s="857"/>
      <c r="I1389" s="861"/>
      <c r="J1389" s="295"/>
      <c r="K1389" s="296">
        <f t="shared" si="22"/>
        <v>0</v>
      </c>
      <c r="L1389"/>
    </row>
    <row r="1390" spans="1:12">
      <c r="A1390" s="855" t="s">
        <v>629</v>
      </c>
      <c r="B1390" s="856"/>
      <c r="C1390" s="856"/>
      <c r="D1390" s="857"/>
      <c r="E1390" s="858"/>
      <c r="F1390" s="859"/>
      <c r="G1390" s="860"/>
      <c r="H1390" s="857"/>
      <c r="I1390" s="861"/>
      <c r="J1390" s="295"/>
      <c r="K1390" s="296">
        <f t="shared" si="22"/>
        <v>0</v>
      </c>
      <c r="L1390"/>
    </row>
    <row r="1391" spans="1:12">
      <c r="A1391" s="855" t="s">
        <v>629</v>
      </c>
      <c r="B1391" s="856"/>
      <c r="C1391" s="856"/>
      <c r="D1391" s="857"/>
      <c r="E1391" s="858"/>
      <c r="F1391" s="859"/>
      <c r="G1391" s="860"/>
      <c r="H1391" s="857"/>
      <c r="I1391" s="861"/>
      <c r="J1391" s="295"/>
      <c r="K1391" s="296">
        <f t="shared" si="22"/>
        <v>0</v>
      </c>
      <c r="L1391"/>
    </row>
    <row r="1392" spans="1:12">
      <c r="A1392" s="855" t="s">
        <v>629</v>
      </c>
      <c r="B1392" s="856"/>
      <c r="C1392" s="856"/>
      <c r="D1392" s="857"/>
      <c r="E1392" s="858"/>
      <c r="F1392" s="859"/>
      <c r="G1392" s="860"/>
      <c r="H1392" s="857"/>
      <c r="I1392" s="861"/>
      <c r="J1392" s="295"/>
      <c r="K1392" s="296">
        <f t="shared" si="22"/>
        <v>0</v>
      </c>
      <c r="L1392"/>
    </row>
    <row r="1393" spans="1:12">
      <c r="A1393" s="855" t="s">
        <v>629</v>
      </c>
      <c r="B1393" s="856"/>
      <c r="C1393" s="856"/>
      <c r="D1393" s="857"/>
      <c r="E1393" s="858"/>
      <c r="F1393" s="859"/>
      <c r="G1393" s="860"/>
      <c r="H1393" s="857"/>
      <c r="I1393" s="861"/>
      <c r="J1393" s="295"/>
      <c r="K1393" s="296">
        <f t="shared" si="22"/>
        <v>0</v>
      </c>
      <c r="L1393"/>
    </row>
    <row r="1394" spans="1:12">
      <c r="A1394" s="855" t="s">
        <v>629</v>
      </c>
      <c r="B1394" s="856"/>
      <c r="C1394" s="856"/>
      <c r="D1394" s="857"/>
      <c r="E1394" s="858"/>
      <c r="F1394" s="859"/>
      <c r="G1394" s="860"/>
      <c r="H1394" s="857"/>
      <c r="I1394" s="861"/>
      <c r="J1394" s="295"/>
      <c r="K1394" s="296">
        <f t="shared" si="22"/>
        <v>0</v>
      </c>
      <c r="L1394"/>
    </row>
    <row r="1395" spans="1:12">
      <c r="A1395" s="855" t="s">
        <v>629</v>
      </c>
      <c r="B1395" s="856"/>
      <c r="C1395" s="856"/>
      <c r="D1395" s="857"/>
      <c r="E1395" s="858"/>
      <c r="F1395" s="859"/>
      <c r="G1395" s="860"/>
      <c r="H1395" s="857"/>
      <c r="I1395" s="861"/>
      <c r="J1395" s="295"/>
      <c r="K1395" s="296">
        <f t="shared" si="22"/>
        <v>0</v>
      </c>
      <c r="L1395"/>
    </row>
    <row r="1396" spans="1:12">
      <c r="A1396" s="855" t="s">
        <v>629</v>
      </c>
      <c r="B1396" s="856"/>
      <c r="C1396" s="856"/>
      <c r="D1396" s="857"/>
      <c r="E1396" s="858"/>
      <c r="F1396" s="859"/>
      <c r="G1396" s="860"/>
      <c r="H1396" s="857"/>
      <c r="I1396" s="861"/>
      <c r="J1396" s="295"/>
      <c r="K1396" s="296">
        <f t="shared" si="22"/>
        <v>0</v>
      </c>
      <c r="L1396"/>
    </row>
    <row r="1397" spans="1:12">
      <c r="A1397" s="855" t="s">
        <v>662</v>
      </c>
      <c r="B1397" s="856"/>
      <c r="C1397" s="856"/>
      <c r="D1397" s="857"/>
      <c r="E1397" s="858"/>
      <c r="F1397" s="859"/>
      <c r="G1397" s="860"/>
      <c r="H1397" s="857"/>
      <c r="I1397" s="861"/>
      <c r="J1397" s="295"/>
      <c r="K1397" s="296">
        <f t="shared" si="22"/>
        <v>0</v>
      </c>
      <c r="L1397"/>
    </row>
    <row r="1398" spans="1:12">
      <c r="A1398" s="855" t="s">
        <v>662</v>
      </c>
      <c r="B1398" s="856"/>
      <c r="C1398" s="856"/>
      <c r="D1398" s="857"/>
      <c r="E1398" s="858"/>
      <c r="F1398" s="859"/>
      <c r="G1398" s="860"/>
      <c r="H1398" s="857"/>
      <c r="I1398" s="861"/>
      <c r="J1398" s="295"/>
      <c r="K1398" s="296">
        <f t="shared" si="22"/>
        <v>0</v>
      </c>
      <c r="L1398"/>
    </row>
    <row r="1399" spans="1:12">
      <c r="A1399" s="855" t="s">
        <v>662</v>
      </c>
      <c r="B1399" s="856"/>
      <c r="C1399" s="856"/>
      <c r="D1399" s="857"/>
      <c r="E1399" s="858"/>
      <c r="F1399" s="859"/>
      <c r="G1399" s="860"/>
      <c r="H1399" s="857"/>
      <c r="I1399" s="861"/>
      <c r="J1399" s="295"/>
      <c r="K1399" s="296">
        <f t="shared" si="22"/>
        <v>0</v>
      </c>
      <c r="L1399"/>
    </row>
    <row r="1400" spans="1:12">
      <c r="A1400" s="855" t="s">
        <v>629</v>
      </c>
      <c r="B1400" s="856"/>
      <c r="C1400" s="856"/>
      <c r="D1400" s="857"/>
      <c r="E1400" s="858"/>
      <c r="F1400" s="859"/>
      <c r="G1400" s="860"/>
      <c r="H1400" s="857"/>
      <c r="I1400" s="861"/>
      <c r="J1400" s="295"/>
      <c r="K1400" s="296">
        <f t="shared" si="22"/>
        <v>0</v>
      </c>
      <c r="L1400"/>
    </row>
    <row r="1401" spans="1:12">
      <c r="A1401" s="855" t="s">
        <v>629</v>
      </c>
      <c r="B1401" s="856"/>
      <c r="C1401" s="856"/>
      <c r="D1401" s="857"/>
      <c r="E1401" s="858"/>
      <c r="F1401" s="859"/>
      <c r="G1401" s="860"/>
      <c r="H1401" s="857"/>
      <c r="I1401" s="861"/>
      <c r="J1401" s="295"/>
      <c r="K1401" s="296">
        <f t="shared" si="22"/>
        <v>0</v>
      </c>
      <c r="L1401"/>
    </row>
    <row r="1402" spans="1:12">
      <c r="A1402" s="855" t="s">
        <v>629</v>
      </c>
      <c r="B1402" s="856"/>
      <c r="C1402" s="856"/>
      <c r="D1402" s="857"/>
      <c r="E1402" s="858"/>
      <c r="F1402" s="859"/>
      <c r="G1402" s="860"/>
      <c r="H1402" s="857"/>
      <c r="I1402" s="861"/>
      <c r="J1402" s="295"/>
      <c r="K1402" s="296">
        <f t="shared" si="22"/>
        <v>0</v>
      </c>
      <c r="L1402"/>
    </row>
    <row r="1403" spans="1:12">
      <c r="A1403" s="855" t="s">
        <v>629</v>
      </c>
      <c r="B1403" s="856"/>
      <c r="C1403" s="856"/>
      <c r="D1403" s="857"/>
      <c r="E1403" s="858"/>
      <c r="F1403" s="859"/>
      <c r="G1403" s="860"/>
      <c r="H1403" s="857"/>
      <c r="I1403" s="861"/>
      <c r="J1403" s="295"/>
      <c r="K1403" s="296">
        <f t="shared" si="22"/>
        <v>0</v>
      </c>
      <c r="L1403"/>
    </row>
    <row r="1404" spans="1:12">
      <c r="A1404" s="855"/>
      <c r="B1404" s="856"/>
      <c r="C1404" s="856"/>
      <c r="D1404" s="857"/>
      <c r="E1404" s="858"/>
      <c r="F1404" s="859"/>
      <c r="G1404" s="860"/>
      <c r="H1404" s="857"/>
      <c r="I1404" s="861"/>
      <c r="J1404" s="295"/>
      <c r="K1404" s="296">
        <f t="shared" si="22"/>
        <v>0</v>
      </c>
      <c r="L1404"/>
    </row>
    <row r="1405" spans="1:12">
      <c r="A1405" s="855"/>
      <c r="B1405" s="856"/>
      <c r="C1405" s="856"/>
      <c r="D1405" s="857"/>
      <c r="E1405" s="858"/>
      <c r="F1405" s="859"/>
      <c r="G1405" s="860"/>
      <c r="H1405" s="857"/>
      <c r="I1405" s="861"/>
      <c r="J1405" s="295"/>
      <c r="K1405" s="296">
        <f t="shared" si="22"/>
        <v>0</v>
      </c>
      <c r="L1405"/>
    </row>
    <row r="1406" spans="1:12">
      <c r="A1406" s="855"/>
      <c r="B1406" s="856"/>
      <c r="C1406" s="856"/>
      <c r="D1406" s="857"/>
      <c r="E1406" s="858"/>
      <c r="F1406" s="859"/>
      <c r="G1406" s="860"/>
      <c r="H1406" s="857"/>
      <c r="I1406" s="861"/>
      <c r="J1406" s="295"/>
      <c r="K1406" s="296">
        <f t="shared" si="22"/>
        <v>0</v>
      </c>
      <c r="L1406"/>
    </row>
    <row r="1407" spans="1:12">
      <c r="A1407" s="855"/>
      <c r="B1407" s="856"/>
      <c r="C1407" s="856"/>
      <c r="D1407" s="857"/>
      <c r="E1407" s="858"/>
      <c r="F1407" s="859"/>
      <c r="G1407" s="860"/>
      <c r="H1407" s="857"/>
      <c r="I1407" s="861"/>
      <c r="J1407" s="295"/>
      <c r="K1407" s="296">
        <f t="shared" si="22"/>
        <v>0</v>
      </c>
      <c r="L1407"/>
    </row>
    <row r="1408" spans="1:12">
      <c r="A1408" s="855"/>
      <c r="B1408" s="856"/>
      <c r="C1408" s="856"/>
      <c r="D1408" s="857"/>
      <c r="E1408" s="858"/>
      <c r="F1408" s="859"/>
      <c r="G1408" s="860"/>
      <c r="H1408" s="857"/>
      <c r="I1408" s="861"/>
      <c r="J1408" s="295"/>
      <c r="K1408" s="296">
        <f t="shared" si="22"/>
        <v>0</v>
      </c>
      <c r="L1408"/>
    </row>
    <row r="1409" spans="1:12">
      <c r="A1409" s="855"/>
      <c r="B1409" s="856"/>
      <c r="C1409" s="856"/>
      <c r="D1409" s="857"/>
      <c r="E1409" s="858"/>
      <c r="F1409" s="859"/>
      <c r="G1409" s="860"/>
      <c r="H1409" s="857"/>
      <c r="I1409" s="861"/>
      <c r="J1409" s="295"/>
      <c r="K1409" s="296">
        <f t="shared" si="22"/>
        <v>0</v>
      </c>
      <c r="L1409"/>
    </row>
    <row r="1410" spans="1:12">
      <c r="A1410" s="855"/>
      <c r="B1410" s="856"/>
      <c r="C1410" s="856"/>
      <c r="D1410" s="857"/>
      <c r="E1410" s="858"/>
      <c r="F1410" s="859"/>
      <c r="G1410" s="860"/>
      <c r="H1410" s="857"/>
      <c r="I1410" s="861"/>
      <c r="J1410" s="295"/>
      <c r="K1410" s="296">
        <f t="shared" si="22"/>
        <v>0</v>
      </c>
      <c r="L1410"/>
    </row>
    <row r="1411" spans="1:12">
      <c r="A1411" s="855"/>
      <c r="B1411" s="856"/>
      <c r="C1411" s="856"/>
      <c r="D1411" s="857"/>
      <c r="E1411" s="858"/>
      <c r="F1411" s="859"/>
      <c r="G1411" s="860"/>
      <c r="H1411" s="857"/>
      <c r="I1411" s="861"/>
      <c r="J1411" s="295"/>
      <c r="K1411" s="296">
        <f t="shared" si="22"/>
        <v>0</v>
      </c>
      <c r="L1411"/>
    </row>
    <row r="1412" spans="1:12">
      <c r="A1412" s="855"/>
      <c r="B1412" s="856"/>
      <c r="C1412" s="856"/>
      <c r="D1412" s="857"/>
      <c r="E1412" s="858"/>
      <c r="F1412" s="859"/>
      <c r="G1412" s="860"/>
      <c r="H1412" s="857"/>
      <c r="I1412" s="861"/>
      <c r="J1412" s="295"/>
      <c r="K1412" s="296">
        <f t="shared" si="22"/>
        <v>0</v>
      </c>
      <c r="L1412"/>
    </row>
    <row r="1413" spans="1:12">
      <c r="A1413" s="855"/>
      <c r="B1413" s="856"/>
      <c r="C1413" s="856"/>
      <c r="D1413" s="857"/>
      <c r="E1413" s="858"/>
      <c r="F1413" s="859"/>
      <c r="G1413" s="860"/>
      <c r="H1413" s="857"/>
      <c r="I1413" s="861"/>
      <c r="J1413" s="295"/>
      <c r="K1413" s="296">
        <f t="shared" si="22"/>
        <v>0</v>
      </c>
      <c r="L1413"/>
    </row>
    <row r="1414" spans="1:12">
      <c r="A1414" s="855"/>
      <c r="B1414" s="856"/>
      <c r="C1414" s="856"/>
      <c r="D1414" s="857"/>
      <c r="E1414" s="858"/>
      <c r="F1414" s="859"/>
      <c r="G1414" s="860"/>
      <c r="H1414" s="857"/>
      <c r="I1414" s="861"/>
      <c r="J1414" s="295"/>
      <c r="K1414" s="296">
        <f t="shared" si="22"/>
        <v>0</v>
      </c>
      <c r="L1414"/>
    </row>
    <row r="1415" spans="1:12">
      <c r="A1415" s="855"/>
      <c r="B1415" s="856"/>
      <c r="C1415" s="856"/>
      <c r="D1415" s="857"/>
      <c r="E1415" s="858"/>
      <c r="F1415" s="859"/>
      <c r="G1415" s="860"/>
      <c r="H1415" s="857"/>
      <c r="I1415" s="861"/>
      <c r="J1415" s="295"/>
      <c r="K1415" s="296">
        <f t="shared" si="22"/>
        <v>0</v>
      </c>
      <c r="L1415"/>
    </row>
    <row r="1416" spans="1:12">
      <c r="A1416" s="855"/>
      <c r="B1416" s="856"/>
      <c r="C1416" s="856"/>
      <c r="D1416" s="857"/>
      <c r="E1416" s="858"/>
      <c r="F1416" s="859"/>
      <c r="G1416" s="860"/>
      <c r="H1416" s="857"/>
      <c r="I1416" s="861"/>
      <c r="J1416" s="295"/>
      <c r="K1416" s="296">
        <f t="shared" si="22"/>
        <v>0</v>
      </c>
      <c r="L1416"/>
    </row>
    <row r="1417" spans="1:12">
      <c r="A1417" s="349" t="s">
        <v>166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-384992.1875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326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0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4" zoomScale="115" zoomScaleNormal="115" workbookViewId="0">
      <selection activeCell="G46" sqref="G46:G47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514</v>
      </c>
      <c r="B3" s="802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557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35">
        <v>103.849</v>
      </c>
      <c r="J4" s="774">
        <f>VLOOKUP(A4,'market px'!K$2:P$80,6,FALSE)</f>
        <v>103.646</v>
      </c>
      <c r="K4" s="698">
        <f>(J4-I4)*E4/100</f>
        <v>-101500.00000000147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432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363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401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401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415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-101500.00000000147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363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365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365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365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365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365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365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365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365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300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300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300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300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300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300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261</v>
      </c>
      <c r="B38" s="207" t="s">
        <v>262</v>
      </c>
      <c r="C38" s="207" t="s">
        <v>263</v>
      </c>
      <c r="D38" s="535" t="s">
        <v>264</v>
      </c>
      <c r="E38" s="208" t="s">
        <v>302</v>
      </c>
      <c r="F38" s="207" t="s">
        <v>265</v>
      </c>
      <c r="G38" s="209" t="s">
        <v>266</v>
      </c>
      <c r="H38" s="567" t="s">
        <v>267</v>
      </c>
      <c r="I38" s="209" t="s">
        <v>268</v>
      </c>
      <c r="J38" s="207" t="s">
        <v>269</v>
      </c>
      <c r="K38" s="260" t="s">
        <v>270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629</v>
      </c>
      <c r="B39" s="333" t="s">
        <v>744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ref="G39:G42" si="3">-77*E39</f>
        <v>0</v>
      </c>
      <c r="H39" s="334" t="s">
        <v>765</v>
      </c>
      <c r="I39" s="820">
        <v>114.765625</v>
      </c>
      <c r="J39" s="335">
        <f>_xlfn.IFNA(VLOOKUP(A39,'market px'!$B$2:$F$20,5,FALSE),0)</f>
        <v>111.28125</v>
      </c>
      <c r="K39" s="845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629</v>
      </c>
      <c r="B40" s="333" t="s">
        <v>666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si="3"/>
        <v>0</v>
      </c>
      <c r="H40" s="334" t="s">
        <v>667</v>
      </c>
      <c r="I40" s="820">
        <v>113.71875</v>
      </c>
      <c r="J40" s="335">
        <f>_xlfn.IFNA(VLOOKUP(A40,'market px'!$B$2:$F$20,5,FALSE),0)</f>
        <v>111.28125</v>
      </c>
      <c r="K40" s="845">
        <f t="shared" si="4"/>
        <v>0</v>
      </c>
      <c r="L40" s="377"/>
    </row>
    <row r="41" spans="1:19" s="93" customFormat="1">
      <c r="A41" s="325" t="s">
        <v>629</v>
      </c>
      <c r="B41" s="333" t="s">
        <v>975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3"/>
        <v>0</v>
      </c>
      <c r="H41" s="334" t="s">
        <v>979</v>
      </c>
      <c r="I41" s="820">
        <v>113.1875</v>
      </c>
      <c r="J41" s="335">
        <f>_xlfn.IFNA(VLOOKUP(A41,'market px'!$B$2:$F$20,5,FALSE),0)</f>
        <v>111.28125</v>
      </c>
      <c r="K41" s="845">
        <f t="shared" si="4"/>
        <v>0</v>
      </c>
      <c r="L41" s="377"/>
    </row>
    <row r="42" spans="1:19" s="93" customFormat="1">
      <c r="A42" s="325" t="s">
        <v>629</v>
      </c>
      <c r="B42" s="333" t="s">
        <v>935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3"/>
        <v>0</v>
      </c>
      <c r="H42" s="334" t="s">
        <v>936</v>
      </c>
      <c r="I42" s="820">
        <v>114.125</v>
      </c>
      <c r="J42" s="335">
        <f>_xlfn.IFNA(VLOOKUP(A42,'market px'!$B$2:$F$20,5,FALSE),0)</f>
        <v>111.28125</v>
      </c>
      <c r="K42" s="845">
        <f t="shared" si="4"/>
        <v>0</v>
      </c>
      <c r="L42" s="377"/>
    </row>
    <row r="43" spans="1:19" s="93" customFormat="1">
      <c r="A43" s="325" t="s">
        <v>639</v>
      </c>
      <c r="B43" s="333" t="s">
        <v>939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>-18.6*2*E43</f>
        <v>0</v>
      </c>
      <c r="H43" s="334" t="s">
        <v>942</v>
      </c>
      <c r="I43" s="820">
        <v>102.40625</v>
      </c>
      <c r="J43" s="335">
        <f>_xlfn.IFNA(VLOOKUP(A43,'market px'!$B$2:$F$20,5,FALSE),0)</f>
        <v>101.76953125</v>
      </c>
      <c r="K43" s="845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639</v>
      </c>
      <c r="B44" s="333" t="s">
        <v>1005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>-18.6*2*E44</f>
        <v>0</v>
      </c>
      <c r="H44" s="334" t="s">
        <v>1006</v>
      </c>
      <c r="I44" s="820">
        <v>102.01953125</v>
      </c>
      <c r="J44" s="335">
        <f>_xlfn.IFNA(VLOOKUP(A44,'market px'!$B$2:$F$20,5,FALSE),0)</f>
        <v>101.76953125</v>
      </c>
      <c r="K44" s="845">
        <f t="shared" si="5"/>
        <v>0</v>
      </c>
      <c r="L44" s="377"/>
    </row>
    <row r="45" spans="1:19" s="93" customFormat="1">
      <c r="A45" s="325" t="s">
        <v>647</v>
      </c>
      <c r="B45" s="333" t="s">
        <v>1239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ref="G45:G47" si="6">-42.7*E45</f>
        <v>0</v>
      </c>
      <c r="H45" s="334" t="s">
        <v>1250</v>
      </c>
      <c r="I45" s="820">
        <v>109.25</v>
      </c>
      <c r="J45" s="335">
        <f>_xlfn.IFNA(VLOOKUP(A45,'market px'!$B$2:$F$20,5,FALSE),0)</f>
        <v>109.1640625</v>
      </c>
      <c r="K45" s="845">
        <f t="shared" si="5"/>
        <v>0</v>
      </c>
      <c r="L45" s="377"/>
    </row>
    <row r="46" spans="1:19" s="270" customFormat="1">
      <c r="A46" s="325" t="s">
        <v>647</v>
      </c>
      <c r="B46" s="333" t="s">
        <v>1493</v>
      </c>
      <c r="C46" s="333" t="s">
        <v>339</v>
      </c>
      <c r="D46" s="819" t="s">
        <v>339</v>
      </c>
      <c r="E46" s="872">
        <v>10</v>
      </c>
      <c r="F46" s="333" t="s">
        <v>304</v>
      </c>
      <c r="G46" s="332">
        <f t="shared" si="6"/>
        <v>-427</v>
      </c>
      <c r="H46" s="334" t="s">
        <v>1505</v>
      </c>
      <c r="I46" s="820">
        <v>109.2734375</v>
      </c>
      <c r="J46" s="335">
        <f>_xlfn.IFNA(VLOOKUP(A46,'market px'!$B$2:$F$20,5,FALSE),0)</f>
        <v>109.1640625</v>
      </c>
      <c r="K46" s="845">
        <f t="shared" si="4"/>
        <v>-1093.75</v>
      </c>
      <c r="L46" s="381"/>
    </row>
    <row r="47" spans="1:19" s="270" customFormat="1">
      <c r="A47" s="325" t="s">
        <v>647</v>
      </c>
      <c r="B47" s="333" t="s">
        <v>1493</v>
      </c>
      <c r="C47" s="333" t="s">
        <v>339</v>
      </c>
      <c r="D47" s="819" t="s">
        <v>339</v>
      </c>
      <c r="E47" s="872">
        <v>10</v>
      </c>
      <c r="F47" s="333" t="s">
        <v>304</v>
      </c>
      <c r="G47" s="332">
        <f t="shared" si="6"/>
        <v>-427</v>
      </c>
      <c r="H47" s="334" t="s">
        <v>1524</v>
      </c>
      <c r="I47" s="820">
        <v>109.375</v>
      </c>
      <c r="J47" s="335">
        <f>_xlfn.IFNA(VLOOKUP(A47,'market px'!$B$2:$F$20,5,FALSE),0)</f>
        <v>109.1640625</v>
      </c>
      <c r="K47" s="845">
        <f t="shared" si="4"/>
        <v>-2109.375</v>
      </c>
      <c r="L47" s="381"/>
    </row>
    <row r="48" spans="1:19" s="270" customFormat="1">
      <c r="A48" s="325" t="s">
        <v>1116</v>
      </c>
      <c r="B48" s="333" t="s">
        <v>1115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>-198*E48</f>
        <v>0</v>
      </c>
      <c r="H48" s="334" t="s">
        <v>1117</v>
      </c>
      <c r="I48" s="820">
        <v>123.5625</v>
      </c>
      <c r="J48" s="335">
        <f>_xlfn.IFNA(VLOOKUP(A48,'market px'!$B$2:$F$20,5,FALSE),0)</f>
        <v>130.15625</v>
      </c>
      <c r="K48" s="845">
        <f t="shared" si="4"/>
        <v>0</v>
      </c>
      <c r="L48" s="381"/>
    </row>
    <row r="49" spans="1:19" s="270" customFormat="1">
      <c r="A49" s="325" t="s">
        <v>587</v>
      </c>
      <c r="B49" s="333" t="s">
        <v>370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>-198*E49</f>
        <v>0</v>
      </c>
      <c r="H49" s="334" t="s">
        <v>371</v>
      </c>
      <c r="I49" s="820">
        <v>138.953125</v>
      </c>
      <c r="J49" s="335">
        <f>_xlfn.IFNA(VLOOKUP(A49,'market px'!$B$2:$F$20,5,FALSE),0)</f>
        <v>0</v>
      </c>
      <c r="K49" s="845">
        <f t="shared" si="4"/>
        <v>0</v>
      </c>
      <c r="L49" s="381"/>
    </row>
    <row r="50" spans="1:19" s="270" customFormat="1">
      <c r="A50" s="325" t="s">
        <v>579</v>
      </c>
      <c r="B50" s="333" t="s">
        <v>580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>-198*E50</f>
        <v>0</v>
      </c>
      <c r="H50" s="334" t="s">
        <v>581</v>
      </c>
      <c r="I50" s="820">
        <v>152.25</v>
      </c>
      <c r="J50" s="335">
        <f>_xlfn.IFNA(VLOOKUP(A50,'market px'!$B$2:$F$20,5,FALSE),0)</f>
        <v>0</v>
      </c>
      <c r="K50" s="845">
        <f t="shared" si="4"/>
        <v>0</v>
      </c>
      <c r="L50" s="381"/>
    </row>
    <row r="51" spans="1:19" s="270" customFormat="1">
      <c r="A51" s="325" t="s">
        <v>589</v>
      </c>
      <c r="B51" s="333" t="s">
        <v>595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>-18.6*2*E51</f>
        <v>0</v>
      </c>
      <c r="H51" s="334" t="s">
        <v>596</v>
      </c>
      <c r="I51" s="820">
        <v>104.59375</v>
      </c>
      <c r="J51" s="335">
        <f>_xlfn.IFNA(VLOOKUP(A51,'market px'!$B$2:$F$20,5,FALSE),0)</f>
        <v>0</v>
      </c>
      <c r="K51" s="845">
        <f t="shared" si="4"/>
        <v>0</v>
      </c>
      <c r="L51" s="381"/>
    </row>
    <row r="52" spans="1:19" s="270" customFormat="1">
      <c r="A52" s="325" t="s">
        <v>589</v>
      </c>
      <c r="B52" s="333" t="s">
        <v>597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>-18.6*2*E52</f>
        <v>0</v>
      </c>
      <c r="H52" s="334" t="s">
        <v>598</v>
      </c>
      <c r="I52" s="820">
        <v>104.65625</v>
      </c>
      <c r="J52" s="335">
        <f>_xlfn.IFNA(VLOOKUP(A52,'market px'!$B$2:$F$20,5,FALSE),0)</f>
        <v>0</v>
      </c>
      <c r="K52" s="845">
        <f t="shared" si="4"/>
        <v>0</v>
      </c>
      <c r="L52" s="381"/>
    </row>
    <row r="53" spans="1:19" s="270" customFormat="1">
      <c r="A53" s="325" t="s">
        <v>586</v>
      </c>
      <c r="B53" s="333" t="s">
        <v>593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ref="G53:G61" si="7">-77*E53</f>
        <v>0</v>
      </c>
      <c r="H53" s="334" t="s">
        <v>594</v>
      </c>
      <c r="I53" s="820">
        <v>115.78125</v>
      </c>
      <c r="J53" s="335">
        <f>_xlfn.IFNA(VLOOKUP(A53,'market px'!$B$2:$F$20,5,FALSE),0)</f>
        <v>0</v>
      </c>
      <c r="K53" s="845">
        <f t="shared" si="4"/>
        <v>0</v>
      </c>
      <c r="L53" s="381"/>
    </row>
    <row r="54" spans="1:19" s="270" customFormat="1">
      <c r="A54" s="325" t="s">
        <v>586</v>
      </c>
      <c r="B54" s="333" t="s">
        <v>599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7"/>
        <v>0</v>
      </c>
      <c r="H54" s="334" t="s">
        <v>600</v>
      </c>
      <c r="I54" s="820">
        <v>119.5625</v>
      </c>
      <c r="J54" s="335">
        <f>_xlfn.IFNA(VLOOKUP(A54,'market px'!$B$2:$F$20,5,FALSE),0)</f>
        <v>0</v>
      </c>
      <c r="K54" s="845">
        <f t="shared" si="4"/>
        <v>0</v>
      </c>
      <c r="L54" s="381"/>
    </row>
    <row r="55" spans="1:19" s="270" customFormat="1">
      <c r="A55" s="325" t="s">
        <v>526</v>
      </c>
      <c r="B55" s="333" t="s">
        <v>486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7"/>
        <v>0</v>
      </c>
      <c r="H55" s="334" t="s">
        <v>487</v>
      </c>
      <c r="I55" s="820">
        <v>132.15625</v>
      </c>
      <c r="J55" s="335">
        <f>_xlfn.IFNA(VLOOKUP(A55,'market px'!$B$2:$F$20,5,FALSE),0)</f>
        <v>0</v>
      </c>
      <c r="K55" s="845">
        <f t="shared" si="4"/>
        <v>0</v>
      </c>
      <c r="L55" s="381"/>
    </row>
    <row r="56" spans="1:19" s="270" customFormat="1">
      <c r="A56" s="325" t="s">
        <v>526</v>
      </c>
      <c r="B56" s="333" t="s">
        <v>544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7"/>
        <v>0</v>
      </c>
      <c r="H56" s="334" t="s">
        <v>545</v>
      </c>
      <c r="I56" s="820">
        <v>130.390625</v>
      </c>
      <c r="J56" s="335">
        <f>_xlfn.IFNA(VLOOKUP(A56,'market px'!$B$2:$F$20,5,FALSE),0)</f>
        <v>0</v>
      </c>
      <c r="K56" s="845">
        <f t="shared" si="4"/>
        <v>0</v>
      </c>
      <c r="L56" s="381"/>
    </row>
    <row r="57" spans="1:19" s="270" customFormat="1">
      <c r="A57" s="325"/>
      <c r="B57" s="333"/>
      <c r="C57" s="333"/>
      <c r="D57" s="819"/>
      <c r="E57" s="872"/>
      <c r="F57" s="333"/>
      <c r="G57" s="332">
        <f t="shared" si="7"/>
        <v>0</v>
      </c>
      <c r="H57" s="334"/>
      <c r="I57" s="820"/>
      <c r="J57" s="335"/>
      <c r="K57" s="845"/>
      <c r="L57" s="381"/>
    </row>
    <row r="58" spans="1:19" s="270" customFormat="1">
      <c r="A58" s="325"/>
      <c r="B58" s="333"/>
      <c r="C58" s="333"/>
      <c r="D58" s="819"/>
      <c r="E58" s="872"/>
      <c r="F58" s="333"/>
      <c r="G58" s="332">
        <f t="shared" si="7"/>
        <v>0</v>
      </c>
      <c r="H58" s="334"/>
      <c r="I58" s="820"/>
      <c r="J58" s="335"/>
      <c r="K58" s="845"/>
      <c r="L58" s="381"/>
    </row>
    <row r="59" spans="1:19" s="270" customFormat="1">
      <c r="A59" s="325"/>
      <c r="B59" s="333"/>
      <c r="C59" s="333"/>
      <c r="D59" s="819"/>
      <c r="E59" s="872"/>
      <c r="F59" s="333"/>
      <c r="G59" s="332">
        <f t="shared" si="7"/>
        <v>0</v>
      </c>
      <c r="H59" s="334"/>
      <c r="I59" s="820"/>
      <c r="J59" s="335"/>
      <c r="K59" s="845"/>
      <c r="L59" s="381"/>
    </row>
    <row r="60" spans="1:19" s="270" customFormat="1">
      <c r="A60" s="325"/>
      <c r="B60" s="333"/>
      <c r="C60" s="333"/>
      <c r="D60" s="819"/>
      <c r="E60" s="872"/>
      <c r="F60" s="333"/>
      <c r="G60" s="332">
        <f t="shared" si="7"/>
        <v>0</v>
      </c>
      <c r="H60" s="334"/>
      <c r="I60" s="820"/>
      <c r="J60" s="335"/>
      <c r="K60" s="845"/>
      <c r="L60" s="381"/>
    </row>
    <row r="61" spans="1:19" s="270" customFormat="1">
      <c r="A61" s="325"/>
      <c r="B61" s="333"/>
      <c r="C61" s="333"/>
      <c r="D61" s="819"/>
      <c r="E61" s="872"/>
      <c r="F61" s="333"/>
      <c r="G61" s="332">
        <f t="shared" si="7"/>
        <v>0</v>
      </c>
      <c r="H61" s="334"/>
      <c r="I61" s="820"/>
      <c r="J61" s="335"/>
      <c r="K61" s="845"/>
      <c r="L61" s="381"/>
    </row>
    <row r="62" spans="1:19" s="270" customFormat="1">
      <c r="A62" s="349" t="s">
        <v>271</v>
      </c>
      <c r="B62" s="350"/>
      <c r="C62" s="351"/>
      <c r="D62" s="545"/>
      <c r="E62" s="875">
        <f>SUM(E39:E61)</f>
        <v>20</v>
      </c>
      <c r="F62" s="353"/>
      <c r="G62" s="354">
        <f>SUM(G39:G61)</f>
        <v>-854</v>
      </c>
      <c r="H62" s="563"/>
      <c r="I62" s="356"/>
      <c r="J62" s="357"/>
      <c r="K62" s="358">
        <f>SUM(K39:K61)</f>
        <v>-3203.125</v>
      </c>
      <c r="L62" s="381"/>
    </row>
    <row r="63" spans="1:19" s="270" customFormat="1">
      <c r="A63" s="359" t="s">
        <v>272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273</v>
      </c>
      <c r="B64" s="207" t="s">
        <v>274</v>
      </c>
      <c r="C64" s="207" t="s">
        <v>275</v>
      </c>
      <c r="D64" s="535" t="s">
        <v>276</v>
      </c>
      <c r="E64" s="208" t="s">
        <v>302</v>
      </c>
      <c r="F64" s="207" t="s">
        <v>277</v>
      </c>
      <c r="G64" s="209" t="s">
        <v>278</v>
      </c>
      <c r="H64" s="567" t="s">
        <v>279</v>
      </c>
      <c r="I64" s="209" t="s">
        <v>280</v>
      </c>
      <c r="J64" s="207" t="s">
        <v>281</v>
      </c>
      <c r="K64" s="260" t="s">
        <v>282</v>
      </c>
      <c r="L64" s="377"/>
      <c r="S64" s="131" t="s">
        <v>21</v>
      </c>
    </row>
    <row r="65" spans="1:17" s="93" customFormat="1">
      <c r="A65" s="325" t="s">
        <v>337</v>
      </c>
      <c r="B65" s="328">
        <v>43272</v>
      </c>
      <c r="C65" s="329"/>
      <c r="D65" s="542"/>
      <c r="E65" s="330"/>
      <c r="F65" s="331" t="s">
        <v>304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337</v>
      </c>
      <c r="B66" s="328">
        <v>43273</v>
      </c>
      <c r="C66" s="329"/>
      <c r="D66" s="542"/>
      <c r="E66" s="330"/>
      <c r="F66" s="331" t="s">
        <v>304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337</v>
      </c>
      <c r="B67" s="328">
        <v>43256</v>
      </c>
      <c r="C67" s="329"/>
      <c r="D67" s="542"/>
      <c r="E67" s="330">
        <v>0</v>
      </c>
      <c r="F67" s="331" t="s">
        <v>304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337</v>
      </c>
      <c r="B68" s="328">
        <v>43258</v>
      </c>
      <c r="C68" s="329"/>
      <c r="D68" s="542"/>
      <c r="E68" s="330">
        <v>0</v>
      </c>
      <c r="F68" s="331" t="s">
        <v>304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337</v>
      </c>
      <c r="B69" s="328">
        <v>43258</v>
      </c>
      <c r="C69" s="329"/>
      <c r="D69" s="542"/>
      <c r="E69" s="330">
        <v>0</v>
      </c>
      <c r="F69" s="331" t="s">
        <v>304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337</v>
      </c>
      <c r="B70" s="328">
        <v>43258</v>
      </c>
      <c r="C70" s="329"/>
      <c r="D70" s="542"/>
      <c r="E70" s="330">
        <v>0</v>
      </c>
      <c r="F70" s="331" t="s">
        <v>304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337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'Aaron-UR'!A63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105.62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105.62</v>
      </c>
      <c r="K73" s="348">
        <f>(J73-I73)*E73/100</f>
        <v>0</v>
      </c>
      <c r="L73" s="381"/>
    </row>
    <row r="74" spans="1:17" s="270" customFormat="1">
      <c r="A74" s="285" t="str">
        <f>'Aaron-UR'!A65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9" priority="4">
      <formula>AND(IF(E39&lt;&gt;0,1),IF(G39=0,1))</formula>
    </cfRule>
  </conditionalFormatting>
  <conditionalFormatting sqref="K39">
    <cfRule type="expression" dxfId="28" priority="3">
      <formula>LEFT(A39,2)="TU"</formula>
    </cfRule>
  </conditionalFormatting>
  <conditionalFormatting sqref="G40:G61">
    <cfRule type="expression" dxfId="27" priority="2">
      <formula>AND(IF(E40&lt;&gt;0,1),IF(G40=0,1))</formula>
    </cfRule>
  </conditionalFormatting>
  <conditionalFormatting sqref="K40:K61">
    <cfRule type="expression" dxfId="26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30" zoomScaleNormal="100" workbookViewId="0">
      <selection activeCell="J151" sqref="J1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99</v>
      </c>
      <c r="B32" s="207" t="s">
        <v>7</v>
      </c>
      <c r="C32" s="207" t="s">
        <v>171</v>
      </c>
      <c r="D32" s="535" t="s">
        <v>170</v>
      </c>
      <c r="E32" s="208" t="s">
        <v>11</v>
      </c>
      <c r="F32" s="207" t="s">
        <v>2</v>
      </c>
      <c r="G32" s="209" t="s">
        <v>12</v>
      </c>
      <c r="H32" s="482" t="s">
        <v>18</v>
      </c>
      <c r="I32" s="209" t="s">
        <v>210</v>
      </c>
      <c r="J32" s="207" t="s">
        <v>216</v>
      </c>
      <c r="K32" s="260" t="s">
        <v>212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67" t="s">
        <v>629</v>
      </c>
      <c r="B33" s="863" t="s">
        <v>677</v>
      </c>
      <c r="C33" s="863" t="s">
        <v>339</v>
      </c>
      <c r="D33" s="868" t="s">
        <v>339</v>
      </c>
      <c r="E33" s="869">
        <v>-20</v>
      </c>
      <c r="F33" s="870" t="s">
        <v>304</v>
      </c>
      <c r="G33" s="871">
        <v>0</v>
      </c>
      <c r="H33" s="864" t="s">
        <v>678</v>
      </c>
      <c r="I33" s="865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67" t="s">
        <v>629</v>
      </c>
      <c r="B34" s="863" t="s">
        <v>680</v>
      </c>
      <c r="C34" s="863" t="s">
        <v>339</v>
      </c>
      <c r="D34" s="868" t="s">
        <v>339</v>
      </c>
      <c r="E34" s="869">
        <v>-20</v>
      </c>
      <c r="F34" s="870" t="s">
        <v>304</v>
      </c>
      <c r="G34" s="871">
        <v>0</v>
      </c>
      <c r="H34" s="864" t="s">
        <v>683</v>
      </c>
      <c r="I34" s="865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67" t="s">
        <v>629</v>
      </c>
      <c r="B35" s="863" t="s">
        <v>680</v>
      </c>
      <c r="C35" s="863" t="s">
        <v>339</v>
      </c>
      <c r="D35" s="868" t="s">
        <v>339</v>
      </c>
      <c r="E35" s="869">
        <v>10</v>
      </c>
      <c r="F35" s="870" t="s">
        <v>304</v>
      </c>
      <c r="G35" s="871">
        <v>0</v>
      </c>
      <c r="H35" s="864" t="s">
        <v>684</v>
      </c>
      <c r="I35" s="865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67" t="s">
        <v>631</v>
      </c>
      <c r="B36" s="863" t="s">
        <v>687</v>
      </c>
      <c r="C36" s="863" t="s">
        <v>339</v>
      </c>
      <c r="D36" s="868" t="s">
        <v>339</v>
      </c>
      <c r="E36" s="869">
        <v>-20</v>
      </c>
      <c r="F36" s="870" t="s">
        <v>304</v>
      </c>
      <c r="G36" s="871">
        <v>0</v>
      </c>
      <c r="H36" s="864" t="s">
        <v>694</v>
      </c>
      <c r="I36" s="865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67" t="s">
        <v>631</v>
      </c>
      <c r="B37" s="863" t="s">
        <v>705</v>
      </c>
      <c r="C37" s="863" t="s">
        <v>339</v>
      </c>
      <c r="D37" s="868" t="s">
        <v>339</v>
      </c>
      <c r="E37" s="869">
        <v>-40</v>
      </c>
      <c r="F37" s="870" t="s">
        <v>304</v>
      </c>
      <c r="G37" s="871">
        <v>0</v>
      </c>
      <c r="H37" s="864" t="s">
        <v>713</v>
      </c>
      <c r="I37" s="865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67" t="s">
        <v>631</v>
      </c>
      <c r="B38" s="863" t="s">
        <v>705</v>
      </c>
      <c r="C38" s="863" t="s">
        <v>339</v>
      </c>
      <c r="D38" s="868" t="s">
        <v>339</v>
      </c>
      <c r="E38" s="869">
        <v>-15</v>
      </c>
      <c r="F38" s="870" t="s">
        <v>304</v>
      </c>
      <c r="G38" s="871">
        <v>3080</v>
      </c>
      <c r="H38" s="864" t="s">
        <v>714</v>
      </c>
      <c r="I38" s="865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67" t="s">
        <v>631</v>
      </c>
      <c r="B39" s="863" t="s">
        <v>705</v>
      </c>
      <c r="C39" s="863" t="s">
        <v>339</v>
      </c>
      <c r="D39" s="868" t="s">
        <v>339</v>
      </c>
      <c r="E39" s="869">
        <v>-25</v>
      </c>
      <c r="F39" s="870" t="s">
        <v>304</v>
      </c>
      <c r="G39" s="871">
        <v>3080</v>
      </c>
      <c r="H39" s="864" t="s">
        <v>714</v>
      </c>
      <c r="I39" s="865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67" t="s">
        <v>629</v>
      </c>
      <c r="B40" s="863" t="s">
        <v>737</v>
      </c>
      <c r="C40" s="863" t="s">
        <v>339</v>
      </c>
      <c r="D40" s="868" t="s">
        <v>339</v>
      </c>
      <c r="E40" s="869">
        <v>20</v>
      </c>
      <c r="F40" s="870" t="s">
        <v>304</v>
      </c>
      <c r="G40" s="871">
        <v>-1540</v>
      </c>
      <c r="H40" s="864" t="s">
        <v>740</v>
      </c>
      <c r="I40" s="865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67" t="s">
        <v>629</v>
      </c>
      <c r="B41" s="863" t="s">
        <v>744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759</v>
      </c>
      <c r="I41" s="865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67" t="s">
        <v>629</v>
      </c>
      <c r="B42" s="863" t="s">
        <v>744</v>
      </c>
      <c r="C42" s="863" t="s">
        <v>339</v>
      </c>
      <c r="D42" s="868" t="s">
        <v>339</v>
      </c>
      <c r="E42" s="869">
        <v>20</v>
      </c>
      <c r="F42" s="870" t="s">
        <v>304</v>
      </c>
      <c r="G42" s="871">
        <v>0</v>
      </c>
      <c r="H42" s="864" t="s">
        <v>760</v>
      </c>
      <c r="I42" s="865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67" t="s">
        <v>629</v>
      </c>
      <c r="B43" s="863" t="s">
        <v>744</v>
      </c>
      <c r="C43" s="863" t="s">
        <v>339</v>
      </c>
      <c r="D43" s="868" t="s">
        <v>339</v>
      </c>
      <c r="E43" s="869">
        <v>20</v>
      </c>
      <c r="F43" s="870" t="s">
        <v>304</v>
      </c>
      <c r="G43" s="871">
        <v>0</v>
      </c>
      <c r="H43" s="864" t="s">
        <v>761</v>
      </c>
      <c r="I43" s="865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67" t="s">
        <v>629</v>
      </c>
      <c r="B44" s="863" t="s">
        <v>744</v>
      </c>
      <c r="C44" s="863" t="s">
        <v>339</v>
      </c>
      <c r="D44" s="868" t="s">
        <v>339</v>
      </c>
      <c r="E44" s="869">
        <v>20</v>
      </c>
      <c r="F44" s="870" t="s">
        <v>304</v>
      </c>
      <c r="G44" s="871">
        <v>0</v>
      </c>
      <c r="H44" s="864" t="s">
        <v>762</v>
      </c>
      <c r="I44" s="865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67" t="s">
        <v>629</v>
      </c>
      <c r="B45" s="863" t="s">
        <v>744</v>
      </c>
      <c r="C45" s="863" t="s">
        <v>339</v>
      </c>
      <c r="D45" s="868" t="s">
        <v>339</v>
      </c>
      <c r="E45" s="869">
        <v>14</v>
      </c>
      <c r="F45" s="870" t="s">
        <v>304</v>
      </c>
      <c r="G45" s="871">
        <v>0</v>
      </c>
      <c r="H45" s="864" t="s">
        <v>763</v>
      </c>
      <c r="I45" s="865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67" t="s">
        <v>629</v>
      </c>
      <c r="B46" s="863" t="s">
        <v>744</v>
      </c>
      <c r="C46" s="863" t="s">
        <v>339</v>
      </c>
      <c r="D46" s="868" t="s">
        <v>339</v>
      </c>
      <c r="E46" s="869">
        <v>20</v>
      </c>
      <c r="F46" s="870" t="s">
        <v>304</v>
      </c>
      <c r="G46" s="871">
        <v>0</v>
      </c>
      <c r="H46" s="864" t="s">
        <v>764</v>
      </c>
      <c r="I46" s="865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67" t="s">
        <v>629</v>
      </c>
      <c r="B47" s="863" t="s">
        <v>744</v>
      </c>
      <c r="C47" s="863" t="s">
        <v>339</v>
      </c>
      <c r="D47" s="868" t="s">
        <v>339</v>
      </c>
      <c r="E47" s="869">
        <v>20</v>
      </c>
      <c r="F47" s="870" t="s">
        <v>304</v>
      </c>
      <c r="G47" s="871">
        <v>-1540</v>
      </c>
      <c r="H47" s="864" t="s">
        <v>765</v>
      </c>
      <c r="I47" s="865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67" t="s">
        <v>631</v>
      </c>
      <c r="B48" s="863" t="s">
        <v>757</v>
      </c>
      <c r="C48" s="863" t="s">
        <v>339</v>
      </c>
      <c r="D48" s="868" t="s">
        <v>339</v>
      </c>
      <c r="E48" s="869">
        <v>40</v>
      </c>
      <c r="F48" s="870" t="s">
        <v>304</v>
      </c>
      <c r="G48" s="871">
        <v>-1708</v>
      </c>
      <c r="H48" s="864" t="s">
        <v>775</v>
      </c>
      <c r="I48" s="865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67" t="s">
        <v>631</v>
      </c>
      <c r="B49" s="863" t="s">
        <v>781</v>
      </c>
      <c r="C49" s="863" t="s">
        <v>339</v>
      </c>
      <c r="D49" s="868" t="s">
        <v>339</v>
      </c>
      <c r="E49" s="869">
        <v>-20</v>
      </c>
      <c r="F49" s="870" t="s">
        <v>304</v>
      </c>
      <c r="G49" s="871">
        <v>0</v>
      </c>
      <c r="H49" s="864" t="s">
        <v>785</v>
      </c>
      <c r="I49" s="865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67" t="s">
        <v>631</v>
      </c>
      <c r="B50" s="863" t="s">
        <v>786</v>
      </c>
      <c r="C50" s="863" t="s">
        <v>339</v>
      </c>
      <c r="D50" s="868" t="s">
        <v>339</v>
      </c>
      <c r="E50" s="869">
        <v>-20</v>
      </c>
      <c r="F50" s="870" t="s">
        <v>304</v>
      </c>
      <c r="G50" s="871">
        <v>0</v>
      </c>
      <c r="H50" s="864" t="s">
        <v>787</v>
      </c>
      <c r="I50" s="865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67" t="s">
        <v>631</v>
      </c>
      <c r="B51" s="863" t="s">
        <v>776</v>
      </c>
      <c r="C51" s="863" t="s">
        <v>339</v>
      </c>
      <c r="D51" s="868" t="s">
        <v>339</v>
      </c>
      <c r="E51" s="869">
        <v>-40</v>
      </c>
      <c r="F51" s="870" t="s">
        <v>304</v>
      </c>
      <c r="G51" s="871">
        <v>1708</v>
      </c>
      <c r="H51" s="864" t="s">
        <v>778</v>
      </c>
      <c r="I51" s="865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67" t="s">
        <v>631</v>
      </c>
      <c r="B52" s="863" t="s">
        <v>786</v>
      </c>
      <c r="C52" s="863" t="s">
        <v>339</v>
      </c>
      <c r="D52" s="868" t="s">
        <v>339</v>
      </c>
      <c r="E52" s="869">
        <v>20</v>
      </c>
      <c r="F52" s="870" t="s">
        <v>304</v>
      </c>
      <c r="G52" s="871">
        <v>0</v>
      </c>
      <c r="H52" s="864" t="s">
        <v>801</v>
      </c>
      <c r="I52" s="865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67" t="s">
        <v>631</v>
      </c>
      <c r="B53" s="863" t="s">
        <v>786</v>
      </c>
      <c r="C53" s="863" t="s">
        <v>339</v>
      </c>
      <c r="D53" s="868" t="s">
        <v>339</v>
      </c>
      <c r="E53" s="869">
        <v>20</v>
      </c>
      <c r="F53" s="870" t="s">
        <v>304</v>
      </c>
      <c r="G53" s="871">
        <v>0</v>
      </c>
      <c r="H53" s="864" t="s">
        <v>802</v>
      </c>
      <c r="I53" s="865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67" t="s">
        <v>631</v>
      </c>
      <c r="B54" s="863" t="s">
        <v>786</v>
      </c>
      <c r="C54" s="863" t="s">
        <v>339</v>
      </c>
      <c r="D54" s="868" t="s">
        <v>339</v>
      </c>
      <c r="E54" s="869">
        <v>20</v>
      </c>
      <c r="F54" s="870" t="s">
        <v>304</v>
      </c>
      <c r="G54" s="871">
        <v>0</v>
      </c>
      <c r="H54" s="864" t="s">
        <v>803</v>
      </c>
      <c r="I54" s="865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67" t="s">
        <v>631</v>
      </c>
      <c r="B55" s="863" t="s">
        <v>786</v>
      </c>
      <c r="C55" s="863" t="s">
        <v>339</v>
      </c>
      <c r="D55" s="868" t="s">
        <v>339</v>
      </c>
      <c r="E55" s="869">
        <v>60</v>
      </c>
      <c r="F55" s="870" t="s">
        <v>304</v>
      </c>
      <c r="G55" s="871">
        <v>0</v>
      </c>
      <c r="H55" s="864" t="s">
        <v>804</v>
      </c>
      <c r="I55" s="865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67" t="s">
        <v>631</v>
      </c>
      <c r="B56" s="863" t="s">
        <v>786</v>
      </c>
      <c r="C56" s="863" t="s">
        <v>339</v>
      </c>
      <c r="D56" s="868" t="s">
        <v>339</v>
      </c>
      <c r="E56" s="869">
        <v>60</v>
      </c>
      <c r="F56" s="870" t="s">
        <v>304</v>
      </c>
      <c r="G56" s="871">
        <v>0</v>
      </c>
      <c r="H56" s="864" t="s">
        <v>805</v>
      </c>
      <c r="I56" s="865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67" t="s">
        <v>631</v>
      </c>
      <c r="B57" s="863" t="s">
        <v>786</v>
      </c>
      <c r="C57" s="863" t="s">
        <v>339</v>
      </c>
      <c r="D57" s="868" t="s">
        <v>339</v>
      </c>
      <c r="E57" s="869">
        <v>60</v>
      </c>
      <c r="F57" s="870" t="s">
        <v>304</v>
      </c>
      <c r="G57" s="871">
        <v>0</v>
      </c>
      <c r="H57" s="864" t="s">
        <v>806</v>
      </c>
      <c r="I57" s="865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67" t="s">
        <v>631</v>
      </c>
      <c r="B58" s="863" t="s">
        <v>786</v>
      </c>
      <c r="C58" s="863" t="s">
        <v>339</v>
      </c>
      <c r="D58" s="868" t="s">
        <v>339</v>
      </c>
      <c r="E58" s="869">
        <v>40</v>
      </c>
      <c r="F58" s="870" t="s">
        <v>304</v>
      </c>
      <c r="G58" s="871">
        <v>0</v>
      </c>
      <c r="H58" s="864" t="s">
        <v>807</v>
      </c>
      <c r="I58" s="865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67" t="s">
        <v>631</v>
      </c>
      <c r="B59" s="863" t="s">
        <v>786</v>
      </c>
      <c r="C59" s="863" t="s">
        <v>339</v>
      </c>
      <c r="D59" s="868" t="s">
        <v>339</v>
      </c>
      <c r="E59" s="869">
        <v>20</v>
      </c>
      <c r="F59" s="870" t="s">
        <v>304</v>
      </c>
      <c r="G59" s="871">
        <v>-854</v>
      </c>
      <c r="H59" s="864" t="s">
        <v>808</v>
      </c>
      <c r="I59" s="865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67" t="s">
        <v>631</v>
      </c>
      <c r="B60" s="863" t="s">
        <v>786</v>
      </c>
      <c r="C60" s="863" t="s">
        <v>339</v>
      </c>
      <c r="D60" s="868" t="s">
        <v>339</v>
      </c>
      <c r="E60" s="869">
        <v>40</v>
      </c>
      <c r="F60" s="870" t="s">
        <v>304</v>
      </c>
      <c r="G60" s="871">
        <v>-1708</v>
      </c>
      <c r="H60" s="864" t="s">
        <v>809</v>
      </c>
      <c r="I60" s="865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67" t="s">
        <v>631</v>
      </c>
      <c r="B61" s="863" t="s">
        <v>797</v>
      </c>
      <c r="C61" s="863" t="s">
        <v>339</v>
      </c>
      <c r="D61" s="868" t="s">
        <v>339</v>
      </c>
      <c r="E61" s="869">
        <v>40</v>
      </c>
      <c r="F61" s="870" t="s">
        <v>304</v>
      </c>
      <c r="G61" s="871">
        <v>0</v>
      </c>
      <c r="H61" s="864" t="s">
        <v>825</v>
      </c>
      <c r="I61" s="865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67" t="s">
        <v>631</v>
      </c>
      <c r="B62" s="863" t="s">
        <v>822</v>
      </c>
      <c r="C62" s="863" t="s">
        <v>339</v>
      </c>
      <c r="D62" s="868" t="s">
        <v>339</v>
      </c>
      <c r="E62" s="869">
        <v>-20</v>
      </c>
      <c r="F62" s="870" t="s">
        <v>304</v>
      </c>
      <c r="G62" s="871">
        <v>0</v>
      </c>
      <c r="H62" s="864" t="s">
        <v>826</v>
      </c>
      <c r="I62" s="865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67" t="s">
        <v>631</v>
      </c>
      <c r="B63" s="863" t="s">
        <v>827</v>
      </c>
      <c r="C63" s="863" t="s">
        <v>339</v>
      </c>
      <c r="D63" s="868" t="s">
        <v>339</v>
      </c>
      <c r="E63" s="869">
        <v>60</v>
      </c>
      <c r="F63" s="870" t="s">
        <v>304</v>
      </c>
      <c r="G63" s="871">
        <v>0</v>
      </c>
      <c r="H63" s="864" t="s">
        <v>828</v>
      </c>
      <c r="I63" s="865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67" t="s">
        <v>631</v>
      </c>
      <c r="B64" s="863" t="s">
        <v>827</v>
      </c>
      <c r="C64" s="863" t="s">
        <v>339</v>
      </c>
      <c r="D64" s="868" t="s">
        <v>339</v>
      </c>
      <c r="E64" s="869">
        <v>40</v>
      </c>
      <c r="F64" s="870" t="s">
        <v>304</v>
      </c>
      <c r="G64" s="871">
        <v>0</v>
      </c>
      <c r="H64" s="864" t="s">
        <v>829</v>
      </c>
      <c r="I64" s="865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67" t="s">
        <v>631</v>
      </c>
      <c r="B65" s="863" t="s">
        <v>819</v>
      </c>
      <c r="C65" s="863" t="s">
        <v>339</v>
      </c>
      <c r="D65" s="868" t="s">
        <v>339</v>
      </c>
      <c r="E65" s="869">
        <v>40</v>
      </c>
      <c r="F65" s="870" t="s">
        <v>304</v>
      </c>
      <c r="G65" s="871">
        <v>0</v>
      </c>
      <c r="H65" s="864" t="s">
        <v>830</v>
      </c>
      <c r="I65" s="865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67" t="s">
        <v>631</v>
      </c>
      <c r="B66" s="863" t="s">
        <v>797</v>
      </c>
      <c r="C66" s="863" t="s">
        <v>339</v>
      </c>
      <c r="D66" s="868" t="s">
        <v>339</v>
      </c>
      <c r="E66" s="869">
        <v>60</v>
      </c>
      <c r="F66" s="870" t="s">
        <v>304</v>
      </c>
      <c r="G66" s="871">
        <v>0</v>
      </c>
      <c r="H66" s="864" t="s">
        <v>831</v>
      </c>
      <c r="I66" s="865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67" t="s">
        <v>631</v>
      </c>
      <c r="B67" s="863" t="s">
        <v>858</v>
      </c>
      <c r="C67" s="863" t="s">
        <v>339</v>
      </c>
      <c r="D67" s="868" t="s">
        <v>339</v>
      </c>
      <c r="E67" s="869">
        <v>-20</v>
      </c>
      <c r="F67" s="870" t="s">
        <v>304</v>
      </c>
      <c r="G67" s="871">
        <v>0</v>
      </c>
      <c r="H67" s="864" t="s">
        <v>860</v>
      </c>
      <c r="I67" s="865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67" t="s">
        <v>631</v>
      </c>
      <c r="B68" s="863" t="s">
        <v>858</v>
      </c>
      <c r="C68" s="863" t="s">
        <v>339</v>
      </c>
      <c r="D68" s="868" t="s">
        <v>339</v>
      </c>
      <c r="E68" s="869">
        <v>-20</v>
      </c>
      <c r="F68" s="870" t="s">
        <v>304</v>
      </c>
      <c r="G68" s="871">
        <v>0</v>
      </c>
      <c r="H68" s="864" t="s">
        <v>861</v>
      </c>
      <c r="I68" s="865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67" t="s">
        <v>631</v>
      </c>
      <c r="B69" s="863" t="s">
        <v>862</v>
      </c>
      <c r="C69" s="863" t="s">
        <v>339</v>
      </c>
      <c r="D69" s="868" t="s">
        <v>339</v>
      </c>
      <c r="E69" s="869">
        <v>20</v>
      </c>
      <c r="F69" s="870" t="s">
        <v>304</v>
      </c>
      <c r="G69" s="871">
        <v>0</v>
      </c>
      <c r="H69" s="864" t="s">
        <v>872</v>
      </c>
      <c r="I69" s="865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67" t="s">
        <v>631</v>
      </c>
      <c r="B70" s="863" t="s">
        <v>862</v>
      </c>
      <c r="C70" s="863" t="s">
        <v>339</v>
      </c>
      <c r="D70" s="868" t="s">
        <v>339</v>
      </c>
      <c r="E70" s="869">
        <v>-20</v>
      </c>
      <c r="F70" s="870" t="s">
        <v>304</v>
      </c>
      <c r="G70" s="871">
        <v>854</v>
      </c>
      <c r="H70" s="864" t="s">
        <v>863</v>
      </c>
      <c r="I70" s="865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67" t="s">
        <v>629</v>
      </c>
      <c r="B71" s="863" t="s">
        <v>916</v>
      </c>
      <c r="C71" s="863" t="s">
        <v>339</v>
      </c>
      <c r="D71" s="868" t="s">
        <v>339</v>
      </c>
      <c r="E71" s="869">
        <v>40</v>
      </c>
      <c r="F71" s="870" t="s">
        <v>304</v>
      </c>
      <c r="G71" s="871">
        <v>0</v>
      </c>
      <c r="H71" s="864" t="s">
        <v>925</v>
      </c>
      <c r="I71" s="865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67" t="s">
        <v>629</v>
      </c>
      <c r="B72" s="863" t="s">
        <v>916</v>
      </c>
      <c r="C72" s="863" t="s">
        <v>339</v>
      </c>
      <c r="D72" s="868" t="s">
        <v>339</v>
      </c>
      <c r="E72" s="869">
        <v>20</v>
      </c>
      <c r="F72" s="870" t="s">
        <v>304</v>
      </c>
      <c r="G72" s="871">
        <v>0</v>
      </c>
      <c r="H72" s="864" t="s">
        <v>926</v>
      </c>
      <c r="I72" s="865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67" t="s">
        <v>629</v>
      </c>
      <c r="B73" s="863" t="s">
        <v>916</v>
      </c>
      <c r="C73" s="863" t="s">
        <v>339</v>
      </c>
      <c r="D73" s="868" t="s">
        <v>339</v>
      </c>
      <c r="E73" s="869">
        <v>20</v>
      </c>
      <c r="F73" s="870" t="s">
        <v>304</v>
      </c>
      <c r="G73" s="871">
        <v>-1540</v>
      </c>
      <c r="H73" s="864" t="s">
        <v>927</v>
      </c>
      <c r="I73" s="865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67" t="s">
        <v>639</v>
      </c>
      <c r="B74" s="863" t="s">
        <v>939</v>
      </c>
      <c r="C74" s="863" t="s">
        <v>339</v>
      </c>
      <c r="D74" s="868" t="s">
        <v>339</v>
      </c>
      <c r="E74" s="869">
        <v>-20</v>
      </c>
      <c r="F74" s="870" t="s">
        <v>304</v>
      </c>
      <c r="G74" s="871">
        <v>744</v>
      </c>
      <c r="H74" s="864" t="s">
        <v>942</v>
      </c>
      <c r="I74" s="865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67" t="s">
        <v>629</v>
      </c>
      <c r="B75" s="863" t="s">
        <v>939</v>
      </c>
      <c r="C75" s="863" t="s">
        <v>339</v>
      </c>
      <c r="D75" s="868" t="s">
        <v>339</v>
      </c>
      <c r="E75" s="869">
        <v>20</v>
      </c>
      <c r="F75" s="870" t="s">
        <v>304</v>
      </c>
      <c r="G75" s="871">
        <v>0</v>
      </c>
      <c r="H75" s="864" t="s">
        <v>956</v>
      </c>
      <c r="I75" s="865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67" t="s">
        <v>629</v>
      </c>
      <c r="B76" s="863" t="s">
        <v>939</v>
      </c>
      <c r="C76" s="863" t="s">
        <v>339</v>
      </c>
      <c r="D76" s="868" t="s">
        <v>339</v>
      </c>
      <c r="E76" s="869">
        <v>20</v>
      </c>
      <c r="F76" s="870" t="s">
        <v>304</v>
      </c>
      <c r="G76" s="871">
        <v>0</v>
      </c>
      <c r="H76" s="864" t="s">
        <v>957</v>
      </c>
      <c r="I76" s="865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67" t="s">
        <v>629</v>
      </c>
      <c r="B77" s="863" t="s">
        <v>935</v>
      </c>
      <c r="C77" s="863" t="s">
        <v>339</v>
      </c>
      <c r="D77" s="868" t="s">
        <v>339</v>
      </c>
      <c r="E77" s="869">
        <v>-20</v>
      </c>
      <c r="F77" s="870" t="s">
        <v>304</v>
      </c>
      <c r="G77" s="871">
        <v>1540</v>
      </c>
      <c r="H77" s="864" t="s">
        <v>936</v>
      </c>
      <c r="I77" s="865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67" t="s">
        <v>629</v>
      </c>
      <c r="B78" s="863" t="s">
        <v>952</v>
      </c>
      <c r="C78" s="863" t="s">
        <v>339</v>
      </c>
      <c r="D78" s="868" t="s">
        <v>339</v>
      </c>
      <c r="E78" s="869">
        <v>-20</v>
      </c>
      <c r="F78" s="870" t="s">
        <v>304</v>
      </c>
      <c r="G78" s="871">
        <v>0</v>
      </c>
      <c r="H78" s="864" t="s">
        <v>963</v>
      </c>
      <c r="I78" s="865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67" t="s">
        <v>629</v>
      </c>
      <c r="B79" s="863" t="s">
        <v>961</v>
      </c>
      <c r="C79" s="863" t="s">
        <v>339</v>
      </c>
      <c r="D79" s="868" t="s">
        <v>339</v>
      </c>
      <c r="E79" s="869">
        <v>-20</v>
      </c>
      <c r="F79" s="870" t="s">
        <v>304</v>
      </c>
      <c r="G79" s="871">
        <v>0</v>
      </c>
      <c r="H79" s="864" t="s">
        <v>977</v>
      </c>
      <c r="I79" s="865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67" t="s">
        <v>629</v>
      </c>
      <c r="B80" s="863" t="s">
        <v>975</v>
      </c>
      <c r="C80" s="863" t="s">
        <v>339</v>
      </c>
      <c r="D80" s="868" t="s">
        <v>339</v>
      </c>
      <c r="E80" s="869">
        <v>-20</v>
      </c>
      <c r="F80" s="870" t="s">
        <v>304</v>
      </c>
      <c r="G80" s="871">
        <v>0</v>
      </c>
      <c r="H80" s="864" t="s">
        <v>978</v>
      </c>
      <c r="I80" s="865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67" t="s">
        <v>639</v>
      </c>
      <c r="B81" s="863" t="s">
        <v>994</v>
      </c>
      <c r="C81" s="863" t="s">
        <v>339</v>
      </c>
      <c r="D81" s="868" t="s">
        <v>339</v>
      </c>
      <c r="E81" s="869">
        <v>-30</v>
      </c>
      <c r="F81" s="870" t="s">
        <v>304</v>
      </c>
      <c r="G81" s="871">
        <v>0</v>
      </c>
      <c r="H81" s="864" t="s">
        <v>1004</v>
      </c>
      <c r="I81" s="865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67" t="s">
        <v>629</v>
      </c>
      <c r="B82" s="863" t="s">
        <v>975</v>
      </c>
      <c r="C82" s="863" t="s">
        <v>339</v>
      </c>
      <c r="D82" s="868" t="s">
        <v>339</v>
      </c>
      <c r="E82" s="869">
        <v>-20</v>
      </c>
      <c r="F82" s="870" t="s">
        <v>304</v>
      </c>
      <c r="G82" s="871">
        <v>1540</v>
      </c>
      <c r="H82" s="864" t="s">
        <v>979</v>
      </c>
      <c r="I82" s="865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67" t="s">
        <v>639</v>
      </c>
      <c r="B83" s="863" t="s">
        <v>1005</v>
      </c>
      <c r="C83" s="863" t="s">
        <v>339</v>
      </c>
      <c r="D83" s="868" t="s">
        <v>339</v>
      </c>
      <c r="E83" s="869">
        <v>-20</v>
      </c>
      <c r="F83" s="870" t="s">
        <v>304</v>
      </c>
      <c r="G83" s="871">
        <v>0</v>
      </c>
      <c r="H83" s="864" t="s">
        <v>1017</v>
      </c>
      <c r="I83" s="865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67" t="s">
        <v>639</v>
      </c>
      <c r="B84" s="863" t="s">
        <v>1005</v>
      </c>
      <c r="C84" s="863" t="s">
        <v>339</v>
      </c>
      <c r="D84" s="868" t="s">
        <v>339</v>
      </c>
      <c r="E84" s="869">
        <v>-20</v>
      </c>
      <c r="F84" s="870" t="s">
        <v>304</v>
      </c>
      <c r="G84" s="871">
        <v>744</v>
      </c>
      <c r="H84" s="864" t="s">
        <v>1006</v>
      </c>
      <c r="I84" s="865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67" t="s">
        <v>631</v>
      </c>
      <c r="B85" s="863" t="s">
        <v>1026</v>
      </c>
      <c r="C85" s="863" t="s">
        <v>339</v>
      </c>
      <c r="D85" s="868" t="s">
        <v>339</v>
      </c>
      <c r="E85" s="869">
        <v>-60</v>
      </c>
      <c r="F85" s="870" t="s">
        <v>304</v>
      </c>
      <c r="G85" s="871">
        <v>0</v>
      </c>
      <c r="H85" s="864" t="s">
        <v>1029</v>
      </c>
      <c r="I85" s="865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67" t="s">
        <v>631</v>
      </c>
      <c r="B86" s="863" t="s">
        <v>1005</v>
      </c>
      <c r="C86" s="863" t="s">
        <v>339</v>
      </c>
      <c r="D86" s="868" t="s">
        <v>339</v>
      </c>
      <c r="E86" s="869">
        <v>-20</v>
      </c>
      <c r="F86" s="870" t="s">
        <v>304</v>
      </c>
      <c r="G86" s="871">
        <v>854</v>
      </c>
      <c r="H86" s="864" t="s">
        <v>1016</v>
      </c>
      <c r="I86" s="865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67" t="s">
        <v>631</v>
      </c>
      <c r="B87" s="863" t="s">
        <v>1020</v>
      </c>
      <c r="C87" s="863" t="s">
        <v>339</v>
      </c>
      <c r="D87" s="868" t="s">
        <v>339</v>
      </c>
      <c r="E87" s="869">
        <v>-20</v>
      </c>
      <c r="F87" s="870" t="s">
        <v>304</v>
      </c>
      <c r="G87" s="871">
        <v>0</v>
      </c>
      <c r="H87" s="864" t="s">
        <v>1030</v>
      </c>
      <c r="I87" s="865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67" t="s">
        <v>631</v>
      </c>
      <c r="B88" s="863" t="s">
        <v>1026</v>
      </c>
      <c r="C88" s="863" t="s">
        <v>339</v>
      </c>
      <c r="D88" s="868" t="s">
        <v>339</v>
      </c>
      <c r="E88" s="869">
        <v>20</v>
      </c>
      <c r="F88" s="870" t="s">
        <v>304</v>
      </c>
      <c r="G88" s="871">
        <v>0</v>
      </c>
      <c r="H88" s="864" t="s">
        <v>1037</v>
      </c>
      <c r="I88" s="865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67" t="s">
        <v>631</v>
      </c>
      <c r="B89" s="863" t="s">
        <v>1026</v>
      </c>
      <c r="C89" s="863" t="s">
        <v>339</v>
      </c>
      <c r="D89" s="868" t="s">
        <v>339</v>
      </c>
      <c r="E89" s="869">
        <v>40</v>
      </c>
      <c r="F89" s="870" t="s">
        <v>304</v>
      </c>
      <c r="G89" s="871">
        <v>0</v>
      </c>
      <c r="H89" s="864" t="s">
        <v>1038</v>
      </c>
      <c r="I89" s="865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67" t="s">
        <v>631</v>
      </c>
      <c r="B90" s="863" t="s">
        <v>1026</v>
      </c>
      <c r="C90" s="863" t="s">
        <v>339</v>
      </c>
      <c r="D90" s="868" t="s">
        <v>339</v>
      </c>
      <c r="E90" s="869">
        <v>-20</v>
      </c>
      <c r="F90" s="870" t="s">
        <v>304</v>
      </c>
      <c r="G90" s="871">
        <v>0</v>
      </c>
      <c r="H90" s="864" t="s">
        <v>1039</v>
      </c>
      <c r="I90" s="865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67" t="s">
        <v>631</v>
      </c>
      <c r="B91" s="863" t="s">
        <v>1042</v>
      </c>
      <c r="C91" s="863" t="s">
        <v>339</v>
      </c>
      <c r="D91" s="868" t="s">
        <v>339</v>
      </c>
      <c r="E91" s="869">
        <v>40</v>
      </c>
      <c r="F91" s="870" t="s">
        <v>304</v>
      </c>
      <c r="G91" s="871">
        <v>0</v>
      </c>
      <c r="H91" s="864" t="s">
        <v>1053</v>
      </c>
      <c r="I91" s="865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67" t="s">
        <v>631</v>
      </c>
      <c r="B92" s="863" t="s">
        <v>1042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1054</v>
      </c>
      <c r="I92" s="865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67" t="s">
        <v>631</v>
      </c>
      <c r="B93" s="863" t="s">
        <v>1026</v>
      </c>
      <c r="C93" s="863" t="s">
        <v>339</v>
      </c>
      <c r="D93" s="868" t="s">
        <v>339</v>
      </c>
      <c r="E93" s="869">
        <v>-40</v>
      </c>
      <c r="F93" s="870" t="s">
        <v>304</v>
      </c>
      <c r="G93" s="871">
        <v>1708</v>
      </c>
      <c r="H93" s="864" t="s">
        <v>1040</v>
      </c>
      <c r="I93" s="865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67" t="s">
        <v>631</v>
      </c>
      <c r="B94" s="863" t="s">
        <v>1042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427</v>
      </c>
      <c r="H94" s="864" t="s">
        <v>1055</v>
      </c>
      <c r="I94" s="865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67" t="s">
        <v>631</v>
      </c>
      <c r="B95" s="863" t="s">
        <v>1042</v>
      </c>
      <c r="C95" s="863" t="s">
        <v>339</v>
      </c>
      <c r="D95" s="868" t="s">
        <v>339</v>
      </c>
      <c r="E95" s="869">
        <v>-10</v>
      </c>
      <c r="F95" s="870" t="s">
        <v>304</v>
      </c>
      <c r="G95" s="871">
        <v>427</v>
      </c>
      <c r="H95" s="864" t="s">
        <v>1056</v>
      </c>
      <c r="I95" s="865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67" t="s">
        <v>647</v>
      </c>
      <c r="B96" s="863" t="s">
        <v>1060</v>
      </c>
      <c r="C96" s="863" t="s">
        <v>339</v>
      </c>
      <c r="D96" s="868" t="s">
        <v>339</v>
      </c>
      <c r="E96" s="869">
        <v>20</v>
      </c>
      <c r="F96" s="870" t="s">
        <v>304</v>
      </c>
      <c r="G96" s="871">
        <v>0</v>
      </c>
      <c r="H96" s="864" t="s">
        <v>1068</v>
      </c>
      <c r="I96" s="865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67" t="s">
        <v>647</v>
      </c>
      <c r="B97" s="863" t="s">
        <v>1060</v>
      </c>
      <c r="C97" s="863" t="s">
        <v>339</v>
      </c>
      <c r="D97" s="868" t="s">
        <v>339</v>
      </c>
      <c r="E97" s="869">
        <v>-20</v>
      </c>
      <c r="F97" s="870" t="s">
        <v>304</v>
      </c>
      <c r="G97" s="871">
        <v>1708</v>
      </c>
      <c r="H97" s="864" t="s">
        <v>1062</v>
      </c>
      <c r="I97" s="865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67" t="s">
        <v>647</v>
      </c>
      <c r="B98" s="863" t="s">
        <v>1071</v>
      </c>
      <c r="C98" s="863" t="s">
        <v>339</v>
      </c>
      <c r="D98" s="868" t="s">
        <v>339</v>
      </c>
      <c r="E98" s="869">
        <v>-20</v>
      </c>
      <c r="F98" s="870" t="s">
        <v>304</v>
      </c>
      <c r="G98" s="871">
        <v>0</v>
      </c>
      <c r="H98" s="864" t="s">
        <v>1078</v>
      </c>
      <c r="I98" s="865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67" t="s">
        <v>647</v>
      </c>
      <c r="B99" s="863" t="s">
        <v>1071</v>
      </c>
      <c r="C99" s="863" t="s">
        <v>339</v>
      </c>
      <c r="D99" s="868" t="s">
        <v>339</v>
      </c>
      <c r="E99" s="869">
        <v>-20</v>
      </c>
      <c r="F99" s="870" t="s">
        <v>304</v>
      </c>
      <c r="G99" s="871">
        <v>0</v>
      </c>
      <c r="H99" s="864" t="s">
        <v>1079</v>
      </c>
      <c r="I99" s="865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67" t="s">
        <v>647</v>
      </c>
      <c r="B100" s="863" t="s">
        <v>1071</v>
      </c>
      <c r="C100" s="863" t="s">
        <v>339</v>
      </c>
      <c r="D100" s="868" t="s">
        <v>339</v>
      </c>
      <c r="E100" s="869">
        <v>-20</v>
      </c>
      <c r="F100" s="870" t="s">
        <v>304</v>
      </c>
      <c r="G100" s="871">
        <v>0</v>
      </c>
      <c r="H100" s="864" t="s">
        <v>1080</v>
      </c>
      <c r="I100" s="865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67" t="s">
        <v>647</v>
      </c>
      <c r="B101" s="863" t="s">
        <v>1071</v>
      </c>
      <c r="C101" s="863" t="s">
        <v>339</v>
      </c>
      <c r="D101" s="868" t="s">
        <v>339</v>
      </c>
      <c r="E101" s="869">
        <v>-15</v>
      </c>
      <c r="F101" s="870" t="s">
        <v>304</v>
      </c>
      <c r="G101" s="871">
        <v>0</v>
      </c>
      <c r="H101" s="864" t="s">
        <v>1081</v>
      </c>
      <c r="I101" s="865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67" t="s">
        <v>647</v>
      </c>
      <c r="B102" s="863" t="s">
        <v>1071</v>
      </c>
      <c r="C102" s="863" t="s">
        <v>339</v>
      </c>
      <c r="D102" s="868" t="s">
        <v>339</v>
      </c>
      <c r="E102" s="869">
        <v>-5</v>
      </c>
      <c r="F102" s="870" t="s">
        <v>304</v>
      </c>
      <c r="G102" s="871">
        <v>0</v>
      </c>
      <c r="H102" s="864" t="s">
        <v>1081</v>
      </c>
      <c r="I102" s="865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67" t="s">
        <v>647</v>
      </c>
      <c r="B103" s="863" t="s">
        <v>1071</v>
      </c>
      <c r="C103" s="863" t="s">
        <v>339</v>
      </c>
      <c r="D103" s="868" t="s">
        <v>339</v>
      </c>
      <c r="E103" s="869">
        <v>20</v>
      </c>
      <c r="F103" s="870" t="s">
        <v>304</v>
      </c>
      <c r="G103" s="871">
        <v>0</v>
      </c>
      <c r="H103" s="864" t="s">
        <v>1082</v>
      </c>
      <c r="I103" s="865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67" t="s">
        <v>647</v>
      </c>
      <c r="B104" s="863" t="s">
        <v>1071</v>
      </c>
      <c r="C104" s="863" t="s">
        <v>339</v>
      </c>
      <c r="D104" s="868" t="s">
        <v>339</v>
      </c>
      <c r="E104" s="869">
        <v>10</v>
      </c>
      <c r="F104" s="870" t="s">
        <v>304</v>
      </c>
      <c r="G104" s="871">
        <v>0</v>
      </c>
      <c r="H104" s="864" t="s">
        <v>1083</v>
      </c>
      <c r="I104" s="865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67" t="s">
        <v>647</v>
      </c>
      <c r="B105" s="863" t="s">
        <v>1071</v>
      </c>
      <c r="C105" s="863" t="s">
        <v>339</v>
      </c>
      <c r="D105" s="868" t="s">
        <v>339</v>
      </c>
      <c r="E105" s="869">
        <v>10</v>
      </c>
      <c r="F105" s="870" t="s">
        <v>304</v>
      </c>
      <c r="G105" s="871">
        <v>0</v>
      </c>
      <c r="H105" s="864" t="s">
        <v>1084</v>
      </c>
      <c r="I105" s="865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67" t="s">
        <v>647</v>
      </c>
      <c r="B106" s="863" t="s">
        <v>1115</v>
      </c>
      <c r="C106" s="863" t="s">
        <v>339</v>
      </c>
      <c r="D106" s="868" t="s">
        <v>339</v>
      </c>
      <c r="E106" s="869">
        <v>20</v>
      </c>
      <c r="F106" s="870" t="s">
        <v>304</v>
      </c>
      <c r="G106" s="871">
        <v>0</v>
      </c>
      <c r="H106" s="864" t="s">
        <v>1131</v>
      </c>
      <c r="I106" s="865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67" t="s">
        <v>1116</v>
      </c>
      <c r="B107" s="863" t="s">
        <v>1115</v>
      </c>
      <c r="C107" s="863" t="s">
        <v>339</v>
      </c>
      <c r="D107" s="868" t="s">
        <v>339</v>
      </c>
      <c r="E107" s="869">
        <v>-5</v>
      </c>
      <c r="F107" s="870" t="s">
        <v>304</v>
      </c>
      <c r="G107" s="871">
        <v>990</v>
      </c>
      <c r="H107" s="864" t="s">
        <v>1117</v>
      </c>
      <c r="I107" s="865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67" t="s">
        <v>647</v>
      </c>
      <c r="B108" s="863" t="s">
        <v>1148</v>
      </c>
      <c r="C108" s="863" t="s">
        <v>339</v>
      </c>
      <c r="D108" s="868" t="s">
        <v>339</v>
      </c>
      <c r="E108" s="869">
        <v>20</v>
      </c>
      <c r="F108" s="870" t="s">
        <v>304</v>
      </c>
      <c r="G108" s="871">
        <v>0</v>
      </c>
      <c r="H108" s="864" t="s">
        <v>1152</v>
      </c>
      <c r="I108" s="865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67" t="s">
        <v>647</v>
      </c>
      <c r="B109" s="863" t="s">
        <v>1060</v>
      </c>
      <c r="C109" s="863" t="s">
        <v>339</v>
      </c>
      <c r="D109" s="868" t="s">
        <v>339</v>
      </c>
      <c r="E109" s="869">
        <v>-20</v>
      </c>
      <c r="F109" s="870" t="s">
        <v>304</v>
      </c>
      <c r="G109" s="871">
        <v>854</v>
      </c>
      <c r="H109" s="864" t="s">
        <v>1062</v>
      </c>
      <c r="I109" s="865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67" t="s">
        <v>647</v>
      </c>
      <c r="B110" s="863" t="s">
        <v>1148</v>
      </c>
      <c r="C110" s="863" t="s">
        <v>339</v>
      </c>
      <c r="D110" s="868" t="s">
        <v>339</v>
      </c>
      <c r="E110" s="869">
        <v>-20</v>
      </c>
      <c r="F110" s="870" t="s">
        <v>304</v>
      </c>
      <c r="G110" s="871">
        <v>0</v>
      </c>
      <c r="H110" s="864" t="s">
        <v>1161</v>
      </c>
      <c r="I110" s="865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67" t="s">
        <v>647</v>
      </c>
      <c r="B111" s="863" t="s">
        <v>1148</v>
      </c>
      <c r="C111" s="863" t="s">
        <v>339</v>
      </c>
      <c r="D111" s="868" t="s">
        <v>339</v>
      </c>
      <c r="E111" s="869">
        <v>-20</v>
      </c>
      <c r="F111" s="870" t="s">
        <v>304</v>
      </c>
      <c r="G111" s="871">
        <v>0</v>
      </c>
      <c r="H111" s="864" t="s">
        <v>1162</v>
      </c>
      <c r="I111" s="865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67" t="s">
        <v>647</v>
      </c>
      <c r="B112" s="863" t="s">
        <v>1148</v>
      </c>
      <c r="C112" s="863" t="s">
        <v>339</v>
      </c>
      <c r="D112" s="868" t="s">
        <v>339</v>
      </c>
      <c r="E112" s="869">
        <v>-20</v>
      </c>
      <c r="F112" s="870" t="s">
        <v>304</v>
      </c>
      <c r="G112" s="871">
        <v>0</v>
      </c>
      <c r="H112" s="864" t="s">
        <v>1163</v>
      </c>
      <c r="I112" s="865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67" t="s">
        <v>647</v>
      </c>
      <c r="B113" s="863" t="s">
        <v>1164</v>
      </c>
      <c r="C113" s="863" t="s">
        <v>339</v>
      </c>
      <c r="D113" s="868" t="s">
        <v>339</v>
      </c>
      <c r="E113" s="869">
        <v>-20</v>
      </c>
      <c r="F113" s="870" t="s">
        <v>304</v>
      </c>
      <c r="G113" s="871">
        <v>0</v>
      </c>
      <c r="H113" s="864" t="s">
        <v>1165</v>
      </c>
      <c r="I113" s="865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67" t="s">
        <v>647</v>
      </c>
      <c r="B114" s="863" t="s">
        <v>1164</v>
      </c>
      <c r="C114" s="863" t="s">
        <v>339</v>
      </c>
      <c r="D114" s="868" t="s">
        <v>339</v>
      </c>
      <c r="E114" s="869">
        <v>-20</v>
      </c>
      <c r="F114" s="870" t="s">
        <v>304</v>
      </c>
      <c r="G114" s="871">
        <v>0</v>
      </c>
      <c r="H114" s="864" t="s">
        <v>1176</v>
      </c>
      <c r="I114" s="865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67" t="s">
        <v>643</v>
      </c>
      <c r="B115" s="863" t="s">
        <v>1174</v>
      </c>
      <c r="C115" s="863" t="s">
        <v>339</v>
      </c>
      <c r="D115" s="868" t="s">
        <v>339</v>
      </c>
      <c r="E115" s="869">
        <v>-20</v>
      </c>
      <c r="F115" s="870" t="s">
        <v>304</v>
      </c>
      <c r="G115" s="871">
        <v>0</v>
      </c>
      <c r="H115" s="864" t="s">
        <v>1189</v>
      </c>
      <c r="I115" s="865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67" t="s">
        <v>647</v>
      </c>
      <c r="B116" s="863" t="s">
        <v>1174</v>
      </c>
      <c r="C116" s="863" t="s">
        <v>339</v>
      </c>
      <c r="D116" s="868" t="s">
        <v>339</v>
      </c>
      <c r="E116" s="869">
        <v>-20</v>
      </c>
      <c r="F116" s="870" t="s">
        <v>304</v>
      </c>
      <c r="G116" s="871">
        <v>0</v>
      </c>
      <c r="H116" s="864" t="s">
        <v>1190</v>
      </c>
      <c r="I116" s="865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67" t="s">
        <v>647</v>
      </c>
      <c r="B117" s="863" t="s">
        <v>1174</v>
      </c>
      <c r="C117" s="863" t="s">
        <v>339</v>
      </c>
      <c r="D117" s="868" t="s">
        <v>339</v>
      </c>
      <c r="E117" s="869">
        <v>-20</v>
      </c>
      <c r="F117" s="870" t="s">
        <v>304</v>
      </c>
      <c r="G117" s="871">
        <v>0</v>
      </c>
      <c r="H117" s="864" t="s">
        <v>1191</v>
      </c>
      <c r="I117" s="865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67" t="s">
        <v>647</v>
      </c>
      <c r="B118" s="863" t="s">
        <v>1174</v>
      </c>
      <c r="C118" s="863" t="s">
        <v>339</v>
      </c>
      <c r="D118" s="868" t="s">
        <v>339</v>
      </c>
      <c r="E118" s="869">
        <v>4</v>
      </c>
      <c r="F118" s="870" t="s">
        <v>304</v>
      </c>
      <c r="G118" s="871">
        <v>0</v>
      </c>
      <c r="H118" s="864" t="s">
        <v>1192</v>
      </c>
      <c r="I118" s="865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67" t="s">
        <v>647</v>
      </c>
      <c r="B119" s="863" t="s">
        <v>1174</v>
      </c>
      <c r="C119" s="863" t="s">
        <v>339</v>
      </c>
      <c r="D119" s="868" t="s">
        <v>339</v>
      </c>
      <c r="E119" s="869">
        <v>15</v>
      </c>
      <c r="F119" s="870" t="s">
        <v>304</v>
      </c>
      <c r="G119" s="871">
        <v>0</v>
      </c>
      <c r="H119" s="864" t="s">
        <v>1193</v>
      </c>
      <c r="I119" s="865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67" t="s">
        <v>647</v>
      </c>
      <c r="B120" s="863" t="s">
        <v>1174</v>
      </c>
      <c r="C120" s="863" t="s">
        <v>339</v>
      </c>
      <c r="D120" s="868" t="s">
        <v>339</v>
      </c>
      <c r="E120" s="869">
        <v>7</v>
      </c>
      <c r="F120" s="870" t="s">
        <v>304</v>
      </c>
      <c r="G120" s="871">
        <v>0</v>
      </c>
      <c r="H120" s="864" t="s">
        <v>1194</v>
      </c>
      <c r="I120" s="865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67" t="s">
        <v>647</v>
      </c>
      <c r="B121" s="863" t="s">
        <v>1174</v>
      </c>
      <c r="C121" s="863" t="s">
        <v>339</v>
      </c>
      <c r="D121" s="868" t="s">
        <v>339</v>
      </c>
      <c r="E121" s="869">
        <v>5</v>
      </c>
      <c r="F121" s="870" t="s">
        <v>304</v>
      </c>
      <c r="G121" s="871">
        <v>0</v>
      </c>
      <c r="H121" s="864" t="s">
        <v>1195</v>
      </c>
      <c r="I121" s="865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67" t="s">
        <v>647</v>
      </c>
      <c r="B122" s="863" t="s">
        <v>1174</v>
      </c>
      <c r="C122" s="863" t="s">
        <v>339</v>
      </c>
      <c r="D122" s="868" t="s">
        <v>339</v>
      </c>
      <c r="E122" s="869">
        <v>9</v>
      </c>
      <c r="F122" s="870" t="s">
        <v>304</v>
      </c>
      <c r="G122" s="871">
        <v>0</v>
      </c>
      <c r="H122" s="864" t="s">
        <v>1196</v>
      </c>
      <c r="I122" s="865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67" t="s">
        <v>647</v>
      </c>
      <c r="B123" s="863" t="s">
        <v>1174</v>
      </c>
      <c r="C123" s="863" t="s">
        <v>339</v>
      </c>
      <c r="D123" s="868" t="s">
        <v>339</v>
      </c>
      <c r="E123" s="869">
        <v>4</v>
      </c>
      <c r="F123" s="870" t="s">
        <v>304</v>
      </c>
      <c r="G123" s="871">
        <v>0</v>
      </c>
      <c r="H123" s="864" t="s">
        <v>1197</v>
      </c>
      <c r="I123" s="865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67" t="s">
        <v>647</v>
      </c>
      <c r="B124" s="863" t="s">
        <v>1174</v>
      </c>
      <c r="C124" s="863" t="s">
        <v>339</v>
      </c>
      <c r="D124" s="868" t="s">
        <v>339</v>
      </c>
      <c r="E124" s="869">
        <v>36</v>
      </c>
      <c r="F124" s="870" t="s">
        <v>304</v>
      </c>
      <c r="G124" s="871">
        <v>0</v>
      </c>
      <c r="H124" s="864" t="s">
        <v>1198</v>
      </c>
      <c r="I124" s="865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67" t="s">
        <v>647</v>
      </c>
      <c r="B125" s="863" t="s">
        <v>1174</v>
      </c>
      <c r="C125" s="863" t="s">
        <v>339</v>
      </c>
      <c r="D125" s="868" t="s">
        <v>339</v>
      </c>
      <c r="E125" s="869">
        <v>-1</v>
      </c>
      <c r="F125" s="870" t="s">
        <v>304</v>
      </c>
      <c r="G125" s="871">
        <v>0</v>
      </c>
      <c r="H125" s="864" t="s">
        <v>1199</v>
      </c>
      <c r="I125" s="865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67" t="s">
        <v>647</v>
      </c>
      <c r="B126" s="863" t="s">
        <v>1174</v>
      </c>
      <c r="C126" s="863" t="s">
        <v>339</v>
      </c>
      <c r="D126" s="868" t="s">
        <v>339</v>
      </c>
      <c r="E126" s="869">
        <v>-19</v>
      </c>
      <c r="F126" s="870" t="s">
        <v>304</v>
      </c>
      <c r="G126" s="871">
        <v>0</v>
      </c>
      <c r="H126" s="864" t="s">
        <v>1200</v>
      </c>
      <c r="I126" s="865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67" t="s">
        <v>643</v>
      </c>
      <c r="B127" s="863" t="s">
        <v>1213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0</v>
      </c>
      <c r="H127" s="864" t="s">
        <v>1227</v>
      </c>
      <c r="I127" s="865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67" t="s">
        <v>647</v>
      </c>
      <c r="B128" s="863" t="s">
        <v>1239</v>
      </c>
      <c r="C128" s="863" t="s">
        <v>339</v>
      </c>
      <c r="D128" s="868" t="s">
        <v>339</v>
      </c>
      <c r="E128" s="869">
        <v>10</v>
      </c>
      <c r="F128" s="870" t="s">
        <v>304</v>
      </c>
      <c r="G128" s="871">
        <v>0</v>
      </c>
      <c r="H128" s="864" t="s">
        <v>1246</v>
      </c>
      <c r="I128" s="865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67" t="s">
        <v>647</v>
      </c>
      <c r="B129" s="863" t="s">
        <v>1239</v>
      </c>
      <c r="C129" s="863" t="s">
        <v>339</v>
      </c>
      <c r="D129" s="868" t="s">
        <v>339</v>
      </c>
      <c r="E129" s="869">
        <v>10</v>
      </c>
      <c r="F129" s="870" t="s">
        <v>304</v>
      </c>
      <c r="G129" s="871">
        <v>0</v>
      </c>
      <c r="H129" s="864" t="s">
        <v>1247</v>
      </c>
      <c r="I129" s="865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67" t="s">
        <v>647</v>
      </c>
      <c r="B130" s="863" t="s">
        <v>1239</v>
      </c>
      <c r="C130" s="863" t="s">
        <v>339</v>
      </c>
      <c r="D130" s="868" t="s">
        <v>339</v>
      </c>
      <c r="E130" s="869">
        <v>10</v>
      </c>
      <c r="F130" s="870" t="s">
        <v>304</v>
      </c>
      <c r="G130" s="871">
        <v>0</v>
      </c>
      <c r="H130" s="864" t="s">
        <v>1248</v>
      </c>
      <c r="I130" s="865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67" t="s">
        <v>647</v>
      </c>
      <c r="B131" s="863" t="s">
        <v>1239</v>
      </c>
      <c r="C131" s="863" t="s">
        <v>339</v>
      </c>
      <c r="D131" s="868" t="s">
        <v>339</v>
      </c>
      <c r="E131" s="869">
        <v>10</v>
      </c>
      <c r="F131" s="870" t="s">
        <v>304</v>
      </c>
      <c r="G131" s="871">
        <v>0</v>
      </c>
      <c r="H131" s="864" t="s">
        <v>1249</v>
      </c>
      <c r="I131" s="865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67" t="s">
        <v>647</v>
      </c>
      <c r="B132" s="863" t="s">
        <v>1213</v>
      </c>
      <c r="C132" s="863" t="s">
        <v>339</v>
      </c>
      <c r="D132" s="868" t="s">
        <v>339</v>
      </c>
      <c r="E132" s="869">
        <v>20</v>
      </c>
      <c r="F132" s="870" t="s">
        <v>304</v>
      </c>
      <c r="G132" s="871">
        <v>-854</v>
      </c>
      <c r="H132" s="864" t="s">
        <v>1226</v>
      </c>
      <c r="I132" s="865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67" t="s">
        <v>647</v>
      </c>
      <c r="B133" s="863" t="s">
        <v>1239</v>
      </c>
      <c r="C133" s="863" t="s">
        <v>339</v>
      </c>
      <c r="D133" s="868" t="s">
        <v>339</v>
      </c>
      <c r="E133" s="869">
        <v>10</v>
      </c>
      <c r="F133" s="870" t="s">
        <v>304</v>
      </c>
      <c r="G133" s="871">
        <v>-427</v>
      </c>
      <c r="H133" s="864" t="s">
        <v>1250</v>
      </c>
      <c r="I133" s="865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67" t="s">
        <v>647</v>
      </c>
      <c r="B134" s="863" t="s">
        <v>1239</v>
      </c>
      <c r="C134" s="863" t="s">
        <v>339</v>
      </c>
      <c r="D134" s="868" t="s">
        <v>339</v>
      </c>
      <c r="E134" s="869">
        <v>10</v>
      </c>
      <c r="F134" s="870" t="s">
        <v>304</v>
      </c>
      <c r="G134" s="871">
        <v>0</v>
      </c>
      <c r="H134" s="864" t="s">
        <v>1271</v>
      </c>
      <c r="I134" s="865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67" t="s">
        <v>647</v>
      </c>
      <c r="B135" s="863" t="s">
        <v>1239</v>
      </c>
      <c r="C135" s="863" t="s">
        <v>339</v>
      </c>
      <c r="D135" s="868" t="s">
        <v>339</v>
      </c>
      <c r="E135" s="869">
        <v>10</v>
      </c>
      <c r="F135" s="870" t="s">
        <v>304</v>
      </c>
      <c r="G135" s="871">
        <v>0</v>
      </c>
      <c r="H135" s="864" t="s">
        <v>1272</v>
      </c>
      <c r="I135" s="865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67" t="s">
        <v>647</v>
      </c>
      <c r="B136" s="863" t="s">
        <v>1239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0</v>
      </c>
      <c r="H136" s="864" t="s">
        <v>1273</v>
      </c>
      <c r="I136" s="865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67" t="s">
        <v>647</v>
      </c>
      <c r="B137" s="863" t="s">
        <v>1239</v>
      </c>
      <c r="C137" s="863" t="s">
        <v>339</v>
      </c>
      <c r="D137" s="868" t="s">
        <v>339</v>
      </c>
      <c r="E137" s="869">
        <v>30</v>
      </c>
      <c r="F137" s="870" t="s">
        <v>304</v>
      </c>
      <c r="G137" s="871">
        <v>0</v>
      </c>
      <c r="H137" s="864" t="s">
        <v>1274</v>
      </c>
      <c r="I137" s="865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67" t="s">
        <v>647</v>
      </c>
      <c r="B138" s="863" t="s">
        <v>1263</v>
      </c>
      <c r="C138" s="863" t="s">
        <v>339</v>
      </c>
      <c r="D138" s="868" t="s">
        <v>339</v>
      </c>
      <c r="E138" s="869">
        <v>20</v>
      </c>
      <c r="F138" s="870" t="s">
        <v>304</v>
      </c>
      <c r="G138" s="871">
        <v>0</v>
      </c>
      <c r="H138" s="864" t="s">
        <v>1327</v>
      </c>
      <c r="I138" s="865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67" t="s">
        <v>647</v>
      </c>
      <c r="B139" s="863" t="s">
        <v>1263</v>
      </c>
      <c r="C139" s="863" t="s">
        <v>339</v>
      </c>
      <c r="D139" s="868" t="s">
        <v>339</v>
      </c>
      <c r="E139" s="869">
        <v>20</v>
      </c>
      <c r="F139" s="870" t="s">
        <v>304</v>
      </c>
      <c r="G139" s="871">
        <v>0</v>
      </c>
      <c r="H139" s="864" t="s">
        <v>1328</v>
      </c>
      <c r="I139" s="865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67" t="s">
        <v>647</v>
      </c>
      <c r="B140" s="863" t="s">
        <v>1263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1329</v>
      </c>
      <c r="I140" s="865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67" t="s">
        <v>647</v>
      </c>
      <c r="B141" s="863" t="s">
        <v>1263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0</v>
      </c>
      <c r="H141" s="864" t="s">
        <v>1330</v>
      </c>
      <c r="I141" s="865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67" t="s">
        <v>647</v>
      </c>
      <c r="B142" s="863" t="s">
        <v>1263</v>
      </c>
      <c r="C142" s="863" t="s">
        <v>339</v>
      </c>
      <c r="D142" s="868" t="s">
        <v>339</v>
      </c>
      <c r="E142" s="869">
        <v>-20</v>
      </c>
      <c r="F142" s="870" t="s">
        <v>304</v>
      </c>
      <c r="G142" s="871">
        <v>0</v>
      </c>
      <c r="H142" s="864" t="s">
        <v>1331</v>
      </c>
      <c r="I142" s="865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67" t="s">
        <v>647</v>
      </c>
      <c r="B143" s="863" t="s">
        <v>1263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1332</v>
      </c>
      <c r="I143" s="865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67" t="s">
        <v>647</v>
      </c>
      <c r="B144" s="863" t="s">
        <v>1339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0</v>
      </c>
      <c r="H144" s="864" t="s">
        <v>1347</v>
      </c>
      <c r="I144" s="865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67" t="s">
        <v>647</v>
      </c>
      <c r="B145" s="863" t="s">
        <v>1354</v>
      </c>
      <c r="C145" s="863" t="s">
        <v>339</v>
      </c>
      <c r="D145" s="868" t="s">
        <v>339</v>
      </c>
      <c r="E145" s="869">
        <v>10</v>
      </c>
      <c r="F145" s="870" t="s">
        <v>304</v>
      </c>
      <c r="G145" s="871">
        <v>0</v>
      </c>
      <c r="H145" s="864" t="s">
        <v>1379</v>
      </c>
      <c r="I145" s="865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67" t="s">
        <v>647</v>
      </c>
      <c r="B146" s="863" t="s">
        <v>1354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1380</v>
      </c>
      <c r="I146" s="865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67" t="s">
        <v>647</v>
      </c>
      <c r="B147" s="863" t="s">
        <v>1384</v>
      </c>
      <c r="C147" s="863" t="s">
        <v>339</v>
      </c>
      <c r="D147" s="868" t="s">
        <v>339</v>
      </c>
      <c r="E147" s="869">
        <v>-10</v>
      </c>
      <c r="F147" s="870" t="s">
        <v>304</v>
      </c>
      <c r="G147" s="871">
        <v>0</v>
      </c>
      <c r="H147" s="864" t="s">
        <v>1396</v>
      </c>
      <c r="I147" s="865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67" t="s">
        <v>647</v>
      </c>
      <c r="B148" s="863" t="s">
        <v>1384</v>
      </c>
      <c r="C148" s="863" t="s">
        <v>339</v>
      </c>
      <c r="D148" s="868" t="s">
        <v>339</v>
      </c>
      <c r="E148" s="869">
        <v>-10</v>
      </c>
      <c r="F148" s="870" t="s">
        <v>304</v>
      </c>
      <c r="G148" s="871">
        <v>0</v>
      </c>
      <c r="H148" s="864" t="s">
        <v>1397</v>
      </c>
      <c r="I148" s="865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67" t="s">
        <v>647</v>
      </c>
      <c r="B149" s="863" t="s">
        <v>1384</v>
      </c>
      <c r="C149" s="863" t="s">
        <v>339</v>
      </c>
      <c r="D149" s="868" t="s">
        <v>339</v>
      </c>
      <c r="E149" s="869">
        <v>20</v>
      </c>
      <c r="F149" s="870" t="s">
        <v>304</v>
      </c>
      <c r="G149" s="871">
        <v>0</v>
      </c>
      <c r="H149" s="864" t="s">
        <v>1398</v>
      </c>
      <c r="I149" s="865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67" t="s">
        <v>647</v>
      </c>
      <c r="B150" s="863" t="s">
        <v>1474</v>
      </c>
      <c r="C150" s="863" t="s">
        <v>339</v>
      </c>
      <c r="D150" s="868" t="s">
        <v>339</v>
      </c>
      <c r="E150" s="869">
        <v>20</v>
      </c>
      <c r="F150" s="870" t="s">
        <v>304</v>
      </c>
      <c r="G150" s="871">
        <v>0</v>
      </c>
      <c r="H150" s="864" t="s">
        <v>1504</v>
      </c>
      <c r="I150" s="865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67" t="s">
        <v>647</v>
      </c>
      <c r="B151" s="863" t="s">
        <v>1474</v>
      </c>
      <c r="C151" s="863" t="s">
        <v>339</v>
      </c>
      <c r="D151" s="868" t="s">
        <v>339</v>
      </c>
      <c r="E151" s="869">
        <v>-20</v>
      </c>
      <c r="F151" s="870" t="s">
        <v>304</v>
      </c>
      <c r="G151" s="871">
        <v>854</v>
      </c>
      <c r="H151" s="864" t="s">
        <v>1480</v>
      </c>
      <c r="I151" s="865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67" t="s">
        <v>565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564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564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564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564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564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564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564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564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564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67" t="s">
        <v>565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2" s="270" customFormat="1">
      <c r="A163" s="867" t="s">
        <v>565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2" s="270" customFormat="1">
      <c r="A164" s="867" t="s">
        <v>564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2" s="270" customFormat="1">
      <c r="A165" s="867" t="s">
        <v>564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2" s="270" customFormat="1">
      <c r="A166" s="867" t="s">
        <v>564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2" s="270" customFormat="1">
      <c r="A167" s="867" t="s">
        <v>565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/>
    </row>
    <row r="168" spans="1:12" s="270" customFormat="1">
      <c r="A168" s="867" t="s">
        <v>565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4"/>
        <v>0</v>
      </c>
      <c r="L168" s="381"/>
    </row>
    <row r="169" spans="1:12" s="270" customFormat="1">
      <c r="A169" s="867" t="s">
        <v>565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4"/>
        <v>0</v>
      </c>
      <c r="L169" s="381"/>
    </row>
    <row r="170" spans="1:12" s="270" customFormat="1">
      <c r="A170" s="867" t="s">
        <v>564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4"/>
        <v>0</v>
      </c>
      <c r="L170" s="381"/>
    </row>
    <row r="171" spans="1:12" s="270" customFormat="1">
      <c r="A171" s="867" t="s">
        <v>564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4"/>
        <v>0</v>
      </c>
      <c r="L171" s="381"/>
    </row>
    <row r="172" spans="1:12" s="270" customFormat="1">
      <c r="A172" s="867" t="s">
        <v>564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4"/>
        <v>0</v>
      </c>
      <c r="L172" s="381"/>
    </row>
    <row r="173" spans="1:12" s="270" customFormat="1">
      <c r="A173" s="867" t="s">
        <v>564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4"/>
        <v>0</v>
      </c>
      <c r="L173" s="381"/>
    </row>
    <row r="174" spans="1:12" s="270" customFormat="1">
      <c r="A174" s="867" t="s">
        <v>564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4"/>
        <v>0</v>
      </c>
      <c r="L174" s="381"/>
    </row>
    <row r="175" spans="1:12" s="270" customFormat="1">
      <c r="A175" s="867" t="s">
        <v>564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4"/>
        <v>0</v>
      </c>
      <c r="L175" s="381"/>
    </row>
    <row r="176" spans="1:12" s="270" customFormat="1">
      <c r="A176" s="867" t="s">
        <v>564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4"/>
        <v>0</v>
      </c>
      <c r="L176" s="381"/>
    </row>
    <row r="177" spans="1:12" s="270" customFormat="1">
      <c r="A177" s="867" t="s">
        <v>564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4"/>
        <v>0</v>
      </c>
      <c r="L177" s="381"/>
    </row>
    <row r="178" spans="1:12" s="270" customFormat="1">
      <c r="A178" s="867" t="s">
        <v>564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4"/>
        <v>0</v>
      </c>
      <c r="L178" s="381"/>
    </row>
    <row r="179" spans="1:12" s="270" customFormat="1">
      <c r="A179" s="867" t="s">
        <v>564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4"/>
        <v>0</v>
      </c>
      <c r="L179" s="381"/>
    </row>
    <row r="180" spans="1:12" s="270" customFormat="1">
      <c r="A180" s="867" t="s">
        <v>586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4"/>
        <v>0</v>
      </c>
      <c r="L180" s="381"/>
    </row>
    <row r="181" spans="1:12" s="270" customFormat="1">
      <c r="A181" s="867" t="s">
        <v>586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4"/>
        <v>0</v>
      </c>
      <c r="L181" s="381"/>
    </row>
    <row r="182" spans="1:12" s="270" customFormat="1">
      <c r="A182" s="867" t="s">
        <v>590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4"/>
        <v>0</v>
      </c>
      <c r="L182" s="381"/>
    </row>
    <row r="183" spans="1:12" s="270" customFormat="1">
      <c r="A183" s="867" t="s">
        <v>590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4"/>
        <v>0</v>
      </c>
      <c r="L183" s="381"/>
    </row>
    <row r="184" spans="1:12" s="270" customFormat="1">
      <c r="A184" s="867" t="s">
        <v>590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4"/>
        <v>0</v>
      </c>
      <c r="L184" s="381"/>
    </row>
    <row r="185" spans="1:12" s="270" customFormat="1">
      <c r="A185" s="867" t="s">
        <v>590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4"/>
        <v>0</v>
      </c>
      <c r="L185" s="381"/>
    </row>
    <row r="186" spans="1:12" s="270" customFormat="1">
      <c r="A186" s="867" t="s">
        <v>590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4"/>
        <v>0</v>
      </c>
      <c r="L186" s="381"/>
    </row>
    <row r="187" spans="1:12" s="270" customFormat="1">
      <c r="A187" s="867" t="s">
        <v>586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4"/>
        <v>0</v>
      </c>
      <c r="L187" s="381"/>
    </row>
    <row r="188" spans="1:12" s="270" customFormat="1">
      <c r="A188" s="867" t="s">
        <v>586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4"/>
        <v>0</v>
      </c>
      <c r="L188" s="381"/>
    </row>
    <row r="189" spans="1:12" s="270" customFormat="1">
      <c r="A189" s="867" t="s">
        <v>586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4"/>
        <v>0</v>
      </c>
      <c r="L189" s="381"/>
    </row>
    <row r="190" spans="1:12" s="270" customFormat="1">
      <c r="A190" s="867" t="s">
        <v>586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4"/>
        <v>0</v>
      </c>
      <c r="L190" s="381"/>
    </row>
    <row r="191" spans="1:12" s="270" customFormat="1">
      <c r="A191" s="867" t="s">
        <v>586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4"/>
        <v>0</v>
      </c>
      <c r="L191" s="381"/>
    </row>
    <row r="192" spans="1:12" s="270" customFormat="1">
      <c r="A192" s="867" t="s">
        <v>586</v>
      </c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4"/>
        <v>0</v>
      </c>
      <c r="L192" s="381"/>
    </row>
    <row r="193" spans="1:12" s="270" customFormat="1">
      <c r="A193" s="867" t="s">
        <v>586</v>
      </c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4"/>
        <v>0</v>
      </c>
      <c r="L193" s="381"/>
    </row>
    <row r="194" spans="1:12" s="270" customFormat="1">
      <c r="A194" s="867" t="s">
        <v>586</v>
      </c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4"/>
        <v>0</v>
      </c>
      <c r="L194" s="381"/>
    </row>
    <row r="195" spans="1:12" s="270" customFormat="1">
      <c r="A195" s="867" t="s">
        <v>586</v>
      </c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4"/>
        <v>0</v>
      </c>
      <c r="L195" s="381"/>
    </row>
    <row r="196" spans="1:12" s="270" customFormat="1">
      <c r="A196" s="867" t="s">
        <v>586</v>
      </c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4"/>
        <v>0</v>
      </c>
      <c r="L196" s="381"/>
    </row>
    <row r="197" spans="1:12" s="270" customFormat="1">
      <c r="A197" s="867" t="s">
        <v>586</v>
      </c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4"/>
        <v>0</v>
      </c>
      <c r="L197" s="381"/>
    </row>
    <row r="198" spans="1:12" s="270" customFormat="1">
      <c r="A198" s="867" t="s">
        <v>586</v>
      </c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4"/>
        <v>0</v>
      </c>
      <c r="L198" s="381"/>
    </row>
    <row r="199" spans="1:12" s="270" customFormat="1">
      <c r="A199" s="867" t="s">
        <v>586</v>
      </c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4"/>
        <v>0</v>
      </c>
      <c r="L199" s="381"/>
    </row>
    <row r="200" spans="1:12" s="270" customFormat="1">
      <c r="A200" s="867" t="s">
        <v>586</v>
      </c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4"/>
        <v>0</v>
      </c>
      <c r="L200" s="381"/>
    </row>
    <row r="201" spans="1:12" s="270" customFormat="1">
      <c r="A201" s="867" t="s">
        <v>586</v>
      </c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4"/>
        <v>0</v>
      </c>
      <c r="L201" s="381"/>
    </row>
    <row r="202" spans="1:12" s="270" customFormat="1">
      <c r="A202" s="867" t="s">
        <v>586</v>
      </c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4"/>
        <v>0</v>
      </c>
      <c r="L202" s="381"/>
    </row>
    <row r="203" spans="1:12" s="270" customFormat="1">
      <c r="A203" s="867" t="s">
        <v>586</v>
      </c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4"/>
        <v>0</v>
      </c>
      <c r="L203" s="381"/>
    </row>
    <row r="204" spans="1:12" s="270" customFormat="1">
      <c r="A204" s="867" t="s">
        <v>586</v>
      </c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4"/>
        <v>0</v>
      </c>
      <c r="L204" s="381"/>
    </row>
    <row r="205" spans="1:12" s="270" customFormat="1">
      <c r="A205" s="867" t="s">
        <v>586</v>
      </c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4"/>
        <v>0</v>
      </c>
      <c r="L205" s="381"/>
    </row>
    <row r="206" spans="1:12" s="270" customFormat="1">
      <c r="A206" s="867" t="s">
        <v>590</v>
      </c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4"/>
        <v>0</v>
      </c>
      <c r="L206" s="381"/>
    </row>
    <row r="207" spans="1:12" s="270" customFormat="1">
      <c r="A207" s="867" t="s">
        <v>588</v>
      </c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4"/>
        <v>0</v>
      </c>
      <c r="L207" s="381"/>
    </row>
    <row r="208" spans="1:12" s="270" customFormat="1">
      <c r="A208" s="867" t="s">
        <v>589</v>
      </c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4"/>
        <v>0</v>
      </c>
      <c r="L208" s="381"/>
    </row>
    <row r="209" spans="1:12" s="270" customFormat="1">
      <c r="A209" s="867" t="s">
        <v>586</v>
      </c>
      <c r="B209" s="863"/>
      <c r="C209" s="863"/>
      <c r="D209" s="868"/>
      <c r="E209" s="869"/>
      <c r="F209" s="870"/>
      <c r="G209" s="871"/>
      <c r="H209" s="864"/>
      <c r="I209" s="865"/>
      <c r="J209" s="295"/>
      <c r="K209" s="296">
        <f t="shared" si="4"/>
        <v>0</v>
      </c>
      <c r="L209" s="381"/>
    </row>
    <row r="210" spans="1:12" s="270" customFormat="1">
      <c r="A210" s="867" t="s">
        <v>586</v>
      </c>
      <c r="B210" s="863"/>
      <c r="C210" s="863"/>
      <c r="D210" s="868"/>
      <c r="E210" s="869"/>
      <c r="F210" s="870"/>
      <c r="G210" s="871"/>
      <c r="H210" s="864"/>
      <c r="I210" s="865"/>
      <c r="J210" s="295"/>
      <c r="K210" s="296">
        <f t="shared" si="4"/>
        <v>0</v>
      </c>
      <c r="L210" s="381"/>
    </row>
    <row r="211" spans="1:12" s="270" customFormat="1">
      <c r="A211" s="867" t="s">
        <v>586</v>
      </c>
      <c r="B211" s="863"/>
      <c r="C211" s="863"/>
      <c r="D211" s="868"/>
      <c r="E211" s="869"/>
      <c r="F211" s="870"/>
      <c r="G211" s="871"/>
      <c r="H211" s="864"/>
      <c r="I211" s="865"/>
      <c r="J211" s="295"/>
      <c r="K211" s="296">
        <f t="shared" si="4"/>
        <v>0</v>
      </c>
      <c r="L211" s="381"/>
    </row>
    <row r="212" spans="1:12" s="270" customFormat="1">
      <c r="A212" s="867" t="s">
        <v>590</v>
      </c>
      <c r="B212" s="863"/>
      <c r="C212" s="863"/>
      <c r="D212" s="868"/>
      <c r="E212" s="869"/>
      <c r="F212" s="870"/>
      <c r="G212" s="871"/>
      <c r="H212" s="864"/>
      <c r="I212" s="865"/>
      <c r="J212" s="295"/>
      <c r="K212" s="296">
        <f t="shared" si="4"/>
        <v>0</v>
      </c>
      <c r="L212" s="381"/>
    </row>
    <row r="213" spans="1:12" s="270" customFormat="1">
      <c r="A213" s="867" t="s">
        <v>590</v>
      </c>
      <c r="B213" s="863"/>
      <c r="C213" s="863"/>
      <c r="D213" s="868"/>
      <c r="E213" s="869"/>
      <c r="F213" s="870"/>
      <c r="G213" s="871"/>
      <c r="H213" s="864"/>
      <c r="I213" s="865"/>
      <c r="J213" s="295"/>
      <c r="K213" s="296">
        <f t="shared" si="4"/>
        <v>0</v>
      </c>
      <c r="L213" s="381"/>
    </row>
    <row r="214" spans="1:12" s="270" customFormat="1">
      <c r="A214" s="867" t="s">
        <v>586</v>
      </c>
      <c r="B214" s="863"/>
      <c r="C214" s="863"/>
      <c r="D214" s="868"/>
      <c r="E214" s="869"/>
      <c r="F214" s="870"/>
      <c r="G214" s="871"/>
      <c r="H214" s="864"/>
      <c r="I214" s="865"/>
      <c r="J214" s="295"/>
      <c r="K214" s="296">
        <f t="shared" si="4"/>
        <v>0</v>
      </c>
      <c r="L214" s="381"/>
    </row>
    <row r="215" spans="1:12" s="270" customFormat="1">
      <c r="A215" s="867" t="s">
        <v>586</v>
      </c>
      <c r="B215" s="863"/>
      <c r="C215" s="863"/>
      <c r="D215" s="868"/>
      <c r="E215" s="869"/>
      <c r="F215" s="870"/>
      <c r="G215" s="871"/>
      <c r="H215" s="864"/>
      <c r="I215" s="865"/>
      <c r="J215" s="295"/>
      <c r="K215" s="296">
        <f t="shared" si="4"/>
        <v>0</v>
      </c>
      <c r="L215" s="381"/>
    </row>
    <row r="216" spans="1:12" s="270" customFormat="1">
      <c r="A216" s="867" t="s">
        <v>586</v>
      </c>
      <c r="B216" s="863"/>
      <c r="C216" s="863"/>
      <c r="D216" s="868"/>
      <c r="E216" s="869"/>
      <c r="F216" s="870"/>
      <c r="G216" s="871"/>
      <c r="H216" s="864"/>
      <c r="I216" s="865"/>
      <c r="J216" s="295"/>
      <c r="K216" s="296">
        <f t="shared" si="4"/>
        <v>0</v>
      </c>
      <c r="L216" s="381"/>
    </row>
    <row r="217" spans="1:12" s="270" customFormat="1">
      <c r="A217" s="867" t="s">
        <v>586</v>
      </c>
      <c r="B217" s="863"/>
      <c r="C217" s="863"/>
      <c r="D217" s="868"/>
      <c r="E217" s="869"/>
      <c r="F217" s="870"/>
      <c r="G217" s="871"/>
      <c r="H217" s="864"/>
      <c r="I217" s="865"/>
      <c r="J217" s="295"/>
      <c r="K217" s="296">
        <f t="shared" si="4"/>
        <v>0</v>
      </c>
      <c r="L217" s="381"/>
    </row>
    <row r="218" spans="1:12" s="270" customFormat="1">
      <c r="A218" s="867" t="s">
        <v>586</v>
      </c>
      <c r="B218" s="863"/>
      <c r="C218" s="863"/>
      <c r="D218" s="868"/>
      <c r="E218" s="869"/>
      <c r="F218" s="870"/>
      <c r="G218" s="871"/>
      <c r="H218" s="864"/>
      <c r="I218" s="865"/>
      <c r="J218" s="295"/>
      <c r="K218" s="296">
        <f t="shared" si="4"/>
        <v>0</v>
      </c>
      <c r="L218" s="381"/>
    </row>
    <row r="219" spans="1:12" s="270" customFormat="1">
      <c r="A219" s="867" t="s">
        <v>586</v>
      </c>
      <c r="B219" s="863"/>
      <c r="C219" s="863"/>
      <c r="D219" s="868"/>
      <c r="E219" s="869"/>
      <c r="F219" s="870"/>
      <c r="G219" s="871"/>
      <c r="H219" s="864"/>
      <c r="I219" s="865"/>
      <c r="J219" s="295"/>
      <c r="K219" s="296">
        <f t="shared" si="4"/>
        <v>0</v>
      </c>
      <c r="L219" s="381"/>
    </row>
    <row r="220" spans="1:12" s="270" customFormat="1">
      <c r="A220" s="867" t="s">
        <v>586</v>
      </c>
      <c r="B220" s="863"/>
      <c r="C220" s="863"/>
      <c r="D220" s="868"/>
      <c r="E220" s="869"/>
      <c r="F220" s="870"/>
      <c r="G220" s="871"/>
      <c r="H220" s="864"/>
      <c r="I220" s="865"/>
      <c r="J220" s="295"/>
      <c r="K220" s="296">
        <f t="shared" si="4"/>
        <v>0</v>
      </c>
      <c r="L220" s="381"/>
    </row>
    <row r="221" spans="1:12" s="270" customFormat="1">
      <c r="A221" s="867" t="s">
        <v>588</v>
      </c>
      <c r="B221" s="863"/>
      <c r="C221" s="863"/>
      <c r="D221" s="868"/>
      <c r="E221" s="869"/>
      <c r="F221" s="870"/>
      <c r="G221" s="871"/>
      <c r="H221" s="864"/>
      <c r="I221" s="865"/>
      <c r="J221" s="295"/>
      <c r="K221" s="296">
        <f t="shared" si="4"/>
        <v>0</v>
      </c>
      <c r="L221" s="381"/>
    </row>
    <row r="222" spans="1:12" s="270" customFormat="1">
      <c r="A222" s="867" t="s">
        <v>588</v>
      </c>
      <c r="B222" s="863"/>
      <c r="C222" s="863"/>
      <c r="D222" s="868"/>
      <c r="E222" s="869"/>
      <c r="F222" s="870"/>
      <c r="G222" s="871"/>
      <c r="H222" s="864"/>
      <c r="I222" s="865"/>
      <c r="J222" s="295"/>
      <c r="K222" s="296">
        <f t="shared" si="4"/>
        <v>0</v>
      </c>
      <c r="L222" s="381"/>
    </row>
    <row r="223" spans="1:12" s="270" customFormat="1">
      <c r="A223" s="867" t="s">
        <v>588</v>
      </c>
      <c r="B223" s="863"/>
      <c r="C223" s="863"/>
      <c r="D223" s="868"/>
      <c r="E223" s="869"/>
      <c r="F223" s="870"/>
      <c r="G223" s="871"/>
      <c r="H223" s="864"/>
      <c r="I223" s="865"/>
      <c r="J223" s="295"/>
      <c r="K223" s="296">
        <f t="shared" si="4"/>
        <v>0</v>
      </c>
      <c r="L223" s="381"/>
    </row>
    <row r="224" spans="1:12" s="270" customFormat="1">
      <c r="A224" s="867" t="s">
        <v>588</v>
      </c>
      <c r="B224" s="863"/>
      <c r="C224" s="863"/>
      <c r="D224" s="868"/>
      <c r="E224" s="869"/>
      <c r="F224" s="870"/>
      <c r="G224" s="871"/>
      <c r="H224" s="864"/>
      <c r="I224" s="865"/>
      <c r="J224" s="295"/>
      <c r="K224" s="296">
        <f t="shared" si="4"/>
        <v>0</v>
      </c>
      <c r="L224" s="381"/>
    </row>
    <row r="225" spans="1:12" s="270" customFormat="1">
      <c r="A225" s="867" t="s">
        <v>589</v>
      </c>
      <c r="B225" s="863"/>
      <c r="C225" s="863"/>
      <c r="D225" s="868"/>
      <c r="E225" s="869"/>
      <c r="F225" s="870"/>
      <c r="G225" s="871"/>
      <c r="H225" s="864"/>
      <c r="I225" s="865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67" t="s">
        <v>586</v>
      </c>
      <c r="B226" s="863"/>
      <c r="C226" s="863"/>
      <c r="D226" s="868"/>
      <c r="E226" s="869"/>
      <c r="F226" s="870"/>
      <c r="G226" s="871"/>
      <c r="H226" s="864"/>
      <c r="I226" s="865"/>
      <c r="J226" s="295"/>
      <c r="K226" s="296">
        <f t="shared" si="5"/>
        <v>0</v>
      </c>
      <c r="L226" s="381"/>
    </row>
    <row r="227" spans="1:12" s="270" customFormat="1">
      <c r="A227" s="867" t="s">
        <v>586</v>
      </c>
      <c r="B227" s="863"/>
      <c r="C227" s="863"/>
      <c r="D227" s="868"/>
      <c r="E227" s="869"/>
      <c r="F227" s="870"/>
      <c r="G227" s="871"/>
      <c r="H227" s="864"/>
      <c r="I227" s="865"/>
      <c r="J227" s="295"/>
      <c r="K227" s="296">
        <f t="shared" si="5"/>
        <v>0</v>
      </c>
      <c r="L227" s="381"/>
    </row>
    <row r="228" spans="1:12" s="270" customFormat="1">
      <c r="A228" s="867" t="s">
        <v>586</v>
      </c>
      <c r="B228" s="863"/>
      <c r="C228" s="863"/>
      <c r="D228" s="868"/>
      <c r="E228" s="869"/>
      <c r="F228" s="870"/>
      <c r="G228" s="871"/>
      <c r="H228" s="864"/>
      <c r="I228" s="865"/>
      <c r="J228" s="295"/>
      <c r="K228" s="296">
        <f t="shared" si="5"/>
        <v>0</v>
      </c>
      <c r="L228" s="381"/>
    </row>
    <row r="229" spans="1:12" s="270" customFormat="1">
      <c r="A229" s="867" t="s">
        <v>586</v>
      </c>
      <c r="B229" s="863"/>
      <c r="C229" s="863"/>
      <c r="D229" s="868"/>
      <c r="E229" s="869"/>
      <c r="F229" s="870"/>
      <c r="G229" s="871"/>
      <c r="H229" s="864"/>
      <c r="I229" s="865"/>
      <c r="J229" s="295"/>
      <c r="K229" s="296">
        <f t="shared" si="5"/>
        <v>0</v>
      </c>
      <c r="L229" s="381"/>
    </row>
    <row r="230" spans="1:12" s="270" customFormat="1">
      <c r="A230" s="867" t="s">
        <v>586</v>
      </c>
      <c r="B230" s="863"/>
      <c r="C230" s="863"/>
      <c r="D230" s="868"/>
      <c r="E230" s="869"/>
      <c r="F230" s="870"/>
      <c r="G230" s="871"/>
      <c r="H230" s="864"/>
      <c r="I230" s="865"/>
      <c r="J230" s="295"/>
      <c r="K230" s="296">
        <f t="shared" si="5"/>
        <v>0</v>
      </c>
      <c r="L230" s="381"/>
    </row>
    <row r="231" spans="1:12" s="270" customFormat="1">
      <c r="A231" s="867" t="s">
        <v>586</v>
      </c>
      <c r="B231" s="863"/>
      <c r="C231" s="863"/>
      <c r="D231" s="868"/>
      <c r="E231" s="869"/>
      <c r="F231" s="870"/>
      <c r="G231" s="871"/>
      <c r="H231" s="864"/>
      <c r="I231" s="865"/>
      <c r="J231" s="295"/>
      <c r="K231" s="296">
        <f t="shared" si="5"/>
        <v>0</v>
      </c>
      <c r="L231" s="381"/>
    </row>
    <row r="232" spans="1:12" s="270" customFormat="1">
      <c r="A232" s="867" t="s">
        <v>590</v>
      </c>
      <c r="B232" s="863"/>
      <c r="C232" s="863"/>
      <c r="D232" s="868"/>
      <c r="E232" s="869"/>
      <c r="F232" s="870"/>
      <c r="G232" s="871"/>
      <c r="H232" s="864"/>
      <c r="I232" s="865"/>
      <c r="J232" s="295"/>
      <c r="K232" s="296">
        <f t="shared" si="5"/>
        <v>0</v>
      </c>
      <c r="L232" s="381"/>
    </row>
    <row r="233" spans="1:12" s="270" customFormat="1">
      <c r="A233" s="867" t="s">
        <v>590</v>
      </c>
      <c r="B233" s="863"/>
      <c r="C233" s="863"/>
      <c r="D233" s="868"/>
      <c r="E233" s="869"/>
      <c r="F233" s="870"/>
      <c r="G233" s="871"/>
      <c r="H233" s="864"/>
      <c r="I233" s="865"/>
      <c r="J233" s="295"/>
      <c r="K233" s="296">
        <f t="shared" si="5"/>
        <v>0</v>
      </c>
      <c r="L233" s="381"/>
    </row>
    <row r="234" spans="1:12" s="270" customFormat="1">
      <c r="A234" s="867" t="s">
        <v>590</v>
      </c>
      <c r="B234" s="863"/>
      <c r="C234" s="863"/>
      <c r="D234" s="868"/>
      <c r="E234" s="869"/>
      <c r="F234" s="870"/>
      <c r="G234" s="871"/>
      <c r="H234" s="864"/>
      <c r="I234" s="865"/>
      <c r="J234" s="295"/>
      <c r="K234" s="296">
        <f t="shared" si="5"/>
        <v>0</v>
      </c>
      <c r="L234" s="381"/>
    </row>
    <row r="235" spans="1:12" s="270" customFormat="1">
      <c r="A235" s="867" t="s">
        <v>590</v>
      </c>
      <c r="B235" s="863"/>
      <c r="C235" s="863"/>
      <c r="D235" s="868"/>
      <c r="E235" s="869"/>
      <c r="F235" s="870"/>
      <c r="G235" s="871"/>
      <c r="H235" s="864"/>
      <c r="I235" s="865"/>
      <c r="J235" s="295"/>
      <c r="K235" s="296">
        <f t="shared" si="5"/>
        <v>0</v>
      </c>
      <c r="L235" s="381"/>
    </row>
    <row r="236" spans="1:12" s="270" customFormat="1">
      <c r="A236" s="867" t="s">
        <v>590</v>
      </c>
      <c r="B236" s="863"/>
      <c r="C236" s="863"/>
      <c r="D236" s="868"/>
      <c r="E236" s="869"/>
      <c r="F236" s="870"/>
      <c r="G236" s="871"/>
      <c r="H236" s="864"/>
      <c r="I236" s="865"/>
      <c r="J236" s="295"/>
      <c r="K236" s="296">
        <f t="shared" si="5"/>
        <v>0</v>
      </c>
      <c r="L236" s="381"/>
    </row>
    <row r="237" spans="1:12" s="270" customFormat="1">
      <c r="A237" s="867" t="s">
        <v>590</v>
      </c>
      <c r="B237" s="863"/>
      <c r="C237" s="863"/>
      <c r="D237" s="868"/>
      <c r="E237" s="869"/>
      <c r="F237" s="870"/>
      <c r="G237" s="871"/>
      <c r="H237" s="864"/>
      <c r="I237" s="865"/>
      <c r="J237" s="295"/>
      <c r="K237" s="296">
        <f t="shared" si="5"/>
        <v>0</v>
      </c>
      <c r="L237" s="381"/>
    </row>
    <row r="238" spans="1:12" s="270" customFormat="1">
      <c r="A238" s="867" t="s">
        <v>590</v>
      </c>
      <c r="B238" s="863"/>
      <c r="C238" s="863"/>
      <c r="D238" s="868"/>
      <c r="E238" s="869"/>
      <c r="F238" s="870"/>
      <c r="G238" s="871"/>
      <c r="H238" s="864"/>
      <c r="I238" s="865"/>
      <c r="J238" s="295"/>
      <c r="K238" s="296">
        <f t="shared" si="5"/>
        <v>0</v>
      </c>
      <c r="L238" s="381"/>
    </row>
    <row r="239" spans="1:12" s="270" customFormat="1">
      <c r="A239" s="867" t="s">
        <v>590</v>
      </c>
      <c r="B239" s="863"/>
      <c r="C239" s="863"/>
      <c r="D239" s="868"/>
      <c r="E239" s="869"/>
      <c r="F239" s="870"/>
      <c r="G239" s="871"/>
      <c r="H239" s="864"/>
      <c r="I239" s="865"/>
      <c r="J239" s="295"/>
      <c r="K239" s="296">
        <f t="shared" si="5"/>
        <v>0</v>
      </c>
      <c r="L239" s="381"/>
    </row>
    <row r="240" spans="1:12" s="270" customFormat="1">
      <c r="A240" s="867" t="s">
        <v>588</v>
      </c>
      <c r="B240" s="863"/>
      <c r="C240" s="863"/>
      <c r="D240" s="868"/>
      <c r="E240" s="869"/>
      <c r="F240" s="870"/>
      <c r="G240" s="871"/>
      <c r="H240" s="864"/>
      <c r="I240" s="865"/>
      <c r="J240" s="295"/>
      <c r="K240" s="296">
        <f t="shared" si="5"/>
        <v>0</v>
      </c>
      <c r="L240" s="381"/>
    </row>
    <row r="241" spans="1:12" s="270" customFormat="1">
      <c r="A241" s="867" t="s">
        <v>590</v>
      </c>
      <c r="B241" s="863"/>
      <c r="C241" s="863"/>
      <c r="D241" s="868"/>
      <c r="E241" s="869"/>
      <c r="F241" s="870"/>
      <c r="G241" s="871"/>
      <c r="H241" s="864"/>
      <c r="I241" s="865"/>
      <c r="J241" s="295"/>
      <c r="K241" s="296">
        <f t="shared" si="5"/>
        <v>0</v>
      </c>
      <c r="L241" s="381"/>
    </row>
    <row r="242" spans="1:12" s="270" customFormat="1">
      <c r="A242" s="867" t="s">
        <v>589</v>
      </c>
      <c r="B242" s="863"/>
      <c r="C242" s="863"/>
      <c r="D242" s="868"/>
      <c r="E242" s="869"/>
      <c r="F242" s="870"/>
      <c r="G242" s="871"/>
      <c r="H242" s="864"/>
      <c r="I242" s="865"/>
      <c r="J242" s="295"/>
      <c r="K242" s="296">
        <f t="shared" si="5"/>
        <v>0</v>
      </c>
      <c r="L242" s="381"/>
    </row>
    <row r="243" spans="1:12" s="270" customFormat="1">
      <c r="A243" s="867" t="s">
        <v>589</v>
      </c>
      <c r="B243" s="863"/>
      <c r="C243" s="863"/>
      <c r="D243" s="868"/>
      <c r="E243" s="869"/>
      <c r="F243" s="870"/>
      <c r="G243" s="871"/>
      <c r="H243" s="864"/>
      <c r="I243" s="865"/>
      <c r="J243" s="295"/>
      <c r="K243" s="296">
        <f t="shared" si="5"/>
        <v>0</v>
      </c>
      <c r="L243" s="381"/>
    </row>
    <row r="244" spans="1:12" s="270" customFormat="1">
      <c r="A244" s="867" t="s">
        <v>589</v>
      </c>
      <c r="B244" s="863"/>
      <c r="C244" s="863"/>
      <c r="D244" s="868"/>
      <c r="E244" s="869"/>
      <c r="F244" s="870"/>
      <c r="G244" s="871"/>
      <c r="H244" s="864"/>
      <c r="I244" s="865"/>
      <c r="J244" s="295"/>
      <c r="K244" s="296">
        <f t="shared" si="5"/>
        <v>0</v>
      </c>
      <c r="L244" s="381"/>
    </row>
    <row r="245" spans="1:12" s="270" customFormat="1">
      <c r="A245" s="867" t="s">
        <v>590</v>
      </c>
      <c r="B245" s="863"/>
      <c r="C245" s="863"/>
      <c r="D245" s="868"/>
      <c r="E245" s="869"/>
      <c r="F245" s="870"/>
      <c r="G245" s="871"/>
      <c r="H245" s="864"/>
      <c r="I245" s="865"/>
      <c r="J245" s="295"/>
      <c r="K245" s="296">
        <f t="shared" si="5"/>
        <v>0</v>
      </c>
      <c r="L245" s="381"/>
    </row>
    <row r="246" spans="1:12" s="270" customFormat="1">
      <c r="A246" s="867" t="s">
        <v>590</v>
      </c>
      <c r="B246" s="863"/>
      <c r="C246" s="863"/>
      <c r="D246" s="868"/>
      <c r="E246" s="869"/>
      <c r="F246" s="870"/>
      <c r="G246" s="871"/>
      <c r="H246" s="864"/>
      <c r="I246" s="865"/>
      <c r="J246" s="295"/>
      <c r="K246" s="296">
        <f t="shared" si="5"/>
        <v>0</v>
      </c>
      <c r="L246" s="381"/>
    </row>
    <row r="247" spans="1:12" s="270" customFormat="1">
      <c r="A247" s="867" t="s">
        <v>589</v>
      </c>
      <c r="B247" s="863"/>
      <c r="C247" s="863"/>
      <c r="D247" s="868"/>
      <c r="E247" s="869"/>
      <c r="F247" s="870"/>
      <c r="G247" s="871"/>
      <c r="H247" s="864"/>
      <c r="I247" s="865"/>
      <c r="J247" s="295"/>
      <c r="K247" s="296">
        <f t="shared" si="5"/>
        <v>0</v>
      </c>
      <c r="L247" s="381"/>
    </row>
    <row r="248" spans="1:12" s="270" customFormat="1">
      <c r="A248" s="867" t="s">
        <v>590</v>
      </c>
      <c r="B248" s="863"/>
      <c r="C248" s="863"/>
      <c r="D248" s="868"/>
      <c r="E248" s="869"/>
      <c r="F248" s="870"/>
      <c r="G248" s="871"/>
      <c r="H248" s="864"/>
      <c r="I248" s="865"/>
      <c r="J248" s="295"/>
      <c r="K248" s="296">
        <f t="shared" si="5"/>
        <v>0</v>
      </c>
      <c r="L248" s="381"/>
    </row>
    <row r="249" spans="1:12" s="270" customFormat="1">
      <c r="A249" s="867" t="s">
        <v>590</v>
      </c>
      <c r="B249" s="863"/>
      <c r="C249" s="863"/>
      <c r="D249" s="868"/>
      <c r="E249" s="869"/>
      <c r="F249" s="870"/>
      <c r="G249" s="871"/>
      <c r="H249" s="864"/>
      <c r="I249" s="865"/>
      <c r="J249" s="295"/>
      <c r="K249" s="296">
        <f t="shared" si="5"/>
        <v>0</v>
      </c>
      <c r="L249" s="381"/>
    </row>
    <row r="250" spans="1:12" s="270" customFormat="1">
      <c r="A250" s="867" t="s">
        <v>590</v>
      </c>
      <c r="B250" s="863"/>
      <c r="C250" s="863"/>
      <c r="D250" s="868"/>
      <c r="E250" s="869"/>
      <c r="F250" s="870"/>
      <c r="G250" s="871"/>
      <c r="H250" s="864"/>
      <c r="I250" s="865"/>
      <c r="J250" s="295"/>
      <c r="K250" s="296">
        <f t="shared" si="5"/>
        <v>0</v>
      </c>
      <c r="L250" s="381"/>
    </row>
    <row r="251" spans="1:12" s="270" customFormat="1">
      <c r="A251" s="867" t="s">
        <v>590</v>
      </c>
      <c r="B251" s="863"/>
      <c r="C251" s="863"/>
      <c r="D251" s="868"/>
      <c r="E251" s="869"/>
      <c r="F251" s="870"/>
      <c r="G251" s="871"/>
      <c r="H251" s="864"/>
      <c r="I251" s="865"/>
      <c r="J251" s="295"/>
      <c r="K251" s="296">
        <f t="shared" si="5"/>
        <v>0</v>
      </c>
      <c r="L251" s="381"/>
    </row>
    <row r="252" spans="1:12" s="270" customFormat="1">
      <c r="A252" s="867" t="s">
        <v>590</v>
      </c>
      <c r="B252" s="863"/>
      <c r="C252" s="863"/>
      <c r="D252" s="868"/>
      <c r="E252" s="869"/>
      <c r="F252" s="870"/>
      <c r="G252" s="871"/>
      <c r="H252" s="864"/>
      <c r="I252" s="865"/>
      <c r="J252" s="295"/>
      <c r="K252" s="296">
        <f t="shared" si="5"/>
        <v>0</v>
      </c>
      <c r="L252" s="381"/>
    </row>
    <row r="253" spans="1:12" s="270" customFormat="1">
      <c r="A253" s="867" t="s">
        <v>590</v>
      </c>
      <c r="B253" s="863"/>
      <c r="C253" s="863"/>
      <c r="D253" s="868"/>
      <c r="E253" s="869"/>
      <c r="F253" s="870"/>
      <c r="G253" s="871"/>
      <c r="H253" s="864"/>
      <c r="I253" s="865"/>
      <c r="J253" s="295"/>
      <c r="K253" s="296">
        <f t="shared" si="5"/>
        <v>0</v>
      </c>
      <c r="L253" s="381"/>
    </row>
    <row r="254" spans="1:12" s="270" customFormat="1">
      <c r="A254" s="867" t="s">
        <v>590</v>
      </c>
      <c r="B254" s="863"/>
      <c r="C254" s="863"/>
      <c r="D254" s="868"/>
      <c r="E254" s="869"/>
      <c r="F254" s="870"/>
      <c r="G254" s="871"/>
      <c r="H254" s="864"/>
      <c r="I254" s="865"/>
      <c r="J254" s="295"/>
      <c r="K254" s="296">
        <f t="shared" si="5"/>
        <v>0</v>
      </c>
      <c r="L254" s="381"/>
    </row>
    <row r="255" spans="1:12" s="270" customFormat="1">
      <c r="A255" s="867" t="s">
        <v>590</v>
      </c>
      <c r="B255" s="863"/>
      <c r="C255" s="863"/>
      <c r="D255" s="868"/>
      <c r="E255" s="869"/>
      <c r="F255" s="870"/>
      <c r="G255" s="871"/>
      <c r="H255" s="864"/>
      <c r="I255" s="865"/>
      <c r="J255" s="295"/>
      <c r="K255" s="296">
        <f t="shared" si="5"/>
        <v>0</v>
      </c>
      <c r="L255" s="381"/>
    </row>
    <row r="256" spans="1:12" s="270" customFormat="1">
      <c r="A256" s="867" t="s">
        <v>590</v>
      </c>
      <c r="B256" s="863"/>
      <c r="C256" s="863"/>
      <c r="D256" s="868"/>
      <c r="E256" s="869"/>
      <c r="F256" s="870"/>
      <c r="G256" s="871"/>
      <c r="H256" s="864"/>
      <c r="I256" s="865"/>
      <c r="J256" s="295"/>
      <c r="K256" s="296">
        <f t="shared" si="5"/>
        <v>0</v>
      </c>
      <c r="L256" s="381"/>
    </row>
    <row r="257" spans="1:12" s="270" customFormat="1">
      <c r="A257" s="867" t="s">
        <v>590</v>
      </c>
      <c r="B257" s="863"/>
      <c r="C257" s="863"/>
      <c r="D257" s="868"/>
      <c r="E257" s="869"/>
      <c r="F257" s="870"/>
      <c r="G257" s="871"/>
      <c r="H257" s="864"/>
      <c r="I257" s="865"/>
      <c r="J257" s="295"/>
      <c r="K257" s="296">
        <f t="shared" si="5"/>
        <v>0</v>
      </c>
      <c r="L257" s="381"/>
    </row>
    <row r="258" spans="1:12" s="270" customFormat="1">
      <c r="A258" s="867" t="s">
        <v>590</v>
      </c>
      <c r="B258" s="863"/>
      <c r="C258" s="863"/>
      <c r="D258" s="868"/>
      <c r="E258" s="869"/>
      <c r="F258" s="870"/>
      <c r="G258" s="871"/>
      <c r="H258" s="864"/>
      <c r="I258" s="865"/>
      <c r="J258" s="295"/>
      <c r="K258" s="296">
        <f t="shared" si="5"/>
        <v>0</v>
      </c>
      <c r="L258" s="381"/>
    </row>
    <row r="259" spans="1:12" s="270" customFormat="1">
      <c r="A259" s="867" t="s">
        <v>590</v>
      </c>
      <c r="B259" s="863"/>
      <c r="C259" s="863"/>
      <c r="D259" s="868"/>
      <c r="E259" s="869"/>
      <c r="F259" s="870"/>
      <c r="G259" s="871"/>
      <c r="H259" s="864"/>
      <c r="I259" s="865"/>
      <c r="J259" s="295"/>
      <c r="K259" s="296">
        <f t="shared" si="5"/>
        <v>0</v>
      </c>
      <c r="L259" s="381"/>
    </row>
    <row r="260" spans="1:12" s="270" customFormat="1">
      <c r="A260" s="867" t="s">
        <v>590</v>
      </c>
      <c r="B260" s="863"/>
      <c r="C260" s="863"/>
      <c r="D260" s="868"/>
      <c r="E260" s="869"/>
      <c r="F260" s="870"/>
      <c r="G260" s="871"/>
      <c r="H260" s="864"/>
      <c r="I260" s="865"/>
      <c r="J260" s="295"/>
      <c r="K260" s="296">
        <f t="shared" si="5"/>
        <v>0</v>
      </c>
      <c r="L260" s="381"/>
    </row>
    <row r="261" spans="1:12" s="270" customFormat="1">
      <c r="A261" s="867" t="s">
        <v>590</v>
      </c>
      <c r="B261" s="863"/>
      <c r="C261" s="863"/>
      <c r="D261" s="868"/>
      <c r="E261" s="869"/>
      <c r="F261" s="870"/>
      <c r="G261" s="871"/>
      <c r="H261" s="864"/>
      <c r="I261" s="865"/>
      <c r="J261" s="295"/>
      <c r="K261" s="296">
        <f t="shared" si="5"/>
        <v>0</v>
      </c>
      <c r="L261" s="381"/>
    </row>
    <row r="262" spans="1:12" s="270" customFormat="1">
      <c r="A262" s="867" t="s">
        <v>590</v>
      </c>
      <c r="B262" s="863"/>
      <c r="C262" s="863"/>
      <c r="D262" s="868"/>
      <c r="E262" s="869"/>
      <c r="F262" s="870"/>
      <c r="G262" s="871"/>
      <c r="H262" s="864"/>
      <c r="I262" s="865"/>
      <c r="J262" s="295"/>
      <c r="K262" s="296">
        <f t="shared" si="5"/>
        <v>0</v>
      </c>
      <c r="L262" s="381"/>
    </row>
    <row r="263" spans="1:12" s="270" customFormat="1">
      <c r="A263" s="867" t="s">
        <v>590</v>
      </c>
      <c r="B263" s="863"/>
      <c r="C263" s="863"/>
      <c r="D263" s="868"/>
      <c r="E263" s="869"/>
      <c r="F263" s="870"/>
      <c r="G263" s="871"/>
      <c r="H263" s="864"/>
      <c r="I263" s="865"/>
      <c r="J263" s="295"/>
      <c r="K263" s="296">
        <f t="shared" si="5"/>
        <v>0</v>
      </c>
      <c r="L263" s="381"/>
    </row>
    <row r="264" spans="1:12" s="270" customFormat="1">
      <c r="A264" s="867" t="s">
        <v>590</v>
      </c>
      <c r="B264" s="863"/>
      <c r="C264" s="863"/>
      <c r="D264" s="868"/>
      <c r="E264" s="869"/>
      <c r="F264" s="870"/>
      <c r="G264" s="871"/>
      <c r="H264" s="864"/>
      <c r="I264" s="865"/>
      <c r="J264" s="295"/>
      <c r="K264" s="296">
        <f t="shared" si="5"/>
        <v>0</v>
      </c>
      <c r="L264" s="381"/>
    </row>
    <row r="265" spans="1:12" s="270" customFormat="1">
      <c r="A265" s="867" t="s">
        <v>590</v>
      </c>
      <c r="B265" s="863"/>
      <c r="C265" s="863"/>
      <c r="D265" s="868"/>
      <c r="E265" s="869"/>
      <c r="F265" s="870"/>
      <c r="G265" s="871"/>
      <c r="H265" s="864"/>
      <c r="I265" s="865"/>
      <c r="J265" s="295"/>
      <c r="K265" s="296">
        <f t="shared" si="5"/>
        <v>0</v>
      </c>
      <c r="L265" s="381"/>
    </row>
    <row r="266" spans="1:12" s="270" customFormat="1">
      <c r="A266" s="867" t="s">
        <v>590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5"/>
        <v>0</v>
      </c>
      <c r="L266" s="381"/>
    </row>
    <row r="267" spans="1:12" s="270" customFormat="1">
      <c r="A267" s="867" t="s">
        <v>590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5"/>
        <v>0</v>
      </c>
      <c r="L267" s="381"/>
    </row>
    <row r="268" spans="1:12" s="270" customFormat="1">
      <c r="A268" s="867" t="s">
        <v>590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5"/>
        <v>0</v>
      </c>
      <c r="L268" s="381"/>
    </row>
    <row r="269" spans="1:12" s="270" customFormat="1">
      <c r="A269" s="867" t="s">
        <v>590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5"/>
        <v>0</v>
      </c>
      <c r="L269" s="381"/>
    </row>
    <row r="270" spans="1:12" s="270" customFormat="1">
      <c r="A270" s="867" t="s">
        <v>590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5"/>
        <v>0</v>
      </c>
      <c r="L270" s="381" t="s">
        <v>347</v>
      </c>
    </row>
    <row r="271" spans="1:12" s="270" customFormat="1">
      <c r="A271" s="867" t="s">
        <v>590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5"/>
        <v>0</v>
      </c>
      <c r="L271" s="381"/>
    </row>
    <row r="272" spans="1:12" s="270" customFormat="1">
      <c r="A272" s="867" t="s">
        <v>590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5"/>
        <v>0</v>
      </c>
      <c r="L272" s="381"/>
    </row>
    <row r="273" spans="1:12" s="270" customFormat="1">
      <c r="A273" s="867" t="s">
        <v>590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5"/>
        <v>0</v>
      </c>
      <c r="L273" s="381"/>
    </row>
    <row r="274" spans="1:12" s="93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5"/>
        <v>0</v>
      </c>
      <c r="L274" s="377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5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5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5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5"/>
        <v>0</v>
      </c>
      <c r="L278" s="381"/>
    </row>
    <row r="279" spans="1:12" s="270" customFormat="1">
      <c r="A279" s="867" t="s">
        <v>586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5"/>
        <v>0</v>
      </c>
      <c r="L279" s="381"/>
    </row>
    <row r="280" spans="1:12" s="270" customFormat="1">
      <c r="A280" s="867" t="s">
        <v>586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5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5"/>
        <v>0</v>
      </c>
      <c r="L281" s="381"/>
    </row>
    <row r="282" spans="1:12" s="270" customFormat="1">
      <c r="A282" s="867" t="s">
        <v>586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5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5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5"/>
        <v>0</v>
      </c>
      <c r="L284" s="381"/>
    </row>
    <row r="285" spans="1:12" s="270" customFormat="1">
      <c r="A285" s="867" t="s">
        <v>590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5"/>
        <v>0</v>
      </c>
      <c r="L285" s="381"/>
    </row>
    <row r="286" spans="1:12" s="270" customFormat="1">
      <c r="A286" s="867" t="s">
        <v>590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5"/>
        <v>0</v>
      </c>
      <c r="L286" s="381"/>
    </row>
    <row r="287" spans="1:12" s="270" customFormat="1">
      <c r="A287" s="867" t="s">
        <v>586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5"/>
        <v>0</v>
      </c>
      <c r="L287" s="381"/>
    </row>
    <row r="288" spans="1:12" s="270" customFormat="1">
      <c r="A288" s="867" t="s">
        <v>586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5"/>
        <v>0</v>
      </c>
      <c r="L288" s="381"/>
    </row>
    <row r="289" spans="1:12" s="270" customFormat="1">
      <c r="A289" s="867" t="s">
        <v>586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67" t="s">
        <v>586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6"/>
        <v>0</v>
      </c>
      <c r="L290" s="381"/>
    </row>
    <row r="291" spans="1:12" s="270" customFormat="1">
      <c r="A291" s="867" t="s">
        <v>586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6"/>
        <v>0</v>
      </c>
      <c r="L291" s="381"/>
    </row>
    <row r="292" spans="1:12" s="270" customFormat="1">
      <c r="A292" s="867" t="s">
        <v>586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6"/>
        <v>0</v>
      </c>
      <c r="L292" s="381"/>
    </row>
    <row r="293" spans="1:12" s="270" customFormat="1">
      <c r="A293" s="867" t="s">
        <v>586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6"/>
        <v>0</v>
      </c>
      <c r="L293" s="381"/>
    </row>
    <row r="294" spans="1:12" s="270" customFormat="1">
      <c r="A294" s="867" t="s">
        <v>586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6"/>
        <v>0</v>
      </c>
      <c r="L294" s="381"/>
    </row>
    <row r="295" spans="1:12" s="270" customFormat="1">
      <c r="A295" s="867" t="s">
        <v>586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6"/>
        <v>0</v>
      </c>
      <c r="L295" s="381"/>
    </row>
    <row r="296" spans="1:12" s="270" customFormat="1">
      <c r="A296" s="867" t="s">
        <v>586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6"/>
        <v>0</v>
      </c>
      <c r="L296" s="381"/>
    </row>
    <row r="297" spans="1:12" s="270" customFormat="1">
      <c r="A297" s="867" t="s">
        <v>586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6"/>
        <v>0</v>
      </c>
      <c r="L297" s="381"/>
    </row>
    <row r="298" spans="1:12" s="270" customFormat="1">
      <c r="A298" s="867" t="s">
        <v>586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6"/>
        <v>0</v>
      </c>
      <c r="L298" s="381"/>
    </row>
    <row r="299" spans="1:12" s="270" customFormat="1">
      <c r="A299" s="867" t="s">
        <v>586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6"/>
        <v>0</v>
      </c>
      <c r="L299" s="381"/>
    </row>
    <row r="300" spans="1:12" s="270" customFormat="1">
      <c r="A300" s="867" t="s">
        <v>586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6"/>
        <v>0</v>
      </c>
      <c r="L300" s="381"/>
    </row>
    <row r="301" spans="1:12" s="270" customFormat="1">
      <c r="A301" s="867" t="s">
        <v>586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6"/>
        <v>0</v>
      </c>
      <c r="L301" s="381"/>
    </row>
    <row r="302" spans="1:12" s="270" customFormat="1">
      <c r="A302" s="867" t="s">
        <v>586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6"/>
        <v>0</v>
      </c>
      <c r="L302" s="381"/>
    </row>
    <row r="303" spans="1:12" s="270" customFormat="1">
      <c r="A303" s="867" t="s">
        <v>586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6"/>
        <v>0</v>
      </c>
      <c r="L303" s="381"/>
    </row>
    <row r="304" spans="1:12" s="270" customFormat="1">
      <c r="A304" s="867" t="s">
        <v>588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6"/>
        <v>0</v>
      </c>
      <c r="L304" s="381"/>
    </row>
    <row r="305" spans="1:12" s="270" customFormat="1">
      <c r="A305" s="867" t="s">
        <v>586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6"/>
        <v>0</v>
      </c>
      <c r="L305" s="381"/>
    </row>
    <row r="306" spans="1:12" s="270" customFormat="1">
      <c r="A306" s="867" t="s">
        <v>586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6"/>
        <v>0</v>
      </c>
      <c r="L306" s="381"/>
    </row>
    <row r="307" spans="1:12" s="270" customFormat="1">
      <c r="A307" s="867" t="s">
        <v>586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6"/>
        <v>0</v>
      </c>
      <c r="L307" s="381"/>
    </row>
    <row r="308" spans="1:12" s="270" customFormat="1">
      <c r="A308" s="867" t="s">
        <v>586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6"/>
        <v>0</v>
      </c>
      <c r="L308" s="381"/>
    </row>
    <row r="309" spans="1:12" s="270" customFormat="1">
      <c r="A309" s="867" t="s">
        <v>586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6"/>
        <v>0</v>
      </c>
      <c r="L309" s="381"/>
    </row>
    <row r="310" spans="1:12" s="270" customFormat="1">
      <c r="A310" s="867" t="s">
        <v>586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6"/>
        <v>0</v>
      </c>
      <c r="L310" s="381"/>
    </row>
    <row r="311" spans="1:12" s="270" customFormat="1">
      <c r="A311" s="867" t="s">
        <v>586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 t="shared" si="6"/>
        <v>0</v>
      </c>
      <c r="L311" s="381"/>
    </row>
    <row r="312" spans="1:12" s="270" customFormat="1">
      <c r="A312" s="867" t="s">
        <v>586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6"/>
        <v>0</v>
      </c>
      <c r="L312" s="381"/>
    </row>
    <row r="313" spans="1:12" s="270" customFormat="1">
      <c r="A313" s="867" t="s">
        <v>586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6"/>
        <v>0</v>
      </c>
      <c r="L313" s="381"/>
    </row>
    <row r="314" spans="1:12" s="270" customFormat="1">
      <c r="A314" s="867" t="s">
        <v>586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6"/>
        <v>0</v>
      </c>
      <c r="L314" s="381"/>
    </row>
    <row r="315" spans="1:12" s="270" customFormat="1">
      <c r="A315" s="867" t="s">
        <v>589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si="6"/>
        <v>0</v>
      </c>
      <c r="L315" s="381"/>
    </row>
    <row r="316" spans="1:12" s="270" customFormat="1">
      <c r="A316" s="867" t="s">
        <v>589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6"/>
        <v>0</v>
      </c>
      <c r="L316" s="381"/>
    </row>
    <row r="317" spans="1:12" s="270" customFormat="1">
      <c r="A317" s="867" t="s">
        <v>586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6"/>
        <v>0</v>
      </c>
      <c r="L317" s="381"/>
    </row>
    <row r="318" spans="1:12" s="270" customFormat="1">
      <c r="A318" s="867" t="s">
        <v>586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6"/>
        <v>0</v>
      </c>
      <c r="L318" s="381"/>
    </row>
    <row r="319" spans="1:12" s="270" customFormat="1">
      <c r="A319" s="867" t="s">
        <v>590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6"/>
        <v>0</v>
      </c>
      <c r="L319" s="381"/>
    </row>
    <row r="320" spans="1:12" s="270" customFormat="1">
      <c r="A320" s="867" t="s">
        <v>586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6"/>
        <v>0</v>
      </c>
      <c r="L320" s="381"/>
    </row>
    <row r="321" spans="1:12" s="270" customFormat="1">
      <c r="A321" s="867" t="s">
        <v>602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6"/>
        <v>0</v>
      </c>
      <c r="L321" s="381"/>
    </row>
    <row r="322" spans="1:12" s="270" customFormat="1">
      <c r="A322" s="867" t="s">
        <v>602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6"/>
        <v>0</v>
      </c>
      <c r="L322" s="381"/>
    </row>
    <row r="323" spans="1:12" s="270" customFormat="1">
      <c r="A323" s="867" t="s">
        <v>602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6"/>
        <v>0</v>
      </c>
      <c r="L323" s="381"/>
    </row>
    <row r="324" spans="1:12" s="270" customFormat="1">
      <c r="A324" s="867" t="s">
        <v>602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6"/>
        <v>0</v>
      </c>
      <c r="L324" s="381"/>
    </row>
    <row r="325" spans="1:12" s="270" customFormat="1">
      <c r="A325" s="867" t="s">
        <v>602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6"/>
        <v>0</v>
      </c>
      <c r="L325" s="381"/>
    </row>
    <row r="326" spans="1:12" s="270" customFormat="1">
      <c r="A326" s="867" t="s">
        <v>602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6"/>
        <v>0</v>
      </c>
      <c r="L326" s="381"/>
    </row>
    <row r="327" spans="1:12" s="270" customFormat="1">
      <c r="A327" s="867" t="s">
        <v>602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6"/>
        <v>0</v>
      </c>
      <c r="L327" s="381"/>
    </row>
    <row r="328" spans="1:12" s="270" customFormat="1">
      <c r="A328" s="867" t="s">
        <v>602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6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6"/>
        <v>0</v>
      </c>
      <c r="L329" s="381"/>
    </row>
    <row r="330" spans="1:12" s="270" customFormat="1">
      <c r="A330" s="867" t="s">
        <v>602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6"/>
        <v>0</v>
      </c>
      <c r="L330" s="381"/>
    </row>
    <row r="331" spans="1:12" s="270" customFormat="1">
      <c r="A331" s="867" t="s">
        <v>602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6"/>
        <v>0</v>
      </c>
      <c r="L331" s="381"/>
    </row>
    <row r="332" spans="1:12" s="270" customFormat="1">
      <c r="A332" s="867" t="s">
        <v>602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6"/>
        <v>0</v>
      </c>
      <c r="L332" s="381"/>
    </row>
    <row r="333" spans="1:12" s="270" customFormat="1">
      <c r="A333" s="867" t="s">
        <v>602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6"/>
        <v>0</v>
      </c>
      <c r="L333" s="381"/>
    </row>
    <row r="334" spans="1:12" s="270" customFormat="1">
      <c r="A334" s="867" t="s">
        <v>602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6"/>
        <v>0</v>
      </c>
      <c r="L334" s="381"/>
    </row>
    <row r="335" spans="1:12" s="270" customFormat="1">
      <c r="A335" s="867" t="s">
        <v>602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6"/>
        <v>0</v>
      </c>
      <c r="L335" s="381"/>
    </row>
    <row r="336" spans="1:12" s="270" customFormat="1">
      <c r="A336" s="867" t="s">
        <v>602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6"/>
        <v>0</v>
      </c>
      <c r="L336" s="381"/>
    </row>
    <row r="337" spans="1:12" s="270" customFormat="1">
      <c r="A337" s="867" t="s">
        <v>602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6"/>
        <v>0</v>
      </c>
      <c r="L337" s="381"/>
    </row>
    <row r="338" spans="1:12" s="270" customFormat="1">
      <c r="A338" s="867" t="s">
        <v>602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6"/>
        <v>0</v>
      </c>
      <c r="L338" s="381"/>
    </row>
    <row r="339" spans="1:12" s="270" customFormat="1">
      <c r="A339" s="867" t="s">
        <v>602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6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6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6"/>
        <v>0</v>
      </c>
      <c r="L341" s="381"/>
    </row>
    <row r="342" spans="1:12" s="270" customFormat="1">
      <c r="A342" s="867" t="s">
        <v>602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6"/>
        <v>0</v>
      </c>
      <c r="L342" s="381"/>
    </row>
    <row r="343" spans="1:12" s="270" customFormat="1">
      <c r="A343" s="867" t="s">
        <v>602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6"/>
        <v>0</v>
      </c>
      <c r="L343" s="381"/>
    </row>
    <row r="344" spans="1:12" s="270" customFormat="1">
      <c r="A344" s="867" t="s">
        <v>602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6"/>
        <v>0</v>
      </c>
      <c r="L344" s="381"/>
    </row>
    <row r="345" spans="1:12" s="270" customFormat="1">
      <c r="A345" s="867" t="s">
        <v>602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6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6"/>
        <v>0</v>
      </c>
      <c r="L346" s="381"/>
    </row>
    <row r="347" spans="1:12" s="270" customFormat="1">
      <c r="A347" s="867" t="s">
        <v>607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6"/>
        <v>0</v>
      </c>
      <c r="L347" s="381"/>
    </row>
    <row r="348" spans="1:12" s="270" customFormat="1">
      <c r="A348" s="867" t="s">
        <v>607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6"/>
        <v>0</v>
      </c>
      <c r="L348" s="381"/>
    </row>
    <row r="349" spans="1:12" s="270" customFormat="1">
      <c r="A349" s="867" t="s">
        <v>607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6"/>
        <v>0</v>
      </c>
      <c r="L349" s="381"/>
    </row>
    <row r="350" spans="1:12" s="270" customFormat="1">
      <c r="A350" s="867" t="s">
        <v>607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6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6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6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ref="K353:K384" si="7">IF(LEFT(A353,2)="TU",(J353-I353)*E353/100*100000*2,(J353-I353)*E353/100*100000)</f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7"/>
        <v>0</v>
      </c>
      <c r="L354" s="381"/>
    </row>
    <row r="355" spans="1:12" s="270" customFormat="1">
      <c r="A355" s="867" t="s">
        <v>602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7"/>
        <v>0</v>
      </c>
      <c r="L355" s="381"/>
    </row>
    <row r="356" spans="1:12" s="270" customFormat="1">
      <c r="A356" s="867" t="s">
        <v>602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7"/>
        <v>0</v>
      </c>
      <c r="L356" s="381"/>
    </row>
    <row r="357" spans="1:12" s="270" customFormat="1">
      <c r="A357" s="867" t="s">
        <v>602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7"/>
        <v>0</v>
      </c>
      <c r="L357" s="381"/>
    </row>
    <row r="358" spans="1:12" s="270" customFormat="1">
      <c r="A358" s="867" t="s">
        <v>602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7"/>
        <v>0</v>
      </c>
      <c r="L358" s="381"/>
    </row>
    <row r="359" spans="1:12" s="270" customFormat="1">
      <c r="A359" s="867" t="s">
        <v>602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7"/>
        <v>0</v>
      </c>
      <c r="L359" s="381"/>
    </row>
    <row r="360" spans="1:12" s="270" customFormat="1">
      <c r="A360" s="867" t="s">
        <v>602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7"/>
        <v>0</v>
      </c>
      <c r="L360" s="381"/>
    </row>
    <row r="361" spans="1:12" s="270" customFormat="1">
      <c r="A361" s="867" t="s">
        <v>602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7"/>
        <v>0</v>
      </c>
      <c r="L361" s="381"/>
    </row>
    <row r="362" spans="1:12" s="270" customFormat="1">
      <c r="A362" s="867" t="s">
        <v>602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7"/>
        <v>0</v>
      </c>
      <c r="L362" s="381"/>
    </row>
    <row r="363" spans="1:12" s="270" customFormat="1">
      <c r="A363" s="867" t="s">
        <v>602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7"/>
        <v>0</v>
      </c>
      <c r="L363" s="381"/>
    </row>
    <row r="364" spans="1:12" s="270" customFormat="1">
      <c r="A364" s="867" t="s">
        <v>602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7"/>
        <v>0</v>
      </c>
      <c r="L364" s="381"/>
    </row>
    <row r="365" spans="1:12" s="270" customFormat="1">
      <c r="A365" s="867" t="s">
        <v>602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7"/>
        <v>0</v>
      </c>
      <c r="L365" s="381"/>
    </row>
    <row r="366" spans="1:12" s="270" customFormat="1">
      <c r="A366" s="867" t="s">
        <v>602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7"/>
        <v>0</v>
      </c>
      <c r="L366" s="381"/>
    </row>
    <row r="367" spans="1:12" s="270" customFormat="1">
      <c r="A367" s="867" t="s">
        <v>602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7"/>
        <v>0</v>
      </c>
      <c r="L367" s="381"/>
    </row>
    <row r="368" spans="1:12" s="270" customFormat="1">
      <c r="A368" s="867" t="s">
        <v>602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7"/>
        <v>0</v>
      </c>
      <c r="L368" s="381"/>
    </row>
    <row r="369" spans="1:12" s="270" customFormat="1">
      <c r="A369" s="867" t="s">
        <v>602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7"/>
        <v>0</v>
      </c>
      <c r="L369" s="381"/>
    </row>
    <row r="370" spans="1:12" s="270" customFormat="1">
      <c r="A370" s="867" t="s">
        <v>602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7"/>
        <v>0</v>
      </c>
      <c r="L370" s="381"/>
    </row>
    <row r="371" spans="1:12" s="270" customFormat="1">
      <c r="A371" s="867" t="s">
        <v>602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7"/>
        <v>0</v>
      </c>
      <c r="L371" s="381"/>
    </row>
    <row r="372" spans="1:12" s="270" customFormat="1">
      <c r="A372" s="867" t="s">
        <v>602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7"/>
        <v>0</v>
      </c>
      <c r="L372" s="381"/>
    </row>
    <row r="373" spans="1:12" s="270" customFormat="1">
      <c r="A373" s="867" t="s">
        <v>602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7"/>
        <v>0</v>
      </c>
      <c r="L373" s="381"/>
    </row>
    <row r="374" spans="1:12" s="270" customFormat="1">
      <c r="A374" s="867" t="s">
        <v>602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7"/>
        <v>0</v>
      </c>
      <c r="L374" s="381"/>
    </row>
    <row r="375" spans="1:12" s="270" customFormat="1">
      <c r="A375" s="867" t="s">
        <v>602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7"/>
        <v>0</v>
      </c>
      <c r="L375" s="381"/>
    </row>
    <row r="376" spans="1:12" s="270" customFormat="1">
      <c r="A376" s="867" t="s">
        <v>602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7"/>
        <v>0</v>
      </c>
      <c r="L376" s="381"/>
    </row>
    <row r="377" spans="1:12" s="270" customFormat="1">
      <c r="A377" s="867" t="s">
        <v>602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7"/>
        <v>0</v>
      </c>
      <c r="L377" s="381"/>
    </row>
    <row r="378" spans="1:12" s="270" customFormat="1">
      <c r="A378" s="867" t="s">
        <v>602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7"/>
        <v>0</v>
      </c>
      <c r="L378" s="381"/>
    </row>
    <row r="379" spans="1:12" s="270" customFormat="1">
      <c r="A379" s="867" t="s">
        <v>602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si="7"/>
        <v>0</v>
      </c>
      <c r="L379" s="381"/>
    </row>
    <row r="380" spans="1:12" s="270" customFormat="1">
      <c r="A380" s="867" t="s">
        <v>602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7"/>
        <v>0</v>
      </c>
      <c r="L380" s="381"/>
    </row>
    <row r="381" spans="1:12" s="270" customFormat="1">
      <c r="A381" s="867" t="s">
        <v>602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7"/>
        <v>0</v>
      </c>
      <c r="L381" s="381"/>
    </row>
    <row r="382" spans="1:12" s="270" customFormat="1">
      <c r="A382" s="867" t="s">
        <v>602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7"/>
        <v>0</v>
      </c>
      <c r="L382" s="381"/>
    </row>
    <row r="383" spans="1:12" s="270" customFormat="1">
      <c r="A383" s="867" t="s">
        <v>602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7"/>
        <v>0</v>
      </c>
      <c r="L383" s="381"/>
    </row>
    <row r="384" spans="1:12" s="270" customFormat="1">
      <c r="A384" s="867" t="s">
        <v>602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7"/>
        <v>0</v>
      </c>
      <c r="L384" s="381"/>
    </row>
    <row r="385" spans="1:12" s="270" customFormat="1">
      <c r="A385" s="867" t="s">
        <v>602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ref="K385:K416" si="8">IF(LEFT(A385,2)="TU",(J385-I385)*E385/100*100000*2,(J385-I385)*E385/100*100000)</f>
        <v>0</v>
      </c>
      <c r="L385" s="381"/>
    </row>
    <row r="386" spans="1:12" s="270" customFormat="1">
      <c r="A386" s="867" t="s">
        <v>602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8"/>
        <v>0</v>
      </c>
      <c r="L386" s="381"/>
    </row>
    <row r="387" spans="1:12" s="270" customFormat="1">
      <c r="A387" s="867" t="s">
        <v>602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8"/>
        <v>0</v>
      </c>
      <c r="L387" s="381"/>
    </row>
    <row r="388" spans="1:12" s="270" customFormat="1">
      <c r="A388" s="867" t="s">
        <v>602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8"/>
        <v>0</v>
      </c>
      <c r="L388" s="381"/>
    </row>
    <row r="389" spans="1:12" s="270" customFormat="1">
      <c r="A389" s="867" t="s">
        <v>607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8"/>
        <v>0</v>
      </c>
      <c r="L389" s="381"/>
    </row>
    <row r="390" spans="1:12" s="270" customFormat="1">
      <c r="A390" s="867" t="s">
        <v>607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8"/>
        <v>0</v>
      </c>
      <c r="L390" s="381"/>
    </row>
    <row r="391" spans="1:12" s="270" customFormat="1">
      <c r="A391" s="867" t="s">
        <v>602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8"/>
        <v>0</v>
      </c>
      <c r="L391" s="381"/>
    </row>
    <row r="392" spans="1:12" s="270" customFormat="1">
      <c r="A392" s="867" t="s">
        <v>602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8"/>
        <v>0</v>
      </c>
      <c r="L392" s="381"/>
    </row>
    <row r="393" spans="1:12" s="270" customFormat="1">
      <c r="A393" s="867" t="s">
        <v>629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8"/>
        <v>0</v>
      </c>
      <c r="L393" s="381"/>
    </row>
    <row r="394" spans="1:12" s="270" customFormat="1">
      <c r="A394" s="867" t="s">
        <v>629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8"/>
        <v>0</v>
      </c>
      <c r="L394" s="381"/>
    </row>
    <row r="395" spans="1:12" s="270" customFormat="1">
      <c r="A395" s="867" t="s">
        <v>629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8"/>
        <v>0</v>
      </c>
      <c r="L395" s="381"/>
    </row>
    <row r="396" spans="1:12" s="270" customFormat="1">
      <c r="A396" s="867" t="s">
        <v>629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8"/>
        <v>0</v>
      </c>
      <c r="L396" s="381"/>
    </row>
    <row r="397" spans="1:12" s="270" customFormat="1">
      <c r="A397" s="867" t="s">
        <v>629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8"/>
        <v>0</v>
      </c>
      <c r="L397" s="381"/>
    </row>
    <row r="398" spans="1:12" s="270" customFormat="1">
      <c r="A398" s="867" t="s">
        <v>631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8"/>
        <v>0</v>
      </c>
      <c r="L398" s="381"/>
    </row>
    <row r="399" spans="1:12" s="270" customFormat="1">
      <c r="A399" s="867" t="s">
        <v>631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8"/>
        <v>0</v>
      </c>
      <c r="L399" s="381"/>
    </row>
    <row r="400" spans="1:12" s="270" customFormat="1">
      <c r="A400" s="867" t="s">
        <v>631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8"/>
        <v>0</v>
      </c>
      <c r="L400" s="381"/>
    </row>
    <row r="401" spans="1:12" s="270" customFormat="1">
      <c r="A401" s="867" t="s">
        <v>631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8"/>
        <v>0</v>
      </c>
      <c r="L401" s="381"/>
    </row>
    <row r="402" spans="1:12" s="270" customFormat="1">
      <c r="A402" s="867" t="s">
        <v>631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8"/>
        <v>0</v>
      </c>
      <c r="L402" s="381"/>
    </row>
    <row r="403" spans="1:12" s="270" customFormat="1">
      <c r="A403" s="867" t="s">
        <v>631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8"/>
        <v>0</v>
      </c>
      <c r="L403" s="381"/>
    </row>
    <row r="404" spans="1:12" s="270" customFormat="1">
      <c r="A404" s="867" t="s">
        <v>631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8"/>
        <v>0</v>
      </c>
      <c r="L404" s="381"/>
    </row>
    <row r="405" spans="1:12" s="270" customFormat="1">
      <c r="A405" s="867" t="s">
        <v>631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8"/>
        <v>0</v>
      </c>
      <c r="L405" s="381"/>
    </row>
    <row r="406" spans="1:12" s="270" customFormat="1">
      <c r="A406" s="867" t="s">
        <v>629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8"/>
        <v>0</v>
      </c>
      <c r="L406" s="381"/>
    </row>
    <row r="407" spans="1:12" s="270" customFormat="1">
      <c r="A407" s="867" t="s">
        <v>629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8"/>
        <v>0</v>
      </c>
      <c r="L407" s="381"/>
    </row>
    <row r="408" spans="1:12" s="270" customFormat="1">
      <c r="A408" s="867" t="s">
        <v>629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8"/>
        <v>0</v>
      </c>
      <c r="L408" s="381"/>
    </row>
    <row r="409" spans="1:12" s="270" customFormat="1">
      <c r="A409" s="867" t="s">
        <v>629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8"/>
        <v>0</v>
      </c>
      <c r="L409" s="381"/>
    </row>
    <row r="410" spans="1:12" s="270" customFormat="1">
      <c r="A410" s="867" t="s">
        <v>629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8"/>
        <v>0</v>
      </c>
      <c r="L410" s="381"/>
    </row>
    <row r="411" spans="1:12" s="270" customFormat="1">
      <c r="A411" s="867" t="s">
        <v>629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8"/>
        <v>0</v>
      </c>
      <c r="L411" s="381"/>
    </row>
    <row r="412" spans="1:12" s="270" customFormat="1">
      <c r="A412" s="867" t="s">
        <v>629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8"/>
        <v>0</v>
      </c>
      <c r="L412" s="381"/>
    </row>
    <row r="413" spans="1:12" s="270" customFormat="1">
      <c r="A413" s="867" t="s">
        <v>629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8"/>
        <v>0</v>
      </c>
      <c r="L413" s="381"/>
    </row>
    <row r="414" spans="1:12" s="270" customFormat="1">
      <c r="A414" s="867" t="s">
        <v>528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8"/>
        <v>0</v>
      </c>
      <c r="L414" s="381"/>
    </row>
    <row r="415" spans="1:12" s="270" customFormat="1">
      <c r="A415" s="867" t="s">
        <v>526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8"/>
        <v>0</v>
      </c>
      <c r="L415" s="381"/>
    </row>
    <row r="416" spans="1:12" s="270" customFormat="1">
      <c r="A416" s="867" t="s">
        <v>526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8"/>
        <v>0</v>
      </c>
      <c r="L416" s="381"/>
    </row>
    <row r="417" spans="1:12" s="270" customFormat="1">
      <c r="A417" s="867" t="s">
        <v>526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ref="K417:K428" si="9">IF(LEFT(A417,2)="TU",(J417-I417)*E417/100*100000*2,(J417-I417)*E417/100*100000)</f>
        <v>0</v>
      </c>
      <c r="L417" s="381"/>
    </row>
    <row r="418" spans="1:12" s="270" customFormat="1">
      <c r="A418" s="867" t="s">
        <v>526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526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526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526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526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528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528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526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526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/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/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349" t="s">
        <v>166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10941</v>
      </c>
      <c r="H429" s="486"/>
      <c r="I429" s="356"/>
      <c r="J429" s="357"/>
      <c r="K429" s="358">
        <f>SUM(K33:K428)+L271</f>
        <v>-11351.5625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10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10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10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10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10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10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321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363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1">(J446-I446)*E446/100</f>
        <v>0</v>
      </c>
      <c r="L446" s="381"/>
    </row>
    <row r="447" spans="1:12" s="270" customFormat="1">
      <c r="A447" s="325" t="s">
        <v>415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1"/>
        <v>0</v>
      </c>
      <c r="L447" s="381"/>
    </row>
    <row r="448" spans="1:12" s="270" customFormat="1">
      <c r="A448" s="337" t="s">
        <v>432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1"/>
        <v>0</v>
      </c>
      <c r="L448" s="381"/>
    </row>
    <row r="449" spans="1:12" s="270" customFormat="1">
      <c r="A449" s="337" t="s">
        <v>514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1"/>
        <v>0</v>
      </c>
      <c r="L449" s="381"/>
    </row>
    <row r="450" spans="1:12" s="270" customFormat="1">
      <c r="A450" s="337" t="s">
        <v>557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1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1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1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1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1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1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1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1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1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1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1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1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1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1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15:K316">
    <cfRule type="expression" dxfId="25" priority="2">
      <formula>LEFT(A315,2)="TU"</formula>
    </cfRule>
  </conditionalFormatting>
  <conditionalFormatting sqref="K33:K314">
    <cfRule type="expression" dxfId="24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1" sqref="E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307</v>
      </c>
      <c r="S15" s="131" t="s">
        <v>21</v>
      </c>
    </row>
    <row r="16" spans="1:19" s="102" customFormat="1">
      <c r="A16" s="659" t="s">
        <v>313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301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301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301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301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301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301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164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99</v>
      </c>
      <c r="B44" s="207" t="s">
        <v>7</v>
      </c>
      <c r="C44" s="207" t="s">
        <v>171</v>
      </c>
      <c r="D44" s="535" t="s">
        <v>170</v>
      </c>
      <c r="E44" s="208" t="s">
        <v>11</v>
      </c>
      <c r="F44" s="207" t="s">
        <v>2</v>
      </c>
      <c r="G44" s="209" t="s">
        <v>12</v>
      </c>
      <c r="H44" s="482" t="s">
        <v>18</v>
      </c>
      <c r="I44" s="209" t="s">
        <v>213</v>
      </c>
      <c r="J44" s="207" t="s">
        <v>214</v>
      </c>
      <c r="K44" s="260" t="s">
        <v>215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629</v>
      </c>
      <c r="B45" s="328" t="s">
        <v>670</v>
      </c>
      <c r="C45" s="328" t="s">
        <v>339</v>
      </c>
      <c r="D45" s="542" t="s">
        <v>339</v>
      </c>
      <c r="E45" s="872">
        <v>0</v>
      </c>
      <c r="F45" s="330" t="s">
        <v>304</v>
      </c>
      <c r="G45" s="332">
        <f t="shared" ref="G45:G54" si="2">-77*E45</f>
        <v>0</v>
      </c>
      <c r="H45" s="846" t="s">
        <v>671</v>
      </c>
      <c r="I45" s="335">
        <v>112.515625</v>
      </c>
      <c r="J45" s="335">
        <f>_xlfn.IFNA(VLOOKUP(A45,'market px'!$B$2:$F$20,5,FALSE),0)</f>
        <v>111.28125</v>
      </c>
      <c r="K45" s="845">
        <f>IF(LEFT(A45,2)="TU",(J45-I45)*E45/100*100000*2,(J45-I45)*E45/100*100000)</f>
        <v>0</v>
      </c>
      <c r="L45" s="377"/>
    </row>
    <row r="46" spans="1:19" s="93" customFormat="1">
      <c r="A46" s="325" t="s">
        <v>629</v>
      </c>
      <c r="B46" s="328" t="s">
        <v>664</v>
      </c>
      <c r="C46" s="328" t="s">
        <v>339</v>
      </c>
      <c r="D46" s="542" t="s">
        <v>339</v>
      </c>
      <c r="E46" s="872">
        <v>0</v>
      </c>
      <c r="F46" s="330" t="s">
        <v>304</v>
      </c>
      <c r="G46" s="332">
        <f t="shared" si="2"/>
        <v>0</v>
      </c>
      <c r="H46" s="325" t="s">
        <v>665</v>
      </c>
      <c r="I46" s="335">
        <v>113.625</v>
      </c>
      <c r="J46" s="335">
        <f>_xlfn.IFNA(VLOOKUP(A46,'market px'!$B$2:$F$20,5,FALSE),0)</f>
        <v>111.28125</v>
      </c>
      <c r="K46" s="845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643</v>
      </c>
      <c r="B47" s="328" t="s">
        <v>1174</v>
      </c>
      <c r="C47" s="328" t="s">
        <v>339</v>
      </c>
      <c r="D47" s="542" t="s">
        <v>339</v>
      </c>
      <c r="E47" s="872">
        <v>0</v>
      </c>
      <c r="F47" s="330" t="s">
        <v>304</v>
      </c>
      <c r="G47" s="332">
        <f t="shared" si="2"/>
        <v>0</v>
      </c>
      <c r="H47" s="325" t="s">
        <v>1201</v>
      </c>
      <c r="I47" s="335">
        <v>113.046875</v>
      </c>
      <c r="J47" s="335">
        <f>_xlfn.IFNA(VLOOKUP(A47,'market px'!$B$2:$F$20,5,FALSE),0)</f>
        <v>114.484375</v>
      </c>
      <c r="K47" s="845">
        <f t="shared" si="3"/>
        <v>0</v>
      </c>
      <c r="L47" s="377"/>
    </row>
    <row r="48" spans="1:19" s="93" customFormat="1">
      <c r="A48" s="325" t="s">
        <v>643</v>
      </c>
      <c r="B48" s="328" t="s">
        <v>1115</v>
      </c>
      <c r="C48" s="328" t="s">
        <v>339</v>
      </c>
      <c r="D48" s="542" t="s">
        <v>339</v>
      </c>
      <c r="E48" s="872">
        <v>0</v>
      </c>
      <c r="F48" s="330" t="s">
        <v>304</v>
      </c>
      <c r="G48" s="332">
        <f t="shared" si="2"/>
        <v>0</v>
      </c>
      <c r="H48" s="325" t="s">
        <v>1120</v>
      </c>
      <c r="I48" s="335">
        <v>110.671875</v>
      </c>
      <c r="J48" s="335">
        <f>_xlfn.IFNA(VLOOKUP(A48,'market px'!$B$2:$F$20,5,FALSE),0)</f>
        <v>114.484375</v>
      </c>
      <c r="K48" s="845">
        <f t="shared" si="3"/>
        <v>0</v>
      </c>
      <c r="L48" s="377"/>
    </row>
    <row r="49" spans="1:19" s="93" customFormat="1">
      <c r="A49" s="325" t="s">
        <v>643</v>
      </c>
      <c r="B49" s="328" t="s">
        <v>1384</v>
      </c>
      <c r="C49" s="328" t="s">
        <v>339</v>
      </c>
      <c r="D49" s="542" t="s">
        <v>339</v>
      </c>
      <c r="E49" s="872">
        <v>0</v>
      </c>
      <c r="F49" s="330" t="s">
        <v>304</v>
      </c>
      <c r="G49" s="332">
        <f t="shared" si="2"/>
        <v>0</v>
      </c>
      <c r="H49" s="325" t="s">
        <v>1386</v>
      </c>
      <c r="I49" s="335">
        <v>114.296875</v>
      </c>
      <c r="J49" s="335">
        <f>_xlfn.IFNA(VLOOKUP(A49,'market px'!$B$2:$F$20,5,FALSE),0)</f>
        <v>114.484375</v>
      </c>
      <c r="K49" s="845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643</v>
      </c>
      <c r="B50" s="328" t="s">
        <v>1474</v>
      </c>
      <c r="C50" s="328" t="s">
        <v>339</v>
      </c>
      <c r="D50" s="542" t="s">
        <v>339</v>
      </c>
      <c r="E50" s="872">
        <v>0</v>
      </c>
      <c r="F50" s="330" t="s">
        <v>304</v>
      </c>
      <c r="G50" s="332">
        <f t="shared" si="2"/>
        <v>0</v>
      </c>
      <c r="H50" s="325" t="s">
        <v>1481</v>
      </c>
      <c r="I50" s="335">
        <v>114.9375</v>
      </c>
      <c r="J50" s="335">
        <f>_xlfn.IFNA(VLOOKUP(A50,'market px'!$B$2:$F$20,5,FALSE),0)</f>
        <v>114.484375</v>
      </c>
      <c r="K50" s="845">
        <f t="shared" si="4"/>
        <v>0</v>
      </c>
      <c r="L50" s="377"/>
    </row>
    <row r="51" spans="1:19" s="93" customFormat="1">
      <c r="A51" s="325" t="s">
        <v>643</v>
      </c>
      <c r="B51" s="328"/>
      <c r="C51" s="328"/>
      <c r="D51" s="542"/>
      <c r="E51" s="872">
        <v>0</v>
      </c>
      <c r="F51" s="330"/>
      <c r="G51" s="332">
        <f t="shared" si="2"/>
        <v>0</v>
      </c>
      <c r="H51" s="325"/>
      <c r="I51" s="335"/>
      <c r="J51" s="335">
        <f>_xlfn.IFNA(VLOOKUP(A51,'market px'!$B$2:$F$20,5,FALSE),0)</f>
        <v>114.484375</v>
      </c>
      <c r="K51" s="845">
        <f t="shared" si="4"/>
        <v>0</v>
      </c>
      <c r="L51" s="377"/>
    </row>
    <row r="52" spans="1:19" s="93" customFormat="1">
      <c r="A52" s="325" t="s">
        <v>643</v>
      </c>
      <c r="B52" s="328"/>
      <c r="C52" s="328"/>
      <c r="D52" s="542"/>
      <c r="E52" s="872">
        <v>0</v>
      </c>
      <c r="F52" s="330"/>
      <c r="G52" s="332">
        <f t="shared" si="2"/>
        <v>0</v>
      </c>
      <c r="H52" s="325"/>
      <c r="I52" s="335"/>
      <c r="J52" s="335">
        <f>_xlfn.IFNA(VLOOKUP(A52,'market px'!$B$2:$F$20,5,FALSE),0)</f>
        <v>114.484375</v>
      </c>
      <c r="K52" s="845">
        <f t="shared" si="4"/>
        <v>0</v>
      </c>
      <c r="L52" s="377"/>
    </row>
    <row r="53" spans="1:19" s="93" customFormat="1">
      <c r="A53" s="325" t="s">
        <v>643</v>
      </c>
      <c r="B53" s="328"/>
      <c r="C53" s="328"/>
      <c r="D53" s="542"/>
      <c r="E53" s="872">
        <v>0</v>
      </c>
      <c r="F53" s="330"/>
      <c r="G53" s="332">
        <f t="shared" si="2"/>
        <v>0</v>
      </c>
      <c r="H53" s="325"/>
      <c r="I53" s="335"/>
      <c r="J53" s="335">
        <f>_xlfn.IFNA(VLOOKUP(A53,'market px'!$B$2:$F$20,5,FALSE),0)</f>
        <v>114.484375</v>
      </c>
      <c r="K53" s="845">
        <f t="shared" si="4"/>
        <v>0</v>
      </c>
      <c r="L53" s="377"/>
    </row>
    <row r="54" spans="1:19" s="93" customFormat="1">
      <c r="A54" s="325" t="s">
        <v>643</v>
      </c>
      <c r="B54" s="328" t="s">
        <v>1132</v>
      </c>
      <c r="C54" s="328" t="s">
        <v>339</v>
      </c>
      <c r="D54" s="542" t="s">
        <v>339</v>
      </c>
      <c r="E54" s="872">
        <v>0</v>
      </c>
      <c r="F54" s="330" t="s">
        <v>304</v>
      </c>
      <c r="G54" s="332">
        <f t="shared" si="2"/>
        <v>0</v>
      </c>
      <c r="H54" s="325" t="s">
        <v>1139</v>
      </c>
      <c r="I54" s="335">
        <v>111.09375</v>
      </c>
      <c r="J54" s="335">
        <f>_xlfn.IFNA(VLOOKUP(A54,'market px'!$B$2:$F$20,5,FALSE),0)</f>
        <v>114.484375</v>
      </c>
      <c r="K54" s="845">
        <f t="shared" si="3"/>
        <v>0</v>
      </c>
      <c r="L54" s="377"/>
    </row>
    <row r="55" spans="1:19" s="93" customFormat="1">
      <c r="A55" s="325" t="s">
        <v>602</v>
      </c>
      <c r="B55" s="328" t="s">
        <v>610</v>
      </c>
      <c r="C55" s="328" t="s">
        <v>339</v>
      </c>
      <c r="D55" s="542" t="s">
        <v>339</v>
      </c>
      <c r="E55" s="872">
        <v>0</v>
      </c>
      <c r="F55" s="330" t="s">
        <v>304</v>
      </c>
      <c r="G55" s="332">
        <f t="shared" ref="G55:G58" si="5">-77*E55</f>
        <v>0</v>
      </c>
      <c r="H55" s="325" t="s">
        <v>611</v>
      </c>
      <c r="I55" s="335">
        <v>112</v>
      </c>
      <c r="J55" s="335">
        <f>_xlfn.IFNA(VLOOKUP(A55,'market px'!$B$2:$F$20,5,FALSE),0)</f>
        <v>0</v>
      </c>
      <c r="K55" s="845">
        <f t="shared" si="3"/>
        <v>0</v>
      </c>
      <c r="L55" s="377"/>
    </row>
    <row r="56" spans="1:19" s="93" customFormat="1">
      <c r="A56" s="325" t="s">
        <v>647</v>
      </c>
      <c r="B56" s="328" t="s">
        <v>1049</v>
      </c>
      <c r="C56" s="328" t="s">
        <v>339</v>
      </c>
      <c r="D56" s="542" t="s">
        <v>339</v>
      </c>
      <c r="E56" s="872">
        <v>0</v>
      </c>
      <c r="F56" s="330" t="s">
        <v>304</v>
      </c>
      <c r="G56" s="332">
        <f t="shared" si="5"/>
        <v>0</v>
      </c>
      <c r="H56" s="325" t="s">
        <v>1057</v>
      </c>
      <c r="I56" s="335">
        <v>107.2109375</v>
      </c>
      <c r="J56" s="335">
        <f>_xlfn.IFNA(VLOOKUP(A56,'market px'!$B$2:$F$20,5,FALSE),0)</f>
        <v>109.1640625</v>
      </c>
      <c r="K56" s="845">
        <f t="shared" si="3"/>
        <v>0</v>
      </c>
      <c r="L56" s="377"/>
    </row>
    <row r="57" spans="1:19" s="93" customFormat="1">
      <c r="A57" s="325" t="s">
        <v>586</v>
      </c>
      <c r="B57" s="328" t="s">
        <v>603</v>
      </c>
      <c r="C57" s="328" t="s">
        <v>339</v>
      </c>
      <c r="D57" s="328" t="s">
        <v>339</v>
      </c>
      <c r="E57" s="872">
        <v>0</v>
      </c>
      <c r="F57" s="328" t="s">
        <v>304</v>
      </c>
      <c r="G57" s="332">
        <f t="shared" si="5"/>
        <v>0</v>
      </c>
      <c r="H57" s="328" t="s">
        <v>606</v>
      </c>
      <c r="I57" s="335">
        <v>118.75</v>
      </c>
      <c r="J57" s="335">
        <f>_xlfn.IFNA(VLOOKUP(A57,'market px'!$B$2:$F$20,5,FALSE),0)</f>
        <v>0</v>
      </c>
      <c r="K57" s="845">
        <f t="shared" si="3"/>
        <v>0</v>
      </c>
      <c r="L57" s="377"/>
    </row>
    <row r="58" spans="1:19" s="93" customFormat="1">
      <c r="A58" s="325" t="s">
        <v>586</v>
      </c>
      <c r="B58" s="328" t="s">
        <v>599</v>
      </c>
      <c r="C58" s="328" t="s">
        <v>339</v>
      </c>
      <c r="D58" s="328" t="s">
        <v>339</v>
      </c>
      <c r="E58" s="872">
        <v>0</v>
      </c>
      <c r="F58" s="328" t="s">
        <v>304</v>
      </c>
      <c r="G58" s="332">
        <f t="shared" si="5"/>
        <v>0</v>
      </c>
      <c r="H58" s="328" t="s">
        <v>601</v>
      </c>
      <c r="I58" s="335">
        <v>119.78125</v>
      </c>
      <c r="J58" s="335">
        <f>_xlfn.IFNA(VLOOKUP(A58,'market px'!$B$2:$F$20,5,FALSE),0)</f>
        <v>0</v>
      </c>
      <c r="K58" s="845">
        <f t="shared" si="3"/>
        <v>0</v>
      </c>
      <c r="L58" s="377"/>
    </row>
    <row r="59" spans="1:19" s="270" customFormat="1">
      <c r="A59" s="325" t="s">
        <v>604</v>
      </c>
      <c r="B59" s="325" t="s">
        <v>614</v>
      </c>
      <c r="C59" s="325" t="s">
        <v>339</v>
      </c>
      <c r="D59" s="325" t="s">
        <v>339</v>
      </c>
      <c r="E59" s="872">
        <v>0</v>
      </c>
      <c r="F59" s="325" t="s">
        <v>304</v>
      </c>
      <c r="G59" s="332">
        <f>-18.6*2*E59</f>
        <v>0</v>
      </c>
      <c r="H59" s="325" t="s">
        <v>615</v>
      </c>
      <c r="I59" s="325">
        <v>102.5390625</v>
      </c>
      <c r="J59" s="335">
        <f>_xlfn.IFNA(VLOOKUP(A59,'market px'!$B$2:$F$20,5,FALSE),0)</f>
        <v>0</v>
      </c>
      <c r="K59" s="845">
        <f t="shared" si="3"/>
        <v>0</v>
      </c>
      <c r="L59" s="381"/>
    </row>
    <row r="60" spans="1:19" s="270" customFormat="1">
      <c r="A60" s="325" t="s">
        <v>589</v>
      </c>
      <c r="B60" s="325" t="s">
        <v>591</v>
      </c>
      <c r="C60" s="325" t="s">
        <v>339</v>
      </c>
      <c r="D60" s="325" t="s">
        <v>339</v>
      </c>
      <c r="E60" s="872">
        <v>0</v>
      </c>
      <c r="F60" s="325" t="s">
        <v>304</v>
      </c>
      <c r="G60" s="332">
        <f t="shared" ref="G60" si="6">-18.6*2*E60</f>
        <v>0</v>
      </c>
      <c r="H60" s="325" t="s">
        <v>592</v>
      </c>
      <c r="I60" s="325">
        <v>104.1015625</v>
      </c>
      <c r="J60" s="335">
        <f>_xlfn.IFNA(VLOOKUP(A60,'market px'!$B$2:$F$20,5,FALSE),0)</f>
        <v>0</v>
      </c>
      <c r="K60" s="845">
        <f t="shared" si="3"/>
        <v>0</v>
      </c>
      <c r="L60" s="381"/>
    </row>
    <row r="61" spans="1:19" s="270" customFormat="1">
      <c r="A61" s="349" t="s">
        <v>166</v>
      </c>
      <c r="B61" s="350"/>
      <c r="C61" s="351"/>
      <c r="D61" s="545"/>
      <c r="E61" s="875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1301</v>
      </c>
      <c r="B64" s="328">
        <v>43118</v>
      </c>
      <c r="C64" s="329"/>
      <c r="D64" s="542"/>
      <c r="E64" s="330">
        <v>0</v>
      </c>
      <c r="F64" s="331" t="s">
        <v>304</v>
      </c>
      <c r="G64" s="332">
        <f>-190*E64</f>
        <v>0</v>
      </c>
      <c r="H64" s="483"/>
      <c r="I64" s="335">
        <v>134.1</v>
      </c>
      <c r="J64" s="335">
        <f>VLOOKUP(A64,'market px'!$G$2:$I$20,3,FALSE)</f>
        <v>140.24</v>
      </c>
      <c r="K64" s="336">
        <f t="shared" ref="K64:K69" si="7">(J64-I64)*E64/100</f>
        <v>0</v>
      </c>
      <c r="L64" s="377"/>
    </row>
    <row r="65" spans="1:17" s="93" customFormat="1">
      <c r="A65" s="325" t="s">
        <v>1300</v>
      </c>
      <c r="B65" s="328">
        <v>41547</v>
      </c>
      <c r="C65" s="329"/>
      <c r="D65" s="542"/>
      <c r="E65" s="330">
        <f>100000*0</f>
        <v>0</v>
      </c>
      <c r="F65" s="331" t="s">
        <v>1309</v>
      </c>
      <c r="G65" s="332">
        <f>-83*E65</f>
        <v>0</v>
      </c>
      <c r="H65" s="483"/>
      <c r="I65" s="335">
        <v>135.12</v>
      </c>
      <c r="J65" s="335">
        <f>VLOOKUP(A65,'market px'!$G$2:$I$20,3,FALSE)</f>
        <v>135.34</v>
      </c>
      <c r="K65" s="336">
        <f t="shared" si="7"/>
        <v>0</v>
      </c>
      <c r="L65" s="377"/>
    </row>
    <row r="66" spans="1:17" s="93" customFormat="1">
      <c r="A66" s="325" t="s">
        <v>1296</v>
      </c>
      <c r="B66" s="328">
        <v>41416</v>
      </c>
      <c r="C66" s="329"/>
      <c r="D66" s="542"/>
      <c r="E66" s="330">
        <f>100000*0</f>
        <v>0</v>
      </c>
      <c r="F66" s="331" t="s">
        <v>1309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105.62</v>
      </c>
      <c r="K66" s="336">
        <f t="shared" si="7"/>
        <v>0</v>
      </c>
      <c r="L66" s="377"/>
    </row>
    <row r="67" spans="1:17" s="270" customFormat="1">
      <c r="A67" s="325" t="s">
        <v>1298</v>
      </c>
      <c r="B67" s="328">
        <v>40995</v>
      </c>
      <c r="C67" s="329"/>
      <c r="D67" s="542"/>
      <c r="E67" s="330">
        <f>100000*0</f>
        <v>0</v>
      </c>
      <c r="F67" s="331" t="s">
        <v>1309</v>
      </c>
      <c r="G67" s="332">
        <f>-44*E67</f>
        <v>0</v>
      </c>
      <c r="H67" s="483"/>
      <c r="I67" s="335">
        <v>109.88</v>
      </c>
      <c r="J67" s="335">
        <f>VLOOKUP(A67,'market px'!$G$2:$I$20,3,FALSE)</f>
        <v>117.57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'Mark1-UR'!A75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3" priority="5">
      <formula>AND(IF(E45&lt;&gt;0,1),IF(G45=0,1))</formula>
    </cfRule>
  </conditionalFormatting>
  <conditionalFormatting sqref="K45:K60">
    <cfRule type="expression" dxfId="22" priority="3">
      <formula>LEFT(A45,2)="TU"</formula>
    </cfRule>
  </conditionalFormatting>
  <conditionalFormatting sqref="G59:G60">
    <cfRule type="expression" dxfId="21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07" activePane="bottomLeft"/>
      <selection activeCell="A20" sqref="A20:XFD20"/>
      <selection pane="bottomLeft" activeCell="J127" sqref="J127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164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99</v>
      </c>
      <c r="B19" s="207" t="s">
        <v>7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216</v>
      </c>
      <c r="K19" s="260" t="s">
        <v>212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629</v>
      </c>
      <c r="B20" s="328" t="s">
        <v>680</v>
      </c>
      <c r="C20" s="328" t="s">
        <v>339</v>
      </c>
      <c r="D20" s="542" t="s">
        <v>339</v>
      </c>
      <c r="E20" s="330">
        <v>-30</v>
      </c>
      <c r="F20" s="330" t="s">
        <v>304</v>
      </c>
      <c r="G20" s="332">
        <v>0</v>
      </c>
      <c r="H20" s="328" t="s">
        <v>685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629</v>
      </c>
      <c r="B21" s="328" t="s">
        <v>680</v>
      </c>
      <c r="C21" s="328" t="s">
        <v>339</v>
      </c>
      <c r="D21" s="542" t="s">
        <v>339</v>
      </c>
      <c r="E21" s="330">
        <v>-30</v>
      </c>
      <c r="F21" s="330" t="s">
        <v>304</v>
      </c>
      <c r="G21" s="332">
        <v>0</v>
      </c>
      <c r="H21" s="483" t="s">
        <v>686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629</v>
      </c>
      <c r="B22" s="328" t="s">
        <v>687</v>
      </c>
      <c r="C22" s="328" t="s">
        <v>339</v>
      </c>
      <c r="D22" s="542" t="s">
        <v>339</v>
      </c>
      <c r="E22" s="330">
        <v>-30</v>
      </c>
      <c r="F22" s="330" t="s">
        <v>304</v>
      </c>
      <c r="G22" s="332">
        <v>0</v>
      </c>
      <c r="H22" s="483" t="s">
        <v>688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629</v>
      </c>
      <c r="B23" s="328" t="s">
        <v>687</v>
      </c>
      <c r="C23" s="328" t="s">
        <v>339</v>
      </c>
      <c r="D23" s="542" t="s">
        <v>339</v>
      </c>
      <c r="E23" s="330">
        <v>30</v>
      </c>
      <c r="F23" s="330" t="s">
        <v>304</v>
      </c>
      <c r="G23" s="332">
        <v>0</v>
      </c>
      <c r="H23" s="483" t="s">
        <v>695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629</v>
      </c>
      <c r="B24" s="328" t="s">
        <v>687</v>
      </c>
      <c r="C24" s="328" t="s">
        <v>339</v>
      </c>
      <c r="D24" s="542" t="s">
        <v>339</v>
      </c>
      <c r="E24" s="330">
        <v>30</v>
      </c>
      <c r="F24" s="330" t="s">
        <v>304</v>
      </c>
      <c r="G24" s="332">
        <v>0</v>
      </c>
      <c r="H24" s="483" t="s">
        <v>696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629</v>
      </c>
      <c r="B25" s="328" t="s">
        <v>705</v>
      </c>
      <c r="C25" s="328" t="s">
        <v>339</v>
      </c>
      <c r="D25" s="542" t="s">
        <v>339</v>
      </c>
      <c r="E25" s="330">
        <v>-30</v>
      </c>
      <c r="F25" s="330" t="s">
        <v>304</v>
      </c>
      <c r="G25" s="332">
        <v>0</v>
      </c>
      <c r="H25" s="483" t="s">
        <v>715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629</v>
      </c>
      <c r="B26" s="328" t="s">
        <v>705</v>
      </c>
      <c r="C26" s="328" t="s">
        <v>339</v>
      </c>
      <c r="D26" s="542" t="s">
        <v>339</v>
      </c>
      <c r="E26" s="330">
        <v>-30</v>
      </c>
      <c r="F26" s="330" t="s">
        <v>304</v>
      </c>
      <c r="G26" s="332">
        <v>0</v>
      </c>
      <c r="H26" s="483" t="s">
        <v>716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629</v>
      </c>
      <c r="B27" s="328" t="s">
        <v>705</v>
      </c>
      <c r="C27" s="328" t="s">
        <v>339</v>
      </c>
      <c r="D27" s="542" t="s">
        <v>339</v>
      </c>
      <c r="E27" s="330">
        <v>-30</v>
      </c>
      <c r="F27" s="330" t="s">
        <v>304</v>
      </c>
      <c r="G27" s="332">
        <v>0</v>
      </c>
      <c r="H27" s="483" t="s">
        <v>717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629</v>
      </c>
      <c r="B28" s="328" t="s">
        <v>705</v>
      </c>
      <c r="C28" s="328" t="s">
        <v>339</v>
      </c>
      <c r="D28" s="542" t="s">
        <v>339</v>
      </c>
      <c r="E28" s="330">
        <v>-30</v>
      </c>
      <c r="F28" s="330" t="s">
        <v>304</v>
      </c>
      <c r="G28" s="332">
        <v>0</v>
      </c>
      <c r="H28" s="483" t="s">
        <v>718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629</v>
      </c>
      <c r="B29" s="328" t="s">
        <v>723</v>
      </c>
      <c r="C29" s="328" t="s">
        <v>339</v>
      </c>
      <c r="D29" s="542" t="s">
        <v>339</v>
      </c>
      <c r="E29" s="330">
        <v>-30</v>
      </c>
      <c r="F29" s="330" t="s">
        <v>304</v>
      </c>
      <c r="G29" s="332">
        <v>0</v>
      </c>
      <c r="H29" s="483" t="s">
        <v>728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629</v>
      </c>
      <c r="B30" s="328" t="s">
        <v>723</v>
      </c>
      <c r="C30" s="328" t="s">
        <v>339</v>
      </c>
      <c r="D30" s="542" t="s">
        <v>339</v>
      </c>
      <c r="E30" s="330">
        <v>-30</v>
      </c>
      <c r="F30" s="330" t="s">
        <v>304</v>
      </c>
      <c r="G30" s="332">
        <v>0</v>
      </c>
      <c r="H30" s="483" t="s">
        <v>729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629</v>
      </c>
      <c r="B31" s="328" t="s">
        <v>723</v>
      </c>
      <c r="C31" s="328" t="s">
        <v>339</v>
      </c>
      <c r="D31" s="542" t="s">
        <v>339</v>
      </c>
      <c r="E31" s="330">
        <v>-20</v>
      </c>
      <c r="F31" s="330" t="s">
        <v>304</v>
      </c>
      <c r="G31" s="332">
        <v>2310</v>
      </c>
      <c r="H31" s="483" t="s">
        <v>730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629</v>
      </c>
      <c r="B32" s="328" t="s">
        <v>723</v>
      </c>
      <c r="C32" s="328" t="s">
        <v>339</v>
      </c>
      <c r="D32" s="542" t="s">
        <v>339</v>
      </c>
      <c r="E32" s="330">
        <v>-10</v>
      </c>
      <c r="F32" s="330" t="s">
        <v>304</v>
      </c>
      <c r="G32" s="332">
        <v>770</v>
      </c>
      <c r="H32" s="483" t="s">
        <v>730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629</v>
      </c>
      <c r="B33" s="328" t="s">
        <v>741</v>
      </c>
      <c r="C33" s="328" t="s">
        <v>339</v>
      </c>
      <c r="D33" s="542" t="s">
        <v>339</v>
      </c>
      <c r="E33" s="330">
        <v>10</v>
      </c>
      <c r="F33" s="330" t="s">
        <v>304</v>
      </c>
      <c r="G33" s="332">
        <v>-770</v>
      </c>
      <c r="H33" s="483" t="s">
        <v>742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629</v>
      </c>
      <c r="B34" s="328" t="s">
        <v>744</v>
      </c>
      <c r="C34" s="328" t="s">
        <v>339</v>
      </c>
      <c r="D34" s="542" t="s">
        <v>339</v>
      </c>
      <c r="E34" s="330">
        <v>20</v>
      </c>
      <c r="F34" s="330" t="s">
        <v>304</v>
      </c>
      <c r="G34" s="332">
        <v>0</v>
      </c>
      <c r="H34" s="483" t="s">
        <v>748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629</v>
      </c>
      <c r="B35" s="328" t="s">
        <v>744</v>
      </c>
      <c r="C35" s="328" t="s">
        <v>339</v>
      </c>
      <c r="D35" s="542" t="s">
        <v>339</v>
      </c>
      <c r="E35" s="330">
        <v>10</v>
      </c>
      <c r="F35" s="330" t="s">
        <v>304</v>
      </c>
      <c r="G35" s="332">
        <v>0</v>
      </c>
      <c r="H35" s="483" t="s">
        <v>766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629</v>
      </c>
      <c r="B36" s="328" t="s">
        <v>744</v>
      </c>
      <c r="C36" s="328" t="s">
        <v>339</v>
      </c>
      <c r="D36" s="542" t="s">
        <v>339</v>
      </c>
      <c r="E36" s="330">
        <v>10</v>
      </c>
      <c r="F36" s="330" t="s">
        <v>304</v>
      </c>
      <c r="G36" s="332">
        <v>0</v>
      </c>
      <c r="H36" s="483" t="s">
        <v>767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629</v>
      </c>
      <c r="B37" s="328" t="s">
        <v>776</v>
      </c>
      <c r="C37" s="328" t="s">
        <v>339</v>
      </c>
      <c r="D37" s="542" t="s">
        <v>339</v>
      </c>
      <c r="E37" s="330">
        <v>20</v>
      </c>
      <c r="F37" s="330" t="s">
        <v>304</v>
      </c>
      <c r="G37" s="332">
        <v>0</v>
      </c>
      <c r="H37" s="483" t="s">
        <v>777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629</v>
      </c>
      <c r="B38" s="328" t="s">
        <v>776</v>
      </c>
      <c r="C38" s="328" t="s">
        <v>339</v>
      </c>
      <c r="D38" s="542" t="s">
        <v>339</v>
      </c>
      <c r="E38" s="330">
        <v>20</v>
      </c>
      <c r="F38" s="330" t="s">
        <v>304</v>
      </c>
      <c r="G38" s="332">
        <v>0</v>
      </c>
      <c r="H38" s="483" t="s">
        <v>779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629</v>
      </c>
      <c r="B39" s="328" t="s">
        <v>781</v>
      </c>
      <c r="C39" s="328" t="s">
        <v>339</v>
      </c>
      <c r="D39" s="542" t="s">
        <v>339</v>
      </c>
      <c r="E39" s="330">
        <v>-20</v>
      </c>
      <c r="F39" s="330" t="s">
        <v>304</v>
      </c>
      <c r="G39" s="332">
        <v>0</v>
      </c>
      <c r="H39" s="483" t="s">
        <v>788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629</v>
      </c>
      <c r="B40" s="328" t="s">
        <v>786</v>
      </c>
      <c r="C40" s="328" t="s">
        <v>339</v>
      </c>
      <c r="D40" s="542" t="s">
        <v>339</v>
      </c>
      <c r="E40" s="330">
        <v>-10</v>
      </c>
      <c r="F40" s="330" t="s">
        <v>304</v>
      </c>
      <c r="G40" s="332">
        <v>0</v>
      </c>
      <c r="H40" s="483" t="s">
        <v>789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629</v>
      </c>
      <c r="B41" s="328" t="s">
        <v>786</v>
      </c>
      <c r="C41" s="328" t="s">
        <v>339</v>
      </c>
      <c r="D41" s="542" t="s">
        <v>339</v>
      </c>
      <c r="E41" s="330">
        <v>20</v>
      </c>
      <c r="F41" s="330" t="s">
        <v>304</v>
      </c>
      <c r="G41" s="332">
        <v>0</v>
      </c>
      <c r="H41" s="483" t="s">
        <v>790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629</v>
      </c>
      <c r="B42" s="328" t="s">
        <v>786</v>
      </c>
      <c r="C42" s="328" t="s">
        <v>339</v>
      </c>
      <c r="D42" s="542" t="s">
        <v>339</v>
      </c>
      <c r="E42" s="330">
        <v>-20</v>
      </c>
      <c r="F42" s="330" t="s">
        <v>304</v>
      </c>
      <c r="G42" s="332">
        <v>0</v>
      </c>
      <c r="H42" s="483" t="s">
        <v>810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629</v>
      </c>
      <c r="B43" s="328" t="s">
        <v>786</v>
      </c>
      <c r="C43" s="328" t="s">
        <v>339</v>
      </c>
      <c r="D43" s="542" t="s">
        <v>339</v>
      </c>
      <c r="E43" s="330">
        <v>-20</v>
      </c>
      <c r="F43" s="330" t="s">
        <v>304</v>
      </c>
      <c r="G43" s="332">
        <v>0</v>
      </c>
      <c r="H43" s="483" t="s">
        <v>811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629</v>
      </c>
      <c r="B44" s="328" t="s">
        <v>797</v>
      </c>
      <c r="C44" s="328" t="s">
        <v>339</v>
      </c>
      <c r="D44" s="542" t="s">
        <v>339</v>
      </c>
      <c r="E44" s="330">
        <v>-20</v>
      </c>
      <c r="F44" s="330" t="s">
        <v>304</v>
      </c>
      <c r="G44" s="332">
        <v>0</v>
      </c>
      <c r="H44" s="483" t="s">
        <v>812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629</v>
      </c>
      <c r="B45" s="328" t="s">
        <v>797</v>
      </c>
      <c r="C45" s="328" t="s">
        <v>339</v>
      </c>
      <c r="D45" s="542" t="s">
        <v>339</v>
      </c>
      <c r="E45" s="330">
        <v>-20</v>
      </c>
      <c r="F45" s="330" t="s">
        <v>304</v>
      </c>
      <c r="G45" s="332">
        <v>0</v>
      </c>
      <c r="H45" s="483" t="s">
        <v>813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629</v>
      </c>
      <c r="B46" s="328" t="s">
        <v>786</v>
      </c>
      <c r="C46" s="328" t="s">
        <v>339</v>
      </c>
      <c r="D46" s="542" t="s">
        <v>339</v>
      </c>
      <c r="E46" s="330">
        <v>20</v>
      </c>
      <c r="F46" s="330" t="s">
        <v>304</v>
      </c>
      <c r="G46" s="332">
        <v>-1540</v>
      </c>
      <c r="H46" s="483" t="s">
        <v>791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629</v>
      </c>
      <c r="B47" s="328" t="s">
        <v>797</v>
      </c>
      <c r="C47" s="328" t="s">
        <v>339</v>
      </c>
      <c r="D47" s="542" t="s">
        <v>339</v>
      </c>
      <c r="E47" s="330">
        <v>20</v>
      </c>
      <c r="F47" s="330" t="s">
        <v>304</v>
      </c>
      <c r="G47" s="332">
        <v>0</v>
      </c>
      <c r="H47" s="483" t="s">
        <v>832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629</v>
      </c>
      <c r="B48" s="328" t="s">
        <v>833</v>
      </c>
      <c r="C48" s="328" t="s">
        <v>339</v>
      </c>
      <c r="D48" s="542" t="s">
        <v>339</v>
      </c>
      <c r="E48" s="330">
        <v>-20</v>
      </c>
      <c r="F48" s="330" t="s">
        <v>304</v>
      </c>
      <c r="G48" s="332">
        <v>0</v>
      </c>
      <c r="H48" s="483" t="s">
        <v>834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629</v>
      </c>
      <c r="B49" s="328" t="s">
        <v>835</v>
      </c>
      <c r="C49" s="328" t="s">
        <v>339</v>
      </c>
      <c r="D49" s="542" t="s">
        <v>339</v>
      </c>
      <c r="E49" s="330">
        <v>20</v>
      </c>
      <c r="F49" s="330" t="s">
        <v>304</v>
      </c>
      <c r="G49" s="332">
        <v>0</v>
      </c>
      <c r="H49" s="483" t="s">
        <v>836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629</v>
      </c>
      <c r="B50" s="328" t="s">
        <v>827</v>
      </c>
      <c r="C50" s="328" t="s">
        <v>339</v>
      </c>
      <c r="D50" s="542" t="s">
        <v>339</v>
      </c>
      <c r="E50" s="330">
        <v>20</v>
      </c>
      <c r="F50" s="330" t="s">
        <v>304</v>
      </c>
      <c r="G50" s="332">
        <v>0</v>
      </c>
      <c r="H50" s="483" t="s">
        <v>837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629</v>
      </c>
      <c r="B51" s="328" t="s">
        <v>819</v>
      </c>
      <c r="C51" s="328" t="s">
        <v>339</v>
      </c>
      <c r="D51" s="542" t="s">
        <v>339</v>
      </c>
      <c r="E51" s="330">
        <v>-20</v>
      </c>
      <c r="F51" s="330" t="s">
        <v>304</v>
      </c>
      <c r="G51" s="332">
        <v>0</v>
      </c>
      <c r="H51" s="483" t="s">
        <v>838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629</v>
      </c>
      <c r="B52" s="328" t="s">
        <v>858</v>
      </c>
      <c r="C52" s="328" t="s">
        <v>339</v>
      </c>
      <c r="D52" s="542" t="s">
        <v>339</v>
      </c>
      <c r="E52" s="330">
        <v>-20</v>
      </c>
      <c r="F52" s="330" t="s">
        <v>304</v>
      </c>
      <c r="G52" s="332">
        <v>0</v>
      </c>
      <c r="H52" s="483" t="s">
        <v>864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629</v>
      </c>
      <c r="B53" s="328" t="s">
        <v>862</v>
      </c>
      <c r="C53" s="328" t="s">
        <v>339</v>
      </c>
      <c r="D53" s="542" t="s">
        <v>339</v>
      </c>
      <c r="E53" s="330">
        <v>-30</v>
      </c>
      <c r="F53" s="330" t="s">
        <v>304</v>
      </c>
      <c r="G53" s="332">
        <v>0</v>
      </c>
      <c r="H53" s="483" t="s">
        <v>865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629</v>
      </c>
      <c r="B54" s="328" t="s">
        <v>862</v>
      </c>
      <c r="C54" s="328" t="s">
        <v>339</v>
      </c>
      <c r="D54" s="542" t="s">
        <v>339</v>
      </c>
      <c r="E54" s="330">
        <v>-20</v>
      </c>
      <c r="F54" s="330" t="s">
        <v>304</v>
      </c>
      <c r="G54" s="332">
        <v>0</v>
      </c>
      <c r="H54" s="483" t="s">
        <v>873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629</v>
      </c>
      <c r="B55" s="328" t="s">
        <v>862</v>
      </c>
      <c r="C55" s="328" t="s">
        <v>339</v>
      </c>
      <c r="D55" s="542" t="s">
        <v>339</v>
      </c>
      <c r="E55" s="330">
        <v>-20</v>
      </c>
      <c r="F55" s="330" t="s">
        <v>304</v>
      </c>
      <c r="G55" s="332">
        <v>0</v>
      </c>
      <c r="H55" s="483" t="s">
        <v>874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629</v>
      </c>
      <c r="B56" s="328" t="s">
        <v>862</v>
      </c>
      <c r="C56" s="328" t="s">
        <v>339</v>
      </c>
      <c r="D56" s="542" t="s">
        <v>339</v>
      </c>
      <c r="E56" s="330">
        <v>-30</v>
      </c>
      <c r="F56" s="330" t="s">
        <v>304</v>
      </c>
      <c r="G56" s="332">
        <v>2310</v>
      </c>
      <c r="H56" s="483" t="s">
        <v>866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629</v>
      </c>
      <c r="B57" s="328" t="s">
        <v>876</v>
      </c>
      <c r="C57" s="328" t="s">
        <v>339</v>
      </c>
      <c r="D57" s="542" t="s">
        <v>339</v>
      </c>
      <c r="E57" s="330">
        <v>20</v>
      </c>
      <c r="F57" s="330" t="s">
        <v>304</v>
      </c>
      <c r="G57" s="332">
        <v>0</v>
      </c>
      <c r="H57" s="483" t="s">
        <v>878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629</v>
      </c>
      <c r="B58" s="328" t="s">
        <v>876</v>
      </c>
      <c r="C58" s="328" t="s">
        <v>339</v>
      </c>
      <c r="D58" s="542" t="s">
        <v>339</v>
      </c>
      <c r="E58" s="330">
        <v>20</v>
      </c>
      <c r="F58" s="330" t="s">
        <v>304</v>
      </c>
      <c r="G58" s="332">
        <v>0</v>
      </c>
      <c r="H58" s="483" t="s">
        <v>879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629</v>
      </c>
      <c r="B59" s="328" t="s">
        <v>876</v>
      </c>
      <c r="C59" s="328" t="s">
        <v>339</v>
      </c>
      <c r="D59" s="542" t="s">
        <v>339</v>
      </c>
      <c r="E59" s="330">
        <v>20</v>
      </c>
      <c r="F59" s="330" t="s">
        <v>304</v>
      </c>
      <c r="G59" s="332">
        <v>0</v>
      </c>
      <c r="H59" s="483" t="s">
        <v>880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629</v>
      </c>
      <c r="B60" s="328" t="s">
        <v>876</v>
      </c>
      <c r="C60" s="328" t="s">
        <v>339</v>
      </c>
      <c r="D60" s="542" t="s">
        <v>339</v>
      </c>
      <c r="E60" s="330">
        <v>20</v>
      </c>
      <c r="F60" s="330" t="s">
        <v>304</v>
      </c>
      <c r="G60" s="332">
        <v>0</v>
      </c>
      <c r="H60" s="483" t="s">
        <v>881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629</v>
      </c>
      <c r="B61" s="328" t="s">
        <v>876</v>
      </c>
      <c r="C61" s="328" t="s">
        <v>339</v>
      </c>
      <c r="D61" s="542" t="s">
        <v>339</v>
      </c>
      <c r="E61" s="330">
        <v>20</v>
      </c>
      <c r="F61" s="330" t="s">
        <v>304</v>
      </c>
      <c r="G61" s="332">
        <v>0</v>
      </c>
      <c r="H61" s="483" t="s">
        <v>882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629</v>
      </c>
      <c r="B62" s="328" t="s">
        <v>876</v>
      </c>
      <c r="C62" s="328" t="s">
        <v>339</v>
      </c>
      <c r="D62" s="542" t="s">
        <v>339</v>
      </c>
      <c r="E62" s="330">
        <v>20</v>
      </c>
      <c r="F62" s="330" t="s">
        <v>304</v>
      </c>
      <c r="G62" s="332">
        <v>0</v>
      </c>
      <c r="H62" s="483" t="s">
        <v>883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629</v>
      </c>
      <c r="B63" s="328" t="s">
        <v>916</v>
      </c>
      <c r="C63" s="328" t="s">
        <v>339</v>
      </c>
      <c r="D63" s="542" t="s">
        <v>339</v>
      </c>
      <c r="E63" s="330">
        <v>-20</v>
      </c>
      <c r="F63" s="330" t="s">
        <v>304</v>
      </c>
      <c r="G63" s="332">
        <v>0</v>
      </c>
      <c r="H63" s="483" t="s">
        <v>928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629</v>
      </c>
      <c r="B64" s="328" t="s">
        <v>935</v>
      </c>
      <c r="C64" s="328" t="s">
        <v>339</v>
      </c>
      <c r="D64" s="542" t="s">
        <v>339</v>
      </c>
      <c r="E64" s="330">
        <v>-20</v>
      </c>
      <c r="F64" s="330" t="s">
        <v>304</v>
      </c>
      <c r="G64" s="332">
        <v>0</v>
      </c>
      <c r="H64" s="483" t="s">
        <v>943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629</v>
      </c>
      <c r="B65" s="328" t="s">
        <v>939</v>
      </c>
      <c r="C65" s="328" t="s">
        <v>339</v>
      </c>
      <c r="D65" s="542" t="s">
        <v>339</v>
      </c>
      <c r="E65" s="330">
        <v>-20</v>
      </c>
      <c r="F65" s="330" t="s">
        <v>304</v>
      </c>
      <c r="G65" s="332">
        <v>0</v>
      </c>
      <c r="H65" s="483" t="s">
        <v>944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629</v>
      </c>
      <c r="B66" s="333" t="s">
        <v>952</v>
      </c>
      <c r="C66" s="333" t="s">
        <v>339</v>
      </c>
      <c r="D66" s="819" t="s">
        <v>339</v>
      </c>
      <c r="E66" s="325">
        <v>20</v>
      </c>
      <c r="F66" s="325" t="s">
        <v>304</v>
      </c>
      <c r="G66" s="333">
        <v>0</v>
      </c>
      <c r="H66" s="334" t="s">
        <v>958</v>
      </c>
      <c r="I66" s="820">
        <v>113.265625</v>
      </c>
      <c r="J66" s="818">
        <v>113.46875</v>
      </c>
      <c r="K66" s="296">
        <f t="shared" si="1"/>
        <v>4062.5</v>
      </c>
      <c r="L66" s="381"/>
    </row>
    <row r="67" spans="1:12" s="270" customFormat="1">
      <c r="A67" s="325" t="s">
        <v>629</v>
      </c>
      <c r="B67" s="328" t="s">
        <v>939</v>
      </c>
      <c r="C67" s="328" t="s">
        <v>339</v>
      </c>
      <c r="D67" s="542" t="s">
        <v>339</v>
      </c>
      <c r="E67" s="330">
        <v>-20</v>
      </c>
      <c r="F67" s="330" t="s">
        <v>304</v>
      </c>
      <c r="G67" s="332">
        <v>1540</v>
      </c>
      <c r="H67" s="483" t="s">
        <v>945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629</v>
      </c>
      <c r="B68" s="328" t="s">
        <v>961</v>
      </c>
      <c r="C68" s="328" t="s">
        <v>339</v>
      </c>
      <c r="D68" s="542" t="s">
        <v>339</v>
      </c>
      <c r="E68" s="330">
        <v>-20</v>
      </c>
      <c r="F68" s="330" t="s">
        <v>304</v>
      </c>
      <c r="G68" s="332">
        <v>0</v>
      </c>
      <c r="H68" s="483" t="s">
        <v>964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629</v>
      </c>
      <c r="B69" s="328" t="s">
        <v>961</v>
      </c>
      <c r="C69" s="328" t="s">
        <v>339</v>
      </c>
      <c r="D69" s="542" t="s">
        <v>339</v>
      </c>
      <c r="E69" s="330">
        <v>-20</v>
      </c>
      <c r="F69" s="330" t="s">
        <v>304</v>
      </c>
      <c r="G69" s="332">
        <v>0</v>
      </c>
      <c r="H69" s="483" t="s">
        <v>965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629</v>
      </c>
      <c r="B70" s="328" t="s">
        <v>961</v>
      </c>
      <c r="C70" s="328" t="s">
        <v>339</v>
      </c>
      <c r="D70" s="542" t="s">
        <v>339</v>
      </c>
      <c r="E70" s="330">
        <v>-20</v>
      </c>
      <c r="F70" s="330" t="s">
        <v>304</v>
      </c>
      <c r="G70" s="332">
        <v>0</v>
      </c>
      <c r="H70" s="483" t="s">
        <v>980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629</v>
      </c>
      <c r="B71" s="328" t="s">
        <v>961</v>
      </c>
      <c r="C71" s="328" t="s">
        <v>339</v>
      </c>
      <c r="D71" s="542" t="s">
        <v>339</v>
      </c>
      <c r="E71" s="330">
        <v>-20</v>
      </c>
      <c r="F71" s="330" t="s">
        <v>304</v>
      </c>
      <c r="G71" s="332">
        <v>0</v>
      </c>
      <c r="H71" s="483" t="s">
        <v>981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629</v>
      </c>
      <c r="B72" s="328" t="s">
        <v>975</v>
      </c>
      <c r="C72" s="328" t="s">
        <v>339</v>
      </c>
      <c r="D72" s="542" t="s">
        <v>339</v>
      </c>
      <c r="E72" s="330">
        <v>-20</v>
      </c>
      <c r="F72" s="330" t="s">
        <v>304</v>
      </c>
      <c r="G72" s="332">
        <v>0</v>
      </c>
      <c r="H72" s="483" t="s">
        <v>982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629</v>
      </c>
      <c r="B73" s="328" t="s">
        <v>975</v>
      </c>
      <c r="C73" s="328" t="s">
        <v>339</v>
      </c>
      <c r="D73" s="542" t="s">
        <v>339</v>
      </c>
      <c r="E73" s="330">
        <v>-20</v>
      </c>
      <c r="F73" s="330" t="s">
        <v>304</v>
      </c>
      <c r="G73" s="332">
        <v>0</v>
      </c>
      <c r="H73" s="483" t="s">
        <v>992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629</v>
      </c>
      <c r="B74" s="328" t="s">
        <v>975</v>
      </c>
      <c r="C74" s="328" t="s">
        <v>339</v>
      </c>
      <c r="D74" s="542" t="s">
        <v>339</v>
      </c>
      <c r="E74" s="330">
        <v>-20</v>
      </c>
      <c r="F74" s="330" t="s">
        <v>304</v>
      </c>
      <c r="G74" s="332">
        <v>0</v>
      </c>
      <c r="H74" s="483" t="s">
        <v>993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629</v>
      </c>
      <c r="B75" s="328" t="s">
        <v>994</v>
      </c>
      <c r="C75" s="328" t="s">
        <v>339</v>
      </c>
      <c r="D75" s="542" t="s">
        <v>339</v>
      </c>
      <c r="E75" s="330">
        <v>20</v>
      </c>
      <c r="F75" s="330" t="s">
        <v>304</v>
      </c>
      <c r="G75" s="332">
        <v>0</v>
      </c>
      <c r="H75" s="483" t="s">
        <v>995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629</v>
      </c>
      <c r="B76" s="328" t="s">
        <v>994</v>
      </c>
      <c r="C76" s="328" t="s">
        <v>339</v>
      </c>
      <c r="D76" s="542" t="s">
        <v>339</v>
      </c>
      <c r="E76" s="330">
        <v>20</v>
      </c>
      <c r="F76" s="330" t="s">
        <v>304</v>
      </c>
      <c r="G76" s="332">
        <v>0</v>
      </c>
      <c r="H76" s="483" t="s">
        <v>1007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629</v>
      </c>
      <c r="B77" s="328" t="s">
        <v>994</v>
      </c>
      <c r="C77" s="328" t="s">
        <v>339</v>
      </c>
      <c r="D77" s="542" t="s">
        <v>339</v>
      </c>
      <c r="E77" s="330">
        <v>20</v>
      </c>
      <c r="F77" s="330" t="s">
        <v>304</v>
      </c>
      <c r="G77" s="332">
        <v>0</v>
      </c>
      <c r="H77" s="483" t="s">
        <v>1008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629</v>
      </c>
      <c r="B78" s="328" t="s">
        <v>1005</v>
      </c>
      <c r="C78" s="328" t="s">
        <v>339</v>
      </c>
      <c r="D78" s="542" t="s">
        <v>339</v>
      </c>
      <c r="E78" s="330">
        <v>20</v>
      </c>
      <c r="F78" s="330" t="s">
        <v>304</v>
      </c>
      <c r="G78" s="332">
        <v>0</v>
      </c>
      <c r="H78" s="483" t="s">
        <v>1018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629</v>
      </c>
      <c r="B79" s="328" t="s">
        <v>1005</v>
      </c>
      <c r="C79" s="328" t="s">
        <v>339</v>
      </c>
      <c r="D79" s="542" t="s">
        <v>339</v>
      </c>
      <c r="E79" s="330">
        <v>-20</v>
      </c>
      <c r="F79" s="330" t="s">
        <v>304</v>
      </c>
      <c r="G79" s="332">
        <v>1540</v>
      </c>
      <c r="H79" s="483" t="s">
        <v>1009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629</v>
      </c>
      <c r="B80" s="328" t="s">
        <v>1020</v>
      </c>
      <c r="C80" s="328" t="s">
        <v>339</v>
      </c>
      <c r="D80" s="542" t="s">
        <v>339</v>
      </c>
      <c r="E80" s="330">
        <v>20</v>
      </c>
      <c r="F80" s="330" t="s">
        <v>304</v>
      </c>
      <c r="G80" s="332">
        <v>0</v>
      </c>
      <c r="H80" s="483" t="s">
        <v>1031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631</v>
      </c>
      <c r="B81" s="328" t="s">
        <v>1042</v>
      </c>
      <c r="C81" s="328" t="s">
        <v>339</v>
      </c>
      <c r="D81" s="542" t="s">
        <v>339</v>
      </c>
      <c r="E81" s="330">
        <v>-20</v>
      </c>
      <c r="F81" s="330" t="s">
        <v>304</v>
      </c>
      <c r="G81" s="332">
        <v>854</v>
      </c>
      <c r="H81" s="483" t="s">
        <v>1043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647</v>
      </c>
      <c r="B82" s="328" t="s">
        <v>1049</v>
      </c>
      <c r="C82" s="328" t="s">
        <v>339</v>
      </c>
      <c r="D82" s="542" t="s">
        <v>339</v>
      </c>
      <c r="E82" s="330">
        <v>-20</v>
      </c>
      <c r="F82" s="330" t="s">
        <v>304</v>
      </c>
      <c r="G82" s="332">
        <v>1540</v>
      </c>
      <c r="H82" s="483" t="s">
        <v>1057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643</v>
      </c>
      <c r="B83" s="328" t="s">
        <v>1060</v>
      </c>
      <c r="C83" s="328" t="s">
        <v>339</v>
      </c>
      <c r="D83" s="542" t="s">
        <v>339</v>
      </c>
      <c r="E83" s="330">
        <v>-20</v>
      </c>
      <c r="F83" s="330" t="s">
        <v>304</v>
      </c>
      <c r="G83" s="332">
        <v>0</v>
      </c>
      <c r="H83" s="483" t="s">
        <v>1069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643</v>
      </c>
      <c r="B84" s="328" t="s">
        <v>1060</v>
      </c>
      <c r="C84" s="328" t="s">
        <v>339</v>
      </c>
      <c r="D84" s="542" t="s">
        <v>339</v>
      </c>
      <c r="E84" s="330">
        <v>-20</v>
      </c>
      <c r="F84" s="330" t="s">
        <v>304</v>
      </c>
      <c r="G84" s="332">
        <v>0</v>
      </c>
      <c r="H84" s="483" t="s">
        <v>1070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643</v>
      </c>
      <c r="B85" s="328" t="s">
        <v>1071</v>
      </c>
      <c r="C85" s="328" t="s">
        <v>339</v>
      </c>
      <c r="D85" s="542" t="s">
        <v>339</v>
      </c>
      <c r="E85" s="330">
        <v>20</v>
      </c>
      <c r="F85" s="330" t="s">
        <v>304</v>
      </c>
      <c r="G85" s="332">
        <v>0</v>
      </c>
      <c r="H85" s="483" t="s">
        <v>1072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643</v>
      </c>
      <c r="B86" s="328" t="s">
        <v>1071</v>
      </c>
      <c r="C86" s="328" t="s">
        <v>339</v>
      </c>
      <c r="D86" s="542" t="s">
        <v>339</v>
      </c>
      <c r="E86" s="330">
        <v>20</v>
      </c>
      <c r="F86" s="330" t="s">
        <v>304</v>
      </c>
      <c r="G86" s="332">
        <v>0</v>
      </c>
      <c r="H86" s="483" t="s">
        <v>1073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643</v>
      </c>
      <c r="B87" s="328" t="s">
        <v>1071</v>
      </c>
      <c r="C87" s="328" t="s">
        <v>339</v>
      </c>
      <c r="D87" s="542" t="s">
        <v>339</v>
      </c>
      <c r="E87" s="330">
        <v>-20</v>
      </c>
      <c r="F87" s="330" t="s">
        <v>304</v>
      </c>
      <c r="G87" s="332">
        <v>0</v>
      </c>
      <c r="H87" s="483" t="s">
        <v>1085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643</v>
      </c>
      <c r="B88" s="328" t="s">
        <v>1086</v>
      </c>
      <c r="C88" s="328" t="s">
        <v>339</v>
      </c>
      <c r="D88" s="542" t="s">
        <v>339</v>
      </c>
      <c r="E88" s="330">
        <v>-20</v>
      </c>
      <c r="F88" s="330" t="s">
        <v>304</v>
      </c>
      <c r="G88" s="332">
        <v>0</v>
      </c>
      <c r="H88" s="483" t="s">
        <v>1087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643</v>
      </c>
      <c r="B89" s="328" t="s">
        <v>1115</v>
      </c>
      <c r="C89" s="328" t="s">
        <v>339</v>
      </c>
      <c r="D89" s="542" t="s">
        <v>339</v>
      </c>
      <c r="E89" s="330">
        <v>-20</v>
      </c>
      <c r="F89" s="330" t="s">
        <v>304</v>
      </c>
      <c r="G89" s="332">
        <v>0</v>
      </c>
      <c r="H89" s="483" t="s">
        <v>1118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643</v>
      </c>
      <c r="B90" s="328" t="s">
        <v>1115</v>
      </c>
      <c r="C90" s="328" t="s">
        <v>339</v>
      </c>
      <c r="D90" s="542" t="s">
        <v>339</v>
      </c>
      <c r="E90" s="330">
        <v>-20</v>
      </c>
      <c r="F90" s="330" t="s">
        <v>304</v>
      </c>
      <c r="G90" s="332">
        <v>0</v>
      </c>
      <c r="H90" s="483" t="s">
        <v>1119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643</v>
      </c>
      <c r="B91" s="328" t="s">
        <v>1115</v>
      </c>
      <c r="C91" s="328" t="s">
        <v>339</v>
      </c>
      <c r="D91" s="542" t="s">
        <v>339</v>
      </c>
      <c r="E91" s="330">
        <v>-20</v>
      </c>
      <c r="F91" s="330" t="s">
        <v>304</v>
      </c>
      <c r="G91" s="332">
        <v>1540</v>
      </c>
      <c r="H91" s="483" t="s">
        <v>1120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643</v>
      </c>
      <c r="B92" s="328" t="s">
        <v>1140</v>
      </c>
      <c r="C92" s="328" t="s">
        <v>339</v>
      </c>
      <c r="D92" s="542" t="s">
        <v>339</v>
      </c>
      <c r="E92" s="330">
        <v>20</v>
      </c>
      <c r="F92" s="330" t="s">
        <v>304</v>
      </c>
      <c r="G92" s="332">
        <v>0</v>
      </c>
      <c r="H92" s="483" t="s">
        <v>1153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643</v>
      </c>
      <c r="B93" s="328" t="s">
        <v>1140</v>
      </c>
      <c r="C93" s="328" t="s">
        <v>339</v>
      </c>
      <c r="D93" s="542" t="s">
        <v>339</v>
      </c>
      <c r="E93" s="330">
        <v>-10</v>
      </c>
      <c r="F93" s="330" t="s">
        <v>304</v>
      </c>
      <c r="G93" s="332">
        <v>0</v>
      </c>
      <c r="H93" s="483" t="s">
        <v>1154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643</v>
      </c>
      <c r="B94" s="328" t="s">
        <v>1132</v>
      </c>
      <c r="C94" s="328" t="s">
        <v>339</v>
      </c>
      <c r="D94" s="542" t="s">
        <v>339</v>
      </c>
      <c r="E94" s="330">
        <v>-20</v>
      </c>
      <c r="F94" s="330" t="s">
        <v>304</v>
      </c>
      <c r="G94" s="332">
        <v>1540</v>
      </c>
      <c r="H94" s="483" t="s">
        <v>1139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643</v>
      </c>
      <c r="B95" s="328" t="s">
        <v>1164</v>
      </c>
      <c r="C95" s="328" t="s">
        <v>339</v>
      </c>
      <c r="D95" s="542" t="s">
        <v>339</v>
      </c>
      <c r="E95" s="330">
        <v>-20</v>
      </c>
      <c r="F95" s="330" t="s">
        <v>304</v>
      </c>
      <c r="G95" s="332">
        <v>0</v>
      </c>
      <c r="H95" s="483" t="s">
        <v>1177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643</v>
      </c>
      <c r="B96" s="328" t="s">
        <v>1164</v>
      </c>
      <c r="C96" s="328" t="s">
        <v>339</v>
      </c>
      <c r="D96" s="542" t="s">
        <v>339</v>
      </c>
      <c r="E96" s="330">
        <v>-20</v>
      </c>
      <c r="F96" s="330" t="s">
        <v>304</v>
      </c>
      <c r="G96" s="332">
        <v>0</v>
      </c>
      <c r="H96" s="483" t="s">
        <v>1178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643</v>
      </c>
      <c r="B97" s="328" t="s">
        <v>1174</v>
      </c>
      <c r="C97" s="328" t="s">
        <v>339</v>
      </c>
      <c r="D97" s="542" t="s">
        <v>339</v>
      </c>
      <c r="E97" s="330">
        <v>10</v>
      </c>
      <c r="F97" s="330" t="s">
        <v>304</v>
      </c>
      <c r="G97" s="332">
        <v>0</v>
      </c>
      <c r="H97" s="483" t="s">
        <v>1202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643</v>
      </c>
      <c r="B98" s="328" t="s">
        <v>1174</v>
      </c>
      <c r="C98" s="328" t="s">
        <v>339</v>
      </c>
      <c r="D98" s="542" t="s">
        <v>339</v>
      </c>
      <c r="E98" s="330">
        <v>10</v>
      </c>
      <c r="F98" s="330" t="s">
        <v>304</v>
      </c>
      <c r="G98" s="332">
        <v>-770</v>
      </c>
      <c r="H98" s="483" t="s">
        <v>1201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643</v>
      </c>
      <c r="B99" s="328" t="s">
        <v>1213</v>
      </c>
      <c r="C99" s="328" t="s">
        <v>339</v>
      </c>
      <c r="D99" s="542" t="s">
        <v>339</v>
      </c>
      <c r="E99" s="330">
        <v>10</v>
      </c>
      <c r="F99" s="330" t="s">
        <v>304</v>
      </c>
      <c r="G99" s="332">
        <v>0</v>
      </c>
      <c r="H99" s="483" t="s">
        <v>1251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643</v>
      </c>
      <c r="B100" s="328" t="s">
        <v>1213</v>
      </c>
      <c r="C100" s="328" t="s">
        <v>339</v>
      </c>
      <c r="D100" s="542" t="s">
        <v>339</v>
      </c>
      <c r="E100" s="330">
        <v>10</v>
      </c>
      <c r="F100" s="330" t="s">
        <v>304</v>
      </c>
      <c r="G100" s="332">
        <v>0</v>
      </c>
      <c r="H100" s="483" t="s">
        <v>1252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643</v>
      </c>
      <c r="B101" s="328" t="s">
        <v>1239</v>
      </c>
      <c r="C101" s="328" t="s">
        <v>339</v>
      </c>
      <c r="D101" s="542" t="s">
        <v>339</v>
      </c>
      <c r="E101" s="330">
        <v>10</v>
      </c>
      <c r="F101" s="330" t="s">
        <v>304</v>
      </c>
      <c r="G101" s="332">
        <v>0</v>
      </c>
      <c r="H101" s="483" t="s">
        <v>1253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643</v>
      </c>
      <c r="B102" s="328" t="s">
        <v>1239</v>
      </c>
      <c r="C102" s="328" t="s">
        <v>339</v>
      </c>
      <c r="D102" s="542" t="s">
        <v>339</v>
      </c>
      <c r="E102" s="330">
        <v>10</v>
      </c>
      <c r="F102" s="330" t="s">
        <v>304</v>
      </c>
      <c r="G102" s="332">
        <v>0</v>
      </c>
      <c r="H102" s="483" t="s">
        <v>1254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643</v>
      </c>
      <c r="B103" s="328" t="s">
        <v>1239</v>
      </c>
      <c r="C103" s="328" t="s">
        <v>339</v>
      </c>
      <c r="D103" s="542" t="s">
        <v>339</v>
      </c>
      <c r="E103" s="330">
        <v>10</v>
      </c>
      <c r="F103" s="330" t="s">
        <v>304</v>
      </c>
      <c r="G103" s="332">
        <v>0</v>
      </c>
      <c r="H103" s="483" t="s">
        <v>1275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643</v>
      </c>
      <c r="B104" s="328" t="s">
        <v>1239</v>
      </c>
      <c r="C104" s="328" t="s">
        <v>339</v>
      </c>
      <c r="D104" s="542" t="s">
        <v>339</v>
      </c>
      <c r="E104" s="330">
        <v>10</v>
      </c>
      <c r="F104" s="330" t="s">
        <v>304</v>
      </c>
      <c r="G104" s="332">
        <v>0</v>
      </c>
      <c r="H104" s="483" t="s">
        <v>1276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643</v>
      </c>
      <c r="B105" s="328" t="s">
        <v>1339</v>
      </c>
      <c r="C105" s="328" t="s">
        <v>339</v>
      </c>
      <c r="D105" s="542" t="s">
        <v>339</v>
      </c>
      <c r="E105" s="330">
        <v>-10</v>
      </c>
      <c r="F105" s="330" t="s">
        <v>304</v>
      </c>
      <c r="G105" s="332">
        <v>0</v>
      </c>
      <c r="H105" s="483" t="s">
        <v>1341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643</v>
      </c>
      <c r="B106" s="328" t="s">
        <v>1339</v>
      </c>
      <c r="C106" s="328" t="s">
        <v>339</v>
      </c>
      <c r="D106" s="542" t="s">
        <v>339</v>
      </c>
      <c r="E106" s="330">
        <v>-10</v>
      </c>
      <c r="F106" s="330" t="s">
        <v>304</v>
      </c>
      <c r="G106" s="332">
        <v>0</v>
      </c>
      <c r="H106" s="483" t="s">
        <v>1342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643</v>
      </c>
      <c r="B107" s="328" t="s">
        <v>1346</v>
      </c>
      <c r="C107" s="328" t="s">
        <v>339</v>
      </c>
      <c r="D107" s="542" t="s">
        <v>339</v>
      </c>
      <c r="E107" s="330">
        <v>10</v>
      </c>
      <c r="F107" s="330" t="s">
        <v>304</v>
      </c>
      <c r="G107" s="332">
        <v>0</v>
      </c>
      <c r="H107" s="483" t="s">
        <v>1348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643</v>
      </c>
      <c r="B108" s="328" t="s">
        <v>1346</v>
      </c>
      <c r="C108" s="328" t="s">
        <v>339</v>
      </c>
      <c r="D108" s="542" t="s">
        <v>339</v>
      </c>
      <c r="E108" s="330">
        <v>10</v>
      </c>
      <c r="F108" s="330" t="s">
        <v>304</v>
      </c>
      <c r="G108" s="332">
        <v>0</v>
      </c>
      <c r="H108" s="483" t="s">
        <v>1349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643</v>
      </c>
      <c r="B109" s="328" t="s">
        <v>1354</v>
      </c>
      <c r="C109" s="328" t="s">
        <v>339</v>
      </c>
      <c r="D109" s="542" t="s">
        <v>339</v>
      </c>
      <c r="E109" s="330">
        <v>-20</v>
      </c>
      <c r="F109" s="330" t="s">
        <v>304</v>
      </c>
      <c r="G109" s="332">
        <v>0</v>
      </c>
      <c r="H109" s="483" t="s">
        <v>1356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643</v>
      </c>
      <c r="B110" s="328" t="s">
        <v>1354</v>
      </c>
      <c r="C110" s="328" t="s">
        <v>339</v>
      </c>
      <c r="D110" s="542" t="s">
        <v>339</v>
      </c>
      <c r="E110" s="330">
        <v>10</v>
      </c>
      <c r="F110" s="330" t="s">
        <v>304</v>
      </c>
      <c r="G110" s="332">
        <v>0</v>
      </c>
      <c r="H110" s="483" t="s">
        <v>1381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643</v>
      </c>
      <c r="B111" s="328" t="s">
        <v>1354</v>
      </c>
      <c r="C111" s="328" t="s">
        <v>339</v>
      </c>
      <c r="D111" s="542" t="s">
        <v>339</v>
      </c>
      <c r="E111" s="330">
        <v>10</v>
      </c>
      <c r="F111" s="330" t="s">
        <v>304</v>
      </c>
      <c r="G111" s="332">
        <v>0</v>
      </c>
      <c r="H111" s="483" t="s">
        <v>1382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643</v>
      </c>
      <c r="B112" s="328" t="s">
        <v>1384</v>
      </c>
      <c r="C112" s="328" t="s">
        <v>339</v>
      </c>
      <c r="D112" s="542" t="s">
        <v>339</v>
      </c>
      <c r="E112" s="330">
        <v>20</v>
      </c>
      <c r="F112" s="330" t="s">
        <v>304</v>
      </c>
      <c r="G112" s="332">
        <v>0</v>
      </c>
      <c r="H112" s="483" t="s">
        <v>1385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643</v>
      </c>
      <c r="B113" s="328" t="s">
        <v>1384</v>
      </c>
      <c r="C113" s="328" t="s">
        <v>339</v>
      </c>
      <c r="D113" s="542" t="s">
        <v>339</v>
      </c>
      <c r="E113" s="330">
        <v>20</v>
      </c>
      <c r="F113" s="330" t="s">
        <v>304</v>
      </c>
      <c r="G113" s="332">
        <v>-1540</v>
      </c>
      <c r="H113" s="483" t="s">
        <v>1386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643</v>
      </c>
      <c r="B114" s="328" t="s">
        <v>1390</v>
      </c>
      <c r="C114" s="328" t="s">
        <v>339</v>
      </c>
      <c r="D114" s="542" t="s">
        <v>339</v>
      </c>
      <c r="E114" s="330">
        <v>10</v>
      </c>
      <c r="F114" s="330" t="s">
        <v>304</v>
      </c>
      <c r="G114" s="332">
        <v>0</v>
      </c>
      <c r="H114" s="483" t="s">
        <v>1399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643</v>
      </c>
      <c r="B115" s="328" t="s">
        <v>1390</v>
      </c>
      <c r="C115" s="328" t="s">
        <v>339</v>
      </c>
      <c r="D115" s="542" t="s">
        <v>339</v>
      </c>
      <c r="E115" s="330">
        <v>10</v>
      </c>
      <c r="F115" s="330" t="s">
        <v>304</v>
      </c>
      <c r="G115" s="332">
        <v>0</v>
      </c>
      <c r="H115" s="483" t="s">
        <v>1416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643</v>
      </c>
      <c r="B116" s="328" t="s">
        <v>1390</v>
      </c>
      <c r="C116" s="328" t="s">
        <v>339</v>
      </c>
      <c r="D116" s="542" t="s">
        <v>339</v>
      </c>
      <c r="E116" s="330">
        <v>10</v>
      </c>
      <c r="F116" s="330" t="s">
        <v>304</v>
      </c>
      <c r="G116" s="332">
        <v>0</v>
      </c>
      <c r="H116" s="483" t="s">
        <v>1417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643</v>
      </c>
      <c r="B117" s="328" t="s">
        <v>1390</v>
      </c>
      <c r="C117" s="328" t="s">
        <v>339</v>
      </c>
      <c r="D117" s="542" t="s">
        <v>339</v>
      </c>
      <c r="E117" s="330">
        <v>10</v>
      </c>
      <c r="F117" s="330" t="s">
        <v>304</v>
      </c>
      <c r="G117" s="332">
        <v>0</v>
      </c>
      <c r="H117" s="483" t="s">
        <v>1418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643</v>
      </c>
      <c r="B118" s="328" t="s">
        <v>1408</v>
      </c>
      <c r="C118" s="328" t="s">
        <v>339</v>
      </c>
      <c r="D118" s="542" t="s">
        <v>339</v>
      </c>
      <c r="E118" s="330">
        <v>-10</v>
      </c>
      <c r="F118" s="330" t="s">
        <v>304</v>
      </c>
      <c r="G118" s="332">
        <v>0</v>
      </c>
      <c r="H118" s="483" t="s">
        <v>1434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643</v>
      </c>
      <c r="B119" s="328" t="s">
        <v>1408</v>
      </c>
      <c r="C119" s="328" t="s">
        <v>339</v>
      </c>
      <c r="D119" s="542" t="s">
        <v>339</v>
      </c>
      <c r="E119" s="330">
        <v>-10</v>
      </c>
      <c r="F119" s="330" t="s">
        <v>304</v>
      </c>
      <c r="G119" s="332">
        <v>0</v>
      </c>
      <c r="H119" s="483" t="s">
        <v>1435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643</v>
      </c>
      <c r="B120" s="328" t="s">
        <v>1452</v>
      </c>
      <c r="C120" s="328" t="s">
        <v>339</v>
      </c>
      <c r="D120" s="542" t="s">
        <v>339</v>
      </c>
      <c r="E120" s="330">
        <v>10</v>
      </c>
      <c r="F120" s="330" t="s">
        <v>304</v>
      </c>
      <c r="G120" s="332">
        <v>0</v>
      </c>
      <c r="H120" s="483" t="s">
        <v>1464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643</v>
      </c>
      <c r="B121" s="328" t="s">
        <v>1452</v>
      </c>
      <c r="C121" s="328" t="s">
        <v>339</v>
      </c>
      <c r="D121" s="542" t="s">
        <v>339</v>
      </c>
      <c r="E121" s="330">
        <v>10</v>
      </c>
      <c r="F121" s="330" t="s">
        <v>304</v>
      </c>
      <c r="G121" s="332">
        <v>0</v>
      </c>
      <c r="H121" s="483" t="s">
        <v>1465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643</v>
      </c>
      <c r="B122" s="328" t="s">
        <v>1452</v>
      </c>
      <c r="C122" s="328" t="s">
        <v>339</v>
      </c>
      <c r="D122" s="542" t="s">
        <v>339</v>
      </c>
      <c r="E122" s="330">
        <v>10</v>
      </c>
      <c r="F122" s="330" t="s">
        <v>304</v>
      </c>
      <c r="G122" s="332">
        <v>0</v>
      </c>
      <c r="H122" s="483" t="s">
        <v>1466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643</v>
      </c>
      <c r="B123" s="328" t="s">
        <v>1493</v>
      </c>
      <c r="C123" s="328" t="s">
        <v>339</v>
      </c>
      <c r="D123" s="542" t="s">
        <v>339</v>
      </c>
      <c r="E123" s="330">
        <v>-10</v>
      </c>
      <c r="F123" s="330" t="s">
        <v>304</v>
      </c>
      <c r="G123" s="332">
        <v>0</v>
      </c>
      <c r="H123" s="483" t="s">
        <v>1525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643</v>
      </c>
      <c r="B124" s="328" t="s">
        <v>1493</v>
      </c>
      <c r="C124" s="328" t="s">
        <v>339</v>
      </c>
      <c r="D124" s="542" t="s">
        <v>339</v>
      </c>
      <c r="E124" s="330">
        <v>-10</v>
      </c>
      <c r="F124" s="330" t="s">
        <v>304</v>
      </c>
      <c r="G124" s="332">
        <v>0</v>
      </c>
      <c r="H124" s="483" t="s">
        <v>1526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643</v>
      </c>
      <c r="B125" s="328" t="s">
        <v>1493</v>
      </c>
      <c r="C125" s="328" t="s">
        <v>339</v>
      </c>
      <c r="D125" s="542" t="s">
        <v>339</v>
      </c>
      <c r="E125" s="330">
        <v>-10</v>
      </c>
      <c r="F125" s="330" t="s">
        <v>304</v>
      </c>
      <c r="G125" s="332">
        <v>0</v>
      </c>
      <c r="H125" s="483" t="s">
        <v>1527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643</v>
      </c>
      <c r="B126" s="328" t="s">
        <v>1517</v>
      </c>
      <c r="C126" s="328" t="s">
        <v>339</v>
      </c>
      <c r="D126" s="542" t="s">
        <v>339</v>
      </c>
      <c r="E126" s="330">
        <v>10</v>
      </c>
      <c r="F126" s="330" t="s">
        <v>304</v>
      </c>
      <c r="G126" s="332">
        <v>0</v>
      </c>
      <c r="H126" s="483" t="s">
        <v>1528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643</v>
      </c>
      <c r="B127" s="328" t="s">
        <v>1474</v>
      </c>
      <c r="C127" s="328" t="s">
        <v>339</v>
      </c>
      <c r="D127" s="542" t="s">
        <v>339</v>
      </c>
      <c r="E127" s="330">
        <v>-10</v>
      </c>
      <c r="F127" s="330" t="s">
        <v>304</v>
      </c>
      <c r="G127" s="332">
        <v>770</v>
      </c>
      <c r="H127" s="483" t="s">
        <v>1481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564</v>
      </c>
      <c r="B128" s="328"/>
      <c r="C128" s="328"/>
      <c r="D128" s="542"/>
      <c r="E128" s="330"/>
      <c r="F128" s="330"/>
      <c r="G128" s="332"/>
      <c r="H128" s="483"/>
      <c r="I128" s="335"/>
      <c r="J128" s="295"/>
      <c r="K128" s="296">
        <f t="shared" si="2"/>
        <v>0</v>
      </c>
      <c r="L128" s="381"/>
    </row>
    <row r="129" spans="1:12" s="270" customFormat="1">
      <c r="A129" s="325" t="s">
        <v>564</v>
      </c>
      <c r="B129" s="328"/>
      <c r="C129" s="328"/>
      <c r="D129" s="542"/>
      <c r="E129" s="330"/>
      <c r="F129" s="330"/>
      <c r="G129" s="332"/>
      <c r="H129" s="483"/>
      <c r="I129" s="335"/>
      <c r="J129" s="295"/>
      <c r="K129" s="296">
        <f t="shared" si="2"/>
        <v>0</v>
      </c>
      <c r="L129" s="381"/>
    </row>
    <row r="130" spans="1:12" s="270" customFormat="1">
      <c r="A130" s="325" t="s">
        <v>564</v>
      </c>
      <c r="B130" s="328"/>
      <c r="C130" s="328"/>
      <c r="D130" s="542"/>
      <c r="E130" s="330"/>
      <c r="F130" s="330"/>
      <c r="G130" s="332"/>
      <c r="H130" s="483"/>
      <c r="I130" s="335"/>
      <c r="J130" s="295"/>
      <c r="K130" s="296">
        <f t="shared" si="2"/>
        <v>0</v>
      </c>
      <c r="L130" s="381"/>
    </row>
    <row r="131" spans="1:12" s="270" customFormat="1">
      <c r="A131" s="325" t="s">
        <v>564</v>
      </c>
      <c r="B131" s="328"/>
      <c r="C131" s="328"/>
      <c r="D131" s="542"/>
      <c r="E131" s="330"/>
      <c r="F131" s="330"/>
      <c r="G131" s="332"/>
      <c r="H131" s="483"/>
      <c r="I131" s="335"/>
      <c r="J131" s="295"/>
      <c r="K131" s="296">
        <f t="shared" si="2"/>
        <v>0</v>
      </c>
      <c r="L131" s="381"/>
    </row>
    <row r="132" spans="1:12" s="270" customFormat="1">
      <c r="A132" s="325" t="s">
        <v>564</v>
      </c>
      <c r="B132" s="328"/>
      <c r="C132" s="328"/>
      <c r="D132" s="542"/>
      <c r="E132" s="330"/>
      <c r="F132" s="330"/>
      <c r="G132" s="332"/>
      <c r="H132" s="483"/>
      <c r="I132" s="335"/>
      <c r="J132" s="295"/>
      <c r="K132" s="296">
        <f t="shared" si="2"/>
        <v>0</v>
      </c>
      <c r="L132" s="381"/>
    </row>
    <row r="133" spans="1:12" s="270" customFormat="1">
      <c r="A133" s="325" t="s">
        <v>586</v>
      </c>
      <c r="B133" s="328"/>
      <c r="C133" s="328"/>
      <c r="D133" s="542"/>
      <c r="E133" s="330"/>
      <c r="F133" s="330"/>
      <c r="G133" s="332"/>
      <c r="H133" s="483"/>
      <c r="I133" s="335"/>
      <c r="J133" s="295"/>
      <c r="K133" s="296">
        <f t="shared" si="2"/>
        <v>0</v>
      </c>
      <c r="L133" s="381"/>
    </row>
    <row r="134" spans="1:12" s="270" customFormat="1">
      <c r="A134" s="325" t="s">
        <v>586</v>
      </c>
      <c r="B134" s="328"/>
      <c r="C134" s="328"/>
      <c r="D134" s="542"/>
      <c r="E134" s="330"/>
      <c r="F134" s="330"/>
      <c r="G134" s="332"/>
      <c r="H134" s="483"/>
      <c r="I134" s="335"/>
      <c r="J134" s="295"/>
      <c r="K134" s="296">
        <f t="shared" si="2"/>
        <v>0</v>
      </c>
      <c r="L134" s="381"/>
    </row>
    <row r="135" spans="1:12" s="270" customFormat="1">
      <c r="A135" s="325" t="s">
        <v>586</v>
      </c>
      <c r="B135" s="328"/>
      <c r="C135" s="328"/>
      <c r="D135" s="542"/>
      <c r="E135" s="330"/>
      <c r="F135" s="330"/>
      <c r="G135" s="332"/>
      <c r="H135" s="483"/>
      <c r="I135" s="335"/>
      <c r="J135" s="295"/>
      <c r="K135" s="296">
        <f t="shared" si="2"/>
        <v>0</v>
      </c>
      <c r="L135" s="381"/>
    </row>
    <row r="136" spans="1:12" s="270" customFormat="1">
      <c r="A136" s="325" t="s">
        <v>586</v>
      </c>
      <c r="B136" s="328"/>
      <c r="C136" s="328"/>
      <c r="D136" s="542"/>
      <c r="E136" s="330"/>
      <c r="F136" s="330"/>
      <c r="G136" s="332"/>
      <c r="H136" s="483"/>
      <c r="I136" s="335"/>
      <c r="J136" s="295"/>
      <c r="K136" s="296">
        <f t="shared" si="2"/>
        <v>0</v>
      </c>
      <c r="L136" s="381"/>
    </row>
    <row r="137" spans="1:12" s="270" customFormat="1">
      <c r="A137" s="325" t="s">
        <v>586</v>
      </c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 t="s">
        <v>586</v>
      </c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 t="s">
        <v>586</v>
      </c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 t="s">
        <v>586</v>
      </c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 t="s">
        <v>586</v>
      </c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 t="s">
        <v>586</v>
      </c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 t="s">
        <v>586</v>
      </c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 t="s">
        <v>586</v>
      </c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 t="s">
        <v>586</v>
      </c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 t="s">
        <v>586</v>
      </c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 t="s">
        <v>586</v>
      </c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 t="s">
        <v>586</v>
      </c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348" si="3">IF(LEFT(A148,2)="TU",(J148-I148)*E148/100*100000*2,(J148-I148)*E148/100*100000)</f>
        <v>0</v>
      </c>
      <c r="L148" s="381"/>
    </row>
    <row r="149" spans="1:12" s="270" customFormat="1">
      <c r="A149" s="325" t="s">
        <v>586</v>
      </c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 t="s">
        <v>586</v>
      </c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 t="s">
        <v>586</v>
      </c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 t="s">
        <v>586</v>
      </c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 t="s">
        <v>586</v>
      </c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 t="s">
        <v>586</v>
      </c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 t="s">
        <v>586</v>
      </c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 t="s">
        <v>586</v>
      </c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 t="s">
        <v>586</v>
      </c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 t="s">
        <v>586</v>
      </c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 t="s">
        <v>586</v>
      </c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 t="s">
        <v>586</v>
      </c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 t="s">
        <v>586</v>
      </c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 t="s">
        <v>586</v>
      </c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 t="s">
        <v>586</v>
      </c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 t="s">
        <v>586</v>
      </c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 t="s">
        <v>586</v>
      </c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 t="s">
        <v>586</v>
      </c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 t="s">
        <v>586</v>
      </c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 t="s">
        <v>586</v>
      </c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 t="s">
        <v>586</v>
      </c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 t="s">
        <v>586</v>
      </c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 t="s">
        <v>586</v>
      </c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 t="s">
        <v>586</v>
      </c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 t="s">
        <v>586</v>
      </c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 t="s">
        <v>589</v>
      </c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 t="s">
        <v>589</v>
      </c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 t="s">
        <v>589</v>
      </c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 t="s">
        <v>589</v>
      </c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 t="s">
        <v>589</v>
      </c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 t="s">
        <v>589</v>
      </c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 t="s">
        <v>586</v>
      </c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 t="s">
        <v>586</v>
      </c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 t="s">
        <v>586</v>
      </c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 t="s">
        <v>586</v>
      </c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 t="s">
        <v>586</v>
      </c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 t="s">
        <v>586</v>
      </c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 t="s">
        <v>586</v>
      </c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 t="s">
        <v>586</v>
      </c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 t="s">
        <v>586</v>
      </c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 t="s">
        <v>586</v>
      </c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 t="s">
        <v>586</v>
      </c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 t="s">
        <v>586</v>
      </c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 t="s">
        <v>586</v>
      </c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 t="s">
        <v>586</v>
      </c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 t="s">
        <v>586</v>
      </c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 t="s">
        <v>586</v>
      </c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 t="s">
        <v>586</v>
      </c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 t="s">
        <v>586</v>
      </c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 t="s">
        <v>586</v>
      </c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 t="s">
        <v>586</v>
      </c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 t="s">
        <v>586</v>
      </c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 t="s">
        <v>586</v>
      </c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 t="s">
        <v>586</v>
      </c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 t="s">
        <v>586</v>
      </c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 t="s">
        <v>586</v>
      </c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 t="s">
        <v>586</v>
      </c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 t="s">
        <v>586</v>
      </c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 t="s">
        <v>586</v>
      </c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 t="s">
        <v>586</v>
      </c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 t="s">
        <v>586</v>
      </c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 t="s">
        <v>586</v>
      </c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 t="s">
        <v>586</v>
      </c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 t="s">
        <v>586</v>
      </c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si="3"/>
        <v>0</v>
      </c>
      <c r="L212" s="381"/>
    </row>
    <row r="213" spans="1:12" s="270" customFormat="1">
      <c r="A213" s="325" t="s">
        <v>586</v>
      </c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3"/>
        <v>0</v>
      </c>
      <c r="L213" s="381"/>
    </row>
    <row r="214" spans="1:12" s="270" customFormat="1">
      <c r="A214" s="325" t="s">
        <v>586</v>
      </c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3"/>
        <v>0</v>
      </c>
      <c r="L214" s="381"/>
    </row>
    <row r="215" spans="1:12" s="270" customFormat="1">
      <c r="A215" s="325" t="s">
        <v>586</v>
      </c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3"/>
        <v>0</v>
      </c>
      <c r="L215" s="381"/>
    </row>
    <row r="216" spans="1:12" s="270" customFormat="1">
      <c r="A216" s="325" t="s">
        <v>586</v>
      </c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3"/>
        <v>0</v>
      </c>
      <c r="L216" s="381"/>
    </row>
    <row r="217" spans="1:12" s="270" customFormat="1">
      <c r="A217" s="325" t="s">
        <v>586</v>
      </c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3"/>
        <v>0</v>
      </c>
      <c r="L217" s="381"/>
    </row>
    <row r="218" spans="1:12" s="270" customFormat="1">
      <c r="A218" s="325" t="s">
        <v>586</v>
      </c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3"/>
        <v>0</v>
      </c>
      <c r="L218" s="381"/>
    </row>
    <row r="219" spans="1:12" s="270" customFormat="1">
      <c r="A219" s="325" t="s">
        <v>586</v>
      </c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3"/>
        <v>0</v>
      </c>
      <c r="L219" s="381"/>
    </row>
    <row r="220" spans="1:12" s="270" customFormat="1">
      <c r="A220" s="325" t="s">
        <v>586</v>
      </c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3"/>
        <v>0</v>
      </c>
      <c r="L220" s="381"/>
    </row>
    <row r="221" spans="1:12" s="270" customFormat="1">
      <c r="A221" s="325" t="s">
        <v>586</v>
      </c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3"/>
        <v>0</v>
      </c>
      <c r="L221" s="381"/>
    </row>
    <row r="222" spans="1:12" s="270" customFormat="1">
      <c r="A222" s="325" t="s">
        <v>586</v>
      </c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3"/>
        <v>0</v>
      </c>
      <c r="L222" s="381"/>
    </row>
    <row r="223" spans="1:12" s="270" customFormat="1">
      <c r="A223" s="325" t="s">
        <v>586</v>
      </c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3"/>
        <v>0</v>
      </c>
      <c r="L223" s="381"/>
    </row>
    <row r="224" spans="1:12" s="270" customFormat="1">
      <c r="A224" s="325" t="s">
        <v>586</v>
      </c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3"/>
        <v>0</v>
      </c>
      <c r="L224" s="381"/>
    </row>
    <row r="225" spans="1:12" s="270" customFormat="1">
      <c r="A225" s="325" t="s">
        <v>586</v>
      </c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3"/>
        <v>0</v>
      </c>
      <c r="L225" s="381"/>
    </row>
    <row r="226" spans="1:12" s="270" customFormat="1">
      <c r="A226" s="325" t="s">
        <v>586</v>
      </c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3"/>
        <v>0</v>
      </c>
      <c r="L226" s="381"/>
    </row>
    <row r="227" spans="1:12" s="270" customFormat="1">
      <c r="A227" s="325" t="s">
        <v>586</v>
      </c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3"/>
        <v>0</v>
      </c>
      <c r="L227" s="381"/>
    </row>
    <row r="228" spans="1:12" s="270" customFormat="1">
      <c r="A228" s="325" t="s">
        <v>602</v>
      </c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3"/>
        <v>0</v>
      </c>
      <c r="L228" s="381"/>
    </row>
    <row r="229" spans="1:12" s="270" customFormat="1">
      <c r="A229" s="325" t="s">
        <v>602</v>
      </c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3"/>
        <v>0</v>
      </c>
      <c r="L229" s="381"/>
    </row>
    <row r="230" spans="1:12" s="270" customFormat="1">
      <c r="A230" s="325" t="s">
        <v>602</v>
      </c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3"/>
        <v>0</v>
      </c>
      <c r="L230" s="381"/>
    </row>
    <row r="231" spans="1:12" s="270" customFormat="1">
      <c r="A231" s="325" t="s">
        <v>602</v>
      </c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3"/>
        <v>0</v>
      </c>
      <c r="L231" s="381"/>
    </row>
    <row r="232" spans="1:12" s="270" customFormat="1">
      <c r="A232" s="325" t="s">
        <v>602</v>
      </c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3"/>
        <v>0</v>
      </c>
      <c r="L232" s="381"/>
    </row>
    <row r="233" spans="1:12" s="270" customFormat="1">
      <c r="A233" s="325" t="s">
        <v>602</v>
      </c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3"/>
        <v>0</v>
      </c>
      <c r="L233" s="381"/>
    </row>
    <row r="234" spans="1:12" s="270" customFormat="1">
      <c r="A234" s="325" t="s">
        <v>602</v>
      </c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3"/>
        <v>0</v>
      </c>
      <c r="L234" s="381"/>
    </row>
    <row r="235" spans="1:12" s="270" customFormat="1">
      <c r="A235" s="325" t="s">
        <v>602</v>
      </c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3"/>
        <v>0</v>
      </c>
      <c r="L235" s="381"/>
    </row>
    <row r="236" spans="1:12" s="270" customFormat="1">
      <c r="A236" s="325" t="s">
        <v>602</v>
      </c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3"/>
        <v>0</v>
      </c>
      <c r="L236" s="381"/>
    </row>
    <row r="237" spans="1:12" s="270" customFormat="1">
      <c r="A237" s="325" t="s">
        <v>602</v>
      </c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3"/>
        <v>0</v>
      </c>
      <c r="L237" s="381"/>
    </row>
    <row r="238" spans="1:12" s="270" customFormat="1">
      <c r="A238" s="325" t="s">
        <v>602</v>
      </c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3"/>
        <v>0</v>
      </c>
      <c r="L238" s="381"/>
    </row>
    <row r="239" spans="1:12" s="270" customFormat="1">
      <c r="A239" s="325" t="s">
        <v>602</v>
      </c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3"/>
        <v>0</v>
      </c>
      <c r="L239" s="381"/>
    </row>
    <row r="240" spans="1:12" s="270" customFormat="1">
      <c r="A240" s="325" t="s">
        <v>602</v>
      </c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3"/>
        <v>0</v>
      </c>
      <c r="L240" s="381"/>
    </row>
    <row r="241" spans="1:12" s="270" customFormat="1">
      <c r="A241" s="325" t="s">
        <v>602</v>
      </c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3"/>
        <v>0</v>
      </c>
      <c r="L241" s="381"/>
    </row>
    <row r="242" spans="1:12" s="270" customFormat="1">
      <c r="A242" s="325" t="s">
        <v>602</v>
      </c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3"/>
        <v>0</v>
      </c>
      <c r="L242" s="381"/>
    </row>
    <row r="243" spans="1:12" s="270" customFormat="1">
      <c r="A243" s="325" t="s">
        <v>602</v>
      </c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3"/>
        <v>0</v>
      </c>
      <c r="L243" s="381"/>
    </row>
    <row r="244" spans="1:12" s="270" customFormat="1">
      <c r="A244" s="325" t="s">
        <v>602</v>
      </c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3"/>
        <v>0</v>
      </c>
      <c r="L244" s="381"/>
    </row>
    <row r="245" spans="1:12" s="270" customFormat="1">
      <c r="A245" s="325" t="s">
        <v>602</v>
      </c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3"/>
        <v>0</v>
      </c>
      <c r="L245" s="381"/>
    </row>
    <row r="246" spans="1:12" s="270" customFormat="1">
      <c r="A246" s="325" t="s">
        <v>604</v>
      </c>
      <c r="B246" s="328"/>
      <c r="C246" s="328"/>
      <c r="D246" s="542"/>
      <c r="E246" s="330"/>
      <c r="F246" s="330"/>
      <c r="G246" s="332"/>
      <c r="H246" s="483"/>
      <c r="I246" s="335"/>
      <c r="J246" s="295"/>
      <c r="K246" s="847">
        <f t="shared" si="3"/>
        <v>0</v>
      </c>
      <c r="L246" s="381"/>
    </row>
    <row r="247" spans="1:12" s="270" customFormat="1">
      <c r="A247" s="325" t="s">
        <v>602</v>
      </c>
      <c r="B247" s="328"/>
      <c r="C247" s="328"/>
      <c r="D247" s="542"/>
      <c r="E247" s="330"/>
      <c r="F247" s="330"/>
      <c r="G247" s="332"/>
      <c r="H247" s="483"/>
      <c r="I247" s="335"/>
      <c r="J247" s="295"/>
      <c r="K247" s="847">
        <f t="shared" si="3"/>
        <v>0</v>
      </c>
      <c r="L247" s="381"/>
    </row>
    <row r="248" spans="1:12" s="270" customFormat="1">
      <c r="A248" s="325" t="s">
        <v>604</v>
      </c>
      <c r="B248" s="328"/>
      <c r="C248" s="328"/>
      <c r="D248" s="542"/>
      <c r="E248" s="330"/>
      <c r="F248" s="330"/>
      <c r="G248" s="332"/>
      <c r="H248" s="483"/>
      <c r="I248" s="335"/>
      <c r="J248" s="295"/>
      <c r="K248" s="847">
        <f t="shared" si="3"/>
        <v>0</v>
      </c>
      <c r="L248" s="381"/>
    </row>
    <row r="249" spans="1:12" s="270" customFormat="1">
      <c r="A249" s="325" t="s">
        <v>604</v>
      </c>
      <c r="B249" s="328"/>
      <c r="C249" s="328"/>
      <c r="D249" s="542"/>
      <c r="E249" s="330"/>
      <c r="F249" s="330"/>
      <c r="G249" s="332"/>
      <c r="H249" s="483"/>
      <c r="I249" s="335"/>
      <c r="J249" s="295"/>
      <c r="K249" s="847">
        <f t="shared" si="3"/>
        <v>0</v>
      </c>
      <c r="L249" s="381"/>
    </row>
    <row r="250" spans="1:12" s="270" customFormat="1">
      <c r="A250" s="325" t="s">
        <v>604</v>
      </c>
      <c r="B250" s="328"/>
      <c r="C250" s="328"/>
      <c r="D250" s="542"/>
      <c r="E250" s="330"/>
      <c r="F250" s="330"/>
      <c r="G250" s="332"/>
      <c r="H250" s="483"/>
      <c r="I250" s="335"/>
      <c r="J250" s="295"/>
      <c r="K250" s="847">
        <f t="shared" si="3"/>
        <v>0</v>
      </c>
      <c r="L250" s="381"/>
    </row>
    <row r="251" spans="1:12" s="270" customFormat="1">
      <c r="A251" s="325" t="s">
        <v>602</v>
      </c>
      <c r="B251" s="328"/>
      <c r="C251" s="328"/>
      <c r="D251" s="542"/>
      <c r="E251" s="330"/>
      <c r="F251" s="330"/>
      <c r="G251" s="332"/>
      <c r="H251" s="483"/>
      <c r="I251" s="335"/>
      <c r="J251" s="295"/>
      <c r="K251" s="847">
        <f t="shared" si="3"/>
        <v>0</v>
      </c>
      <c r="L251" s="381"/>
    </row>
    <row r="252" spans="1:12" s="270" customFormat="1">
      <c r="A252" s="325" t="s">
        <v>602</v>
      </c>
      <c r="B252" s="328"/>
      <c r="C252" s="328"/>
      <c r="D252" s="542"/>
      <c r="E252" s="330"/>
      <c r="F252" s="330"/>
      <c r="G252" s="332"/>
      <c r="H252" s="483"/>
      <c r="I252" s="335"/>
      <c r="J252" s="295"/>
      <c r="K252" s="847">
        <f t="shared" si="3"/>
        <v>0</v>
      </c>
      <c r="L252" s="381"/>
    </row>
    <row r="253" spans="1:12" s="270" customFormat="1">
      <c r="A253" s="325" t="s">
        <v>604</v>
      </c>
      <c r="B253" s="328"/>
      <c r="C253" s="328"/>
      <c r="D253" s="542"/>
      <c r="E253" s="330"/>
      <c r="F253" s="330"/>
      <c r="G253" s="332"/>
      <c r="H253" s="483"/>
      <c r="I253" s="335"/>
      <c r="J253" s="295"/>
      <c r="K253" s="847">
        <f t="shared" si="3"/>
        <v>0</v>
      </c>
      <c r="L253" s="381"/>
    </row>
    <row r="254" spans="1:12" s="270" customFormat="1">
      <c r="A254" s="325" t="s">
        <v>602</v>
      </c>
      <c r="B254" s="328"/>
      <c r="C254" s="328"/>
      <c r="D254" s="542"/>
      <c r="E254" s="330"/>
      <c r="F254" s="330"/>
      <c r="G254" s="332"/>
      <c r="H254" s="483"/>
      <c r="I254" s="335"/>
      <c r="J254" s="295"/>
      <c r="K254" s="847">
        <f t="shared" si="3"/>
        <v>0</v>
      </c>
      <c r="L254" s="381"/>
    </row>
    <row r="255" spans="1:12" s="270" customFormat="1">
      <c r="A255" s="325" t="s">
        <v>602</v>
      </c>
      <c r="B255" s="328"/>
      <c r="C255" s="328"/>
      <c r="D255" s="542"/>
      <c r="E255" s="330"/>
      <c r="F255" s="330"/>
      <c r="G255" s="332"/>
      <c r="H255" s="483"/>
      <c r="I255" s="335"/>
      <c r="J255" s="295"/>
      <c r="K255" s="847">
        <f t="shared" si="3"/>
        <v>0</v>
      </c>
      <c r="L255" s="381"/>
    </row>
    <row r="256" spans="1:12" s="270" customFormat="1">
      <c r="A256" s="325" t="s">
        <v>602</v>
      </c>
      <c r="B256" s="328"/>
      <c r="C256" s="328"/>
      <c r="D256" s="542"/>
      <c r="E256" s="330"/>
      <c r="F256" s="330"/>
      <c r="G256" s="332"/>
      <c r="H256" s="483"/>
      <c r="I256" s="335"/>
      <c r="J256" s="295"/>
      <c r="K256" s="847">
        <f t="shared" si="3"/>
        <v>0</v>
      </c>
      <c r="L256" s="381"/>
    </row>
    <row r="257" spans="1:12" s="270" customFormat="1">
      <c r="A257" s="325" t="s">
        <v>602</v>
      </c>
      <c r="B257" s="328"/>
      <c r="C257" s="328"/>
      <c r="D257" s="542"/>
      <c r="E257" s="330"/>
      <c r="F257" s="330"/>
      <c r="G257" s="332"/>
      <c r="H257" s="483"/>
      <c r="I257" s="335"/>
      <c r="J257" s="295"/>
      <c r="K257" s="847">
        <f t="shared" si="3"/>
        <v>0</v>
      </c>
      <c r="L257" s="381"/>
    </row>
    <row r="258" spans="1:12" s="270" customFormat="1">
      <c r="A258" s="325" t="s">
        <v>602</v>
      </c>
      <c r="B258" s="328"/>
      <c r="C258" s="328"/>
      <c r="D258" s="542"/>
      <c r="E258" s="330"/>
      <c r="F258" s="330"/>
      <c r="G258" s="332"/>
      <c r="H258" s="483"/>
      <c r="I258" s="335"/>
      <c r="J258" s="295"/>
      <c r="K258" s="847">
        <f t="shared" si="3"/>
        <v>0</v>
      </c>
      <c r="L258" s="381"/>
    </row>
    <row r="259" spans="1:12" s="270" customFormat="1">
      <c r="A259" s="325" t="s">
        <v>602</v>
      </c>
      <c r="B259" s="328"/>
      <c r="C259" s="328"/>
      <c r="D259" s="542"/>
      <c r="E259" s="330"/>
      <c r="F259" s="330"/>
      <c r="G259" s="332"/>
      <c r="H259" s="483"/>
      <c r="I259" s="335"/>
      <c r="J259" s="295"/>
      <c r="K259" s="847">
        <f t="shared" si="3"/>
        <v>0</v>
      </c>
      <c r="L259" s="381"/>
    </row>
    <row r="260" spans="1:12" s="270" customFormat="1">
      <c r="A260" s="325" t="s">
        <v>602</v>
      </c>
      <c r="B260" s="328"/>
      <c r="C260" s="328"/>
      <c r="D260" s="542"/>
      <c r="E260" s="330"/>
      <c r="F260" s="330"/>
      <c r="G260" s="332"/>
      <c r="H260" s="483"/>
      <c r="I260" s="335"/>
      <c r="J260" s="295"/>
      <c r="K260" s="847">
        <f t="shared" si="3"/>
        <v>0</v>
      </c>
      <c r="L260" s="381"/>
    </row>
    <row r="261" spans="1:12" s="270" customFormat="1">
      <c r="A261" s="325" t="s">
        <v>602</v>
      </c>
      <c r="B261" s="328"/>
      <c r="C261" s="328"/>
      <c r="D261" s="542"/>
      <c r="E261" s="330"/>
      <c r="F261" s="330"/>
      <c r="G261" s="332"/>
      <c r="H261" s="483"/>
      <c r="I261" s="335"/>
      <c r="J261" s="295"/>
      <c r="K261" s="847">
        <f t="shared" si="3"/>
        <v>0</v>
      </c>
      <c r="L261" s="381"/>
    </row>
    <row r="262" spans="1:12" s="270" customFormat="1">
      <c r="A262" s="325" t="s">
        <v>604</v>
      </c>
      <c r="B262" s="328"/>
      <c r="C262" s="328"/>
      <c r="D262" s="542"/>
      <c r="E262" s="330"/>
      <c r="F262" s="330"/>
      <c r="G262" s="332"/>
      <c r="H262" s="483"/>
      <c r="I262" s="335"/>
      <c r="J262" s="295"/>
      <c r="K262" s="847">
        <f t="shared" si="3"/>
        <v>0</v>
      </c>
      <c r="L262" s="381"/>
    </row>
    <row r="263" spans="1:12" s="270" customFormat="1">
      <c r="A263" s="325" t="s">
        <v>604</v>
      </c>
      <c r="B263" s="328"/>
      <c r="C263" s="328"/>
      <c r="D263" s="542"/>
      <c r="E263" s="330"/>
      <c r="F263" s="330"/>
      <c r="G263" s="332"/>
      <c r="H263" s="483"/>
      <c r="I263" s="335"/>
      <c r="J263" s="295"/>
      <c r="K263" s="847">
        <f t="shared" si="3"/>
        <v>0</v>
      </c>
      <c r="L263" s="381"/>
    </row>
    <row r="264" spans="1:12" s="270" customFormat="1">
      <c r="A264" s="325" t="s">
        <v>602</v>
      </c>
      <c r="B264" s="328"/>
      <c r="C264" s="328"/>
      <c r="D264" s="542"/>
      <c r="E264" s="330"/>
      <c r="F264" s="330"/>
      <c r="G264" s="332"/>
      <c r="H264" s="483"/>
      <c r="I264" s="335"/>
      <c r="J264" s="295"/>
      <c r="K264" s="847">
        <f t="shared" si="3"/>
        <v>0</v>
      </c>
      <c r="L264" s="381"/>
    </row>
    <row r="265" spans="1:12" s="270" customFormat="1">
      <c r="A265" s="325" t="s">
        <v>602</v>
      </c>
      <c r="B265" s="328"/>
      <c r="C265" s="328"/>
      <c r="D265" s="542"/>
      <c r="E265" s="330"/>
      <c r="F265" s="330"/>
      <c r="G265" s="332"/>
      <c r="H265" s="483"/>
      <c r="I265" s="335"/>
      <c r="J265" s="295"/>
      <c r="K265" s="847">
        <f t="shared" si="3"/>
        <v>0</v>
      </c>
      <c r="L265" s="381"/>
    </row>
    <row r="266" spans="1:12" s="270" customFormat="1">
      <c r="A266" s="325" t="s">
        <v>602</v>
      </c>
      <c r="B266" s="328"/>
      <c r="C266" s="328"/>
      <c r="D266" s="542"/>
      <c r="E266" s="330"/>
      <c r="F266" s="330"/>
      <c r="G266" s="332"/>
      <c r="H266" s="483"/>
      <c r="I266" s="335"/>
      <c r="J266" s="295"/>
      <c r="K266" s="847">
        <f t="shared" si="3"/>
        <v>0</v>
      </c>
      <c r="L266" s="381"/>
    </row>
    <row r="267" spans="1:12" s="270" customFormat="1">
      <c r="A267" s="325" t="s">
        <v>602</v>
      </c>
      <c r="B267" s="328"/>
      <c r="C267" s="328"/>
      <c r="D267" s="542"/>
      <c r="E267" s="330"/>
      <c r="F267" s="330"/>
      <c r="G267" s="332"/>
      <c r="H267" s="483"/>
      <c r="I267" s="335"/>
      <c r="J267" s="295"/>
      <c r="K267" s="847">
        <f t="shared" si="3"/>
        <v>0</v>
      </c>
      <c r="L267" s="381"/>
    </row>
    <row r="268" spans="1:12" s="270" customFormat="1">
      <c r="A268" s="325" t="s">
        <v>602</v>
      </c>
      <c r="B268" s="328"/>
      <c r="C268" s="328"/>
      <c r="D268" s="542"/>
      <c r="E268" s="330"/>
      <c r="F268" s="330"/>
      <c r="G268" s="332"/>
      <c r="H268" s="483"/>
      <c r="I268" s="335"/>
      <c r="J268" s="295"/>
      <c r="K268" s="847">
        <f t="shared" si="3"/>
        <v>0</v>
      </c>
      <c r="L268" s="381"/>
    </row>
    <row r="269" spans="1:12" s="270" customFormat="1">
      <c r="A269" s="325" t="s">
        <v>602</v>
      </c>
      <c r="B269" s="328"/>
      <c r="C269" s="328"/>
      <c r="D269" s="542"/>
      <c r="E269" s="330"/>
      <c r="F269" s="330"/>
      <c r="G269" s="332"/>
      <c r="H269" s="483"/>
      <c r="I269" s="335"/>
      <c r="J269" s="295"/>
      <c r="K269" s="847">
        <f t="shared" si="3"/>
        <v>0</v>
      </c>
      <c r="L269" s="381"/>
    </row>
    <row r="270" spans="1:12" s="270" customFormat="1">
      <c r="A270" s="325" t="s">
        <v>602</v>
      </c>
      <c r="B270" s="328"/>
      <c r="C270" s="328"/>
      <c r="D270" s="542"/>
      <c r="E270" s="330"/>
      <c r="F270" s="330"/>
      <c r="G270" s="332"/>
      <c r="H270" s="483"/>
      <c r="I270" s="335"/>
      <c r="J270" s="295"/>
      <c r="K270" s="847">
        <f t="shared" si="3"/>
        <v>0</v>
      </c>
      <c r="L270" s="381"/>
    </row>
    <row r="271" spans="1:12" s="270" customFormat="1">
      <c r="A271" s="325" t="s">
        <v>602</v>
      </c>
      <c r="B271" s="328"/>
      <c r="C271" s="328"/>
      <c r="D271" s="542"/>
      <c r="E271" s="330"/>
      <c r="F271" s="330"/>
      <c r="G271" s="332"/>
      <c r="H271" s="483"/>
      <c r="I271" s="335"/>
      <c r="J271" s="295"/>
      <c r="K271" s="847">
        <f t="shared" si="3"/>
        <v>0</v>
      </c>
      <c r="L271" s="381"/>
    </row>
    <row r="272" spans="1:12" s="270" customFormat="1">
      <c r="A272" s="325" t="s">
        <v>602</v>
      </c>
      <c r="B272" s="328"/>
      <c r="C272" s="328"/>
      <c r="D272" s="542"/>
      <c r="E272" s="330"/>
      <c r="F272" s="330"/>
      <c r="G272" s="332"/>
      <c r="H272" s="483"/>
      <c r="I272" s="335"/>
      <c r="J272" s="295"/>
      <c r="K272" s="847">
        <f>IF(LEFT(A272,2)="TU",(J272-I272)*E272/100*100000*2,(J272-I272)*E272/100*100000)</f>
        <v>0</v>
      </c>
      <c r="L272" s="381"/>
    </row>
    <row r="273" spans="1:12" s="270" customFormat="1">
      <c r="A273" s="325" t="s">
        <v>602</v>
      </c>
      <c r="B273" s="328"/>
      <c r="C273" s="328"/>
      <c r="D273" s="542"/>
      <c r="E273" s="330"/>
      <c r="F273" s="330"/>
      <c r="G273" s="332"/>
      <c r="H273" s="483"/>
      <c r="I273" s="335"/>
      <c r="J273" s="295"/>
      <c r="K273" s="847">
        <f t="shared" si="3"/>
        <v>0</v>
      </c>
      <c r="L273" s="381"/>
    </row>
    <row r="274" spans="1:12" s="270" customFormat="1">
      <c r="A274" s="325" t="s">
        <v>602</v>
      </c>
      <c r="B274" s="328"/>
      <c r="C274" s="328"/>
      <c r="D274" s="542"/>
      <c r="E274" s="330"/>
      <c r="F274" s="330"/>
      <c r="G274" s="332"/>
      <c r="H274" s="483"/>
      <c r="I274" s="335"/>
      <c r="J274" s="295"/>
      <c r="K274" s="847">
        <f t="shared" si="3"/>
        <v>0</v>
      </c>
      <c r="L274" s="381"/>
    </row>
    <row r="275" spans="1:12" s="270" customFormat="1">
      <c r="A275" s="325" t="s">
        <v>602</v>
      </c>
      <c r="B275" s="328"/>
      <c r="C275" s="328"/>
      <c r="D275" s="542"/>
      <c r="E275" s="330"/>
      <c r="F275" s="330"/>
      <c r="G275" s="332"/>
      <c r="H275" s="483"/>
      <c r="I275" s="335"/>
      <c r="J275" s="295"/>
      <c r="K275" s="847">
        <f t="shared" si="3"/>
        <v>0</v>
      </c>
      <c r="L275" s="381"/>
    </row>
    <row r="276" spans="1:12" s="270" customFormat="1">
      <c r="A276" s="325" t="s">
        <v>602</v>
      </c>
      <c r="B276" s="328"/>
      <c r="C276" s="328"/>
      <c r="D276" s="542"/>
      <c r="E276" s="330"/>
      <c r="F276" s="330"/>
      <c r="G276" s="332"/>
      <c r="H276" s="483"/>
      <c r="I276" s="335"/>
      <c r="J276" s="295"/>
      <c r="K276" s="847">
        <f t="shared" si="3"/>
        <v>0</v>
      </c>
      <c r="L276" s="381"/>
    </row>
    <row r="277" spans="1:12" s="270" customFormat="1">
      <c r="A277" s="325" t="s">
        <v>602</v>
      </c>
      <c r="B277" s="328"/>
      <c r="C277" s="328"/>
      <c r="D277" s="542"/>
      <c r="E277" s="330"/>
      <c r="F277" s="330"/>
      <c r="G277" s="332"/>
      <c r="H277" s="483"/>
      <c r="I277" s="335"/>
      <c r="J277" s="295"/>
      <c r="K277" s="847">
        <f t="shared" si="3"/>
        <v>0</v>
      </c>
      <c r="L277" s="381"/>
    </row>
    <row r="278" spans="1:12" s="270" customFormat="1">
      <c r="A278" s="325" t="s">
        <v>602</v>
      </c>
      <c r="B278" s="328"/>
      <c r="C278" s="328"/>
      <c r="D278" s="542"/>
      <c r="E278" s="330"/>
      <c r="F278" s="330"/>
      <c r="G278" s="332"/>
      <c r="H278" s="483"/>
      <c r="I278" s="335"/>
      <c r="J278" s="295"/>
      <c r="K278" s="847">
        <f t="shared" si="3"/>
        <v>0</v>
      </c>
      <c r="L278" s="381"/>
    </row>
    <row r="279" spans="1:12" s="270" customFormat="1">
      <c r="A279" s="325" t="s">
        <v>602</v>
      </c>
      <c r="B279" s="328"/>
      <c r="C279" s="328"/>
      <c r="D279" s="542"/>
      <c r="E279" s="330"/>
      <c r="F279" s="330"/>
      <c r="G279" s="332"/>
      <c r="H279" s="483"/>
      <c r="I279" s="335"/>
      <c r="J279" s="295"/>
      <c r="K279" s="847">
        <f t="shared" si="3"/>
        <v>0</v>
      </c>
      <c r="L279" s="381"/>
    </row>
    <row r="280" spans="1:12" s="270" customFormat="1">
      <c r="A280" s="325" t="s">
        <v>602</v>
      </c>
      <c r="B280" s="328"/>
      <c r="C280" s="328"/>
      <c r="D280" s="542"/>
      <c r="E280" s="330"/>
      <c r="F280" s="330"/>
      <c r="G280" s="332"/>
      <c r="H280" s="483"/>
      <c r="I280" s="335"/>
      <c r="J280" s="295"/>
      <c r="K280" s="847">
        <f t="shared" si="3"/>
        <v>0</v>
      </c>
      <c r="L280" s="381"/>
    </row>
    <row r="281" spans="1:12" s="270" customFormat="1">
      <c r="A281" s="325" t="s">
        <v>602</v>
      </c>
      <c r="B281" s="328"/>
      <c r="C281" s="328"/>
      <c r="D281" s="542"/>
      <c r="E281" s="330"/>
      <c r="F281" s="330"/>
      <c r="G281" s="332"/>
      <c r="H281" s="483"/>
      <c r="I281" s="335"/>
      <c r="J281" s="295"/>
      <c r="K281" s="847">
        <f t="shared" si="3"/>
        <v>0</v>
      </c>
      <c r="L281" s="381"/>
    </row>
    <row r="282" spans="1:12" s="270" customFormat="1">
      <c r="A282" s="325" t="s">
        <v>602</v>
      </c>
      <c r="B282" s="328"/>
      <c r="C282" s="328"/>
      <c r="D282" s="542"/>
      <c r="E282" s="330"/>
      <c r="F282" s="330"/>
      <c r="G282" s="332"/>
      <c r="H282" s="483"/>
      <c r="I282" s="335"/>
      <c r="J282" s="295"/>
      <c r="K282" s="847">
        <f t="shared" si="3"/>
        <v>0</v>
      </c>
      <c r="L282" s="381"/>
    </row>
    <row r="283" spans="1:12" s="270" customFormat="1">
      <c r="A283" s="325" t="s">
        <v>602</v>
      </c>
      <c r="B283" s="328"/>
      <c r="C283" s="328"/>
      <c r="D283" s="542"/>
      <c r="E283" s="330"/>
      <c r="F283" s="330"/>
      <c r="G283" s="332"/>
      <c r="H283" s="483"/>
      <c r="I283" s="335"/>
      <c r="J283" s="295"/>
      <c r="K283" s="847">
        <f t="shared" si="3"/>
        <v>0</v>
      </c>
      <c r="L283" s="381"/>
    </row>
    <row r="284" spans="1:12" s="270" customFormat="1">
      <c r="A284" s="325" t="s">
        <v>602</v>
      </c>
      <c r="B284" s="328"/>
      <c r="C284" s="328"/>
      <c r="D284" s="542"/>
      <c r="E284" s="330"/>
      <c r="F284" s="330"/>
      <c r="G284" s="332"/>
      <c r="H284" s="483"/>
      <c r="I284" s="335"/>
      <c r="J284" s="295"/>
      <c r="K284" s="847">
        <f t="shared" si="3"/>
        <v>0</v>
      </c>
      <c r="L284" s="381"/>
    </row>
    <row r="285" spans="1:12" s="270" customFormat="1">
      <c r="A285" s="325" t="s">
        <v>629</v>
      </c>
      <c r="B285" s="328"/>
      <c r="C285" s="328"/>
      <c r="D285" s="542"/>
      <c r="E285" s="330"/>
      <c r="F285" s="330"/>
      <c r="G285" s="332"/>
      <c r="H285" s="483"/>
      <c r="I285" s="335"/>
      <c r="J285" s="295"/>
      <c r="K285" s="847">
        <f t="shared" si="3"/>
        <v>0</v>
      </c>
      <c r="L285" s="381"/>
    </row>
    <row r="286" spans="1:12" s="270" customFormat="1">
      <c r="A286" s="325" t="s">
        <v>629</v>
      </c>
      <c r="B286" s="328"/>
      <c r="C286" s="328"/>
      <c r="D286" s="542"/>
      <c r="E286" s="330"/>
      <c r="F286" s="330"/>
      <c r="G286" s="332"/>
      <c r="H286" s="483"/>
      <c r="I286" s="335"/>
      <c r="J286" s="295"/>
      <c r="K286" s="847">
        <f t="shared" si="3"/>
        <v>0</v>
      </c>
      <c r="L286" s="381"/>
    </row>
    <row r="287" spans="1:12" s="270" customFormat="1">
      <c r="A287" s="325" t="s">
        <v>629</v>
      </c>
      <c r="B287" s="328"/>
      <c r="C287" s="328"/>
      <c r="D287" s="542"/>
      <c r="E287" s="330"/>
      <c r="F287" s="330"/>
      <c r="G287" s="332"/>
      <c r="H287" s="483"/>
      <c r="I287" s="335"/>
      <c r="J287" s="295"/>
      <c r="K287" s="847">
        <f t="shared" si="3"/>
        <v>0</v>
      </c>
      <c r="L287" s="381"/>
    </row>
    <row r="288" spans="1:12" s="270" customFormat="1">
      <c r="A288" s="325" t="s">
        <v>629</v>
      </c>
      <c r="B288" s="328"/>
      <c r="C288" s="328"/>
      <c r="D288" s="542"/>
      <c r="E288" s="330"/>
      <c r="F288" s="330"/>
      <c r="G288" s="332"/>
      <c r="H288" s="483"/>
      <c r="I288" s="335"/>
      <c r="J288" s="295"/>
      <c r="K288" s="847">
        <f t="shared" si="3"/>
        <v>0</v>
      </c>
      <c r="L288" s="381"/>
    </row>
    <row r="289" spans="1:12" s="270" customFormat="1">
      <c r="A289" s="325" t="s">
        <v>629</v>
      </c>
      <c r="B289" s="328"/>
      <c r="C289" s="328"/>
      <c r="D289" s="542"/>
      <c r="E289" s="330"/>
      <c r="F289" s="330"/>
      <c r="G289" s="332"/>
      <c r="H289" s="483"/>
      <c r="I289" s="335"/>
      <c r="J289" s="295"/>
      <c r="K289" s="847">
        <f t="shared" si="3"/>
        <v>0</v>
      </c>
      <c r="L289" s="381"/>
    </row>
    <row r="290" spans="1:12" s="270" customFormat="1">
      <c r="A290" s="325" t="s">
        <v>629</v>
      </c>
      <c r="B290" s="328"/>
      <c r="C290" s="328"/>
      <c r="D290" s="542"/>
      <c r="E290" s="330"/>
      <c r="F290" s="330"/>
      <c r="G290" s="332"/>
      <c r="H290" s="483"/>
      <c r="I290" s="335"/>
      <c r="J290" s="295"/>
      <c r="K290" s="847">
        <f t="shared" si="3"/>
        <v>0</v>
      </c>
      <c r="L290" s="381"/>
    </row>
    <row r="291" spans="1:12" s="270" customFormat="1">
      <c r="A291" s="325" t="s">
        <v>629</v>
      </c>
      <c r="B291" s="328"/>
      <c r="C291" s="328"/>
      <c r="D291" s="542"/>
      <c r="E291" s="330"/>
      <c r="F291" s="330"/>
      <c r="G291" s="332"/>
      <c r="H291" s="483"/>
      <c r="I291" s="335"/>
      <c r="J291" s="295"/>
      <c r="K291" s="847">
        <f t="shared" si="3"/>
        <v>0</v>
      </c>
      <c r="L291" s="381"/>
    </row>
    <row r="292" spans="1:12" s="270" customFormat="1">
      <c r="A292" s="325" t="s">
        <v>629</v>
      </c>
      <c r="B292" s="328"/>
      <c r="C292" s="328"/>
      <c r="D292" s="542"/>
      <c r="E292" s="330"/>
      <c r="F292" s="330"/>
      <c r="G292" s="332"/>
      <c r="H292" s="483"/>
      <c r="I292" s="335"/>
      <c r="J292" s="295"/>
      <c r="K292" s="847">
        <f t="shared" si="3"/>
        <v>0</v>
      </c>
      <c r="L292" s="381"/>
    </row>
    <row r="293" spans="1:12" s="270" customFormat="1">
      <c r="A293" s="325" t="s">
        <v>629</v>
      </c>
      <c r="B293" s="328"/>
      <c r="C293" s="328"/>
      <c r="D293" s="542"/>
      <c r="E293" s="330"/>
      <c r="F293" s="330"/>
      <c r="G293" s="332"/>
      <c r="H293" s="483"/>
      <c r="I293" s="335"/>
      <c r="J293" s="295"/>
      <c r="K293" s="847">
        <f t="shared" si="3"/>
        <v>0</v>
      </c>
      <c r="L293" s="381"/>
    </row>
    <row r="294" spans="1:12" s="270" customFormat="1">
      <c r="A294" s="325" t="s">
        <v>629</v>
      </c>
      <c r="B294" s="328"/>
      <c r="C294" s="328"/>
      <c r="D294" s="542"/>
      <c r="E294" s="330"/>
      <c r="F294" s="330"/>
      <c r="G294" s="332"/>
      <c r="H294" s="483"/>
      <c r="I294" s="335"/>
      <c r="J294" s="295"/>
      <c r="K294" s="847">
        <f t="shared" si="3"/>
        <v>0</v>
      </c>
      <c r="L294" s="381"/>
    </row>
    <row r="295" spans="1:12" s="270" customFormat="1">
      <c r="A295" s="325" t="s">
        <v>629</v>
      </c>
      <c r="B295" s="328"/>
      <c r="C295" s="328"/>
      <c r="D295" s="542"/>
      <c r="E295" s="330"/>
      <c r="F295" s="330"/>
      <c r="G295" s="332"/>
      <c r="H295" s="483"/>
      <c r="I295" s="335"/>
      <c r="J295" s="295"/>
      <c r="K295" s="847">
        <f t="shared" si="3"/>
        <v>0</v>
      </c>
      <c r="L295" s="381"/>
    </row>
    <row r="296" spans="1:12" s="270" customFormat="1">
      <c r="A296" s="325" t="s">
        <v>629</v>
      </c>
      <c r="B296" s="328"/>
      <c r="C296" s="328"/>
      <c r="D296" s="542"/>
      <c r="E296" s="330"/>
      <c r="F296" s="330"/>
      <c r="G296" s="332"/>
      <c r="H296" s="483"/>
      <c r="I296" s="335"/>
      <c r="J296" s="295"/>
      <c r="K296" s="847">
        <f t="shared" si="3"/>
        <v>0</v>
      </c>
      <c r="L296" s="381"/>
    </row>
    <row r="297" spans="1:12" s="270" customFormat="1">
      <c r="A297" s="325" t="s">
        <v>629</v>
      </c>
      <c r="B297" s="328"/>
      <c r="C297" s="328"/>
      <c r="D297" s="542"/>
      <c r="E297" s="330"/>
      <c r="F297" s="330"/>
      <c r="G297" s="332"/>
      <c r="H297" s="483"/>
      <c r="I297" s="335"/>
      <c r="J297" s="295"/>
      <c r="K297" s="847">
        <f t="shared" si="3"/>
        <v>0</v>
      </c>
      <c r="L297" s="381"/>
    </row>
    <row r="298" spans="1:12" s="270" customFormat="1">
      <c r="A298" s="325" t="s">
        <v>629</v>
      </c>
      <c r="B298" s="328"/>
      <c r="C298" s="328"/>
      <c r="D298" s="542"/>
      <c r="E298" s="330"/>
      <c r="F298" s="330"/>
      <c r="G298" s="332"/>
      <c r="H298" s="483"/>
      <c r="I298" s="335"/>
      <c r="J298" s="295"/>
      <c r="K298" s="847">
        <f t="shared" si="3"/>
        <v>0</v>
      </c>
      <c r="L298" s="381"/>
    </row>
    <row r="299" spans="1:12" s="270" customFormat="1">
      <c r="A299" s="325" t="s">
        <v>629</v>
      </c>
      <c r="B299" s="328"/>
      <c r="C299" s="328"/>
      <c r="D299" s="542"/>
      <c r="E299" s="330"/>
      <c r="F299" s="330"/>
      <c r="G299" s="332"/>
      <c r="H299" s="483"/>
      <c r="I299" s="335"/>
      <c r="J299" s="295"/>
      <c r="K299" s="847">
        <f t="shared" si="3"/>
        <v>0</v>
      </c>
      <c r="L299" s="381"/>
    </row>
    <row r="300" spans="1:12" s="270" customFormat="1">
      <c r="A300" s="325" t="s">
        <v>629</v>
      </c>
      <c r="B300" s="328"/>
      <c r="C300" s="328"/>
      <c r="D300" s="542"/>
      <c r="E300" s="330"/>
      <c r="F300" s="330"/>
      <c r="G300" s="332"/>
      <c r="H300" s="483"/>
      <c r="I300" s="335"/>
      <c r="J300" s="295"/>
      <c r="K300" s="847">
        <f t="shared" si="3"/>
        <v>0</v>
      </c>
      <c r="L300" s="381"/>
    </row>
    <row r="301" spans="1:12" s="270" customFormat="1">
      <c r="A301" s="325" t="s">
        <v>629</v>
      </c>
      <c r="B301" s="328"/>
      <c r="C301" s="328"/>
      <c r="D301" s="542"/>
      <c r="E301" s="330"/>
      <c r="F301" s="330"/>
      <c r="G301" s="332"/>
      <c r="H301" s="483"/>
      <c r="I301" s="335"/>
      <c r="J301" s="295"/>
      <c r="K301" s="847">
        <f t="shared" si="3"/>
        <v>0</v>
      </c>
      <c r="L301" s="381"/>
    </row>
    <row r="302" spans="1:12" s="270" customFormat="1">
      <c r="A302" s="325" t="s">
        <v>629</v>
      </c>
      <c r="B302" s="328"/>
      <c r="C302" s="328"/>
      <c r="D302" s="542"/>
      <c r="E302" s="330"/>
      <c r="F302" s="330"/>
      <c r="G302" s="332"/>
      <c r="H302" s="483"/>
      <c r="I302" s="335"/>
      <c r="J302" s="295"/>
      <c r="K302" s="847">
        <f t="shared" si="3"/>
        <v>0</v>
      </c>
      <c r="L302" s="381"/>
    </row>
    <row r="303" spans="1:12" s="270" customFormat="1">
      <c r="A303" s="325" t="s">
        <v>629</v>
      </c>
      <c r="B303" s="328"/>
      <c r="C303" s="328"/>
      <c r="D303" s="542"/>
      <c r="E303" s="330"/>
      <c r="F303" s="330"/>
      <c r="G303" s="332"/>
      <c r="H303" s="483"/>
      <c r="I303" s="335"/>
      <c r="J303" s="295"/>
      <c r="K303" s="847">
        <f t="shared" si="3"/>
        <v>0</v>
      </c>
      <c r="L303" s="381"/>
    </row>
    <row r="304" spans="1:12" s="270" customFormat="1">
      <c r="A304" s="325" t="s">
        <v>629</v>
      </c>
      <c r="B304" s="328"/>
      <c r="C304" s="328"/>
      <c r="D304" s="542"/>
      <c r="E304" s="330"/>
      <c r="F304" s="330"/>
      <c r="G304" s="332"/>
      <c r="H304" s="483"/>
      <c r="I304" s="335"/>
      <c r="J304" s="295"/>
      <c r="K304" s="847">
        <f t="shared" si="3"/>
        <v>0</v>
      </c>
      <c r="L304" s="381"/>
    </row>
    <row r="305" spans="1:12" s="270" customFormat="1">
      <c r="A305" s="325" t="s">
        <v>629</v>
      </c>
      <c r="B305" s="328"/>
      <c r="C305" s="328"/>
      <c r="D305" s="542"/>
      <c r="E305" s="330"/>
      <c r="F305" s="330"/>
      <c r="G305" s="332"/>
      <c r="H305" s="483"/>
      <c r="I305" s="335"/>
      <c r="J305" s="295"/>
      <c r="K305" s="847">
        <f t="shared" si="3"/>
        <v>0</v>
      </c>
      <c r="L305" s="381"/>
    </row>
    <row r="306" spans="1:12" s="270" customFormat="1">
      <c r="A306" s="325" t="s">
        <v>629</v>
      </c>
      <c r="B306" s="328"/>
      <c r="C306" s="328"/>
      <c r="D306" s="542"/>
      <c r="E306" s="330"/>
      <c r="F306" s="330"/>
      <c r="G306" s="332"/>
      <c r="H306" s="483"/>
      <c r="I306" s="335"/>
      <c r="J306" s="295"/>
      <c r="K306" s="847">
        <f t="shared" si="3"/>
        <v>0</v>
      </c>
      <c r="L306" s="381"/>
    </row>
    <row r="307" spans="1:12" s="270" customFormat="1">
      <c r="A307" s="325" t="s">
        <v>629</v>
      </c>
      <c r="B307" s="328"/>
      <c r="C307" s="328"/>
      <c r="D307" s="542"/>
      <c r="E307" s="330"/>
      <c r="F307" s="330"/>
      <c r="G307" s="332"/>
      <c r="H307" s="483"/>
      <c r="I307" s="335"/>
      <c r="J307" s="295"/>
      <c r="K307" s="847">
        <f t="shared" si="3"/>
        <v>0</v>
      </c>
      <c r="L307" s="381"/>
    </row>
    <row r="308" spans="1:12" s="270" customFormat="1">
      <c r="A308" s="325" t="s">
        <v>629</v>
      </c>
      <c r="B308" s="328"/>
      <c r="C308" s="328"/>
      <c r="D308" s="542"/>
      <c r="E308" s="330"/>
      <c r="F308" s="330"/>
      <c r="G308" s="332"/>
      <c r="H308" s="483"/>
      <c r="I308" s="335"/>
      <c r="J308" s="295"/>
      <c r="K308" s="847">
        <f t="shared" si="3"/>
        <v>0</v>
      </c>
      <c r="L308" s="381"/>
    </row>
    <row r="309" spans="1:12" s="270" customFormat="1">
      <c r="A309" s="325" t="s">
        <v>629</v>
      </c>
      <c r="B309" s="328"/>
      <c r="C309" s="328"/>
      <c r="D309" s="542"/>
      <c r="E309" s="330"/>
      <c r="F309" s="330"/>
      <c r="G309" s="332"/>
      <c r="H309" s="483"/>
      <c r="I309" s="335"/>
      <c r="J309" s="295"/>
      <c r="K309" s="847">
        <f t="shared" si="3"/>
        <v>0</v>
      </c>
      <c r="L309" s="381"/>
    </row>
    <row r="310" spans="1:12" s="270" customFormat="1">
      <c r="A310" s="325" t="s">
        <v>629</v>
      </c>
      <c r="B310" s="328"/>
      <c r="C310" s="328"/>
      <c r="D310" s="542"/>
      <c r="E310" s="330"/>
      <c r="F310" s="330"/>
      <c r="G310" s="332"/>
      <c r="H310" s="483"/>
      <c r="I310" s="335"/>
      <c r="J310" s="295"/>
      <c r="K310" s="847">
        <f t="shared" si="3"/>
        <v>0</v>
      </c>
      <c r="L310" s="381"/>
    </row>
    <row r="311" spans="1:12" s="270" customFormat="1">
      <c r="A311" s="325" t="s">
        <v>629</v>
      </c>
      <c r="B311" s="328"/>
      <c r="C311" s="328"/>
      <c r="D311" s="542"/>
      <c r="E311" s="330"/>
      <c r="F311" s="330"/>
      <c r="G311" s="332"/>
      <c r="H311" s="483"/>
      <c r="I311" s="335"/>
      <c r="J311" s="295"/>
      <c r="K311" s="847">
        <f t="shared" si="3"/>
        <v>0</v>
      </c>
      <c r="L311" s="381"/>
    </row>
    <row r="312" spans="1:12" s="270" customFormat="1">
      <c r="A312" s="325" t="s">
        <v>629</v>
      </c>
      <c r="B312" s="328"/>
      <c r="C312" s="328"/>
      <c r="D312" s="542"/>
      <c r="E312" s="330"/>
      <c r="F312" s="330"/>
      <c r="G312" s="332"/>
      <c r="H312" s="483"/>
      <c r="I312" s="335"/>
      <c r="J312" s="295"/>
      <c r="K312" s="847">
        <f t="shared" si="3"/>
        <v>0</v>
      </c>
      <c r="L312" s="381"/>
    </row>
    <row r="313" spans="1:12" s="270" customFormat="1">
      <c r="A313" s="325" t="s">
        <v>629</v>
      </c>
      <c r="B313" s="328"/>
      <c r="C313" s="328"/>
      <c r="D313" s="542"/>
      <c r="E313" s="330"/>
      <c r="F313" s="330"/>
      <c r="G313" s="332"/>
      <c r="H313" s="483"/>
      <c r="I313" s="335"/>
      <c r="J313" s="295"/>
      <c r="K313" s="847">
        <f t="shared" si="3"/>
        <v>0</v>
      </c>
      <c r="L313" s="381"/>
    </row>
    <row r="314" spans="1:12" s="270" customFormat="1">
      <c r="A314" s="325" t="s">
        <v>629</v>
      </c>
      <c r="B314" s="328"/>
      <c r="C314" s="328"/>
      <c r="D314" s="542"/>
      <c r="E314" s="330"/>
      <c r="F314" s="330"/>
      <c r="G314" s="332"/>
      <c r="H314" s="483"/>
      <c r="I314" s="335"/>
      <c r="J314" s="295"/>
      <c r="K314" s="847">
        <f t="shared" si="3"/>
        <v>0</v>
      </c>
      <c r="L314" s="381"/>
    </row>
    <row r="315" spans="1:12" s="270" customFormat="1">
      <c r="A315" s="325" t="s">
        <v>629</v>
      </c>
      <c r="B315" s="328"/>
      <c r="C315" s="328"/>
      <c r="D315" s="542"/>
      <c r="E315" s="330"/>
      <c r="F315" s="330"/>
      <c r="G315" s="332"/>
      <c r="H315" s="483"/>
      <c r="I315" s="335"/>
      <c r="J315" s="295"/>
      <c r="K315" s="847">
        <f t="shared" si="3"/>
        <v>0</v>
      </c>
      <c r="L315" s="381"/>
    </row>
    <row r="316" spans="1:12" s="270" customFormat="1">
      <c r="A316" s="325" t="s">
        <v>629</v>
      </c>
      <c r="B316" s="328"/>
      <c r="C316" s="328"/>
      <c r="D316" s="542"/>
      <c r="E316" s="330"/>
      <c r="F316" s="330"/>
      <c r="G316" s="332"/>
      <c r="H316" s="483"/>
      <c r="I316" s="335"/>
      <c r="J316" s="295"/>
      <c r="K316" s="847">
        <f t="shared" si="3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847">
        <f t="shared" si="3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847">
        <f t="shared" si="3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847">
        <f t="shared" si="3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847">
        <f t="shared" si="3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847">
        <f t="shared" si="3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847">
        <f t="shared" si="3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847">
        <f t="shared" si="3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847">
        <f t="shared" si="3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847">
        <f t="shared" si="3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847">
        <f t="shared" si="3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847">
        <f t="shared" si="3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847">
        <f t="shared" si="3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847">
        <f t="shared" si="3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847">
        <f t="shared" si="3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847">
        <f t="shared" si="3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847">
        <f t="shared" si="3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847">
        <f t="shared" si="3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847">
        <f t="shared" si="3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847">
        <f t="shared" si="3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847">
        <f t="shared" si="3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847">
        <f t="shared" si="3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847">
        <f t="shared" si="3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847">
        <f t="shared" si="3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847">
        <f t="shared" si="3"/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847">
        <f t="shared" si="3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847">
        <f t="shared" si="3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847">
        <f t="shared" si="3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847">
        <f t="shared" si="3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847">
        <f t="shared" si="3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847">
        <f t="shared" si="3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847">
        <f t="shared" si="3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847">
        <f t="shared" si="3"/>
        <v>0</v>
      </c>
      <c r="L348" s="381"/>
    </row>
    <row r="349" spans="1:17" s="93" customFormat="1">
      <c r="A349" s="349" t="s">
        <v>166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-131093.75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4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4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4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4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4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4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326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5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5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5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5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5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5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conditionalFormatting sqref="K247">
    <cfRule type="expression" dxfId="20" priority="3">
      <formula>LEFT(A247,2)="TU"</formula>
    </cfRule>
  </conditionalFormatting>
  <conditionalFormatting sqref="K246">
    <cfRule type="expression" dxfId="19" priority="1">
      <formula>LEFT(A246,2)="TU"</formula>
    </cfRule>
  </conditionalFormatting>
  <conditionalFormatting sqref="K248:K348">
    <cfRule type="expression" dxfId="18" priority="2">
      <formula>LEFT(A248,2)="TU"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E63" sqref="E6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397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364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21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21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21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21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301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301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301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301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301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301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164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99</v>
      </c>
      <c r="B59" s="207" t="s">
        <v>7</v>
      </c>
      <c r="C59" s="207" t="s">
        <v>171</v>
      </c>
      <c r="D59" s="535" t="s">
        <v>170</v>
      </c>
      <c r="E59" s="208" t="s">
        <v>11</v>
      </c>
      <c r="F59" s="207" t="s">
        <v>2</v>
      </c>
      <c r="G59" s="209" t="s">
        <v>12</v>
      </c>
      <c r="H59" s="567" t="s">
        <v>18</v>
      </c>
      <c r="I59" s="209" t="s">
        <v>10</v>
      </c>
      <c r="J59" s="207" t="s">
        <v>211</v>
      </c>
      <c r="K59" s="260" t="s">
        <v>212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643</v>
      </c>
      <c r="B60" s="333" t="s">
        <v>1132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ref="G60:G72" si="4">-77*E60</f>
        <v>0</v>
      </c>
      <c r="H60" s="334" t="s">
        <v>1133</v>
      </c>
      <c r="I60" s="820">
        <v>111.203125</v>
      </c>
      <c r="J60" s="335">
        <f>_xlfn.IFNA(VLOOKUP(A60,'market px'!$B$2:$F$20,5,FALSE),0)</f>
        <v>114.484375</v>
      </c>
      <c r="K60" s="845">
        <f>IF(LEFT(A60,2)="TU",(J60-I60)*E60/100*100000*2,(J60-I60)*E60/100*100000)</f>
        <v>0</v>
      </c>
      <c r="L60" s="381"/>
    </row>
    <row r="61" spans="1:19" s="270" customFormat="1">
      <c r="A61" s="325" t="s">
        <v>629</v>
      </c>
      <c r="B61" s="333" t="s">
        <v>705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4"/>
        <v>0</v>
      </c>
      <c r="H61" s="334" t="s">
        <v>706</v>
      </c>
      <c r="I61" s="820">
        <v>113.21875</v>
      </c>
      <c r="J61" s="335">
        <f>_xlfn.IFNA(VLOOKUP(A61,'market px'!$B$2:$F$20,5,FALSE),0)</f>
        <v>111.28125</v>
      </c>
      <c r="K61" s="845">
        <f>IF(LEFT(A61,2)="TU",(J61-I61)*E61/100*100000*2,(J61-I61)*E61/100*100000)</f>
        <v>0</v>
      </c>
      <c r="L61" s="381"/>
    </row>
    <row r="62" spans="1:19" s="270" customFormat="1">
      <c r="A62" s="325" t="s">
        <v>629</v>
      </c>
      <c r="B62" s="333" t="s">
        <v>975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4"/>
        <v>0</v>
      </c>
      <c r="H62" s="334" t="s">
        <v>988</v>
      </c>
      <c r="I62" s="820">
        <v>113.109375</v>
      </c>
      <c r="J62" s="335">
        <f>_xlfn.IFNA(VLOOKUP(A62,'market px'!$B$2:$F$20,5,FALSE),0)</f>
        <v>111.28125</v>
      </c>
      <c r="K62" s="845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643</v>
      </c>
      <c r="B63" s="333" t="s">
        <v>1474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4"/>
        <v>0</v>
      </c>
      <c r="H63" s="334" t="s">
        <v>1483</v>
      </c>
      <c r="I63" s="820">
        <v>114.71875</v>
      </c>
      <c r="J63" s="335">
        <f>_xlfn.IFNA(VLOOKUP(A63,'market px'!$B$2:$F$20,5,FALSE),0)</f>
        <v>114.484375</v>
      </c>
      <c r="K63" s="845">
        <f t="shared" si="5"/>
        <v>0</v>
      </c>
      <c r="L63" s="381"/>
    </row>
    <row r="64" spans="1:19" s="270" customFormat="1">
      <c r="A64" s="325" t="s">
        <v>629</v>
      </c>
      <c r="B64" s="333" t="s">
        <v>1071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4"/>
        <v>0</v>
      </c>
      <c r="H64" s="334" t="s">
        <v>1074</v>
      </c>
      <c r="I64" s="820">
        <v>111.453125</v>
      </c>
      <c r="J64" s="335">
        <f>_xlfn.IFNA(VLOOKUP(A64,'market px'!$B$2:$F$20,5,FALSE),0)</f>
        <v>111.28125</v>
      </c>
      <c r="K64" s="845">
        <f t="shared" si="5"/>
        <v>0</v>
      </c>
      <c r="L64" s="381"/>
    </row>
    <row r="65" spans="1:19" s="270" customFormat="1">
      <c r="A65" s="325" t="s">
        <v>587</v>
      </c>
      <c r="B65" s="333" t="s">
        <v>517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4"/>
        <v>0</v>
      </c>
      <c r="H65" s="334" t="s">
        <v>518</v>
      </c>
      <c r="I65" s="820">
        <v>163.46875</v>
      </c>
      <c r="J65" s="335">
        <f>_xlfn.IFNA(VLOOKUP(A65,'market px'!$B$2:$F$20,5,FALSE),0)</f>
        <v>0</v>
      </c>
      <c r="K65" s="845">
        <f t="shared" si="5"/>
        <v>0</v>
      </c>
      <c r="L65" s="381"/>
    </row>
    <row r="66" spans="1:19" s="270" customFormat="1">
      <c r="A66" s="325" t="s">
        <v>587</v>
      </c>
      <c r="B66" s="333" t="s">
        <v>498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4"/>
        <v>0</v>
      </c>
      <c r="H66" s="334" t="s">
        <v>500</v>
      </c>
      <c r="I66" s="820">
        <v>156.21875</v>
      </c>
      <c r="J66" s="335">
        <f>_xlfn.IFNA(VLOOKUP(A66,'market px'!$B$2:$F$20,5,FALSE),0)</f>
        <v>0</v>
      </c>
      <c r="K66" s="845">
        <f t="shared" si="5"/>
        <v>0</v>
      </c>
      <c r="L66" s="381"/>
    </row>
    <row r="67" spans="1:19" s="270" customFormat="1">
      <c r="A67" s="325" t="s">
        <v>559</v>
      </c>
      <c r="B67" s="333" t="s">
        <v>476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4"/>
        <v>0</v>
      </c>
      <c r="H67" s="334" t="s">
        <v>477</v>
      </c>
      <c r="I67" s="820">
        <v>132.078125</v>
      </c>
      <c r="J67" s="335">
        <f>_xlfn.IFNA(VLOOKUP(A67,'market px'!$B$2:$F$20,5,FALSE),0)</f>
        <v>0</v>
      </c>
      <c r="K67" s="845">
        <f t="shared" si="5"/>
        <v>0</v>
      </c>
      <c r="L67" s="381"/>
    </row>
    <row r="68" spans="1:19" s="270" customFormat="1">
      <c r="A68" s="325" t="s">
        <v>559</v>
      </c>
      <c r="B68" s="333" t="s">
        <v>478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4"/>
        <v>0</v>
      </c>
      <c r="H68" s="334" t="s">
        <v>479</v>
      </c>
      <c r="I68" s="820">
        <v>132</v>
      </c>
      <c r="J68" s="335">
        <f>_xlfn.IFNA(VLOOKUP(A68,'market px'!$B$2:$F$20,5,FALSE),0)</f>
        <v>0</v>
      </c>
      <c r="K68" s="845">
        <f t="shared" si="5"/>
        <v>0</v>
      </c>
      <c r="L68" s="381"/>
    </row>
    <row r="69" spans="1:19" s="270" customFormat="1">
      <c r="A69" s="325" t="s">
        <v>559</v>
      </c>
      <c r="B69" s="333" t="s">
        <v>503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4"/>
        <v>0</v>
      </c>
      <c r="H69" s="334" t="s">
        <v>504</v>
      </c>
      <c r="I69" s="820">
        <v>123.4375</v>
      </c>
      <c r="J69" s="335">
        <f>_xlfn.IFNA(VLOOKUP(A69,'market px'!$B$2:$F$20,5,FALSE),0)</f>
        <v>0</v>
      </c>
      <c r="K69" s="845">
        <f t="shared" si="5"/>
        <v>0</v>
      </c>
      <c r="L69" s="381"/>
    </row>
    <row r="70" spans="1:19" s="270" customFormat="1">
      <c r="A70" s="325" t="s">
        <v>559</v>
      </c>
      <c r="B70" s="333" t="s">
        <v>480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4"/>
        <v>0</v>
      </c>
      <c r="H70" s="334" t="s">
        <v>481</v>
      </c>
      <c r="I70" s="820">
        <v>131.59375</v>
      </c>
      <c r="J70" s="335">
        <f>_xlfn.IFNA(VLOOKUP(A70,'market px'!$B$2:$F$20,5,FALSE),0)</f>
        <v>0</v>
      </c>
      <c r="K70" s="845">
        <f t="shared" si="5"/>
        <v>0</v>
      </c>
      <c r="L70" s="381"/>
    </row>
    <row r="71" spans="1:19" s="270" customFormat="1">
      <c r="A71" s="325" t="s">
        <v>604</v>
      </c>
      <c r="B71" s="333" t="s">
        <v>482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4"/>
        <v>0</v>
      </c>
      <c r="H71" s="334" t="s">
        <v>483</v>
      </c>
      <c r="I71" s="820">
        <v>131.65625</v>
      </c>
      <c r="J71" s="335">
        <f>_xlfn.IFNA(VLOOKUP(A71,'market px'!$B$2:$F$20,5,FALSE),0)</f>
        <v>0</v>
      </c>
      <c r="K71" s="845">
        <f t="shared" si="5"/>
        <v>0</v>
      </c>
      <c r="L71" s="381"/>
    </row>
    <row r="72" spans="1:19" s="93" customFormat="1">
      <c r="A72" s="325" t="s">
        <v>589</v>
      </c>
      <c r="B72" s="333" t="s">
        <v>484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4"/>
        <v>0</v>
      </c>
      <c r="H72" s="334" t="s">
        <v>485</v>
      </c>
      <c r="I72" s="820">
        <v>131.6875</v>
      </c>
      <c r="J72" s="335">
        <f>_xlfn.IFNA(VLOOKUP(A72,'market px'!$B$2:$F$20,5,FALSE),0)</f>
        <v>0</v>
      </c>
      <c r="K72" s="845">
        <f t="shared" si="5"/>
        <v>0</v>
      </c>
      <c r="L72" s="377"/>
      <c r="S72" s="131" t="s">
        <v>21</v>
      </c>
    </row>
    <row r="73" spans="1:19" s="93" customFormat="1">
      <c r="A73" s="349" t="s">
        <v>166</v>
      </c>
      <c r="B73" s="350"/>
      <c r="C73" s="351"/>
      <c r="D73" s="545"/>
      <c r="E73" s="874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311</v>
      </c>
      <c r="B76" s="328">
        <v>43118</v>
      </c>
      <c r="C76" s="329"/>
      <c r="D76" s="542"/>
      <c r="E76" s="330">
        <v>0</v>
      </c>
      <c r="F76" s="331" t="s">
        <v>304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315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315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315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285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285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286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286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7" priority="2">
      <formula>AND(IF(E60&lt;&gt;0,1),IF(G60=0,1))</formula>
    </cfRule>
  </conditionalFormatting>
  <conditionalFormatting sqref="K60:K72">
    <cfRule type="expression" dxfId="16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73" zoomScale="115" zoomScaleNormal="115" workbookViewId="0">
      <selection activeCell="J92" sqref="J92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67" t="s">
        <v>629</v>
      </c>
      <c r="B21" s="863" t="s">
        <v>680</v>
      </c>
      <c r="C21" s="863" t="s">
        <v>339</v>
      </c>
      <c r="D21" s="868" t="s">
        <v>339</v>
      </c>
      <c r="E21" s="869">
        <v>1</v>
      </c>
      <c r="F21" s="870" t="s">
        <v>304</v>
      </c>
      <c r="G21" s="871">
        <v>-77</v>
      </c>
      <c r="H21" s="864" t="s">
        <v>681</v>
      </c>
      <c r="I21" s="865">
        <v>112.59375</v>
      </c>
      <c r="J21" s="295">
        <v>112.875</v>
      </c>
      <c r="K21" s="296">
        <f t="shared" ref="K21:K84" si="2">(J21-I21)*E21/100*100000</f>
        <v>281.25</v>
      </c>
      <c r="L21" s="381"/>
    </row>
    <row r="22" spans="1:19" s="270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10</v>
      </c>
      <c r="F22" s="870" t="s">
        <v>304</v>
      </c>
      <c r="G22" s="871">
        <v>0</v>
      </c>
      <c r="H22" s="864" t="s">
        <v>689</v>
      </c>
      <c r="I22" s="865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67" t="s">
        <v>629</v>
      </c>
      <c r="B23" s="863" t="s">
        <v>680</v>
      </c>
      <c r="C23" s="863" t="s">
        <v>339</v>
      </c>
      <c r="D23" s="868" t="s">
        <v>339</v>
      </c>
      <c r="E23" s="869">
        <v>10</v>
      </c>
      <c r="F23" s="870" t="s">
        <v>304</v>
      </c>
      <c r="G23" s="871">
        <v>0</v>
      </c>
      <c r="H23" s="864" t="s">
        <v>690</v>
      </c>
      <c r="I23" s="865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-20</v>
      </c>
      <c r="F24" s="870" t="s">
        <v>304</v>
      </c>
      <c r="G24" s="871">
        <v>0</v>
      </c>
      <c r="H24" s="864" t="s">
        <v>697</v>
      </c>
      <c r="I24" s="865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67" t="s">
        <v>629</v>
      </c>
      <c r="B25" s="863" t="s">
        <v>687</v>
      </c>
      <c r="C25" s="863" t="s">
        <v>339</v>
      </c>
      <c r="D25" s="868" t="s">
        <v>339</v>
      </c>
      <c r="E25" s="869">
        <v>-10</v>
      </c>
      <c r="F25" s="870" t="s">
        <v>304</v>
      </c>
      <c r="G25" s="871">
        <v>0</v>
      </c>
      <c r="H25" s="864" t="s">
        <v>698</v>
      </c>
      <c r="I25" s="865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67" t="s">
        <v>629</v>
      </c>
      <c r="B26" s="863" t="s">
        <v>687</v>
      </c>
      <c r="C26" s="863" t="s">
        <v>339</v>
      </c>
      <c r="D26" s="868" t="s">
        <v>339</v>
      </c>
      <c r="E26" s="869">
        <v>-20</v>
      </c>
      <c r="F26" s="870" t="s">
        <v>304</v>
      </c>
      <c r="G26" s="871">
        <v>0</v>
      </c>
      <c r="H26" s="864" t="s">
        <v>699</v>
      </c>
      <c r="I26" s="865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67" t="s">
        <v>629</v>
      </c>
      <c r="B27" s="863" t="s">
        <v>687</v>
      </c>
      <c r="C27" s="863" t="s">
        <v>339</v>
      </c>
      <c r="D27" s="868" t="s">
        <v>339</v>
      </c>
      <c r="E27" s="869">
        <v>-10</v>
      </c>
      <c r="F27" s="870" t="s">
        <v>304</v>
      </c>
      <c r="G27" s="871">
        <v>0</v>
      </c>
      <c r="H27" s="864" t="s">
        <v>700</v>
      </c>
      <c r="I27" s="865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67" t="s">
        <v>629</v>
      </c>
      <c r="B28" s="863" t="s">
        <v>687</v>
      </c>
      <c r="C28" s="863" t="s">
        <v>339</v>
      </c>
      <c r="D28" s="868" t="s">
        <v>339</v>
      </c>
      <c r="E28" s="869">
        <v>-20</v>
      </c>
      <c r="F28" s="870" t="s">
        <v>304</v>
      </c>
      <c r="G28" s="871">
        <v>0</v>
      </c>
      <c r="H28" s="864" t="s">
        <v>701</v>
      </c>
      <c r="I28" s="865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67" t="s">
        <v>629</v>
      </c>
      <c r="B29" s="863" t="s">
        <v>687</v>
      </c>
      <c r="C29" s="863" t="s">
        <v>339</v>
      </c>
      <c r="D29" s="868" t="s">
        <v>339</v>
      </c>
      <c r="E29" s="869">
        <v>20</v>
      </c>
      <c r="F29" s="870" t="s">
        <v>304</v>
      </c>
      <c r="G29" s="871">
        <v>0</v>
      </c>
      <c r="H29" s="864" t="s">
        <v>702</v>
      </c>
      <c r="I29" s="865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67" t="s">
        <v>629</v>
      </c>
      <c r="B30" s="863" t="s">
        <v>687</v>
      </c>
      <c r="C30" s="863" t="s">
        <v>339</v>
      </c>
      <c r="D30" s="868" t="s">
        <v>339</v>
      </c>
      <c r="E30" s="869">
        <v>10</v>
      </c>
      <c r="F30" s="870" t="s">
        <v>304</v>
      </c>
      <c r="G30" s="871">
        <v>0</v>
      </c>
      <c r="H30" s="864" t="s">
        <v>703</v>
      </c>
      <c r="I30" s="865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67" t="s">
        <v>629</v>
      </c>
      <c r="B31" s="863" t="s">
        <v>687</v>
      </c>
      <c r="C31" s="863" t="s">
        <v>339</v>
      </c>
      <c r="D31" s="868" t="s">
        <v>339</v>
      </c>
      <c r="E31" s="869">
        <v>10</v>
      </c>
      <c r="F31" s="870" t="s">
        <v>304</v>
      </c>
      <c r="G31" s="871">
        <v>0</v>
      </c>
      <c r="H31" s="864" t="s">
        <v>704</v>
      </c>
      <c r="I31" s="865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67" t="s">
        <v>629</v>
      </c>
      <c r="B32" s="863" t="s">
        <v>687</v>
      </c>
      <c r="C32" s="863" t="s">
        <v>339</v>
      </c>
      <c r="D32" s="868" t="s">
        <v>339</v>
      </c>
      <c r="E32" s="869">
        <v>10</v>
      </c>
      <c r="F32" s="870" t="s">
        <v>304</v>
      </c>
      <c r="G32" s="871">
        <v>-770</v>
      </c>
      <c r="H32" s="864" t="s">
        <v>691</v>
      </c>
      <c r="I32" s="865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67" t="s">
        <v>629</v>
      </c>
      <c r="B33" s="863" t="s">
        <v>705</v>
      </c>
      <c r="C33" s="863" t="s">
        <v>339</v>
      </c>
      <c r="D33" s="868" t="s">
        <v>339</v>
      </c>
      <c r="E33" s="869">
        <v>10</v>
      </c>
      <c r="F33" s="870" t="s">
        <v>304</v>
      </c>
      <c r="G33" s="871">
        <v>0</v>
      </c>
      <c r="H33" s="864" t="s">
        <v>719</v>
      </c>
      <c r="I33" s="865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67" t="s">
        <v>629</v>
      </c>
      <c r="B34" s="863" t="s">
        <v>705</v>
      </c>
      <c r="C34" s="863" t="s">
        <v>339</v>
      </c>
      <c r="D34" s="868" t="s">
        <v>339</v>
      </c>
      <c r="E34" s="869">
        <v>10</v>
      </c>
      <c r="F34" s="870" t="s">
        <v>304</v>
      </c>
      <c r="G34" s="871">
        <v>0</v>
      </c>
      <c r="H34" s="864" t="s">
        <v>720</v>
      </c>
      <c r="I34" s="865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67" t="s">
        <v>629</v>
      </c>
      <c r="B35" s="863" t="s">
        <v>723</v>
      </c>
      <c r="C35" s="863" t="s">
        <v>339</v>
      </c>
      <c r="D35" s="868" t="s">
        <v>339</v>
      </c>
      <c r="E35" s="869">
        <v>-10</v>
      </c>
      <c r="F35" s="870" t="s">
        <v>304</v>
      </c>
      <c r="G35" s="871">
        <v>0</v>
      </c>
      <c r="H35" s="864" t="s">
        <v>731</v>
      </c>
      <c r="I35" s="865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67" t="s">
        <v>629</v>
      </c>
      <c r="B36" s="863" t="s">
        <v>705</v>
      </c>
      <c r="C36" s="863" t="s">
        <v>339</v>
      </c>
      <c r="D36" s="868" t="s">
        <v>339</v>
      </c>
      <c r="E36" s="869">
        <v>-10</v>
      </c>
      <c r="F36" s="870" t="s">
        <v>304</v>
      </c>
      <c r="G36" s="871">
        <v>770</v>
      </c>
      <c r="H36" s="864" t="s">
        <v>706</v>
      </c>
      <c r="I36" s="865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67" t="s">
        <v>629</v>
      </c>
      <c r="B37" s="863" t="s">
        <v>705</v>
      </c>
      <c r="C37" s="863" t="s">
        <v>339</v>
      </c>
      <c r="D37" s="868" t="s">
        <v>339</v>
      </c>
      <c r="E37" s="869">
        <v>-10</v>
      </c>
      <c r="F37" s="870" t="s">
        <v>304</v>
      </c>
      <c r="G37" s="871">
        <v>770</v>
      </c>
      <c r="H37" s="864" t="s">
        <v>707</v>
      </c>
      <c r="I37" s="865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67" t="s">
        <v>629</v>
      </c>
      <c r="B38" s="863" t="s">
        <v>705</v>
      </c>
      <c r="C38" s="863" t="s">
        <v>339</v>
      </c>
      <c r="D38" s="868" t="s">
        <v>339</v>
      </c>
      <c r="E38" s="869">
        <v>-10</v>
      </c>
      <c r="F38" s="870" t="s">
        <v>304</v>
      </c>
      <c r="G38" s="871">
        <v>770</v>
      </c>
      <c r="H38" s="864" t="s">
        <v>721</v>
      </c>
      <c r="I38" s="865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67" t="s">
        <v>629</v>
      </c>
      <c r="B39" s="863" t="s">
        <v>732</v>
      </c>
      <c r="C39" s="863" t="s">
        <v>339</v>
      </c>
      <c r="D39" s="868" t="s">
        <v>339</v>
      </c>
      <c r="E39" s="869">
        <v>-20</v>
      </c>
      <c r="F39" s="870" t="s">
        <v>304</v>
      </c>
      <c r="G39" s="871">
        <v>0</v>
      </c>
      <c r="H39" s="864" t="s">
        <v>734</v>
      </c>
      <c r="I39" s="865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67" t="s">
        <v>629</v>
      </c>
      <c r="B40" s="863" t="s">
        <v>862</v>
      </c>
      <c r="C40" s="863" t="s">
        <v>339</v>
      </c>
      <c r="D40" s="868" t="s">
        <v>339</v>
      </c>
      <c r="E40" s="869">
        <v>10</v>
      </c>
      <c r="F40" s="870" t="s">
        <v>304</v>
      </c>
      <c r="G40" s="871">
        <v>0</v>
      </c>
      <c r="H40" s="864" t="s">
        <v>875</v>
      </c>
      <c r="I40" s="865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67" t="s">
        <v>629</v>
      </c>
      <c r="B41" s="863" t="s">
        <v>876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884</v>
      </c>
      <c r="I41" s="865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67" t="s">
        <v>629</v>
      </c>
      <c r="B42" s="863" t="s">
        <v>876</v>
      </c>
      <c r="C42" s="863" t="s">
        <v>339</v>
      </c>
      <c r="D42" s="868" t="s">
        <v>339</v>
      </c>
      <c r="E42" s="869">
        <v>10</v>
      </c>
      <c r="F42" s="870" t="s">
        <v>304</v>
      </c>
      <c r="G42" s="871">
        <v>0</v>
      </c>
      <c r="H42" s="864" t="s">
        <v>885</v>
      </c>
      <c r="I42" s="865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67" t="s">
        <v>629</v>
      </c>
      <c r="B43" s="863" t="s">
        <v>876</v>
      </c>
      <c r="C43" s="863" t="s">
        <v>339</v>
      </c>
      <c r="D43" s="868" t="s">
        <v>339</v>
      </c>
      <c r="E43" s="869">
        <v>5</v>
      </c>
      <c r="F43" s="870" t="s">
        <v>304</v>
      </c>
      <c r="G43" s="871">
        <v>0</v>
      </c>
      <c r="H43" s="864" t="s">
        <v>886</v>
      </c>
      <c r="I43" s="865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67" t="s">
        <v>629</v>
      </c>
      <c r="B44" s="863" t="s">
        <v>876</v>
      </c>
      <c r="C44" s="863" t="s">
        <v>339</v>
      </c>
      <c r="D44" s="868" t="s">
        <v>339</v>
      </c>
      <c r="E44" s="869">
        <v>-5</v>
      </c>
      <c r="F44" s="870" t="s">
        <v>304</v>
      </c>
      <c r="G44" s="871">
        <v>0</v>
      </c>
      <c r="H44" s="864" t="s">
        <v>887</v>
      </c>
      <c r="I44" s="865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67" t="s">
        <v>629</v>
      </c>
      <c r="B45" s="863" t="s">
        <v>876</v>
      </c>
      <c r="C45" s="863" t="s">
        <v>339</v>
      </c>
      <c r="D45" s="868" t="s">
        <v>339</v>
      </c>
      <c r="E45" s="869">
        <v>-5</v>
      </c>
      <c r="F45" s="870" t="s">
        <v>304</v>
      </c>
      <c r="G45" s="871">
        <v>0</v>
      </c>
      <c r="H45" s="864" t="s">
        <v>888</v>
      </c>
      <c r="I45" s="865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67" t="s">
        <v>629</v>
      </c>
      <c r="B46" s="863" t="s">
        <v>916</v>
      </c>
      <c r="C46" s="863" t="s">
        <v>339</v>
      </c>
      <c r="D46" s="868" t="s">
        <v>339</v>
      </c>
      <c r="E46" s="869">
        <v>-5</v>
      </c>
      <c r="F46" s="870" t="s">
        <v>304</v>
      </c>
      <c r="G46" s="871">
        <v>0</v>
      </c>
      <c r="H46" s="864" t="s">
        <v>929</v>
      </c>
      <c r="I46" s="865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67" t="s">
        <v>629</v>
      </c>
      <c r="B47" s="863" t="s">
        <v>916</v>
      </c>
      <c r="C47" s="863" t="s">
        <v>339</v>
      </c>
      <c r="D47" s="868" t="s">
        <v>339</v>
      </c>
      <c r="E47" s="869">
        <v>-5</v>
      </c>
      <c r="F47" s="870" t="s">
        <v>304</v>
      </c>
      <c r="G47" s="871">
        <v>0</v>
      </c>
      <c r="H47" s="864" t="s">
        <v>930</v>
      </c>
      <c r="I47" s="865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67" t="s">
        <v>629</v>
      </c>
      <c r="B48" s="863" t="s">
        <v>939</v>
      </c>
      <c r="C48" s="863" t="s">
        <v>339</v>
      </c>
      <c r="D48" s="868" t="s">
        <v>339</v>
      </c>
      <c r="E48" s="869">
        <v>-2</v>
      </c>
      <c r="F48" s="870" t="s">
        <v>304</v>
      </c>
      <c r="G48" s="871">
        <v>0</v>
      </c>
      <c r="H48" s="864" t="s">
        <v>946</v>
      </c>
      <c r="I48" s="865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67" t="s">
        <v>629</v>
      </c>
      <c r="B49" s="863" t="s">
        <v>961</v>
      </c>
      <c r="C49" s="863" t="s">
        <v>339</v>
      </c>
      <c r="D49" s="868" t="s">
        <v>339</v>
      </c>
      <c r="E49" s="869">
        <v>1</v>
      </c>
      <c r="F49" s="870" t="s">
        <v>304</v>
      </c>
      <c r="G49" s="871">
        <v>0</v>
      </c>
      <c r="H49" s="864" t="s">
        <v>983</v>
      </c>
      <c r="I49" s="865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67" t="s">
        <v>629</v>
      </c>
      <c r="B50" s="863" t="s">
        <v>961</v>
      </c>
      <c r="C50" s="863" t="s">
        <v>339</v>
      </c>
      <c r="D50" s="868" t="s">
        <v>339</v>
      </c>
      <c r="E50" s="869">
        <v>1</v>
      </c>
      <c r="F50" s="870" t="s">
        <v>304</v>
      </c>
      <c r="G50" s="871">
        <v>0</v>
      </c>
      <c r="H50" s="864" t="s">
        <v>984</v>
      </c>
      <c r="I50" s="865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67" t="s">
        <v>629</v>
      </c>
      <c r="B51" s="863" t="s">
        <v>961</v>
      </c>
      <c r="C51" s="863" t="s">
        <v>339</v>
      </c>
      <c r="D51" s="868" t="s">
        <v>339</v>
      </c>
      <c r="E51" s="869">
        <v>1</v>
      </c>
      <c r="F51" s="870" t="s">
        <v>304</v>
      </c>
      <c r="G51" s="871">
        <v>0</v>
      </c>
      <c r="H51" s="864" t="s">
        <v>985</v>
      </c>
      <c r="I51" s="865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67" t="s">
        <v>629</v>
      </c>
      <c r="B52" s="863" t="s">
        <v>975</v>
      </c>
      <c r="C52" s="863" t="s">
        <v>339</v>
      </c>
      <c r="D52" s="868" t="s">
        <v>339</v>
      </c>
      <c r="E52" s="869">
        <v>1</v>
      </c>
      <c r="F52" s="870" t="s">
        <v>304</v>
      </c>
      <c r="G52" s="871">
        <v>0</v>
      </c>
      <c r="H52" s="864" t="s">
        <v>986</v>
      </c>
      <c r="I52" s="865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67" t="s">
        <v>629</v>
      </c>
      <c r="B53" s="863" t="s">
        <v>975</v>
      </c>
      <c r="C53" s="863" t="s">
        <v>339</v>
      </c>
      <c r="D53" s="868" t="s">
        <v>339</v>
      </c>
      <c r="E53" s="869">
        <v>1</v>
      </c>
      <c r="F53" s="870" t="s">
        <v>304</v>
      </c>
      <c r="G53" s="871">
        <v>0</v>
      </c>
      <c r="H53" s="864" t="s">
        <v>987</v>
      </c>
      <c r="I53" s="865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67" t="s">
        <v>629</v>
      </c>
      <c r="B54" s="863" t="s">
        <v>961</v>
      </c>
      <c r="C54" s="863" t="s">
        <v>339</v>
      </c>
      <c r="D54" s="868" t="s">
        <v>339</v>
      </c>
      <c r="E54" s="869">
        <v>-1</v>
      </c>
      <c r="F54" s="870" t="s">
        <v>304</v>
      </c>
      <c r="G54" s="871">
        <v>77</v>
      </c>
      <c r="H54" s="864" t="s">
        <v>966</v>
      </c>
      <c r="I54" s="865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67" t="s">
        <v>629</v>
      </c>
      <c r="B55" s="863" t="s">
        <v>975</v>
      </c>
      <c r="C55" s="863" t="s">
        <v>339</v>
      </c>
      <c r="D55" s="868" t="s">
        <v>339</v>
      </c>
      <c r="E55" s="869">
        <v>1</v>
      </c>
      <c r="F55" s="870" t="s">
        <v>304</v>
      </c>
      <c r="G55" s="871">
        <v>-77</v>
      </c>
      <c r="H55" s="864" t="s">
        <v>988</v>
      </c>
      <c r="I55" s="865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67" t="s">
        <v>629</v>
      </c>
      <c r="B56" s="863" t="s">
        <v>994</v>
      </c>
      <c r="C56" s="863" t="s">
        <v>339</v>
      </c>
      <c r="D56" s="868" t="s">
        <v>339</v>
      </c>
      <c r="E56" s="869">
        <v>-1</v>
      </c>
      <c r="F56" s="870" t="s">
        <v>304</v>
      </c>
      <c r="G56" s="871">
        <v>0</v>
      </c>
      <c r="H56" s="864" t="s">
        <v>1010</v>
      </c>
      <c r="I56" s="865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67" t="s">
        <v>629</v>
      </c>
      <c r="B57" s="863" t="s">
        <v>994</v>
      </c>
      <c r="C57" s="863" t="s">
        <v>339</v>
      </c>
      <c r="D57" s="868" t="s">
        <v>339</v>
      </c>
      <c r="E57" s="869">
        <v>-1</v>
      </c>
      <c r="F57" s="870" t="s">
        <v>304</v>
      </c>
      <c r="G57" s="871">
        <v>0</v>
      </c>
      <c r="H57" s="864" t="s">
        <v>1011</v>
      </c>
      <c r="I57" s="865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67" t="s">
        <v>629</v>
      </c>
      <c r="B58" s="863" t="s">
        <v>994</v>
      </c>
      <c r="C58" s="863" t="s">
        <v>339</v>
      </c>
      <c r="D58" s="868" t="s">
        <v>339</v>
      </c>
      <c r="E58" s="869">
        <v>1</v>
      </c>
      <c r="F58" s="870" t="s">
        <v>304</v>
      </c>
      <c r="G58" s="871">
        <v>0</v>
      </c>
      <c r="H58" s="864" t="s">
        <v>1012</v>
      </c>
      <c r="I58" s="865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67" t="s">
        <v>629</v>
      </c>
      <c r="B59" s="863" t="s">
        <v>994</v>
      </c>
      <c r="C59" s="863" t="s">
        <v>339</v>
      </c>
      <c r="D59" s="868" t="s">
        <v>339</v>
      </c>
      <c r="E59" s="869">
        <v>2</v>
      </c>
      <c r="F59" s="870" t="s">
        <v>304</v>
      </c>
      <c r="G59" s="871">
        <v>0</v>
      </c>
      <c r="H59" s="864" t="s">
        <v>1013</v>
      </c>
      <c r="I59" s="865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67" t="s">
        <v>629</v>
      </c>
      <c r="B60" s="863" t="s">
        <v>1005</v>
      </c>
      <c r="C60" s="863" t="s">
        <v>339</v>
      </c>
      <c r="D60" s="868" t="s">
        <v>339</v>
      </c>
      <c r="E60" s="869">
        <v>1</v>
      </c>
      <c r="F60" s="870" t="s">
        <v>304</v>
      </c>
      <c r="G60" s="871">
        <v>0</v>
      </c>
      <c r="H60" s="864" t="s">
        <v>1019</v>
      </c>
      <c r="I60" s="865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67" t="s">
        <v>629</v>
      </c>
      <c r="B61" s="863" t="s">
        <v>1020</v>
      </c>
      <c r="C61" s="863" t="s">
        <v>339</v>
      </c>
      <c r="D61" s="868" t="s">
        <v>339</v>
      </c>
      <c r="E61" s="869">
        <v>1</v>
      </c>
      <c r="F61" s="870" t="s">
        <v>304</v>
      </c>
      <c r="G61" s="871">
        <v>0</v>
      </c>
      <c r="H61" s="864" t="s">
        <v>1021</v>
      </c>
      <c r="I61" s="865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67" t="s">
        <v>629</v>
      </c>
      <c r="B62" s="863" t="s">
        <v>1020</v>
      </c>
      <c r="C62" s="863" t="s">
        <v>339</v>
      </c>
      <c r="D62" s="868" t="s">
        <v>339</v>
      </c>
      <c r="E62" s="869">
        <v>2</v>
      </c>
      <c r="F62" s="870" t="s">
        <v>304</v>
      </c>
      <c r="G62" s="871">
        <v>0</v>
      </c>
      <c r="H62" s="864" t="s">
        <v>1032</v>
      </c>
      <c r="I62" s="865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67" t="s">
        <v>629</v>
      </c>
      <c r="B63" s="863" t="s">
        <v>1020</v>
      </c>
      <c r="C63" s="863" t="s">
        <v>339</v>
      </c>
      <c r="D63" s="868" t="s">
        <v>339</v>
      </c>
      <c r="E63" s="869">
        <v>2</v>
      </c>
      <c r="F63" s="870" t="s">
        <v>304</v>
      </c>
      <c r="G63" s="871">
        <v>0</v>
      </c>
      <c r="H63" s="864" t="s">
        <v>1033</v>
      </c>
      <c r="I63" s="865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67" t="s">
        <v>629</v>
      </c>
      <c r="B64" s="863" t="s">
        <v>1020</v>
      </c>
      <c r="C64" s="863" t="s">
        <v>339</v>
      </c>
      <c r="D64" s="868" t="s">
        <v>339</v>
      </c>
      <c r="E64" s="869">
        <v>2</v>
      </c>
      <c r="F64" s="870" t="s">
        <v>304</v>
      </c>
      <c r="G64" s="871">
        <v>0</v>
      </c>
      <c r="H64" s="864" t="s">
        <v>1034</v>
      </c>
      <c r="I64" s="865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67" t="s">
        <v>629</v>
      </c>
      <c r="B65" s="863" t="s">
        <v>1026</v>
      </c>
      <c r="C65" s="863" t="s">
        <v>339</v>
      </c>
      <c r="D65" s="868" t="s">
        <v>339</v>
      </c>
      <c r="E65" s="869">
        <v>2</v>
      </c>
      <c r="F65" s="870" t="s">
        <v>304</v>
      </c>
      <c r="G65" s="871">
        <v>0</v>
      </c>
      <c r="H65" s="864" t="s">
        <v>1035</v>
      </c>
      <c r="I65" s="865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67" t="s">
        <v>629</v>
      </c>
      <c r="B66" s="863" t="s">
        <v>1026</v>
      </c>
      <c r="C66" s="863" t="s">
        <v>339</v>
      </c>
      <c r="D66" s="868" t="s">
        <v>339</v>
      </c>
      <c r="E66" s="869">
        <v>-2</v>
      </c>
      <c r="F66" s="870" t="s">
        <v>304</v>
      </c>
      <c r="G66" s="871">
        <v>0</v>
      </c>
      <c r="H66" s="864" t="s">
        <v>1041</v>
      </c>
      <c r="I66" s="865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67" t="s">
        <v>629</v>
      </c>
      <c r="B67" s="863" t="s">
        <v>1049</v>
      </c>
      <c r="C67" s="863" t="s">
        <v>339</v>
      </c>
      <c r="D67" s="868" t="s">
        <v>339</v>
      </c>
      <c r="E67" s="869">
        <v>2</v>
      </c>
      <c r="F67" s="870" t="s">
        <v>304</v>
      </c>
      <c r="G67" s="871">
        <v>0</v>
      </c>
      <c r="H67" s="864" t="s">
        <v>1063</v>
      </c>
      <c r="I67" s="865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67" t="s">
        <v>629</v>
      </c>
      <c r="B68" s="863" t="s">
        <v>1049</v>
      </c>
      <c r="C68" s="863" t="s">
        <v>339</v>
      </c>
      <c r="D68" s="868" t="s">
        <v>339</v>
      </c>
      <c r="E68" s="869">
        <v>-2</v>
      </c>
      <c r="F68" s="870" t="s">
        <v>304</v>
      </c>
      <c r="G68" s="871">
        <v>154</v>
      </c>
      <c r="H68" s="864" t="s">
        <v>1058</v>
      </c>
      <c r="I68" s="865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67" t="s">
        <v>629</v>
      </c>
      <c r="B69" s="863" t="s">
        <v>1071</v>
      </c>
      <c r="C69" s="863" t="s">
        <v>339</v>
      </c>
      <c r="D69" s="868" t="s">
        <v>339</v>
      </c>
      <c r="E69" s="869">
        <v>2</v>
      </c>
      <c r="F69" s="870" t="s">
        <v>304</v>
      </c>
      <c r="G69" s="871">
        <v>-154</v>
      </c>
      <c r="H69" s="864" t="s">
        <v>1074</v>
      </c>
      <c r="I69" s="865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67" t="s">
        <v>643</v>
      </c>
      <c r="B70" s="863" t="s">
        <v>1140</v>
      </c>
      <c r="C70" s="863" t="s">
        <v>339</v>
      </c>
      <c r="D70" s="868" t="s">
        <v>339</v>
      </c>
      <c r="E70" s="869">
        <v>2</v>
      </c>
      <c r="F70" s="870" t="s">
        <v>304</v>
      </c>
      <c r="G70" s="871">
        <v>0</v>
      </c>
      <c r="H70" s="864" t="s">
        <v>1141</v>
      </c>
      <c r="I70" s="865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67" t="s">
        <v>643</v>
      </c>
      <c r="B71" s="863" t="s">
        <v>1132</v>
      </c>
      <c r="C71" s="863" t="s">
        <v>339</v>
      </c>
      <c r="D71" s="868" t="s">
        <v>339</v>
      </c>
      <c r="E71" s="869">
        <v>-2</v>
      </c>
      <c r="F71" s="870" t="s">
        <v>304</v>
      </c>
      <c r="G71" s="871">
        <v>154</v>
      </c>
      <c r="H71" s="864" t="s">
        <v>1133</v>
      </c>
      <c r="I71" s="865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67" t="s">
        <v>643</v>
      </c>
      <c r="B72" s="863" t="s">
        <v>1140</v>
      </c>
      <c r="C72" s="863" t="s">
        <v>339</v>
      </c>
      <c r="D72" s="868" t="s">
        <v>339</v>
      </c>
      <c r="E72" s="869">
        <v>-3</v>
      </c>
      <c r="F72" s="870" t="s">
        <v>304</v>
      </c>
      <c r="G72" s="871">
        <v>0</v>
      </c>
      <c r="H72" s="864" t="s">
        <v>1155</v>
      </c>
      <c r="I72" s="865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67" t="s">
        <v>643</v>
      </c>
      <c r="B73" s="863" t="s">
        <v>1140</v>
      </c>
      <c r="C73" s="863" t="s">
        <v>339</v>
      </c>
      <c r="D73" s="868" t="s">
        <v>339</v>
      </c>
      <c r="E73" s="869">
        <v>-2</v>
      </c>
      <c r="F73" s="870" t="s">
        <v>304</v>
      </c>
      <c r="G73" s="871">
        <v>0</v>
      </c>
      <c r="H73" s="864" t="s">
        <v>1156</v>
      </c>
      <c r="I73" s="865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67" t="s">
        <v>643</v>
      </c>
      <c r="B74" s="863" t="s">
        <v>1140</v>
      </c>
      <c r="C74" s="863" t="s">
        <v>339</v>
      </c>
      <c r="D74" s="868" t="s">
        <v>339</v>
      </c>
      <c r="E74" s="869">
        <v>-5</v>
      </c>
      <c r="F74" s="870" t="s">
        <v>304</v>
      </c>
      <c r="G74" s="871">
        <v>0</v>
      </c>
      <c r="H74" s="864" t="s">
        <v>1156</v>
      </c>
      <c r="I74" s="865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67" t="s">
        <v>647</v>
      </c>
      <c r="B75" s="863" t="s">
        <v>1148</v>
      </c>
      <c r="C75" s="863" t="s">
        <v>339</v>
      </c>
      <c r="D75" s="868" t="s">
        <v>339</v>
      </c>
      <c r="E75" s="869">
        <v>-4</v>
      </c>
      <c r="F75" s="870" t="s">
        <v>304</v>
      </c>
      <c r="G75" s="871">
        <v>0</v>
      </c>
      <c r="H75" s="864" t="s">
        <v>1166</v>
      </c>
      <c r="I75" s="865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67" t="s">
        <v>647</v>
      </c>
      <c r="B76" s="863" t="s">
        <v>1148</v>
      </c>
      <c r="C76" s="863" t="s">
        <v>339</v>
      </c>
      <c r="D76" s="868" t="s">
        <v>339</v>
      </c>
      <c r="E76" s="869">
        <v>-5</v>
      </c>
      <c r="F76" s="870" t="s">
        <v>304</v>
      </c>
      <c r="G76" s="871">
        <v>0</v>
      </c>
      <c r="H76" s="864" t="s">
        <v>1167</v>
      </c>
      <c r="I76" s="865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67" t="s">
        <v>647</v>
      </c>
      <c r="B77" s="863" t="s">
        <v>1148</v>
      </c>
      <c r="C77" s="863" t="s">
        <v>339</v>
      </c>
      <c r="D77" s="868" t="s">
        <v>339</v>
      </c>
      <c r="E77" s="869">
        <v>-1</v>
      </c>
      <c r="F77" s="870" t="s">
        <v>304</v>
      </c>
      <c r="G77" s="871">
        <v>0</v>
      </c>
      <c r="H77" s="864" t="s">
        <v>1166</v>
      </c>
      <c r="I77" s="865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67" t="s">
        <v>643</v>
      </c>
      <c r="B78" s="863" t="s">
        <v>1148</v>
      </c>
      <c r="C78" s="863" t="s">
        <v>339</v>
      </c>
      <c r="D78" s="868" t="s">
        <v>339</v>
      </c>
      <c r="E78" s="869">
        <v>-5</v>
      </c>
      <c r="F78" s="870" t="s">
        <v>304</v>
      </c>
      <c r="G78" s="871">
        <v>0</v>
      </c>
      <c r="H78" s="864" t="s">
        <v>1168</v>
      </c>
      <c r="I78" s="865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67" t="s">
        <v>643</v>
      </c>
      <c r="B79" s="863" t="s">
        <v>1164</v>
      </c>
      <c r="C79" s="863" t="s">
        <v>339</v>
      </c>
      <c r="D79" s="868" t="s">
        <v>339</v>
      </c>
      <c r="E79" s="869">
        <v>-3</v>
      </c>
      <c r="F79" s="870" t="s">
        <v>304</v>
      </c>
      <c r="G79" s="871">
        <v>0</v>
      </c>
      <c r="H79" s="864" t="s">
        <v>1169</v>
      </c>
      <c r="I79" s="865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67" t="s">
        <v>643</v>
      </c>
      <c r="B80" s="863" t="s">
        <v>1174</v>
      </c>
      <c r="C80" s="863" t="s">
        <v>339</v>
      </c>
      <c r="D80" s="868" t="s">
        <v>339</v>
      </c>
      <c r="E80" s="869">
        <v>3</v>
      </c>
      <c r="F80" s="870" t="s">
        <v>304</v>
      </c>
      <c r="G80" s="871">
        <v>0</v>
      </c>
      <c r="H80" s="864" t="s">
        <v>1179</v>
      </c>
      <c r="I80" s="865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67" t="s">
        <v>643</v>
      </c>
      <c r="B81" s="863" t="s">
        <v>1174</v>
      </c>
      <c r="C81" s="863" t="s">
        <v>339</v>
      </c>
      <c r="D81" s="868" t="s">
        <v>339</v>
      </c>
      <c r="E81" s="869">
        <v>3</v>
      </c>
      <c r="F81" s="870" t="s">
        <v>304</v>
      </c>
      <c r="G81" s="871">
        <v>0</v>
      </c>
      <c r="H81" s="864" t="s">
        <v>1180</v>
      </c>
      <c r="I81" s="865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67" t="s">
        <v>643</v>
      </c>
      <c r="B82" s="863" t="s">
        <v>1174</v>
      </c>
      <c r="C82" s="863" t="s">
        <v>339</v>
      </c>
      <c r="D82" s="868" t="s">
        <v>339</v>
      </c>
      <c r="E82" s="869">
        <v>-5</v>
      </c>
      <c r="F82" s="870" t="s">
        <v>304</v>
      </c>
      <c r="G82" s="871">
        <v>0</v>
      </c>
      <c r="H82" s="864" t="s">
        <v>1203</v>
      </c>
      <c r="I82" s="865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67" t="s">
        <v>643</v>
      </c>
      <c r="B83" s="863" t="s">
        <v>1408</v>
      </c>
      <c r="C83" s="863" t="s">
        <v>339</v>
      </c>
      <c r="D83" s="868" t="s">
        <v>339</v>
      </c>
      <c r="E83" s="869">
        <v>-10</v>
      </c>
      <c r="F83" s="870" t="s">
        <v>304</v>
      </c>
      <c r="G83" s="871">
        <v>0</v>
      </c>
      <c r="H83" s="864" t="s">
        <v>1419</v>
      </c>
      <c r="I83" s="865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67" t="s">
        <v>643</v>
      </c>
      <c r="B84" s="863" t="s">
        <v>1408</v>
      </c>
      <c r="C84" s="863" t="s">
        <v>339</v>
      </c>
      <c r="D84" s="868" t="s">
        <v>339</v>
      </c>
      <c r="E84" s="869">
        <v>10</v>
      </c>
      <c r="F84" s="870" t="s">
        <v>304</v>
      </c>
      <c r="G84" s="871">
        <v>0</v>
      </c>
      <c r="H84" s="864" t="s">
        <v>1436</v>
      </c>
      <c r="I84" s="865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67" t="s">
        <v>643</v>
      </c>
      <c r="B85" s="863" t="s">
        <v>1408</v>
      </c>
      <c r="C85" s="863" t="s">
        <v>339</v>
      </c>
      <c r="D85" s="868" t="s">
        <v>339</v>
      </c>
      <c r="E85" s="869">
        <v>10</v>
      </c>
      <c r="F85" s="870" t="s">
        <v>304</v>
      </c>
      <c r="G85" s="871">
        <v>0</v>
      </c>
      <c r="H85" s="864" t="s">
        <v>1437</v>
      </c>
      <c r="I85" s="865">
        <v>116.890625</v>
      </c>
      <c r="J85" s="295">
        <v>116.765625</v>
      </c>
      <c r="K85" s="296">
        <f t="shared" ref="K85:K208" si="3">(J85-I85)*E85/100*100000</f>
        <v>-1250</v>
      </c>
      <c r="L85" s="381"/>
    </row>
    <row r="86" spans="1:12" s="270" customFormat="1">
      <c r="A86" s="867" t="s">
        <v>643</v>
      </c>
      <c r="B86" s="863" t="s">
        <v>1452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1482</v>
      </c>
      <c r="I86" s="865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67" t="s">
        <v>643</v>
      </c>
      <c r="B87" s="863" t="s">
        <v>1474</v>
      </c>
      <c r="C87" s="863" t="s">
        <v>339</v>
      </c>
      <c r="D87" s="868" t="s">
        <v>339</v>
      </c>
      <c r="E87" s="869">
        <v>10</v>
      </c>
      <c r="F87" s="870" t="s">
        <v>304</v>
      </c>
      <c r="G87" s="871">
        <v>0</v>
      </c>
      <c r="H87" s="864" t="s">
        <v>1506</v>
      </c>
      <c r="I87" s="865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67" t="s">
        <v>643</v>
      </c>
      <c r="B88" s="863" t="s">
        <v>1474</v>
      </c>
      <c r="C88" s="863" t="s">
        <v>339</v>
      </c>
      <c r="D88" s="868" t="s">
        <v>339</v>
      </c>
      <c r="E88" s="869">
        <v>10</v>
      </c>
      <c r="F88" s="870" t="s">
        <v>304</v>
      </c>
      <c r="G88" s="871">
        <v>0</v>
      </c>
      <c r="H88" s="864" t="s">
        <v>1507</v>
      </c>
      <c r="I88" s="865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67" t="s">
        <v>643</v>
      </c>
      <c r="B89" s="863" t="s">
        <v>1474</v>
      </c>
      <c r="C89" s="863" t="s">
        <v>339</v>
      </c>
      <c r="D89" s="868" t="s">
        <v>339</v>
      </c>
      <c r="E89" s="869">
        <v>10</v>
      </c>
      <c r="F89" s="870" t="s">
        <v>304</v>
      </c>
      <c r="G89" s="871">
        <v>0</v>
      </c>
      <c r="H89" s="864" t="s">
        <v>1508</v>
      </c>
      <c r="I89" s="865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67" t="s">
        <v>643</v>
      </c>
      <c r="B90" s="863" t="s">
        <v>1474</v>
      </c>
      <c r="C90" s="863" t="s">
        <v>339</v>
      </c>
      <c r="D90" s="868" t="s">
        <v>339</v>
      </c>
      <c r="E90" s="869">
        <v>-10</v>
      </c>
      <c r="F90" s="870" t="s">
        <v>304</v>
      </c>
      <c r="G90" s="871">
        <v>770</v>
      </c>
      <c r="H90" s="864" t="s">
        <v>1483</v>
      </c>
      <c r="I90" s="865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67" t="s">
        <v>643</v>
      </c>
      <c r="B91" s="863" t="s">
        <v>1517</v>
      </c>
      <c r="C91" s="863" t="s">
        <v>339</v>
      </c>
      <c r="D91" s="868" t="s">
        <v>339</v>
      </c>
      <c r="E91" s="869">
        <v>10</v>
      </c>
      <c r="F91" s="870" t="s">
        <v>304</v>
      </c>
      <c r="G91" s="871">
        <v>0</v>
      </c>
      <c r="H91" s="864" t="s">
        <v>1529</v>
      </c>
      <c r="I91" s="865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67" t="s">
        <v>643</v>
      </c>
      <c r="B92" s="863" t="s">
        <v>1517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1530</v>
      </c>
      <c r="I92" s="865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430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si="3"/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3"/>
        <v>0</v>
      </c>
      <c r="L97" s="381"/>
    </row>
    <row r="98" spans="1:12" s="270" customFormat="1">
      <c r="A98" s="867" t="s">
        <v>497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3"/>
        <v>0</v>
      </c>
      <c r="L98" s="381"/>
    </row>
    <row r="99" spans="1:12" s="270" customFormat="1">
      <c r="A99" s="867" t="s">
        <v>497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3"/>
        <v>0</v>
      </c>
      <c r="L99" s="381"/>
    </row>
    <row r="100" spans="1:12" s="270" customFormat="1">
      <c r="A100" s="867" t="s">
        <v>497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3"/>
        <v>0</v>
      </c>
      <c r="L100" s="381"/>
    </row>
    <row r="101" spans="1:12" s="270" customFormat="1">
      <c r="A101" s="867" t="s">
        <v>497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3"/>
        <v>0</v>
      </c>
      <c r="L101" s="381"/>
    </row>
    <row r="102" spans="1:12" s="270" customFormat="1">
      <c r="A102" s="867" t="s">
        <v>499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3"/>
        <v>0</v>
      </c>
      <c r="L102" s="381"/>
    </row>
    <row r="103" spans="1:12" s="270" customFormat="1">
      <c r="A103" s="867" t="s">
        <v>499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3"/>
        <v>0</v>
      </c>
      <c r="L103" s="381"/>
    </row>
    <row r="104" spans="1:12" s="270" customFormat="1">
      <c r="A104" s="867" t="s">
        <v>499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3"/>
        <v>0</v>
      </c>
      <c r="L104" s="381"/>
    </row>
    <row r="105" spans="1:12" s="270" customFormat="1">
      <c r="A105" s="867" t="s">
        <v>497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3"/>
        <v>0</v>
      </c>
      <c r="L105" s="381"/>
    </row>
    <row r="106" spans="1:12" s="270" customFormat="1">
      <c r="A106" s="867" t="s">
        <v>499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3"/>
        <v>0</v>
      </c>
      <c r="L106" s="381"/>
    </row>
    <row r="107" spans="1:12" s="270" customFormat="1">
      <c r="A107" s="867" t="s">
        <v>499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3"/>
        <v>0</v>
      </c>
      <c r="L107" s="381"/>
    </row>
    <row r="108" spans="1:12" s="270" customFormat="1">
      <c r="A108" s="867" t="s">
        <v>499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3"/>
        <v>0</v>
      </c>
      <c r="L108" s="381"/>
    </row>
    <row r="109" spans="1:12" s="270" customFormat="1">
      <c r="A109" s="867" t="s">
        <v>497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3"/>
        <v>0</v>
      </c>
      <c r="L109" s="381"/>
    </row>
    <row r="110" spans="1:12" s="270" customFormat="1">
      <c r="A110" s="867" t="s">
        <v>497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3"/>
        <v>0</v>
      </c>
      <c r="L110" s="381"/>
    </row>
    <row r="111" spans="1:12" s="270" customFormat="1">
      <c r="A111" s="867" t="s">
        <v>497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3"/>
        <v>0</v>
      </c>
      <c r="L111" s="381"/>
    </row>
    <row r="112" spans="1:12" s="270" customFormat="1">
      <c r="A112" s="867" t="s">
        <v>499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3"/>
        <v>0</v>
      </c>
      <c r="L112" s="381"/>
    </row>
    <row r="113" spans="1:12" s="270" customFormat="1">
      <c r="A113" s="867" t="s">
        <v>497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3"/>
        <v>0</v>
      </c>
      <c r="L113" s="381"/>
    </row>
    <row r="114" spans="1:12" s="270" customFormat="1">
      <c r="A114" s="867" t="s">
        <v>499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3"/>
        <v>0</v>
      </c>
      <c r="L114" s="381"/>
    </row>
    <row r="115" spans="1:12" s="270" customFormat="1">
      <c r="A115" s="867" t="s">
        <v>497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3"/>
        <v>0</v>
      </c>
      <c r="L115" s="381"/>
    </row>
    <row r="116" spans="1:12" s="270" customFormat="1">
      <c r="A116" s="867" t="s">
        <v>497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3"/>
        <v>0</v>
      </c>
      <c r="L116" s="381"/>
    </row>
    <row r="117" spans="1:12" s="270" customFormat="1">
      <c r="A117" s="867" t="s">
        <v>497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3"/>
        <v>0</v>
      </c>
      <c r="L117" s="381"/>
    </row>
    <row r="118" spans="1:12" s="270" customFormat="1">
      <c r="A118" s="867" t="s">
        <v>499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3"/>
        <v>0</v>
      </c>
      <c r="L118" s="381"/>
    </row>
    <row r="119" spans="1:12" s="270" customFormat="1">
      <c r="A119" s="867" t="s">
        <v>499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3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3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3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3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3"/>
        <v>0</v>
      </c>
      <c r="L123" s="381"/>
    </row>
    <row r="124" spans="1:12" s="270" customFormat="1">
      <c r="A124" s="867" t="s">
        <v>499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3"/>
        <v>0</v>
      </c>
      <c r="L124" s="381"/>
    </row>
    <row r="125" spans="1:12" s="270" customFormat="1">
      <c r="A125" s="867" t="s">
        <v>501</v>
      </c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3"/>
        <v>0</v>
      </c>
      <c r="L125" s="381"/>
    </row>
    <row r="126" spans="1:12" s="270" customFormat="1">
      <c r="A126" s="867" t="s">
        <v>499</v>
      </c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3"/>
        <v>0</v>
      </c>
      <c r="L126" s="381"/>
    </row>
    <row r="127" spans="1:12" s="270" customFormat="1">
      <c r="A127" s="867" t="s">
        <v>499</v>
      </c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3"/>
        <v>0</v>
      </c>
      <c r="L127" s="381"/>
    </row>
    <row r="128" spans="1:12" s="270" customFormat="1">
      <c r="A128" s="867" t="s">
        <v>497</v>
      </c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3"/>
        <v>0</v>
      </c>
      <c r="L128" s="381"/>
    </row>
    <row r="129" spans="1:12" s="270" customFormat="1">
      <c r="A129" s="867" t="s">
        <v>497</v>
      </c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3"/>
        <v>0</v>
      </c>
      <c r="L129" s="381"/>
    </row>
    <row r="130" spans="1:12" s="270" customFormat="1">
      <c r="A130" s="867" t="s">
        <v>499</v>
      </c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3"/>
        <v>0</v>
      </c>
      <c r="L130" s="381"/>
    </row>
    <row r="131" spans="1:12" s="270" customFormat="1">
      <c r="A131" s="867" t="s">
        <v>497</v>
      </c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3"/>
        <v>0</v>
      </c>
      <c r="L131" s="381"/>
    </row>
    <row r="132" spans="1:12" s="270" customFormat="1">
      <c r="A132" s="867" t="s">
        <v>497</v>
      </c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3"/>
        <v>0</v>
      </c>
      <c r="L132" s="381"/>
    </row>
    <row r="133" spans="1:12" s="270" customFormat="1">
      <c r="A133" s="867" t="s">
        <v>497</v>
      </c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3"/>
        <v>0</v>
      </c>
      <c r="L133" s="381"/>
    </row>
    <row r="134" spans="1:12" s="270" customFormat="1">
      <c r="A134" s="867" t="s">
        <v>497</v>
      </c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3"/>
        <v>0</v>
      </c>
      <c r="L134" s="381"/>
    </row>
    <row r="135" spans="1:12" s="270" customFormat="1">
      <c r="A135" s="867" t="s">
        <v>499</v>
      </c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3"/>
        <v>0</v>
      </c>
      <c r="L135" s="381"/>
    </row>
    <row r="136" spans="1:12" s="270" customFormat="1">
      <c r="A136" s="867" t="s">
        <v>497</v>
      </c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3"/>
        <v>0</v>
      </c>
      <c r="L136" s="381"/>
    </row>
    <row r="137" spans="1:12" s="270" customFormat="1">
      <c r="A137" s="867" t="s">
        <v>499</v>
      </c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3"/>
        <v>0</v>
      </c>
      <c r="L137" s="381"/>
    </row>
    <row r="138" spans="1:12" s="270" customFormat="1">
      <c r="A138" s="867" t="s">
        <v>497</v>
      </c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3"/>
        <v>0</v>
      </c>
      <c r="L138" s="381"/>
    </row>
    <row r="139" spans="1:12" s="270" customFormat="1">
      <c r="A139" s="867" t="s">
        <v>499</v>
      </c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3"/>
        <v>0</v>
      </c>
      <c r="L139" s="381"/>
    </row>
    <row r="140" spans="1:12" s="270" customFormat="1">
      <c r="A140" s="867" t="s">
        <v>501</v>
      </c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3"/>
        <v>0</v>
      </c>
      <c r="L140" s="381"/>
    </row>
    <row r="141" spans="1:12" s="270" customFormat="1">
      <c r="A141" s="867" t="s">
        <v>501</v>
      </c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3"/>
        <v>0</v>
      </c>
      <c r="L141" s="381"/>
    </row>
    <row r="142" spans="1:12" s="270" customFormat="1">
      <c r="A142" s="867" t="s">
        <v>497</v>
      </c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3"/>
        <v>0</v>
      </c>
      <c r="L142" s="381"/>
    </row>
    <row r="143" spans="1:12" s="270" customFormat="1">
      <c r="A143" s="867" t="s">
        <v>499</v>
      </c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3"/>
        <v>0</v>
      </c>
      <c r="L143" s="381"/>
    </row>
    <row r="144" spans="1:12" s="270" customFormat="1">
      <c r="A144" s="867" t="s">
        <v>497</v>
      </c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3"/>
        <v>0</v>
      </c>
      <c r="L144" s="381"/>
    </row>
    <row r="145" spans="1:12" s="270" customFormat="1">
      <c r="A145" s="867" t="s">
        <v>497</v>
      </c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3"/>
        <v>0</v>
      </c>
      <c r="L145" s="381"/>
    </row>
    <row r="146" spans="1:12" s="270" customFormat="1">
      <c r="A146" s="867" t="s">
        <v>497</v>
      </c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3"/>
        <v>0</v>
      </c>
      <c r="L146" s="381"/>
    </row>
    <row r="147" spans="1:12" s="270" customFormat="1">
      <c r="A147" s="867" t="s">
        <v>497</v>
      </c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3"/>
        <v>0</v>
      </c>
      <c r="L147" s="381"/>
    </row>
    <row r="148" spans="1:12" s="270" customFormat="1">
      <c r="A148" s="867" t="s">
        <v>497</v>
      </c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3"/>
        <v>0</v>
      </c>
      <c r="L148" s="381"/>
    </row>
    <row r="149" spans="1:12" s="270" customFormat="1">
      <c r="A149" s="867" t="s">
        <v>497</v>
      </c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3"/>
        <v>0</v>
      </c>
      <c r="L149" s="381"/>
    </row>
    <row r="150" spans="1:12" s="270" customFormat="1">
      <c r="A150" s="867" t="s">
        <v>497</v>
      </c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3"/>
        <v>0</v>
      </c>
      <c r="L150" s="381"/>
    </row>
    <row r="151" spans="1:12" s="270" customFormat="1">
      <c r="A151" s="867" t="s">
        <v>497</v>
      </c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3"/>
        <v>0</v>
      </c>
      <c r="L151" s="381"/>
    </row>
    <row r="152" spans="1:12" s="270" customFormat="1">
      <c r="A152" s="867" t="s">
        <v>497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497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497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497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497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497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497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497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497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497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3"/>
        <v>0</v>
      </c>
      <c r="L161" s="381"/>
    </row>
    <row r="162" spans="1:12" s="270" customFormat="1">
      <c r="A162" s="867" t="s">
        <v>497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3"/>
        <v>0</v>
      </c>
      <c r="L162" s="381"/>
    </row>
    <row r="163" spans="1:12" s="270" customFormat="1">
      <c r="A163" s="867" t="s">
        <v>501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3"/>
        <v>0</v>
      </c>
      <c r="L163" s="381"/>
    </row>
    <row r="164" spans="1:12" s="270" customFormat="1">
      <c r="A164" s="867" t="s">
        <v>501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3"/>
        <v>0</v>
      </c>
      <c r="L164" s="381"/>
    </row>
    <row r="165" spans="1:12" s="270" customFormat="1">
      <c r="A165" s="867" t="s">
        <v>499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3"/>
        <v>0</v>
      </c>
      <c r="L165" s="381"/>
    </row>
    <row r="166" spans="1:12" s="270" customFormat="1">
      <c r="A166" s="867" t="s">
        <v>497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3"/>
        <v>0</v>
      </c>
      <c r="L166" s="381"/>
    </row>
    <row r="167" spans="1:12" s="270" customFormat="1">
      <c r="A167" s="867" t="s">
        <v>499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3"/>
        <v>0</v>
      </c>
      <c r="L167" s="381"/>
    </row>
    <row r="168" spans="1:12" s="270" customFormat="1">
      <c r="A168" s="867" t="s">
        <v>497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3"/>
        <v>0</v>
      </c>
      <c r="L168" s="381"/>
    </row>
    <row r="169" spans="1:12" s="270" customFormat="1">
      <c r="A169" s="867" t="s">
        <v>499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3"/>
        <v>0</v>
      </c>
      <c r="L169" s="381"/>
    </row>
    <row r="170" spans="1:12" s="270" customFormat="1">
      <c r="A170" s="867" t="s">
        <v>497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3"/>
        <v>0</v>
      </c>
      <c r="L170" s="381"/>
    </row>
    <row r="171" spans="1:12" s="270" customFormat="1">
      <c r="A171" s="867" t="s">
        <v>497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3"/>
        <v>0</v>
      </c>
      <c r="L171" s="381"/>
    </row>
    <row r="172" spans="1:12" s="270" customFormat="1">
      <c r="A172" s="867" t="s">
        <v>497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3"/>
        <v>0</v>
      </c>
      <c r="L172" s="381"/>
    </row>
    <row r="173" spans="1:12" s="270" customFormat="1">
      <c r="A173" s="867" t="s">
        <v>497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3"/>
        <v>0</v>
      </c>
      <c r="L173" s="381"/>
    </row>
    <row r="174" spans="1:12" s="270" customFormat="1">
      <c r="A174" s="867" t="s">
        <v>497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3"/>
        <v>0</v>
      </c>
      <c r="L174" s="381"/>
    </row>
    <row r="175" spans="1:12" s="270" customFormat="1">
      <c r="A175" s="867" t="s">
        <v>497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3"/>
        <v>0</v>
      </c>
      <c r="L175" s="381"/>
    </row>
    <row r="176" spans="1:12" s="270" customFormat="1">
      <c r="A176" s="867" t="s">
        <v>497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3"/>
        <v>0</v>
      </c>
      <c r="L176" s="381"/>
    </row>
    <row r="177" spans="1:12" s="270" customFormat="1">
      <c r="A177" s="867" t="s">
        <v>497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3"/>
        <v>0</v>
      </c>
      <c r="L177" s="381"/>
    </row>
    <row r="178" spans="1:12" s="270" customFormat="1">
      <c r="A178" s="867" t="s">
        <v>510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3"/>
        <v>0</v>
      </c>
      <c r="L178" s="381"/>
    </row>
    <row r="179" spans="1:12" s="270" customFormat="1">
      <c r="A179" s="867" t="s">
        <v>510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3"/>
        <v>0</v>
      </c>
      <c r="L179" s="381"/>
    </row>
    <row r="180" spans="1:12" s="270" customFormat="1">
      <c r="A180" s="867" t="s">
        <v>511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3"/>
        <v>0</v>
      </c>
      <c r="L180" s="381"/>
    </row>
    <row r="181" spans="1:12" s="270" customFormat="1">
      <c r="A181" s="867" t="s">
        <v>511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3"/>
        <v>0</v>
      </c>
      <c r="L181" s="381"/>
    </row>
    <row r="182" spans="1:12" s="270" customFormat="1">
      <c r="A182" s="867" t="s">
        <v>511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3"/>
        <v>0</v>
      </c>
      <c r="L182" s="381"/>
    </row>
    <row r="183" spans="1:12" s="270" customFormat="1">
      <c r="A183" s="867" t="s">
        <v>511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3"/>
        <v>0</v>
      </c>
      <c r="L183" s="381"/>
    </row>
    <row r="184" spans="1:12" s="270" customFormat="1">
      <c r="A184" s="867" t="s">
        <v>511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3"/>
        <v>0</v>
      </c>
      <c r="L184" s="381"/>
    </row>
    <row r="185" spans="1:12" s="270" customFormat="1">
      <c r="A185" s="867" t="s">
        <v>510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3"/>
        <v>0</v>
      </c>
      <c r="L185" s="381"/>
    </row>
    <row r="186" spans="1:12" s="270" customFormat="1">
      <c r="A186" s="867" t="s">
        <v>511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3"/>
        <v>0</v>
      </c>
      <c r="L186" s="381"/>
    </row>
    <row r="187" spans="1:12" s="270" customFormat="1">
      <c r="A187" s="867" t="s">
        <v>511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3"/>
        <v>0</v>
      </c>
      <c r="L187" s="381"/>
    </row>
    <row r="188" spans="1:12" s="270" customFormat="1">
      <c r="A188" s="867" t="s">
        <v>511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3"/>
        <v>0</v>
      </c>
      <c r="L188" s="381"/>
    </row>
    <row r="189" spans="1:12" s="270" customFormat="1">
      <c r="A189" s="867" t="s">
        <v>511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3"/>
        <v>0</v>
      </c>
      <c r="L189" s="381"/>
    </row>
    <row r="190" spans="1:12" s="270" customFormat="1">
      <c r="A190" s="867" t="s">
        <v>511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3"/>
        <v>0</v>
      </c>
      <c r="L190" s="381"/>
    </row>
    <row r="191" spans="1:12" s="270" customFormat="1">
      <c r="A191" s="867" t="s">
        <v>526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3"/>
        <v>0</v>
      </c>
      <c r="L191" s="381"/>
    </row>
    <row r="192" spans="1:12" s="270" customFormat="1">
      <c r="A192" s="867"/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3"/>
        <v>0</v>
      </c>
      <c r="L192" s="381"/>
    </row>
    <row r="193" spans="1:12" s="270" customFormat="1">
      <c r="A193" s="867"/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3"/>
        <v>0</v>
      </c>
      <c r="L193" s="381"/>
    </row>
    <row r="194" spans="1:12" s="270" customFormat="1">
      <c r="A194" s="867"/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3"/>
        <v>0</v>
      </c>
      <c r="L194" s="381"/>
    </row>
    <row r="195" spans="1:12" s="270" customFormat="1">
      <c r="A195" s="867"/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3"/>
        <v>0</v>
      </c>
      <c r="L195" s="381"/>
    </row>
    <row r="196" spans="1:12" s="270" customFormat="1">
      <c r="A196" s="867"/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3"/>
        <v>0</v>
      </c>
      <c r="L196" s="381"/>
    </row>
    <row r="197" spans="1:12" s="270" customFormat="1">
      <c r="A197" s="867"/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3"/>
        <v>0</v>
      </c>
      <c r="L197" s="381"/>
    </row>
    <row r="198" spans="1:12" s="270" customFormat="1">
      <c r="A198" s="867"/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3"/>
        <v>0</v>
      </c>
      <c r="L198" s="381"/>
    </row>
    <row r="199" spans="1:12" s="270" customFormat="1">
      <c r="A199" s="867"/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3"/>
        <v>0</v>
      </c>
      <c r="L199" s="381"/>
    </row>
    <row r="200" spans="1:12" s="270" customFormat="1">
      <c r="A200" s="867"/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3"/>
        <v>0</v>
      </c>
      <c r="L200" s="381"/>
    </row>
    <row r="201" spans="1:12" s="270" customFormat="1">
      <c r="A201" s="867"/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3"/>
        <v>0</v>
      </c>
      <c r="L201" s="381"/>
    </row>
    <row r="202" spans="1:12" s="270" customFormat="1">
      <c r="A202" s="867"/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3"/>
        <v>0</v>
      </c>
      <c r="L202" s="381"/>
    </row>
    <row r="203" spans="1:12" s="270" customFormat="1">
      <c r="A203" s="867"/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3"/>
        <v>0</v>
      </c>
      <c r="L203" s="381"/>
    </row>
    <row r="204" spans="1:12" s="270" customFormat="1">
      <c r="A204" s="867"/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3"/>
        <v>0</v>
      </c>
      <c r="L204" s="381"/>
    </row>
    <row r="205" spans="1:12" s="270" customFormat="1">
      <c r="A205" s="867"/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3"/>
        <v>0</v>
      </c>
      <c r="L205" s="381"/>
    </row>
    <row r="206" spans="1:12" s="270" customFormat="1">
      <c r="A206" s="867"/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3"/>
        <v>0</v>
      </c>
      <c r="L206" s="381"/>
    </row>
    <row r="207" spans="1:12" s="270" customFormat="1">
      <c r="A207" s="867"/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3"/>
        <v>0</v>
      </c>
      <c r="L207" s="381"/>
    </row>
    <row r="208" spans="1:12" s="270" customFormat="1">
      <c r="A208" s="867"/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3"/>
        <v>0</v>
      </c>
      <c r="L208" s="381" t="s">
        <v>347</v>
      </c>
    </row>
    <row r="209" spans="1:17" s="270" customFormat="1">
      <c r="A209" s="349" t="s">
        <v>166</v>
      </c>
      <c r="B209" s="350"/>
      <c r="C209" s="351"/>
      <c r="D209" s="545"/>
      <c r="E209" s="352">
        <f>SUM(E21:E208)</f>
        <v>13</v>
      </c>
      <c r="F209" s="353"/>
      <c r="G209" s="352">
        <f>SUM(G21:G208)</f>
        <v>2387</v>
      </c>
      <c r="H209" s="486"/>
      <c r="I209" s="356"/>
      <c r="J209" s="357"/>
      <c r="K209" s="358">
        <f>SUM(K21:K208)+L209</f>
        <v>-56632.8125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4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4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4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4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4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4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4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414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321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413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5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5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5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5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5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5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5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5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5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5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5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5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5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5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5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5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5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5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1" zoomScale="115" zoomScaleNormal="115" workbookViewId="0">
      <selection activeCell="E80" sqref="E80:E8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354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356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388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VLOOKUP('Pete-UR'!A15,'market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388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VLOOKUP('Pete-UR'!A16,'market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301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VLOOKUP('Pete-UR'!A17,'market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301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VLOOKUP('Pete-UR'!A18,'market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301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VLOOKUP('Pete-UR'!A19,'market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301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VLOOKUP('Pete-UR'!A20,'market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301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301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301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301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301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301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782" t="s">
        <v>99</v>
      </c>
      <c r="B32" s="783" t="s">
        <v>7</v>
      </c>
      <c r="C32" s="783" t="s">
        <v>171</v>
      </c>
      <c r="D32" s="784" t="s">
        <v>170</v>
      </c>
      <c r="E32" s="785" t="s">
        <v>11</v>
      </c>
      <c r="F32" s="783" t="s">
        <v>2</v>
      </c>
      <c r="G32" s="786" t="s">
        <v>12</v>
      </c>
      <c r="H32" s="787" t="s">
        <v>18</v>
      </c>
      <c r="I32" s="786" t="s">
        <v>213</v>
      </c>
      <c r="J32" s="783" t="s">
        <v>214</v>
      </c>
      <c r="K32" s="788" t="s">
        <v>215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629</v>
      </c>
      <c r="B33" s="333" t="s">
        <v>1005</v>
      </c>
      <c r="C33" s="333" t="s">
        <v>339</v>
      </c>
      <c r="D33" s="819" t="s">
        <v>339</v>
      </c>
      <c r="E33" s="872">
        <v>0</v>
      </c>
      <c r="F33" s="333" t="s">
        <v>304</v>
      </c>
      <c r="G33" s="332">
        <f t="shared" ref="G33:G39" si="3">-77*E33</f>
        <v>0</v>
      </c>
      <c r="H33" s="334" t="s">
        <v>1022</v>
      </c>
      <c r="I33" s="820">
        <v>112.109375</v>
      </c>
      <c r="J33" s="335">
        <f>_xlfn.IFNA(VLOOKUP(A33,'market px'!$B$2:$F$20,5,FALSE),0)</f>
        <v>111.28125</v>
      </c>
      <c r="K33" s="845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629</v>
      </c>
      <c r="B34" s="333" t="s">
        <v>1005</v>
      </c>
      <c r="C34" s="333" t="s">
        <v>339</v>
      </c>
      <c r="D34" s="819" t="s">
        <v>339</v>
      </c>
      <c r="E34" s="872">
        <v>0</v>
      </c>
      <c r="F34" s="333" t="s">
        <v>304</v>
      </c>
      <c r="G34" s="332">
        <f t="shared" si="3"/>
        <v>0</v>
      </c>
      <c r="H34" s="334" t="s">
        <v>1023</v>
      </c>
      <c r="I34" s="820">
        <v>112.109375</v>
      </c>
      <c r="J34" s="335">
        <f>_xlfn.IFNA(VLOOKUP(A34,'market px'!$B$2:$F$20,5,FALSE),0)</f>
        <v>111.28125</v>
      </c>
      <c r="K34" s="845">
        <f t="shared" si="4"/>
        <v>0</v>
      </c>
      <c r="L34" s="381"/>
    </row>
    <row r="35" spans="1:12" s="270" customFormat="1">
      <c r="A35" s="325" t="s">
        <v>643</v>
      </c>
      <c r="B35" s="333" t="s">
        <v>1042</v>
      </c>
      <c r="C35" s="333" t="s">
        <v>339</v>
      </c>
      <c r="D35" s="819" t="s">
        <v>339</v>
      </c>
      <c r="E35" s="872">
        <v>0</v>
      </c>
      <c r="F35" s="333" t="s">
        <v>304</v>
      </c>
      <c r="G35" s="332">
        <f t="shared" si="3"/>
        <v>0</v>
      </c>
      <c r="H35" s="334" t="s">
        <v>1045</v>
      </c>
      <c r="I35" s="820">
        <v>112.28125</v>
      </c>
      <c r="J35" s="335">
        <f>_xlfn.IFNA(VLOOKUP(A35,'market px'!$B$2:$F$20,5,FALSE),0)</f>
        <v>114.484375</v>
      </c>
      <c r="K35" s="845">
        <f t="shared" si="4"/>
        <v>0</v>
      </c>
      <c r="L35" s="381"/>
    </row>
    <row r="36" spans="1:12" s="270" customFormat="1">
      <c r="A36" s="325" t="s">
        <v>643</v>
      </c>
      <c r="B36" s="333" t="s">
        <v>1101</v>
      </c>
      <c r="C36" s="333" t="s">
        <v>339</v>
      </c>
      <c r="D36" s="819" t="s">
        <v>339</v>
      </c>
      <c r="E36" s="872">
        <v>0</v>
      </c>
      <c r="F36" s="333" t="s">
        <v>304</v>
      </c>
      <c r="G36" s="332">
        <f t="shared" si="3"/>
        <v>0</v>
      </c>
      <c r="H36" s="334" t="s">
        <v>1112</v>
      </c>
      <c r="I36" s="820">
        <v>110.9375</v>
      </c>
      <c r="J36" s="335">
        <f>_xlfn.IFNA(VLOOKUP(A36,'market px'!$B$2:$F$20,5,FALSE),0)</f>
        <v>114.484375</v>
      </c>
      <c r="K36" s="845">
        <f t="shared" si="4"/>
        <v>0</v>
      </c>
      <c r="L36" s="381"/>
    </row>
    <row r="37" spans="1:12" s="270" customFormat="1">
      <c r="A37" s="325" t="s">
        <v>643</v>
      </c>
      <c r="B37" s="333" t="s">
        <v>1101</v>
      </c>
      <c r="C37" s="333" t="s">
        <v>339</v>
      </c>
      <c r="D37" s="819" t="s">
        <v>339</v>
      </c>
      <c r="E37" s="872">
        <v>0</v>
      </c>
      <c r="F37" s="333" t="s">
        <v>304</v>
      </c>
      <c r="G37" s="332">
        <f t="shared" si="3"/>
        <v>0</v>
      </c>
      <c r="H37" s="334" t="s">
        <v>1113</v>
      </c>
      <c r="I37" s="820">
        <v>110.75</v>
      </c>
      <c r="J37" s="335">
        <f>_xlfn.IFNA(VLOOKUP(A37,'market px'!$B$2:$F$20,5,FALSE),0)</f>
        <v>114.484375</v>
      </c>
      <c r="K37" s="845">
        <f t="shared" si="4"/>
        <v>0</v>
      </c>
      <c r="L37" s="381"/>
    </row>
    <row r="38" spans="1:12" s="270" customFormat="1">
      <c r="A38" s="325" t="s">
        <v>643</v>
      </c>
      <c r="B38" s="333" t="s">
        <v>1097</v>
      </c>
      <c r="C38" s="333" t="s">
        <v>339</v>
      </c>
      <c r="D38" s="819" t="s">
        <v>339</v>
      </c>
      <c r="E38" s="872">
        <v>0</v>
      </c>
      <c r="F38" s="333" t="s">
        <v>304</v>
      </c>
      <c r="G38" s="332">
        <f t="shared" si="3"/>
        <v>0</v>
      </c>
      <c r="H38" s="334" t="s">
        <v>1098</v>
      </c>
      <c r="I38" s="820">
        <v>111.375</v>
      </c>
      <c r="J38" s="335">
        <f>_xlfn.IFNA(VLOOKUP(A38,'market px'!$B$2:$F$20,5,FALSE),0)</f>
        <v>114.484375</v>
      </c>
      <c r="K38" s="845">
        <f t="shared" si="4"/>
        <v>0</v>
      </c>
      <c r="L38" s="381"/>
    </row>
    <row r="39" spans="1:12" s="270" customFormat="1">
      <c r="A39" s="325" t="s">
        <v>643</v>
      </c>
      <c r="B39" s="333" t="s">
        <v>1097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si="3"/>
        <v>0</v>
      </c>
      <c r="H39" s="334" t="s">
        <v>1099</v>
      </c>
      <c r="I39" s="820">
        <v>111.3125</v>
      </c>
      <c r="J39" s="335">
        <f>_xlfn.IFNA(VLOOKUP(A39,'market px'!$B$2:$F$20,5,FALSE),0)</f>
        <v>114.484375</v>
      </c>
      <c r="K39" s="845">
        <f t="shared" si="4"/>
        <v>0</v>
      </c>
      <c r="L39" s="381"/>
    </row>
    <row r="40" spans="1:12" s="270" customFormat="1">
      <c r="A40" s="325" t="s">
        <v>1088</v>
      </c>
      <c r="B40" s="333" t="s">
        <v>1101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ref="G40:G72" si="5">-18.6*2*E40</f>
        <v>0</v>
      </c>
      <c r="H40" s="334" t="s">
        <v>1107</v>
      </c>
      <c r="I40" s="820">
        <v>101.59375</v>
      </c>
      <c r="J40" s="335">
        <f>_xlfn.IFNA(VLOOKUP(A40,'market px'!$B$2:$F$20,5,FALSE),0)</f>
        <v>103.0703125</v>
      </c>
      <c r="K40" s="845">
        <f t="shared" si="4"/>
        <v>0</v>
      </c>
      <c r="L40" s="381"/>
    </row>
    <row r="41" spans="1:12" s="270" customFormat="1">
      <c r="A41" s="325" t="s">
        <v>1088</v>
      </c>
      <c r="B41" s="333" t="s">
        <v>1101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5"/>
        <v>0</v>
      </c>
      <c r="H41" s="334" t="s">
        <v>1108</v>
      </c>
      <c r="I41" s="820">
        <v>101.625</v>
      </c>
      <c r="J41" s="335">
        <f>_xlfn.IFNA(VLOOKUP(A41,'market px'!$B$2:$F$20,5,FALSE),0)</f>
        <v>103.0703125</v>
      </c>
      <c r="K41" s="845">
        <f t="shared" si="4"/>
        <v>0</v>
      </c>
      <c r="L41" s="381"/>
    </row>
    <row r="42" spans="1:12" s="270" customFormat="1">
      <c r="A42" s="325" t="s">
        <v>639</v>
      </c>
      <c r="B42" s="333" t="s">
        <v>876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5"/>
        <v>0</v>
      </c>
      <c r="H42" s="334" t="s">
        <v>893</v>
      </c>
      <c r="I42" s="820">
        <v>103.109375</v>
      </c>
      <c r="J42" s="335">
        <f>_xlfn.IFNA(VLOOKUP(A42,'market px'!$B$2:$F$20,5,FALSE),0)</f>
        <v>101.76953125</v>
      </c>
      <c r="K42" s="845">
        <f t="shared" si="4"/>
        <v>0</v>
      </c>
      <c r="L42" s="381"/>
    </row>
    <row r="43" spans="1:12" s="270" customFormat="1">
      <c r="A43" s="325" t="s">
        <v>639</v>
      </c>
      <c r="B43" s="333" t="s">
        <v>876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 t="shared" si="5"/>
        <v>0</v>
      </c>
      <c r="H43" s="334" t="s">
        <v>894</v>
      </c>
      <c r="I43" s="820">
        <v>103.10546875</v>
      </c>
      <c r="J43" s="335">
        <f>_xlfn.IFNA(VLOOKUP(A43,'market px'!$B$2:$F$20,5,FALSE),0)</f>
        <v>101.76953125</v>
      </c>
      <c r="K43" s="845">
        <f t="shared" ref="K43:K67" si="6">IF(LEFT(A43,2)="TU",(J43-I43)*E43/100*100000*2,(J43-I43)*E43/100*100000)</f>
        <v>0</v>
      </c>
      <c r="L43" s="381"/>
    </row>
    <row r="44" spans="1:12" s="270" customFormat="1">
      <c r="A44" s="325" t="s">
        <v>639</v>
      </c>
      <c r="B44" s="333" t="s">
        <v>876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 t="shared" si="5"/>
        <v>0</v>
      </c>
      <c r="H44" s="334" t="s">
        <v>895</v>
      </c>
      <c r="I44" s="820">
        <v>103.1015625</v>
      </c>
      <c r="J44" s="335">
        <f>_xlfn.IFNA(VLOOKUP(A44,'market px'!$B$2:$F$20,5,FALSE),0)</f>
        <v>101.76953125</v>
      </c>
      <c r="K44" s="845">
        <f t="shared" si="6"/>
        <v>0</v>
      </c>
      <c r="L44" s="381"/>
    </row>
    <row r="45" spans="1:12" s="270" customFormat="1">
      <c r="A45" s="325" t="s">
        <v>639</v>
      </c>
      <c r="B45" s="333" t="s">
        <v>876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si="5"/>
        <v>0</v>
      </c>
      <c r="H45" s="334" t="s">
        <v>896</v>
      </c>
      <c r="I45" s="820">
        <v>103.09765625</v>
      </c>
      <c r="J45" s="335">
        <f>_xlfn.IFNA(VLOOKUP(A45,'market px'!$B$2:$F$20,5,FALSE),0)</f>
        <v>101.76953125</v>
      </c>
      <c r="K45" s="845">
        <f t="shared" si="6"/>
        <v>0</v>
      </c>
      <c r="L45" s="381"/>
    </row>
    <row r="46" spans="1:12" s="270" customFormat="1">
      <c r="A46" s="325" t="s">
        <v>639</v>
      </c>
      <c r="B46" s="333" t="s">
        <v>876</v>
      </c>
      <c r="C46" s="333" t="s">
        <v>339</v>
      </c>
      <c r="D46" s="819" t="s">
        <v>339</v>
      </c>
      <c r="E46" s="872">
        <v>0</v>
      </c>
      <c r="F46" s="333" t="s">
        <v>304</v>
      </c>
      <c r="G46" s="332">
        <f t="shared" si="5"/>
        <v>0</v>
      </c>
      <c r="H46" s="334" t="s">
        <v>897</v>
      </c>
      <c r="I46" s="820">
        <v>103.09375</v>
      </c>
      <c r="J46" s="335">
        <f>_xlfn.IFNA(VLOOKUP(A46,'market px'!$B$2:$F$20,5,FALSE),0)</f>
        <v>101.76953125</v>
      </c>
      <c r="K46" s="845">
        <f t="shared" si="6"/>
        <v>0</v>
      </c>
      <c r="L46" s="381"/>
    </row>
    <row r="47" spans="1:12" s="270" customFormat="1">
      <c r="A47" s="325" t="s">
        <v>639</v>
      </c>
      <c r="B47" s="333" t="s">
        <v>876</v>
      </c>
      <c r="C47" s="333" t="s">
        <v>339</v>
      </c>
      <c r="D47" s="819" t="s">
        <v>339</v>
      </c>
      <c r="E47" s="872">
        <v>0</v>
      </c>
      <c r="F47" s="333" t="s">
        <v>304</v>
      </c>
      <c r="G47" s="332">
        <f t="shared" si="5"/>
        <v>0</v>
      </c>
      <c r="H47" s="334" t="s">
        <v>898</v>
      </c>
      <c r="I47" s="820">
        <v>103.08984375</v>
      </c>
      <c r="J47" s="335">
        <f>_xlfn.IFNA(VLOOKUP(A47,'market px'!$B$2:$F$20,5,FALSE),0)</f>
        <v>101.76953125</v>
      </c>
      <c r="K47" s="845">
        <f t="shared" si="6"/>
        <v>0</v>
      </c>
      <c r="L47" s="381"/>
    </row>
    <row r="48" spans="1:12" s="270" customFormat="1">
      <c r="A48" s="325" t="s">
        <v>639</v>
      </c>
      <c r="B48" s="333" t="s">
        <v>876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 t="shared" si="5"/>
        <v>0</v>
      </c>
      <c r="H48" s="334" t="s">
        <v>899</v>
      </c>
      <c r="I48" s="820">
        <v>103.0859375</v>
      </c>
      <c r="J48" s="335">
        <f>_xlfn.IFNA(VLOOKUP(A48,'market px'!$B$2:$F$20,5,FALSE),0)</f>
        <v>101.76953125</v>
      </c>
      <c r="K48" s="845">
        <f t="shared" si="6"/>
        <v>0</v>
      </c>
      <c r="L48" s="381"/>
    </row>
    <row r="49" spans="1:12" s="270" customFormat="1">
      <c r="A49" s="325" t="s">
        <v>639</v>
      </c>
      <c r="B49" s="333" t="s">
        <v>876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 t="shared" si="5"/>
        <v>0</v>
      </c>
      <c r="H49" s="334" t="s">
        <v>900</v>
      </c>
      <c r="I49" s="820">
        <v>103.08203125</v>
      </c>
      <c r="J49" s="335">
        <f>_xlfn.IFNA(VLOOKUP(A49,'market px'!$B$2:$F$20,5,FALSE),0)</f>
        <v>101.76953125</v>
      </c>
      <c r="K49" s="845">
        <f t="shared" si="6"/>
        <v>0</v>
      </c>
      <c r="L49" s="381"/>
    </row>
    <row r="50" spans="1:12" s="270" customFormat="1">
      <c r="A50" s="325" t="s">
        <v>639</v>
      </c>
      <c r="B50" s="333" t="s">
        <v>876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 t="shared" si="5"/>
        <v>0</v>
      </c>
      <c r="H50" s="334" t="s">
        <v>901</v>
      </c>
      <c r="I50" s="820">
        <v>103.078125</v>
      </c>
      <c r="J50" s="335">
        <f>_xlfn.IFNA(VLOOKUP(A50,'market px'!$B$2:$F$20,5,FALSE),0)</f>
        <v>101.76953125</v>
      </c>
      <c r="K50" s="845">
        <f t="shared" si="6"/>
        <v>0</v>
      </c>
      <c r="L50" s="381"/>
    </row>
    <row r="51" spans="1:12" s="270" customFormat="1">
      <c r="A51" s="325" t="s">
        <v>639</v>
      </c>
      <c r="B51" s="333" t="s">
        <v>876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 t="shared" si="5"/>
        <v>0</v>
      </c>
      <c r="H51" s="334" t="s">
        <v>902</v>
      </c>
      <c r="I51" s="820">
        <v>103.07421875</v>
      </c>
      <c r="J51" s="335">
        <f>_xlfn.IFNA(VLOOKUP(A51,'market px'!$B$2:$F$20,5,FALSE),0)</f>
        <v>101.76953125</v>
      </c>
      <c r="K51" s="845">
        <f t="shared" si="6"/>
        <v>0</v>
      </c>
      <c r="L51" s="381"/>
    </row>
    <row r="52" spans="1:12" s="270" customFormat="1">
      <c r="A52" s="325" t="s">
        <v>639</v>
      </c>
      <c r="B52" s="333" t="s">
        <v>876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 t="shared" si="5"/>
        <v>0</v>
      </c>
      <c r="H52" s="334" t="s">
        <v>903</v>
      </c>
      <c r="I52" s="820">
        <v>103.0703125</v>
      </c>
      <c r="J52" s="335">
        <f>_xlfn.IFNA(VLOOKUP(A52,'market px'!$B$2:$F$20,5,FALSE),0)</f>
        <v>101.76953125</v>
      </c>
      <c r="K52" s="845">
        <f t="shared" si="6"/>
        <v>0</v>
      </c>
      <c r="L52" s="381"/>
    </row>
    <row r="53" spans="1:12" s="270" customFormat="1">
      <c r="A53" s="325" t="s">
        <v>639</v>
      </c>
      <c r="B53" s="333" t="s">
        <v>876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si="5"/>
        <v>0</v>
      </c>
      <c r="H53" s="334" t="s">
        <v>904</v>
      </c>
      <c r="I53" s="820">
        <v>103.06640625</v>
      </c>
      <c r="J53" s="335">
        <f>_xlfn.IFNA(VLOOKUP(A53,'market px'!$B$2:$F$20,5,FALSE),0)</f>
        <v>101.76953125</v>
      </c>
      <c r="K53" s="845">
        <f t="shared" si="6"/>
        <v>0</v>
      </c>
      <c r="L53" s="381"/>
    </row>
    <row r="54" spans="1:12" s="270" customFormat="1">
      <c r="A54" s="325" t="s">
        <v>639</v>
      </c>
      <c r="B54" s="333" t="s">
        <v>876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5"/>
        <v>0</v>
      </c>
      <c r="H54" s="334" t="s">
        <v>905</v>
      </c>
      <c r="I54" s="820">
        <v>103.0625</v>
      </c>
      <c r="J54" s="335">
        <f>_xlfn.IFNA(VLOOKUP(A54,'market px'!$B$2:$F$20,5,FALSE),0)</f>
        <v>101.76953125</v>
      </c>
      <c r="K54" s="845">
        <f t="shared" si="6"/>
        <v>0</v>
      </c>
      <c r="L54" s="381"/>
    </row>
    <row r="55" spans="1:12" s="270" customFormat="1">
      <c r="A55" s="325" t="s">
        <v>639</v>
      </c>
      <c r="B55" s="333" t="s">
        <v>876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5"/>
        <v>0</v>
      </c>
      <c r="H55" s="334" t="s">
        <v>906</v>
      </c>
      <c r="I55" s="820">
        <v>103.05859375</v>
      </c>
      <c r="J55" s="335">
        <f>_xlfn.IFNA(VLOOKUP(A55,'market px'!$B$2:$F$20,5,FALSE),0)</f>
        <v>101.76953125</v>
      </c>
      <c r="K55" s="845">
        <f t="shared" si="6"/>
        <v>0</v>
      </c>
      <c r="L55" s="381"/>
    </row>
    <row r="56" spans="1:12" s="270" customFormat="1">
      <c r="A56" s="325" t="s">
        <v>639</v>
      </c>
      <c r="B56" s="333" t="s">
        <v>876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5"/>
        <v>0</v>
      </c>
      <c r="H56" s="334" t="s">
        <v>907</v>
      </c>
      <c r="I56" s="820">
        <v>103.0546875</v>
      </c>
      <c r="J56" s="335">
        <f>_xlfn.IFNA(VLOOKUP(A56,'market px'!$B$2:$F$20,5,FALSE),0)</f>
        <v>101.76953125</v>
      </c>
      <c r="K56" s="845">
        <f t="shared" si="6"/>
        <v>0</v>
      </c>
      <c r="L56" s="381"/>
    </row>
    <row r="57" spans="1:12" s="270" customFormat="1">
      <c r="A57" s="325" t="s">
        <v>639</v>
      </c>
      <c r="B57" s="333" t="s">
        <v>876</v>
      </c>
      <c r="C57" s="333" t="s">
        <v>339</v>
      </c>
      <c r="D57" s="819" t="s">
        <v>339</v>
      </c>
      <c r="E57" s="872">
        <v>0</v>
      </c>
      <c r="F57" s="333" t="s">
        <v>304</v>
      </c>
      <c r="G57" s="332">
        <f t="shared" si="5"/>
        <v>0</v>
      </c>
      <c r="H57" s="334" t="s">
        <v>908</v>
      </c>
      <c r="I57" s="820">
        <v>103.05078125</v>
      </c>
      <c r="J57" s="335">
        <f>_xlfn.IFNA(VLOOKUP(A57,'market px'!$B$2:$F$20,5,FALSE),0)</f>
        <v>101.76953125</v>
      </c>
      <c r="K57" s="845">
        <f t="shared" si="6"/>
        <v>0</v>
      </c>
      <c r="L57" s="381"/>
    </row>
    <row r="58" spans="1:12" s="270" customFormat="1">
      <c r="A58" s="325" t="s">
        <v>639</v>
      </c>
      <c r="B58" s="333" t="s">
        <v>876</v>
      </c>
      <c r="C58" s="333" t="s">
        <v>339</v>
      </c>
      <c r="D58" s="819" t="s">
        <v>339</v>
      </c>
      <c r="E58" s="872">
        <v>0</v>
      </c>
      <c r="F58" s="333" t="s">
        <v>304</v>
      </c>
      <c r="G58" s="332">
        <f t="shared" si="5"/>
        <v>0</v>
      </c>
      <c r="H58" s="334" t="s">
        <v>909</v>
      </c>
      <c r="I58" s="820">
        <v>103.046875</v>
      </c>
      <c r="J58" s="335">
        <f>_xlfn.IFNA(VLOOKUP(A58,'market px'!$B$2:$F$20,5,FALSE),0)</f>
        <v>101.76953125</v>
      </c>
      <c r="K58" s="845">
        <f t="shared" si="6"/>
        <v>0</v>
      </c>
      <c r="L58" s="381"/>
    </row>
    <row r="59" spans="1:12" s="270" customFormat="1">
      <c r="A59" s="325" t="s">
        <v>1088</v>
      </c>
      <c r="B59" s="333" t="s">
        <v>1263</v>
      </c>
      <c r="C59" s="333" t="s">
        <v>339</v>
      </c>
      <c r="D59" s="819" t="s">
        <v>339</v>
      </c>
      <c r="E59" s="872">
        <v>0</v>
      </c>
      <c r="F59" s="333" t="s">
        <v>304</v>
      </c>
      <c r="G59" s="332">
        <f t="shared" si="5"/>
        <v>0</v>
      </c>
      <c r="H59" s="334" t="s">
        <v>1333</v>
      </c>
      <c r="I59" s="820">
        <v>103.375</v>
      </c>
      <c r="J59" s="335">
        <f>_xlfn.IFNA(VLOOKUP(A59,'market px'!$B$2:$F$20,5,FALSE),0)</f>
        <v>103.0703125</v>
      </c>
      <c r="K59" s="845">
        <f t="shared" si="6"/>
        <v>0</v>
      </c>
      <c r="L59" s="381"/>
    </row>
    <row r="60" spans="1:12" s="270" customFormat="1">
      <c r="A60" s="325" t="s">
        <v>1088</v>
      </c>
      <c r="B60" s="333" t="s">
        <v>1263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si="5"/>
        <v>0</v>
      </c>
      <c r="H60" s="334" t="s">
        <v>1334</v>
      </c>
      <c r="I60" s="820">
        <v>103.53125</v>
      </c>
      <c r="J60" s="335">
        <f>_xlfn.IFNA(VLOOKUP(A60,'market px'!$B$2:$F$20,5,FALSE),0)</f>
        <v>103.0703125</v>
      </c>
      <c r="K60" s="845">
        <f t="shared" si="6"/>
        <v>0</v>
      </c>
      <c r="L60" s="381"/>
    </row>
    <row r="61" spans="1:12" s="270" customFormat="1">
      <c r="A61" s="325" t="s">
        <v>1088</v>
      </c>
      <c r="B61" s="333" t="s">
        <v>1263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5"/>
        <v>0</v>
      </c>
      <c r="H61" s="334" t="s">
        <v>1335</v>
      </c>
      <c r="I61" s="820">
        <v>103.6875</v>
      </c>
      <c r="J61" s="335">
        <f>_xlfn.IFNA(VLOOKUP(A61,'market px'!$B$2:$F$20,5,FALSE),0)</f>
        <v>103.0703125</v>
      </c>
      <c r="K61" s="845">
        <f t="shared" si="6"/>
        <v>0</v>
      </c>
      <c r="L61" s="381"/>
    </row>
    <row r="62" spans="1:12" s="270" customFormat="1">
      <c r="A62" s="325" t="s">
        <v>1088</v>
      </c>
      <c r="B62" s="333" t="s">
        <v>1263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5"/>
        <v>0</v>
      </c>
      <c r="H62" s="334" t="s">
        <v>1336</v>
      </c>
      <c r="I62" s="820">
        <v>103.84375</v>
      </c>
      <c r="J62" s="335">
        <f>_xlfn.IFNA(VLOOKUP(A62,'market px'!$B$2:$F$20,5,FALSE),0)</f>
        <v>103.0703125</v>
      </c>
      <c r="K62" s="845">
        <f t="shared" si="6"/>
        <v>0</v>
      </c>
      <c r="L62" s="381"/>
    </row>
    <row r="63" spans="1:12" s="270" customFormat="1">
      <c r="A63" s="325" t="s">
        <v>639</v>
      </c>
      <c r="B63" s="333" t="s">
        <v>876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5"/>
        <v>0</v>
      </c>
      <c r="H63" s="334" t="s">
        <v>914</v>
      </c>
      <c r="I63" s="820">
        <v>103.02734375</v>
      </c>
      <c r="J63" s="335">
        <f>_xlfn.IFNA(VLOOKUP(A63,'market px'!$B$2:$F$20,5,FALSE),0)</f>
        <v>101.76953125</v>
      </c>
      <c r="K63" s="845">
        <f t="shared" si="6"/>
        <v>0</v>
      </c>
      <c r="L63" s="381"/>
    </row>
    <row r="64" spans="1:12" s="270" customFormat="1">
      <c r="A64" s="325" t="s">
        <v>639</v>
      </c>
      <c r="B64" s="333" t="s">
        <v>876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5"/>
        <v>0</v>
      </c>
      <c r="H64" s="334" t="s">
        <v>915</v>
      </c>
      <c r="I64" s="820">
        <v>103.0234375</v>
      </c>
      <c r="J64" s="335">
        <f>_xlfn.IFNA(VLOOKUP(A64,'market px'!$B$2:$F$20,5,FALSE),0)</f>
        <v>101.76953125</v>
      </c>
      <c r="K64" s="845">
        <f t="shared" si="6"/>
        <v>0</v>
      </c>
      <c r="L64" s="381"/>
    </row>
    <row r="65" spans="1:12" s="270" customFormat="1">
      <c r="A65" s="325" t="s">
        <v>1088</v>
      </c>
      <c r="B65" s="333" t="s">
        <v>1354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5"/>
        <v>0</v>
      </c>
      <c r="H65" s="334" t="s">
        <v>1362</v>
      </c>
      <c r="I65" s="820">
        <v>103.625</v>
      </c>
      <c r="J65" s="335">
        <f>_xlfn.IFNA(VLOOKUP(A65,'market px'!$B$2:$F$20,5,FALSE),0)</f>
        <v>103.0703125</v>
      </c>
      <c r="K65" s="845">
        <f t="shared" si="6"/>
        <v>0</v>
      </c>
      <c r="L65" s="381"/>
    </row>
    <row r="66" spans="1:12" s="270" customFormat="1">
      <c r="A66" s="325" t="s">
        <v>1088</v>
      </c>
      <c r="B66" s="333" t="s">
        <v>1354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5"/>
        <v>0</v>
      </c>
      <c r="H66" s="334" t="s">
        <v>1363</v>
      </c>
      <c r="I66" s="820">
        <v>103.703125</v>
      </c>
      <c r="J66" s="335">
        <f>_xlfn.IFNA(VLOOKUP(A66,'market px'!$B$2:$F$20,5,FALSE),0)</f>
        <v>103.0703125</v>
      </c>
      <c r="K66" s="845">
        <f t="shared" si="6"/>
        <v>0</v>
      </c>
      <c r="L66" s="381"/>
    </row>
    <row r="67" spans="1:12" s="270" customFormat="1">
      <c r="A67" s="325" t="s">
        <v>1088</v>
      </c>
      <c r="B67" s="333" t="s">
        <v>1390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5"/>
        <v>0</v>
      </c>
      <c r="H67" s="334" t="s">
        <v>1422</v>
      </c>
      <c r="I67" s="820">
        <v>103.65625</v>
      </c>
      <c r="J67" s="335">
        <f>_xlfn.IFNA(VLOOKUP(A67,'market px'!$B$2:$F$20,5,FALSE),0)</f>
        <v>103.0703125</v>
      </c>
      <c r="K67" s="845">
        <f t="shared" si="6"/>
        <v>0</v>
      </c>
      <c r="L67" s="381"/>
    </row>
    <row r="68" spans="1:12" s="270" customFormat="1">
      <c r="A68" s="325" t="s">
        <v>1088</v>
      </c>
      <c r="B68" s="333" t="s">
        <v>1408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5"/>
        <v>0</v>
      </c>
      <c r="H68" s="334" t="s">
        <v>1423</v>
      </c>
      <c r="I68" s="820">
        <v>104</v>
      </c>
      <c r="J68" s="335">
        <f>_xlfn.IFNA(VLOOKUP(A68,'market px'!$B$2:$F$20,5,FALSE),0)</f>
        <v>103.0703125</v>
      </c>
      <c r="K68" s="845">
        <f t="shared" si="4"/>
        <v>0</v>
      </c>
      <c r="L68" s="381"/>
    </row>
    <row r="69" spans="1:12" s="270" customFormat="1">
      <c r="A69" s="325" t="s">
        <v>1088</v>
      </c>
      <c r="B69" s="333" t="s">
        <v>1390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5"/>
        <v>0</v>
      </c>
      <c r="H69" s="334" t="s">
        <v>1403</v>
      </c>
      <c r="I69" s="820">
        <v>103.65625</v>
      </c>
      <c r="J69" s="335">
        <f>_xlfn.IFNA(VLOOKUP(A69,'market px'!$B$2:$F$20,5,FALSE),0)</f>
        <v>103.0703125</v>
      </c>
      <c r="K69" s="845">
        <f t="shared" si="4"/>
        <v>0</v>
      </c>
      <c r="L69" s="381"/>
    </row>
    <row r="70" spans="1:12" s="270" customFormat="1">
      <c r="A70" s="325" t="s">
        <v>1088</v>
      </c>
      <c r="B70" s="333" t="s">
        <v>1390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5"/>
        <v>0</v>
      </c>
      <c r="H70" s="334" t="s">
        <v>1404</v>
      </c>
      <c r="I70" s="820">
        <v>103.625</v>
      </c>
      <c r="J70" s="335">
        <f>_xlfn.IFNA(VLOOKUP(A70,'market px'!$B$2:$F$20,5,FALSE),0)</f>
        <v>103.0703125</v>
      </c>
      <c r="K70" s="845">
        <f t="shared" si="4"/>
        <v>0</v>
      </c>
      <c r="L70" s="381"/>
    </row>
    <row r="71" spans="1:12" s="270" customFormat="1">
      <c r="A71" s="325" t="s">
        <v>1088</v>
      </c>
      <c r="B71" s="333" t="s">
        <v>1390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5"/>
        <v>0</v>
      </c>
      <c r="H71" s="334" t="s">
        <v>1405</v>
      </c>
      <c r="I71" s="820">
        <v>103.5625</v>
      </c>
      <c r="J71" s="335">
        <f>_xlfn.IFNA(VLOOKUP(A71,'market px'!$B$2:$F$20,5,FALSE),0)</f>
        <v>103.0703125</v>
      </c>
      <c r="K71" s="845">
        <f t="shared" si="4"/>
        <v>0</v>
      </c>
      <c r="L71" s="381"/>
    </row>
    <row r="72" spans="1:12" s="270" customFormat="1">
      <c r="A72" s="325" t="s">
        <v>1088</v>
      </c>
      <c r="B72" s="333" t="s">
        <v>1390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5"/>
        <v>0</v>
      </c>
      <c r="H72" s="334" t="s">
        <v>1406</v>
      </c>
      <c r="I72" s="820">
        <v>103.625</v>
      </c>
      <c r="J72" s="335">
        <f>_xlfn.IFNA(VLOOKUP(A72,'market px'!$B$2:$F$20,5,FALSE),0)</f>
        <v>103.0703125</v>
      </c>
      <c r="K72" s="845">
        <f t="shared" si="4"/>
        <v>0</v>
      </c>
      <c r="L72" s="381"/>
    </row>
    <row r="73" spans="1:12" s="270" customFormat="1">
      <c r="A73" s="325" t="s">
        <v>629</v>
      </c>
      <c r="B73" s="333" t="s">
        <v>996</v>
      </c>
      <c r="C73" s="333" t="s">
        <v>339</v>
      </c>
      <c r="D73" s="819" t="s">
        <v>339</v>
      </c>
      <c r="E73" s="872">
        <v>0</v>
      </c>
      <c r="F73" s="333" t="s">
        <v>304</v>
      </c>
      <c r="G73" s="332">
        <f t="shared" ref="G73" si="7">-77*E73</f>
        <v>0</v>
      </c>
      <c r="H73" s="334" t="s">
        <v>998</v>
      </c>
      <c r="I73" s="820">
        <v>112.671875</v>
      </c>
      <c r="J73" s="335">
        <f>_xlfn.IFNA(VLOOKUP(A73,'market px'!$B$2:$F$20,5,FALSE),0)</f>
        <v>111.28125</v>
      </c>
      <c r="K73" s="845">
        <f t="shared" si="4"/>
        <v>0</v>
      </c>
      <c r="L73" s="381"/>
    </row>
    <row r="74" spans="1:12" s="270" customFormat="1">
      <c r="A74" s="325" t="s">
        <v>639</v>
      </c>
      <c r="B74" s="333" t="s">
        <v>952</v>
      </c>
      <c r="C74" s="333" t="s">
        <v>339</v>
      </c>
      <c r="D74" s="819" t="s">
        <v>339</v>
      </c>
      <c r="E74" s="872">
        <v>0</v>
      </c>
      <c r="F74" s="333" t="s">
        <v>304</v>
      </c>
      <c r="G74" s="332">
        <f t="shared" ref="G74" si="8">-18.6*2*E74</f>
        <v>0</v>
      </c>
      <c r="H74" s="334" t="s">
        <v>967</v>
      </c>
      <c r="I74" s="820">
        <v>102.30859375</v>
      </c>
      <c r="J74" s="335">
        <f>_xlfn.IFNA(VLOOKUP(A74,'market px'!$B$2:$F$20,5,FALSE),0)</f>
        <v>101.76953125</v>
      </c>
      <c r="K74" s="845">
        <f t="shared" si="4"/>
        <v>0</v>
      </c>
      <c r="L74" s="381"/>
    </row>
    <row r="75" spans="1:12" s="270" customFormat="1">
      <c r="A75" s="325" t="s">
        <v>647</v>
      </c>
      <c r="B75" s="333" t="s">
        <v>1148</v>
      </c>
      <c r="C75" s="333" t="s">
        <v>339</v>
      </c>
      <c r="D75" s="819" t="s">
        <v>339</v>
      </c>
      <c r="E75" s="872">
        <v>0</v>
      </c>
      <c r="F75" s="333" t="s">
        <v>304</v>
      </c>
      <c r="G75" s="332">
        <f t="shared" ref="G75:G79" si="9">-42.7*E75</f>
        <v>0</v>
      </c>
      <c r="H75" s="334" t="s">
        <v>1170</v>
      </c>
      <c r="I75" s="820">
        <v>106.578125</v>
      </c>
      <c r="J75" s="335">
        <f>_xlfn.IFNA(VLOOKUP(A75,'market px'!$B$2:$F$20,5,FALSE),0)</f>
        <v>109.1640625</v>
      </c>
      <c r="K75" s="845">
        <f t="shared" si="4"/>
        <v>0</v>
      </c>
      <c r="L75" s="381"/>
    </row>
    <row r="76" spans="1:12" s="270" customFormat="1">
      <c r="A76" s="325" t="s">
        <v>647</v>
      </c>
      <c r="B76" s="333" t="s">
        <v>1408</v>
      </c>
      <c r="C76" s="333" t="s">
        <v>339</v>
      </c>
      <c r="D76" s="819" t="s">
        <v>339</v>
      </c>
      <c r="E76" s="872">
        <v>0</v>
      </c>
      <c r="F76" s="333" t="s">
        <v>304</v>
      </c>
      <c r="G76" s="332">
        <f t="shared" si="9"/>
        <v>0</v>
      </c>
      <c r="H76" s="334" t="s">
        <v>1421</v>
      </c>
      <c r="I76" s="820">
        <v>110.859375</v>
      </c>
      <c r="J76" s="335">
        <f>_xlfn.IFNA(VLOOKUP(A76,'market px'!$B$2:$F$20,5,FALSE),0)</f>
        <v>109.1640625</v>
      </c>
      <c r="K76" s="845">
        <f t="shared" si="4"/>
        <v>0</v>
      </c>
      <c r="L76" s="381"/>
    </row>
    <row r="77" spans="1:12" s="270" customFormat="1">
      <c r="A77" s="325" t="s">
        <v>634</v>
      </c>
      <c r="B77" s="333" t="s">
        <v>617</v>
      </c>
      <c r="C77" s="333" t="s">
        <v>339</v>
      </c>
      <c r="D77" s="819" t="s">
        <v>339</v>
      </c>
      <c r="E77" s="872">
        <v>0</v>
      </c>
      <c r="F77" s="333" t="s">
        <v>304</v>
      </c>
      <c r="G77" s="332">
        <f t="shared" si="9"/>
        <v>0</v>
      </c>
      <c r="H77" s="334" t="s">
        <v>620</v>
      </c>
      <c r="I77" s="820">
        <v>107.953125</v>
      </c>
      <c r="J77" s="335">
        <f>_xlfn.IFNA(VLOOKUP(A77,'market px'!$B$2:$F$20,5,FALSE),0)</f>
        <v>106.828125</v>
      </c>
      <c r="K77" s="845">
        <f t="shared" si="4"/>
        <v>0</v>
      </c>
      <c r="L77" s="381"/>
    </row>
    <row r="78" spans="1:12" s="270" customFormat="1">
      <c r="A78" s="325" t="s">
        <v>634</v>
      </c>
      <c r="B78" s="333" t="s">
        <v>617</v>
      </c>
      <c r="C78" s="333" t="s">
        <v>339</v>
      </c>
      <c r="D78" s="819" t="s">
        <v>339</v>
      </c>
      <c r="E78" s="872">
        <v>0</v>
      </c>
      <c r="F78" s="333" t="s">
        <v>304</v>
      </c>
      <c r="G78" s="332">
        <f t="shared" si="9"/>
        <v>0</v>
      </c>
      <c r="H78" s="334" t="s">
        <v>621</v>
      </c>
      <c r="I78" s="820">
        <v>107.953125</v>
      </c>
      <c r="J78" s="335">
        <f>_xlfn.IFNA(VLOOKUP(A78,'market px'!$B$2:$F$20,5,FALSE),0)</f>
        <v>106.828125</v>
      </c>
      <c r="K78" s="845">
        <f t="shared" si="4"/>
        <v>0</v>
      </c>
      <c r="L78" s="381"/>
    </row>
    <row r="79" spans="1:12" s="270" customFormat="1">
      <c r="A79" s="325" t="s">
        <v>631</v>
      </c>
      <c r="B79" s="333" t="s">
        <v>630</v>
      </c>
      <c r="C79" s="333" t="s">
        <v>339</v>
      </c>
      <c r="D79" s="819" t="s">
        <v>339</v>
      </c>
      <c r="E79" s="872">
        <v>0</v>
      </c>
      <c r="F79" s="333" t="s">
        <v>304</v>
      </c>
      <c r="G79" s="332">
        <f t="shared" si="9"/>
        <v>0</v>
      </c>
      <c r="H79" s="334" t="s">
        <v>632</v>
      </c>
      <c r="I79" s="820">
        <v>107.953125</v>
      </c>
      <c r="J79" s="335">
        <f>_xlfn.IFNA(VLOOKUP(A79,'market px'!$B$2:$F$20,5,FALSE),0)</f>
        <v>106.828125</v>
      </c>
      <c r="K79" s="845">
        <f t="shared" si="4"/>
        <v>0</v>
      </c>
      <c r="L79" s="381"/>
    </row>
    <row r="80" spans="1:12" s="270" customFormat="1">
      <c r="A80" s="325" t="s">
        <v>643</v>
      </c>
      <c r="B80" s="333" t="s">
        <v>1408</v>
      </c>
      <c r="C80" s="333" t="s">
        <v>339</v>
      </c>
      <c r="D80" s="819" t="s">
        <v>339</v>
      </c>
      <c r="E80" s="872">
        <v>10</v>
      </c>
      <c r="F80" s="333" t="s">
        <v>304</v>
      </c>
      <c r="G80" s="332">
        <f t="shared" ref="G80:G82" si="10">-77*E80</f>
        <v>-770</v>
      </c>
      <c r="H80" s="334" t="s">
        <v>1449</v>
      </c>
      <c r="I80" s="820">
        <v>116.9375</v>
      </c>
      <c r="J80" s="335">
        <f>_xlfn.IFNA(VLOOKUP(A80,'market px'!$B$2:$F$20,5,FALSE),0)</f>
        <v>114.484375</v>
      </c>
      <c r="K80" s="845">
        <f t="shared" si="4"/>
        <v>-24531.25</v>
      </c>
      <c r="L80" s="381"/>
    </row>
    <row r="81" spans="1:19" s="270" customFormat="1">
      <c r="A81" s="325" t="s">
        <v>643</v>
      </c>
      <c r="B81" s="333" t="s">
        <v>1408</v>
      </c>
      <c r="C81" s="333" t="s">
        <v>339</v>
      </c>
      <c r="D81" s="819" t="s">
        <v>339</v>
      </c>
      <c r="E81" s="872">
        <v>10</v>
      </c>
      <c r="F81" s="333" t="s">
        <v>304</v>
      </c>
      <c r="G81" s="332">
        <f t="shared" si="10"/>
        <v>-770</v>
      </c>
      <c r="H81" s="334" t="s">
        <v>1450</v>
      </c>
      <c r="I81" s="820">
        <v>116.8125</v>
      </c>
      <c r="J81" s="335">
        <f>_xlfn.IFNA(VLOOKUP(A81,'market px'!$B$2:$F$20,5,FALSE),0)</f>
        <v>114.484375</v>
      </c>
      <c r="K81" s="845">
        <f t="shared" si="4"/>
        <v>-23281.25</v>
      </c>
      <c r="L81" s="381"/>
    </row>
    <row r="82" spans="1:19" s="270" customFormat="1">
      <c r="A82" s="325" t="s">
        <v>643</v>
      </c>
      <c r="B82" s="333" t="s">
        <v>1408</v>
      </c>
      <c r="C82" s="333" t="s">
        <v>339</v>
      </c>
      <c r="D82" s="819" t="s">
        <v>339</v>
      </c>
      <c r="E82" s="872">
        <v>10</v>
      </c>
      <c r="F82" s="333" t="s">
        <v>304</v>
      </c>
      <c r="G82" s="332">
        <f t="shared" si="10"/>
        <v>-770</v>
      </c>
      <c r="H82" s="334" t="s">
        <v>1451</v>
      </c>
      <c r="I82" s="820">
        <v>116.6875</v>
      </c>
      <c r="J82" s="335">
        <f>_xlfn.IFNA(VLOOKUP(A82,'market px'!$B$2:$F$20,5,FALSE),0)</f>
        <v>114.484375</v>
      </c>
      <c r="K82" s="845">
        <f t="shared" si="4"/>
        <v>-22031.25</v>
      </c>
      <c r="L82" s="381"/>
    </row>
    <row r="83" spans="1:19" s="270" customFormat="1">
      <c r="A83" s="325" t="s">
        <v>529</v>
      </c>
      <c r="B83" s="333" t="s">
        <v>546</v>
      </c>
      <c r="C83" s="333" t="s">
        <v>339</v>
      </c>
      <c r="D83" s="819" t="s">
        <v>339</v>
      </c>
      <c r="E83" s="872">
        <v>0</v>
      </c>
      <c r="F83" s="333" t="s">
        <v>304</v>
      </c>
      <c r="G83" s="332">
        <f t="shared" ref="G83:G84" si="11">-18.6*2*E83</f>
        <v>0</v>
      </c>
      <c r="H83" s="334" t="s">
        <v>547</v>
      </c>
      <c r="I83" s="820">
        <v>0</v>
      </c>
      <c r="J83" s="335">
        <f>_xlfn.IFNA(VLOOKUP(A83,'market px'!$B$2:$F$20,5,FALSE),0)</f>
        <v>0</v>
      </c>
      <c r="K83" s="845">
        <f>IF(LEFT(A83,2)="TU",(J83-I83)*E83/100*100000*2,(J83-I83)*E83/100*100000)</f>
        <v>0</v>
      </c>
      <c r="L83" s="381"/>
    </row>
    <row r="84" spans="1:19" s="270" customFormat="1">
      <c r="A84" s="325" t="s">
        <v>529</v>
      </c>
      <c r="B84" s="333" t="s">
        <v>546</v>
      </c>
      <c r="C84" s="333" t="s">
        <v>339</v>
      </c>
      <c r="D84" s="819" t="s">
        <v>339</v>
      </c>
      <c r="E84" s="872">
        <v>0</v>
      </c>
      <c r="F84" s="333" t="s">
        <v>304</v>
      </c>
      <c r="G84" s="332">
        <f t="shared" si="11"/>
        <v>0</v>
      </c>
      <c r="H84" s="334" t="s">
        <v>548</v>
      </c>
      <c r="I84" s="820">
        <v>0</v>
      </c>
      <c r="J84" s="335">
        <f>_xlfn.IFNA(VLOOKUP(A84,'market px'!$B$2:$F$20,5,FALSE),0)</f>
        <v>0</v>
      </c>
      <c r="K84" s="845">
        <f t="shared" si="4"/>
        <v>0</v>
      </c>
      <c r="L84" s="381"/>
    </row>
    <row r="85" spans="1:19" s="270" customFormat="1">
      <c r="A85" s="325"/>
      <c r="B85" s="333"/>
      <c r="C85" s="333"/>
      <c r="D85" s="819"/>
      <c r="E85" s="872">
        <v>0</v>
      </c>
      <c r="F85" s="333"/>
      <c r="G85" s="332"/>
      <c r="H85" s="334"/>
      <c r="I85" s="820"/>
      <c r="J85" s="335"/>
      <c r="K85" s="845"/>
      <c r="L85" s="381"/>
    </row>
    <row r="86" spans="1:19" s="270" customFormat="1">
      <c r="A86" s="325"/>
      <c r="B86" s="333"/>
      <c r="C86" s="333"/>
      <c r="D86" s="819"/>
      <c r="E86" s="872"/>
      <c r="F86" s="333"/>
      <c r="G86" s="332"/>
      <c r="H86" s="334"/>
      <c r="I86" s="820"/>
      <c r="J86" s="335"/>
      <c r="K86" s="845"/>
      <c r="L86" s="381"/>
    </row>
    <row r="87" spans="1:19" s="270" customFormat="1">
      <c r="A87" s="325"/>
      <c r="B87" s="333"/>
      <c r="C87" s="333"/>
      <c r="D87" s="819"/>
      <c r="E87" s="872"/>
      <c r="F87" s="333"/>
      <c r="G87" s="332"/>
      <c r="H87" s="334"/>
      <c r="I87" s="820"/>
      <c r="J87" s="335"/>
      <c r="K87" s="845"/>
      <c r="L87" s="381"/>
    </row>
    <row r="88" spans="1:19" s="270" customFormat="1">
      <c r="A88" s="789" t="s">
        <v>166</v>
      </c>
      <c r="B88" s="790"/>
      <c r="C88" s="791"/>
      <c r="D88" s="792"/>
      <c r="E88" s="873">
        <f>SUM(E33:E87)</f>
        <v>30</v>
      </c>
      <c r="F88" s="793"/>
      <c r="G88" s="794">
        <f>SUM(G33:G87)</f>
        <v>-2310</v>
      </c>
      <c r="H88" s="795"/>
      <c r="I88" s="796"/>
      <c r="J88" s="797"/>
      <c r="K88" s="798">
        <f>SUM(K33:K87)</f>
        <v>-69843.75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336</v>
      </c>
      <c r="B91" s="328">
        <v>43697</v>
      </c>
      <c r="C91" s="329"/>
      <c r="D91" s="542"/>
      <c r="E91" s="330">
        <v>0</v>
      </c>
      <c r="F91" s="330" t="s">
        <v>304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284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285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285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286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286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3:G87 G33:G74">
    <cfRule type="expression" dxfId="15" priority="4">
      <formula>AND(IF(E33&lt;&gt;0,1),IF(G33=0,1))</formula>
    </cfRule>
  </conditionalFormatting>
  <conditionalFormatting sqref="K33:K87">
    <cfRule type="expression" dxfId="14" priority="3">
      <formula>LEFT(A33,2)="TU"</formula>
    </cfRule>
  </conditionalFormatting>
  <conditionalFormatting sqref="G75:G79">
    <cfRule type="expression" dxfId="13" priority="2">
      <formula>AND(IF(E75&lt;&gt;0,1),IF(G75=0,1))</formula>
    </cfRule>
  </conditionalFormatting>
  <conditionalFormatting sqref="G80:G82">
    <cfRule type="expression" dxfId="12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41" zoomScale="115" zoomScaleNormal="115" workbookViewId="0">
      <selection activeCell="J264" sqref="J264:J265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388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289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388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289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492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357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164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99</v>
      </c>
      <c r="B31" s="207" t="s">
        <v>7</v>
      </c>
      <c r="C31" s="207" t="s">
        <v>171</v>
      </c>
      <c r="D31" s="535" t="s">
        <v>170</v>
      </c>
      <c r="E31" s="208" t="s">
        <v>11</v>
      </c>
      <c r="F31" s="207" t="s">
        <v>2</v>
      </c>
      <c r="G31" s="209" t="s">
        <v>12</v>
      </c>
      <c r="H31" s="482" t="s">
        <v>18</v>
      </c>
      <c r="I31" s="209" t="s">
        <v>210</v>
      </c>
      <c r="J31" s="207" t="s">
        <v>216</v>
      </c>
      <c r="K31" s="260" t="s">
        <v>212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67" t="s">
        <v>639</v>
      </c>
      <c r="B32" s="863" t="s">
        <v>705</v>
      </c>
      <c r="C32" s="863" t="s">
        <v>339</v>
      </c>
      <c r="D32" s="868" t="s">
        <v>339</v>
      </c>
      <c r="E32" s="869">
        <v>100</v>
      </c>
      <c r="F32" s="870" t="s">
        <v>304</v>
      </c>
      <c r="G32" s="871">
        <v>0</v>
      </c>
      <c r="H32" s="864" t="s">
        <v>722</v>
      </c>
      <c r="I32" s="865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67" t="s">
        <v>639</v>
      </c>
      <c r="B33" s="863" t="s">
        <v>723</v>
      </c>
      <c r="C33" s="863" t="s">
        <v>339</v>
      </c>
      <c r="D33" s="868" t="s">
        <v>339</v>
      </c>
      <c r="E33" s="869">
        <v>100</v>
      </c>
      <c r="F33" s="870" t="s">
        <v>304</v>
      </c>
      <c r="G33" s="871">
        <v>-3720.0000000000005</v>
      </c>
      <c r="H33" s="864" t="s">
        <v>724</v>
      </c>
      <c r="I33" s="865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67" t="s">
        <v>639</v>
      </c>
      <c r="B34" s="863" t="s">
        <v>666</v>
      </c>
      <c r="C34" s="863" t="s">
        <v>339</v>
      </c>
      <c r="D34" s="868" t="s">
        <v>339</v>
      </c>
      <c r="E34" s="869">
        <v>50</v>
      </c>
      <c r="F34" s="870" t="s">
        <v>304</v>
      </c>
      <c r="G34" s="871">
        <v>-1860.0000000000002</v>
      </c>
      <c r="H34" s="864" t="s">
        <v>668</v>
      </c>
      <c r="I34" s="865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67" t="s">
        <v>639</v>
      </c>
      <c r="B35" s="863" t="s">
        <v>666</v>
      </c>
      <c r="C35" s="863" t="s">
        <v>339</v>
      </c>
      <c r="D35" s="868" t="s">
        <v>339</v>
      </c>
      <c r="E35" s="869">
        <v>50</v>
      </c>
      <c r="F35" s="870" t="s">
        <v>304</v>
      </c>
      <c r="G35" s="871">
        <v>-1860.0000000000002</v>
      </c>
      <c r="H35" s="864" t="s">
        <v>669</v>
      </c>
      <c r="I35" s="865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67" t="s">
        <v>629</v>
      </c>
      <c r="B36" s="863" t="s">
        <v>732</v>
      </c>
      <c r="C36" s="863" t="s">
        <v>339</v>
      </c>
      <c r="D36" s="868" t="s">
        <v>339</v>
      </c>
      <c r="E36" s="869">
        <v>-50</v>
      </c>
      <c r="F36" s="870" t="s">
        <v>304</v>
      </c>
      <c r="G36" s="871">
        <v>0</v>
      </c>
      <c r="H36" s="864" t="s">
        <v>736</v>
      </c>
      <c r="I36" s="865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67" t="s">
        <v>629</v>
      </c>
      <c r="B37" s="863" t="s">
        <v>672</v>
      </c>
      <c r="C37" s="863" t="s">
        <v>339</v>
      </c>
      <c r="D37" s="868" t="s">
        <v>339</v>
      </c>
      <c r="E37" s="869">
        <v>-50</v>
      </c>
      <c r="F37" s="870" t="s">
        <v>304</v>
      </c>
      <c r="G37" s="871">
        <v>3850</v>
      </c>
      <c r="H37" s="864" t="s">
        <v>673</v>
      </c>
      <c r="I37" s="865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67" t="s">
        <v>629</v>
      </c>
      <c r="B38" s="863" t="s">
        <v>723</v>
      </c>
      <c r="C38" s="863" t="s">
        <v>339</v>
      </c>
      <c r="D38" s="868" t="s">
        <v>339</v>
      </c>
      <c r="E38" s="869">
        <v>-50</v>
      </c>
      <c r="F38" s="870" t="s">
        <v>304</v>
      </c>
      <c r="G38" s="871">
        <v>3850</v>
      </c>
      <c r="H38" s="864" t="s">
        <v>725</v>
      </c>
      <c r="I38" s="865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67" t="s">
        <v>639</v>
      </c>
      <c r="B39" s="863" t="s">
        <v>741</v>
      </c>
      <c r="C39" s="863" t="s">
        <v>339</v>
      </c>
      <c r="D39" s="868" t="s">
        <v>339</v>
      </c>
      <c r="E39" s="869">
        <v>-50</v>
      </c>
      <c r="F39" s="870" t="s">
        <v>304</v>
      </c>
      <c r="G39" s="871">
        <v>0</v>
      </c>
      <c r="H39" s="864" t="s">
        <v>749</v>
      </c>
      <c r="I39" s="865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67" t="s">
        <v>639</v>
      </c>
      <c r="B40" s="863" t="s">
        <v>744</v>
      </c>
      <c r="C40" s="863" t="s">
        <v>339</v>
      </c>
      <c r="D40" s="868" t="s">
        <v>339</v>
      </c>
      <c r="E40" s="869">
        <v>-50</v>
      </c>
      <c r="F40" s="870" t="s">
        <v>304</v>
      </c>
      <c r="G40" s="871">
        <v>0</v>
      </c>
      <c r="H40" s="864" t="s">
        <v>750</v>
      </c>
      <c r="I40" s="865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67" t="s">
        <v>629</v>
      </c>
      <c r="B41" s="863" t="s">
        <v>741</v>
      </c>
      <c r="C41" s="863" t="s">
        <v>339</v>
      </c>
      <c r="D41" s="868" t="s">
        <v>339</v>
      </c>
      <c r="E41" s="869">
        <v>-50</v>
      </c>
      <c r="F41" s="870" t="s">
        <v>304</v>
      </c>
      <c r="G41" s="871">
        <v>0</v>
      </c>
      <c r="H41" s="864" t="s">
        <v>752</v>
      </c>
      <c r="I41" s="865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67" t="s">
        <v>639</v>
      </c>
      <c r="B42" s="863" t="s">
        <v>744</v>
      </c>
      <c r="C42" s="863" t="s">
        <v>339</v>
      </c>
      <c r="D42" s="868" t="s">
        <v>339</v>
      </c>
      <c r="E42" s="869">
        <v>-1</v>
      </c>
      <c r="F42" s="870" t="s">
        <v>304</v>
      </c>
      <c r="G42" s="871">
        <v>0</v>
      </c>
      <c r="H42" s="864" t="s">
        <v>768</v>
      </c>
      <c r="I42" s="865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67" t="s">
        <v>639</v>
      </c>
      <c r="B43" s="863" t="s">
        <v>744</v>
      </c>
      <c r="C43" s="863" t="s">
        <v>339</v>
      </c>
      <c r="D43" s="868" t="s">
        <v>339</v>
      </c>
      <c r="E43" s="869">
        <v>-49</v>
      </c>
      <c r="F43" s="870" t="s">
        <v>304</v>
      </c>
      <c r="G43" s="871">
        <v>0</v>
      </c>
      <c r="H43" s="864" t="s">
        <v>769</v>
      </c>
      <c r="I43" s="865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67" t="s">
        <v>639</v>
      </c>
      <c r="B44" s="863" t="s">
        <v>744</v>
      </c>
      <c r="C44" s="863" t="s">
        <v>339</v>
      </c>
      <c r="D44" s="868" t="s">
        <v>339</v>
      </c>
      <c r="E44" s="869">
        <v>100</v>
      </c>
      <c r="F44" s="870" t="s">
        <v>304</v>
      </c>
      <c r="G44" s="871">
        <v>0</v>
      </c>
      <c r="H44" s="864" t="s">
        <v>770</v>
      </c>
      <c r="I44" s="865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67" t="s">
        <v>639</v>
      </c>
      <c r="B45" s="863" t="s">
        <v>744</v>
      </c>
      <c r="C45" s="863" t="s">
        <v>339</v>
      </c>
      <c r="D45" s="868" t="s">
        <v>339</v>
      </c>
      <c r="E45" s="869">
        <v>-100</v>
      </c>
      <c r="F45" s="870" t="s">
        <v>304</v>
      </c>
      <c r="G45" s="871">
        <v>0</v>
      </c>
      <c r="H45" s="864" t="s">
        <v>771</v>
      </c>
      <c r="I45" s="865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67" t="s">
        <v>639</v>
      </c>
      <c r="B46" s="863" t="s">
        <v>732</v>
      </c>
      <c r="C46" s="863" t="s">
        <v>339</v>
      </c>
      <c r="D46" s="868" t="s">
        <v>339</v>
      </c>
      <c r="E46" s="869">
        <v>-100</v>
      </c>
      <c r="F46" s="870" t="s">
        <v>304</v>
      </c>
      <c r="G46" s="871">
        <v>3720.0000000000005</v>
      </c>
      <c r="H46" s="864" t="s">
        <v>735</v>
      </c>
      <c r="I46" s="865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67" t="s">
        <v>639</v>
      </c>
      <c r="B47" s="863" t="s">
        <v>776</v>
      </c>
      <c r="C47" s="863" t="s">
        <v>339</v>
      </c>
      <c r="D47" s="868" t="s">
        <v>339</v>
      </c>
      <c r="E47" s="869">
        <v>100</v>
      </c>
      <c r="F47" s="870" t="s">
        <v>304</v>
      </c>
      <c r="G47" s="871">
        <v>0</v>
      </c>
      <c r="H47" s="864" t="s">
        <v>780</v>
      </c>
      <c r="I47" s="865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67" t="s">
        <v>639</v>
      </c>
      <c r="B48" s="863" t="s">
        <v>781</v>
      </c>
      <c r="C48" s="863" t="s">
        <v>339</v>
      </c>
      <c r="D48" s="868" t="s">
        <v>339</v>
      </c>
      <c r="E48" s="869">
        <v>100</v>
      </c>
      <c r="F48" s="870" t="s">
        <v>304</v>
      </c>
      <c r="G48" s="871">
        <v>0</v>
      </c>
      <c r="H48" s="864" t="s">
        <v>782</v>
      </c>
      <c r="I48" s="865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67" t="s">
        <v>639</v>
      </c>
      <c r="B49" s="863" t="s">
        <v>744</v>
      </c>
      <c r="C49" s="863" t="s">
        <v>339</v>
      </c>
      <c r="D49" s="868" t="s">
        <v>339</v>
      </c>
      <c r="E49" s="869">
        <v>-50</v>
      </c>
      <c r="F49" s="870" t="s">
        <v>304</v>
      </c>
      <c r="G49" s="871">
        <v>1860.0000000000002</v>
      </c>
      <c r="H49" s="864" t="s">
        <v>751</v>
      </c>
      <c r="I49" s="865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67" t="s">
        <v>639</v>
      </c>
      <c r="B50" s="863" t="s">
        <v>744</v>
      </c>
      <c r="C50" s="863" t="s">
        <v>339</v>
      </c>
      <c r="D50" s="868" t="s">
        <v>339</v>
      </c>
      <c r="E50" s="869">
        <v>-50</v>
      </c>
      <c r="F50" s="870" t="s">
        <v>304</v>
      </c>
      <c r="G50" s="871">
        <v>1860.0000000000002</v>
      </c>
      <c r="H50" s="864" t="s">
        <v>772</v>
      </c>
      <c r="I50" s="865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67" t="s">
        <v>629</v>
      </c>
      <c r="B51" s="863" t="s">
        <v>776</v>
      </c>
      <c r="C51" s="863" t="s">
        <v>339</v>
      </c>
      <c r="D51" s="868" t="s">
        <v>339</v>
      </c>
      <c r="E51" s="869">
        <v>50</v>
      </c>
      <c r="F51" s="870" t="s">
        <v>304</v>
      </c>
      <c r="G51" s="871">
        <v>0</v>
      </c>
      <c r="H51" s="864" t="s">
        <v>783</v>
      </c>
      <c r="I51" s="865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67" t="s">
        <v>629</v>
      </c>
      <c r="B52" s="863" t="s">
        <v>781</v>
      </c>
      <c r="C52" s="863" t="s">
        <v>339</v>
      </c>
      <c r="D52" s="868" t="s">
        <v>339</v>
      </c>
      <c r="E52" s="869">
        <v>50</v>
      </c>
      <c r="F52" s="870" t="s">
        <v>304</v>
      </c>
      <c r="G52" s="871">
        <v>0</v>
      </c>
      <c r="H52" s="864" t="s">
        <v>784</v>
      </c>
      <c r="I52" s="865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67" t="s">
        <v>639</v>
      </c>
      <c r="B53" s="863" t="s">
        <v>786</v>
      </c>
      <c r="C53" s="863" t="s">
        <v>339</v>
      </c>
      <c r="D53" s="868" t="s">
        <v>339</v>
      </c>
      <c r="E53" s="869">
        <v>50</v>
      </c>
      <c r="F53" s="870" t="s">
        <v>304</v>
      </c>
      <c r="G53" s="871">
        <v>0</v>
      </c>
      <c r="H53" s="864" t="s">
        <v>792</v>
      </c>
      <c r="I53" s="865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67" t="s">
        <v>639</v>
      </c>
      <c r="B54" s="863" t="s">
        <v>786</v>
      </c>
      <c r="C54" s="863" t="s">
        <v>339</v>
      </c>
      <c r="D54" s="868" t="s">
        <v>339</v>
      </c>
      <c r="E54" s="869">
        <v>50</v>
      </c>
      <c r="F54" s="870" t="s">
        <v>304</v>
      </c>
      <c r="G54" s="871">
        <v>0</v>
      </c>
      <c r="H54" s="864" t="s">
        <v>793</v>
      </c>
      <c r="I54" s="865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67" t="s">
        <v>629</v>
      </c>
      <c r="B55" s="863" t="s">
        <v>781</v>
      </c>
      <c r="C55" s="863" t="s">
        <v>339</v>
      </c>
      <c r="D55" s="868" t="s">
        <v>339</v>
      </c>
      <c r="E55" s="869">
        <v>50</v>
      </c>
      <c r="F55" s="870" t="s">
        <v>304</v>
      </c>
      <c r="G55" s="871">
        <v>0</v>
      </c>
      <c r="H55" s="864" t="s">
        <v>795</v>
      </c>
      <c r="I55" s="865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67" t="s">
        <v>629</v>
      </c>
      <c r="B56" s="863" t="s">
        <v>744</v>
      </c>
      <c r="C56" s="863" t="s">
        <v>339</v>
      </c>
      <c r="D56" s="868" t="s">
        <v>339</v>
      </c>
      <c r="E56" s="869">
        <v>50</v>
      </c>
      <c r="F56" s="870" t="s">
        <v>304</v>
      </c>
      <c r="G56" s="871">
        <v>-3850</v>
      </c>
      <c r="H56" s="864" t="s">
        <v>753</v>
      </c>
      <c r="I56" s="865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67" t="s">
        <v>639</v>
      </c>
      <c r="B57" s="863" t="s">
        <v>786</v>
      </c>
      <c r="C57" s="863" t="s">
        <v>339</v>
      </c>
      <c r="D57" s="868" t="s">
        <v>339</v>
      </c>
      <c r="E57" s="869">
        <v>-100</v>
      </c>
      <c r="F57" s="870" t="s">
        <v>304</v>
      </c>
      <c r="G57" s="871">
        <v>0</v>
      </c>
      <c r="H57" s="864" t="s">
        <v>814</v>
      </c>
      <c r="I57" s="865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67" t="s">
        <v>629</v>
      </c>
      <c r="B58" s="863" t="s">
        <v>786</v>
      </c>
      <c r="C58" s="863" t="s">
        <v>339</v>
      </c>
      <c r="D58" s="868" t="s">
        <v>339</v>
      </c>
      <c r="E58" s="869">
        <v>-50</v>
      </c>
      <c r="F58" s="870" t="s">
        <v>304</v>
      </c>
      <c r="G58" s="871">
        <v>0</v>
      </c>
      <c r="H58" s="864" t="s">
        <v>815</v>
      </c>
      <c r="I58" s="865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67" t="s">
        <v>629</v>
      </c>
      <c r="B59" s="863" t="s">
        <v>786</v>
      </c>
      <c r="C59" s="863" t="s">
        <v>339</v>
      </c>
      <c r="D59" s="868" t="s">
        <v>339</v>
      </c>
      <c r="E59" s="869">
        <v>-50</v>
      </c>
      <c r="F59" s="870" t="s">
        <v>304</v>
      </c>
      <c r="G59" s="871">
        <v>0</v>
      </c>
      <c r="H59" s="864" t="s">
        <v>816</v>
      </c>
      <c r="I59" s="865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67" t="s">
        <v>629</v>
      </c>
      <c r="B60" s="863" t="s">
        <v>737</v>
      </c>
      <c r="C60" s="863" t="s">
        <v>339</v>
      </c>
      <c r="D60" s="868" t="s">
        <v>339</v>
      </c>
      <c r="E60" s="869">
        <v>50</v>
      </c>
      <c r="F60" s="870" t="s">
        <v>304</v>
      </c>
      <c r="G60" s="871">
        <v>-3850</v>
      </c>
      <c r="H60" s="864" t="s">
        <v>743</v>
      </c>
      <c r="I60" s="865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67" t="s">
        <v>639</v>
      </c>
      <c r="B61" s="863" t="s">
        <v>797</v>
      </c>
      <c r="C61" s="863" t="s">
        <v>339</v>
      </c>
      <c r="D61" s="868" t="s">
        <v>339</v>
      </c>
      <c r="E61" s="869">
        <v>100</v>
      </c>
      <c r="F61" s="870" t="s">
        <v>304</v>
      </c>
      <c r="G61" s="871">
        <v>0</v>
      </c>
      <c r="H61" s="864" t="s">
        <v>839</v>
      </c>
      <c r="I61" s="865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67" t="s">
        <v>639</v>
      </c>
      <c r="B62" s="863" t="s">
        <v>835</v>
      </c>
      <c r="C62" s="863" t="s">
        <v>339</v>
      </c>
      <c r="D62" s="868" t="s">
        <v>339</v>
      </c>
      <c r="E62" s="869">
        <v>100</v>
      </c>
      <c r="F62" s="870" t="s">
        <v>304</v>
      </c>
      <c r="G62" s="871">
        <v>0</v>
      </c>
      <c r="H62" s="864" t="s">
        <v>840</v>
      </c>
      <c r="I62" s="865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67" t="s">
        <v>639</v>
      </c>
      <c r="B63" s="863" t="s">
        <v>835</v>
      </c>
      <c r="C63" s="863" t="s">
        <v>339</v>
      </c>
      <c r="D63" s="868" t="s">
        <v>339</v>
      </c>
      <c r="E63" s="869">
        <v>-50</v>
      </c>
      <c r="F63" s="870" t="s">
        <v>304</v>
      </c>
      <c r="G63" s="871">
        <v>0</v>
      </c>
      <c r="H63" s="864" t="s">
        <v>841</v>
      </c>
      <c r="I63" s="865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67" t="s">
        <v>639</v>
      </c>
      <c r="B64" s="863" t="s">
        <v>827</v>
      </c>
      <c r="C64" s="863" t="s">
        <v>339</v>
      </c>
      <c r="D64" s="868" t="s">
        <v>339</v>
      </c>
      <c r="E64" s="869">
        <v>-50</v>
      </c>
      <c r="F64" s="870" t="s">
        <v>304</v>
      </c>
      <c r="G64" s="871">
        <v>0</v>
      </c>
      <c r="H64" s="864" t="s">
        <v>842</v>
      </c>
      <c r="I64" s="865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67" t="s">
        <v>629</v>
      </c>
      <c r="B65" s="863" t="s">
        <v>822</v>
      </c>
      <c r="C65" s="863" t="s">
        <v>339</v>
      </c>
      <c r="D65" s="868" t="s">
        <v>339</v>
      </c>
      <c r="E65" s="869">
        <v>-50</v>
      </c>
      <c r="F65" s="870" t="s">
        <v>304</v>
      </c>
      <c r="G65" s="871">
        <v>0</v>
      </c>
      <c r="H65" s="864" t="s">
        <v>843</v>
      </c>
      <c r="I65" s="865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67" t="s">
        <v>629</v>
      </c>
      <c r="B66" s="863" t="s">
        <v>822</v>
      </c>
      <c r="C66" s="863" t="s">
        <v>339</v>
      </c>
      <c r="D66" s="868" t="s">
        <v>339</v>
      </c>
      <c r="E66" s="869">
        <v>-50</v>
      </c>
      <c r="F66" s="870" t="s">
        <v>304</v>
      </c>
      <c r="G66" s="871">
        <v>0</v>
      </c>
      <c r="H66" s="864" t="s">
        <v>844</v>
      </c>
      <c r="I66" s="865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67" t="s">
        <v>629</v>
      </c>
      <c r="B67" s="863" t="s">
        <v>822</v>
      </c>
      <c r="C67" s="863" t="s">
        <v>339</v>
      </c>
      <c r="D67" s="868" t="s">
        <v>339</v>
      </c>
      <c r="E67" s="869">
        <v>-50</v>
      </c>
      <c r="F67" s="870" t="s">
        <v>304</v>
      </c>
      <c r="G67" s="871">
        <v>0</v>
      </c>
      <c r="H67" s="864" t="s">
        <v>845</v>
      </c>
      <c r="I67" s="865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67" t="s">
        <v>629</v>
      </c>
      <c r="B68" s="863" t="s">
        <v>822</v>
      </c>
      <c r="C68" s="863" t="s">
        <v>339</v>
      </c>
      <c r="D68" s="868" t="s">
        <v>339</v>
      </c>
      <c r="E68" s="869">
        <v>-50</v>
      </c>
      <c r="F68" s="870" t="s">
        <v>304</v>
      </c>
      <c r="G68" s="871">
        <v>0</v>
      </c>
      <c r="H68" s="864" t="s">
        <v>846</v>
      </c>
      <c r="I68" s="865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67" t="s">
        <v>629</v>
      </c>
      <c r="B69" s="863" t="s">
        <v>817</v>
      </c>
      <c r="C69" s="863" t="s">
        <v>339</v>
      </c>
      <c r="D69" s="868" t="s">
        <v>339</v>
      </c>
      <c r="E69" s="869">
        <v>10</v>
      </c>
      <c r="F69" s="870" t="s">
        <v>304</v>
      </c>
      <c r="G69" s="871">
        <v>0</v>
      </c>
      <c r="H69" s="864" t="s">
        <v>847</v>
      </c>
      <c r="I69" s="865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67" t="s">
        <v>629</v>
      </c>
      <c r="B70" s="863" t="s">
        <v>817</v>
      </c>
      <c r="C70" s="863" t="s">
        <v>339</v>
      </c>
      <c r="D70" s="868" t="s">
        <v>339</v>
      </c>
      <c r="E70" s="869">
        <v>10</v>
      </c>
      <c r="F70" s="870" t="s">
        <v>304</v>
      </c>
      <c r="G70" s="871">
        <v>0</v>
      </c>
      <c r="H70" s="864" t="s">
        <v>848</v>
      </c>
      <c r="I70" s="865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67" t="s">
        <v>629</v>
      </c>
      <c r="B71" s="863" t="s">
        <v>817</v>
      </c>
      <c r="C71" s="863" t="s">
        <v>339</v>
      </c>
      <c r="D71" s="868" t="s">
        <v>339</v>
      </c>
      <c r="E71" s="869">
        <v>10</v>
      </c>
      <c r="F71" s="870" t="s">
        <v>304</v>
      </c>
      <c r="G71" s="871">
        <v>0</v>
      </c>
      <c r="H71" s="864" t="s">
        <v>849</v>
      </c>
      <c r="I71" s="865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67" t="s">
        <v>629</v>
      </c>
      <c r="B72" s="863" t="s">
        <v>817</v>
      </c>
      <c r="C72" s="863" t="s">
        <v>339</v>
      </c>
      <c r="D72" s="868" t="s">
        <v>339</v>
      </c>
      <c r="E72" s="869">
        <v>10</v>
      </c>
      <c r="F72" s="870" t="s">
        <v>304</v>
      </c>
      <c r="G72" s="871">
        <v>0</v>
      </c>
      <c r="H72" s="864" t="s">
        <v>850</v>
      </c>
      <c r="I72" s="865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67" t="s">
        <v>629</v>
      </c>
      <c r="B73" s="863" t="s">
        <v>817</v>
      </c>
      <c r="C73" s="863" t="s">
        <v>339</v>
      </c>
      <c r="D73" s="868" t="s">
        <v>339</v>
      </c>
      <c r="E73" s="869">
        <v>10</v>
      </c>
      <c r="F73" s="870" t="s">
        <v>304</v>
      </c>
      <c r="G73" s="871">
        <v>0</v>
      </c>
      <c r="H73" s="864" t="s">
        <v>851</v>
      </c>
      <c r="I73" s="865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67" t="s">
        <v>629</v>
      </c>
      <c r="B74" s="863" t="s">
        <v>858</v>
      </c>
      <c r="C74" s="863" t="s">
        <v>339</v>
      </c>
      <c r="D74" s="868" t="s">
        <v>339</v>
      </c>
      <c r="E74" s="869">
        <v>50</v>
      </c>
      <c r="F74" s="870" t="s">
        <v>304</v>
      </c>
      <c r="G74" s="871">
        <v>0</v>
      </c>
      <c r="H74" s="864" t="s">
        <v>859</v>
      </c>
      <c r="I74" s="865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67" t="s">
        <v>629</v>
      </c>
      <c r="B75" s="863" t="s">
        <v>858</v>
      </c>
      <c r="C75" s="863" t="s">
        <v>339</v>
      </c>
      <c r="D75" s="868" t="s">
        <v>339</v>
      </c>
      <c r="E75" s="869">
        <v>10</v>
      </c>
      <c r="F75" s="870" t="s">
        <v>304</v>
      </c>
      <c r="G75" s="871">
        <v>0</v>
      </c>
      <c r="H75" s="864" t="s">
        <v>867</v>
      </c>
      <c r="I75" s="865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67" t="s">
        <v>629</v>
      </c>
      <c r="B76" s="863" t="s">
        <v>858</v>
      </c>
      <c r="C76" s="863" t="s">
        <v>339</v>
      </c>
      <c r="D76" s="868" t="s">
        <v>339</v>
      </c>
      <c r="E76" s="869">
        <v>10</v>
      </c>
      <c r="F76" s="870" t="s">
        <v>304</v>
      </c>
      <c r="G76" s="871">
        <v>0</v>
      </c>
      <c r="H76" s="864" t="s">
        <v>868</v>
      </c>
      <c r="I76" s="865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67" t="s">
        <v>629</v>
      </c>
      <c r="B77" s="863" t="s">
        <v>858</v>
      </c>
      <c r="C77" s="863" t="s">
        <v>339</v>
      </c>
      <c r="D77" s="868" t="s">
        <v>339</v>
      </c>
      <c r="E77" s="869">
        <v>10</v>
      </c>
      <c r="F77" s="870" t="s">
        <v>304</v>
      </c>
      <c r="G77" s="871">
        <v>0</v>
      </c>
      <c r="H77" s="864" t="s">
        <v>869</v>
      </c>
      <c r="I77" s="865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67" t="s">
        <v>629</v>
      </c>
      <c r="B78" s="863" t="s">
        <v>858</v>
      </c>
      <c r="C78" s="863" t="s">
        <v>339</v>
      </c>
      <c r="D78" s="868" t="s">
        <v>339</v>
      </c>
      <c r="E78" s="869">
        <v>10</v>
      </c>
      <c r="F78" s="870" t="s">
        <v>304</v>
      </c>
      <c r="G78" s="871">
        <v>0</v>
      </c>
      <c r="H78" s="864" t="s">
        <v>870</v>
      </c>
      <c r="I78" s="865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67" t="s">
        <v>639</v>
      </c>
      <c r="B79" s="863" t="s">
        <v>876</v>
      </c>
      <c r="C79" s="863" t="s">
        <v>339</v>
      </c>
      <c r="D79" s="868" t="s">
        <v>339</v>
      </c>
      <c r="E79" s="869">
        <v>-50</v>
      </c>
      <c r="F79" s="870" t="s">
        <v>304</v>
      </c>
      <c r="G79" s="871">
        <v>0</v>
      </c>
      <c r="H79" s="864" t="s">
        <v>877</v>
      </c>
      <c r="I79" s="865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67" t="s">
        <v>639</v>
      </c>
      <c r="B80" s="863" t="s">
        <v>757</v>
      </c>
      <c r="C80" s="863" t="s">
        <v>339</v>
      </c>
      <c r="D80" s="868" t="s">
        <v>339</v>
      </c>
      <c r="E80" s="869">
        <v>-50</v>
      </c>
      <c r="F80" s="870" t="s">
        <v>304</v>
      </c>
      <c r="G80" s="871">
        <v>1860.0000000000002</v>
      </c>
      <c r="H80" s="864" t="s">
        <v>773</v>
      </c>
      <c r="I80" s="865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67" t="s">
        <v>639</v>
      </c>
      <c r="B81" s="863" t="s">
        <v>757</v>
      </c>
      <c r="C81" s="863" t="s">
        <v>339</v>
      </c>
      <c r="D81" s="868" t="s">
        <v>339</v>
      </c>
      <c r="E81" s="869">
        <v>-50</v>
      </c>
      <c r="F81" s="870" t="s">
        <v>304</v>
      </c>
      <c r="G81" s="871">
        <v>1860.0000000000002</v>
      </c>
      <c r="H81" s="864" t="s">
        <v>774</v>
      </c>
      <c r="I81" s="865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67" t="s">
        <v>639</v>
      </c>
      <c r="B82" s="863" t="s">
        <v>781</v>
      </c>
      <c r="C82" s="863" t="s">
        <v>339</v>
      </c>
      <c r="D82" s="868" t="s">
        <v>339</v>
      </c>
      <c r="E82" s="869">
        <v>-100</v>
      </c>
      <c r="F82" s="870" t="s">
        <v>304</v>
      </c>
      <c r="G82" s="871">
        <v>3720.0000000000005</v>
      </c>
      <c r="H82" s="864" t="s">
        <v>794</v>
      </c>
      <c r="I82" s="865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67" t="s">
        <v>629</v>
      </c>
      <c r="B83" s="863" t="s">
        <v>797</v>
      </c>
      <c r="C83" s="863" t="s">
        <v>339</v>
      </c>
      <c r="D83" s="868" t="s">
        <v>339</v>
      </c>
      <c r="E83" s="869">
        <v>50</v>
      </c>
      <c r="F83" s="870" t="s">
        <v>304</v>
      </c>
      <c r="G83" s="871">
        <v>-3850</v>
      </c>
      <c r="H83" s="864" t="s">
        <v>852</v>
      </c>
      <c r="I83" s="865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67" t="s">
        <v>629</v>
      </c>
      <c r="B84" s="863" t="s">
        <v>822</v>
      </c>
      <c r="C84" s="863" t="s">
        <v>339</v>
      </c>
      <c r="D84" s="868" t="s">
        <v>339</v>
      </c>
      <c r="E84" s="869">
        <v>50</v>
      </c>
      <c r="F84" s="870" t="s">
        <v>304</v>
      </c>
      <c r="G84" s="871">
        <v>-3850</v>
      </c>
      <c r="H84" s="864" t="s">
        <v>853</v>
      </c>
      <c r="I84" s="865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67" t="s">
        <v>629</v>
      </c>
      <c r="B85" s="863" t="s">
        <v>952</v>
      </c>
      <c r="C85" s="863" t="s">
        <v>339</v>
      </c>
      <c r="D85" s="868" t="s">
        <v>339</v>
      </c>
      <c r="E85" s="869">
        <v>-6</v>
      </c>
      <c r="F85" s="870" t="s">
        <v>304</v>
      </c>
      <c r="G85" s="871">
        <v>0</v>
      </c>
      <c r="H85" s="864" t="s">
        <v>968</v>
      </c>
      <c r="I85" s="865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67" t="s">
        <v>629</v>
      </c>
      <c r="B86" s="863" t="s">
        <v>961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969</v>
      </c>
      <c r="I86" s="865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67" t="s">
        <v>629</v>
      </c>
      <c r="B87" s="863" t="s">
        <v>961</v>
      </c>
      <c r="C87" s="863" t="s">
        <v>339</v>
      </c>
      <c r="D87" s="868" t="s">
        <v>339</v>
      </c>
      <c r="E87" s="869">
        <v>30</v>
      </c>
      <c r="F87" s="870" t="s">
        <v>304</v>
      </c>
      <c r="G87" s="871">
        <v>0</v>
      </c>
      <c r="H87" s="864" t="s">
        <v>970</v>
      </c>
      <c r="I87" s="865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67" t="s">
        <v>639</v>
      </c>
      <c r="B88" s="863" t="s">
        <v>961</v>
      </c>
      <c r="C88" s="863" t="s">
        <v>339</v>
      </c>
      <c r="D88" s="868" t="s">
        <v>339</v>
      </c>
      <c r="E88" s="869">
        <v>-100</v>
      </c>
      <c r="F88" s="870" t="s">
        <v>304</v>
      </c>
      <c r="G88" s="871">
        <v>0</v>
      </c>
      <c r="H88" s="864" t="s">
        <v>989</v>
      </c>
      <c r="I88" s="865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67" t="s">
        <v>639</v>
      </c>
      <c r="B89" s="863" t="s">
        <v>961</v>
      </c>
      <c r="C89" s="863" t="s">
        <v>339</v>
      </c>
      <c r="D89" s="868" t="s">
        <v>339</v>
      </c>
      <c r="E89" s="869">
        <v>-100</v>
      </c>
      <c r="F89" s="870" t="s">
        <v>304</v>
      </c>
      <c r="G89" s="871">
        <v>0</v>
      </c>
      <c r="H89" s="864" t="s">
        <v>990</v>
      </c>
      <c r="I89" s="865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67" t="s">
        <v>629</v>
      </c>
      <c r="B90" s="863" t="s">
        <v>975</v>
      </c>
      <c r="C90" s="863" t="s">
        <v>339</v>
      </c>
      <c r="D90" s="868" t="s">
        <v>339</v>
      </c>
      <c r="E90" s="869">
        <v>50</v>
      </c>
      <c r="F90" s="870" t="s">
        <v>304</v>
      </c>
      <c r="G90" s="871">
        <v>0</v>
      </c>
      <c r="H90" s="864" t="s">
        <v>991</v>
      </c>
      <c r="I90" s="865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67" t="s">
        <v>629</v>
      </c>
      <c r="B91" s="863" t="s">
        <v>939</v>
      </c>
      <c r="C91" s="863" t="s">
        <v>339</v>
      </c>
      <c r="D91" s="868" t="s">
        <v>339</v>
      </c>
      <c r="E91" s="869">
        <v>-10</v>
      </c>
      <c r="F91" s="870" t="s">
        <v>304</v>
      </c>
      <c r="G91" s="871">
        <v>770</v>
      </c>
      <c r="H91" s="864" t="s">
        <v>947</v>
      </c>
      <c r="I91" s="865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67" t="s">
        <v>629</v>
      </c>
      <c r="B92" s="863" t="s">
        <v>939</v>
      </c>
      <c r="C92" s="863" t="s">
        <v>339</v>
      </c>
      <c r="D92" s="868" t="s">
        <v>339</v>
      </c>
      <c r="E92" s="869">
        <v>-10</v>
      </c>
      <c r="F92" s="870" t="s">
        <v>304</v>
      </c>
      <c r="G92" s="871">
        <v>770</v>
      </c>
      <c r="H92" s="864" t="s">
        <v>948</v>
      </c>
      <c r="I92" s="865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67" t="s">
        <v>629</v>
      </c>
      <c r="B93" s="863" t="s">
        <v>952</v>
      </c>
      <c r="C93" s="863" t="s">
        <v>339</v>
      </c>
      <c r="D93" s="868" t="s">
        <v>339</v>
      </c>
      <c r="E93" s="869">
        <v>-10</v>
      </c>
      <c r="F93" s="870" t="s">
        <v>304</v>
      </c>
      <c r="G93" s="871">
        <v>1540</v>
      </c>
      <c r="H93" s="864" t="s">
        <v>971</v>
      </c>
      <c r="I93" s="865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67" t="s">
        <v>629</v>
      </c>
      <c r="B94" s="863" t="s">
        <v>952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1540</v>
      </c>
      <c r="H94" s="864" t="s">
        <v>971</v>
      </c>
      <c r="I94" s="865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67" t="s">
        <v>629</v>
      </c>
      <c r="B95" s="863" t="s">
        <v>996</v>
      </c>
      <c r="C95" s="863" t="s">
        <v>339</v>
      </c>
      <c r="D95" s="868" t="s">
        <v>339</v>
      </c>
      <c r="E95" s="869">
        <v>10</v>
      </c>
      <c r="F95" s="870" t="s">
        <v>304</v>
      </c>
      <c r="G95" s="871">
        <v>0</v>
      </c>
      <c r="H95" s="864" t="s">
        <v>997</v>
      </c>
      <c r="I95" s="865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67" t="s">
        <v>629</v>
      </c>
      <c r="B96" s="863" t="s">
        <v>994</v>
      </c>
      <c r="C96" s="863" t="s">
        <v>339</v>
      </c>
      <c r="D96" s="868" t="s">
        <v>339</v>
      </c>
      <c r="E96" s="869">
        <v>10</v>
      </c>
      <c r="F96" s="870" t="s">
        <v>304</v>
      </c>
      <c r="G96" s="871">
        <v>0</v>
      </c>
      <c r="H96" s="864" t="s">
        <v>1014</v>
      </c>
      <c r="I96" s="865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67" t="s">
        <v>629</v>
      </c>
      <c r="B97" s="863" t="s">
        <v>916</v>
      </c>
      <c r="C97" s="863" t="s">
        <v>339</v>
      </c>
      <c r="D97" s="868" t="s">
        <v>339</v>
      </c>
      <c r="E97" s="869">
        <v>-10</v>
      </c>
      <c r="F97" s="870" t="s">
        <v>304</v>
      </c>
      <c r="G97" s="871">
        <v>770</v>
      </c>
      <c r="H97" s="864" t="s">
        <v>934</v>
      </c>
      <c r="I97" s="865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67" t="s">
        <v>639</v>
      </c>
      <c r="B98" s="863" t="s">
        <v>876</v>
      </c>
      <c r="C98" s="863" t="s">
        <v>339</v>
      </c>
      <c r="D98" s="868" t="s">
        <v>339</v>
      </c>
      <c r="E98" s="869">
        <v>4</v>
      </c>
      <c r="F98" s="870" t="s">
        <v>304</v>
      </c>
      <c r="G98" s="871">
        <v>-148.80000000000001</v>
      </c>
      <c r="H98" s="864" t="s">
        <v>889</v>
      </c>
      <c r="I98" s="865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67" t="s">
        <v>639</v>
      </c>
      <c r="B99" s="863" t="s">
        <v>876</v>
      </c>
      <c r="C99" s="863" t="s">
        <v>339</v>
      </c>
      <c r="D99" s="868" t="s">
        <v>339</v>
      </c>
      <c r="E99" s="869">
        <v>1</v>
      </c>
      <c r="F99" s="870" t="s">
        <v>304</v>
      </c>
      <c r="G99" s="871">
        <v>-37.200000000000003</v>
      </c>
      <c r="H99" s="864" t="s">
        <v>890</v>
      </c>
      <c r="I99" s="865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67" t="s">
        <v>639</v>
      </c>
      <c r="B100" s="863" t="s">
        <v>876</v>
      </c>
      <c r="C100" s="863" t="s">
        <v>339</v>
      </c>
      <c r="D100" s="868" t="s">
        <v>339</v>
      </c>
      <c r="E100" s="869">
        <v>1</v>
      </c>
      <c r="F100" s="870" t="s">
        <v>304</v>
      </c>
      <c r="G100" s="871">
        <v>-37.200000000000003</v>
      </c>
      <c r="H100" s="864" t="s">
        <v>891</v>
      </c>
      <c r="I100" s="865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67" t="s">
        <v>639</v>
      </c>
      <c r="B101" s="863" t="s">
        <v>876</v>
      </c>
      <c r="C101" s="863" t="s">
        <v>339</v>
      </c>
      <c r="D101" s="868" t="s">
        <v>339</v>
      </c>
      <c r="E101" s="869">
        <v>1</v>
      </c>
      <c r="F101" s="870" t="s">
        <v>304</v>
      </c>
      <c r="G101" s="871">
        <v>-37.200000000000003</v>
      </c>
      <c r="H101" s="864" t="s">
        <v>892</v>
      </c>
      <c r="I101" s="865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67" t="s">
        <v>639</v>
      </c>
      <c r="B102" s="863" t="s">
        <v>876</v>
      </c>
      <c r="C102" s="863" t="s">
        <v>339</v>
      </c>
      <c r="D102" s="868" t="s">
        <v>339</v>
      </c>
      <c r="E102" s="869">
        <v>1</v>
      </c>
      <c r="F102" s="870" t="s">
        <v>304</v>
      </c>
      <c r="G102" s="871">
        <v>-37.200000000000003</v>
      </c>
      <c r="H102" s="864" t="s">
        <v>893</v>
      </c>
      <c r="I102" s="865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67" t="s">
        <v>639</v>
      </c>
      <c r="B103" s="863" t="s">
        <v>876</v>
      </c>
      <c r="C103" s="863" t="s">
        <v>339</v>
      </c>
      <c r="D103" s="868" t="s">
        <v>339</v>
      </c>
      <c r="E103" s="869">
        <v>1</v>
      </c>
      <c r="F103" s="870" t="s">
        <v>304</v>
      </c>
      <c r="G103" s="871">
        <v>-37.200000000000003</v>
      </c>
      <c r="H103" s="864" t="s">
        <v>894</v>
      </c>
      <c r="I103" s="865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67" t="s">
        <v>639</v>
      </c>
      <c r="B104" s="863" t="s">
        <v>876</v>
      </c>
      <c r="C104" s="863" t="s">
        <v>339</v>
      </c>
      <c r="D104" s="868" t="s">
        <v>339</v>
      </c>
      <c r="E104" s="869">
        <v>1</v>
      </c>
      <c r="F104" s="870" t="s">
        <v>304</v>
      </c>
      <c r="G104" s="871">
        <v>-37.200000000000003</v>
      </c>
      <c r="H104" s="864" t="s">
        <v>895</v>
      </c>
      <c r="I104" s="865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67" t="s">
        <v>639</v>
      </c>
      <c r="B105" s="863" t="s">
        <v>876</v>
      </c>
      <c r="C105" s="863" t="s">
        <v>339</v>
      </c>
      <c r="D105" s="868" t="s">
        <v>339</v>
      </c>
      <c r="E105" s="869">
        <v>1</v>
      </c>
      <c r="F105" s="870" t="s">
        <v>304</v>
      </c>
      <c r="G105" s="871">
        <v>-37.200000000000003</v>
      </c>
      <c r="H105" s="864" t="s">
        <v>896</v>
      </c>
      <c r="I105" s="865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67" t="s">
        <v>639</v>
      </c>
      <c r="B106" s="863" t="s">
        <v>876</v>
      </c>
      <c r="C106" s="863" t="s">
        <v>339</v>
      </c>
      <c r="D106" s="868" t="s">
        <v>339</v>
      </c>
      <c r="E106" s="869">
        <v>1</v>
      </c>
      <c r="F106" s="870" t="s">
        <v>304</v>
      </c>
      <c r="G106" s="871">
        <v>-37.200000000000003</v>
      </c>
      <c r="H106" s="864" t="s">
        <v>897</v>
      </c>
      <c r="I106" s="865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67" t="s">
        <v>639</v>
      </c>
      <c r="B107" s="863" t="s">
        <v>876</v>
      </c>
      <c r="C107" s="863" t="s">
        <v>339</v>
      </c>
      <c r="D107" s="868" t="s">
        <v>339</v>
      </c>
      <c r="E107" s="869">
        <v>1</v>
      </c>
      <c r="F107" s="870" t="s">
        <v>304</v>
      </c>
      <c r="G107" s="871">
        <v>-37.200000000000003</v>
      </c>
      <c r="H107" s="864" t="s">
        <v>898</v>
      </c>
      <c r="I107" s="865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67" t="s">
        <v>639</v>
      </c>
      <c r="B108" s="863" t="s">
        <v>876</v>
      </c>
      <c r="C108" s="863" t="s">
        <v>339</v>
      </c>
      <c r="D108" s="868" t="s">
        <v>339</v>
      </c>
      <c r="E108" s="869">
        <v>1</v>
      </c>
      <c r="F108" s="870" t="s">
        <v>304</v>
      </c>
      <c r="G108" s="871">
        <v>-37.200000000000003</v>
      </c>
      <c r="H108" s="864" t="s">
        <v>899</v>
      </c>
      <c r="I108" s="865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67" t="s">
        <v>639</v>
      </c>
      <c r="B109" s="863" t="s">
        <v>876</v>
      </c>
      <c r="C109" s="863" t="s">
        <v>339</v>
      </c>
      <c r="D109" s="868" t="s">
        <v>339</v>
      </c>
      <c r="E109" s="869">
        <v>1</v>
      </c>
      <c r="F109" s="870" t="s">
        <v>304</v>
      </c>
      <c r="G109" s="871">
        <v>-37.200000000000003</v>
      </c>
      <c r="H109" s="864" t="s">
        <v>900</v>
      </c>
      <c r="I109" s="865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67" t="s">
        <v>639</v>
      </c>
      <c r="B110" s="863" t="s">
        <v>876</v>
      </c>
      <c r="C110" s="863" t="s">
        <v>339</v>
      </c>
      <c r="D110" s="868" t="s">
        <v>339</v>
      </c>
      <c r="E110" s="869">
        <v>1</v>
      </c>
      <c r="F110" s="870" t="s">
        <v>304</v>
      </c>
      <c r="G110" s="871">
        <v>-37.200000000000003</v>
      </c>
      <c r="H110" s="864" t="s">
        <v>901</v>
      </c>
      <c r="I110" s="865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67" t="s">
        <v>639</v>
      </c>
      <c r="B111" s="863" t="s">
        <v>876</v>
      </c>
      <c r="C111" s="863" t="s">
        <v>339</v>
      </c>
      <c r="D111" s="868" t="s">
        <v>339</v>
      </c>
      <c r="E111" s="869">
        <v>1</v>
      </c>
      <c r="F111" s="870" t="s">
        <v>304</v>
      </c>
      <c r="G111" s="871">
        <v>-37.200000000000003</v>
      </c>
      <c r="H111" s="864" t="s">
        <v>902</v>
      </c>
      <c r="I111" s="865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67" t="s">
        <v>639</v>
      </c>
      <c r="B112" s="863" t="s">
        <v>876</v>
      </c>
      <c r="C112" s="863" t="s">
        <v>339</v>
      </c>
      <c r="D112" s="868" t="s">
        <v>339</v>
      </c>
      <c r="E112" s="869">
        <v>1</v>
      </c>
      <c r="F112" s="870" t="s">
        <v>304</v>
      </c>
      <c r="G112" s="871">
        <v>-37.200000000000003</v>
      </c>
      <c r="H112" s="864" t="s">
        <v>903</v>
      </c>
      <c r="I112" s="865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67" t="s">
        <v>639</v>
      </c>
      <c r="B113" s="863" t="s">
        <v>876</v>
      </c>
      <c r="C113" s="863" t="s">
        <v>339</v>
      </c>
      <c r="D113" s="868" t="s">
        <v>339</v>
      </c>
      <c r="E113" s="869">
        <v>1</v>
      </c>
      <c r="F113" s="870" t="s">
        <v>304</v>
      </c>
      <c r="G113" s="871">
        <v>-37.200000000000003</v>
      </c>
      <c r="H113" s="864" t="s">
        <v>904</v>
      </c>
      <c r="I113" s="865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67" t="s">
        <v>639</v>
      </c>
      <c r="B114" s="863" t="s">
        <v>876</v>
      </c>
      <c r="C114" s="863" t="s">
        <v>339</v>
      </c>
      <c r="D114" s="868" t="s">
        <v>339</v>
      </c>
      <c r="E114" s="869">
        <v>1</v>
      </c>
      <c r="F114" s="870" t="s">
        <v>304</v>
      </c>
      <c r="G114" s="871">
        <v>-37.200000000000003</v>
      </c>
      <c r="H114" s="864" t="s">
        <v>905</v>
      </c>
      <c r="I114" s="865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67" t="s">
        <v>639</v>
      </c>
      <c r="B115" s="863" t="s">
        <v>876</v>
      </c>
      <c r="C115" s="863" t="s">
        <v>339</v>
      </c>
      <c r="D115" s="868" t="s">
        <v>339</v>
      </c>
      <c r="E115" s="869">
        <v>1</v>
      </c>
      <c r="F115" s="870" t="s">
        <v>304</v>
      </c>
      <c r="G115" s="871">
        <v>-37.200000000000003</v>
      </c>
      <c r="H115" s="864" t="s">
        <v>906</v>
      </c>
      <c r="I115" s="865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67" t="s">
        <v>639</v>
      </c>
      <c r="B116" s="863" t="s">
        <v>876</v>
      </c>
      <c r="C116" s="863" t="s">
        <v>339</v>
      </c>
      <c r="D116" s="868" t="s">
        <v>339</v>
      </c>
      <c r="E116" s="869">
        <v>1</v>
      </c>
      <c r="F116" s="870" t="s">
        <v>304</v>
      </c>
      <c r="G116" s="871">
        <v>-37.200000000000003</v>
      </c>
      <c r="H116" s="864" t="s">
        <v>907</v>
      </c>
      <c r="I116" s="865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67" t="s">
        <v>639</v>
      </c>
      <c r="B117" s="863" t="s">
        <v>876</v>
      </c>
      <c r="C117" s="863" t="s">
        <v>339</v>
      </c>
      <c r="D117" s="868" t="s">
        <v>339</v>
      </c>
      <c r="E117" s="869">
        <v>1</v>
      </c>
      <c r="F117" s="870" t="s">
        <v>304</v>
      </c>
      <c r="G117" s="871">
        <v>-37.200000000000003</v>
      </c>
      <c r="H117" s="864" t="s">
        <v>908</v>
      </c>
      <c r="I117" s="865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67" t="s">
        <v>639</v>
      </c>
      <c r="B118" s="863" t="s">
        <v>876</v>
      </c>
      <c r="C118" s="863" t="s">
        <v>339</v>
      </c>
      <c r="D118" s="868" t="s">
        <v>339</v>
      </c>
      <c r="E118" s="869">
        <v>1</v>
      </c>
      <c r="F118" s="870" t="s">
        <v>304</v>
      </c>
      <c r="G118" s="871">
        <v>-37.200000000000003</v>
      </c>
      <c r="H118" s="864" t="s">
        <v>909</v>
      </c>
      <c r="I118" s="865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67" t="s">
        <v>639</v>
      </c>
      <c r="B119" s="863" t="s">
        <v>876</v>
      </c>
      <c r="C119" s="863" t="s">
        <v>339</v>
      </c>
      <c r="D119" s="868" t="s">
        <v>339</v>
      </c>
      <c r="E119" s="869">
        <v>1</v>
      </c>
      <c r="F119" s="870" t="s">
        <v>304</v>
      </c>
      <c r="G119" s="871">
        <v>-37.200000000000003</v>
      </c>
      <c r="H119" s="864" t="s">
        <v>910</v>
      </c>
      <c r="I119" s="865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67" t="s">
        <v>639</v>
      </c>
      <c r="B120" s="863" t="s">
        <v>876</v>
      </c>
      <c r="C120" s="863" t="s">
        <v>339</v>
      </c>
      <c r="D120" s="868" t="s">
        <v>339</v>
      </c>
      <c r="E120" s="869">
        <v>1</v>
      </c>
      <c r="F120" s="870" t="s">
        <v>304</v>
      </c>
      <c r="G120" s="871">
        <v>-37.200000000000003</v>
      </c>
      <c r="H120" s="864" t="s">
        <v>911</v>
      </c>
      <c r="I120" s="865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67" t="s">
        <v>639</v>
      </c>
      <c r="B121" s="863" t="s">
        <v>876</v>
      </c>
      <c r="C121" s="863" t="s">
        <v>339</v>
      </c>
      <c r="D121" s="868" t="s">
        <v>339</v>
      </c>
      <c r="E121" s="869">
        <v>1</v>
      </c>
      <c r="F121" s="870" t="s">
        <v>304</v>
      </c>
      <c r="G121" s="871">
        <v>-37.200000000000003</v>
      </c>
      <c r="H121" s="864" t="s">
        <v>912</v>
      </c>
      <c r="I121" s="865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67" t="s">
        <v>639</v>
      </c>
      <c r="B122" s="863" t="s">
        <v>876</v>
      </c>
      <c r="C122" s="863" t="s">
        <v>339</v>
      </c>
      <c r="D122" s="868" t="s">
        <v>339</v>
      </c>
      <c r="E122" s="869">
        <v>1</v>
      </c>
      <c r="F122" s="870" t="s">
        <v>304</v>
      </c>
      <c r="G122" s="871">
        <v>-37.200000000000003</v>
      </c>
      <c r="H122" s="864" t="s">
        <v>913</v>
      </c>
      <c r="I122" s="865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67" t="s">
        <v>639</v>
      </c>
      <c r="B123" s="863" t="s">
        <v>876</v>
      </c>
      <c r="C123" s="863" t="s">
        <v>339</v>
      </c>
      <c r="D123" s="868" t="s">
        <v>339</v>
      </c>
      <c r="E123" s="869">
        <v>1</v>
      </c>
      <c r="F123" s="870" t="s">
        <v>304</v>
      </c>
      <c r="G123" s="871">
        <v>-37.200000000000003</v>
      </c>
      <c r="H123" s="864" t="s">
        <v>914</v>
      </c>
      <c r="I123" s="865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67" t="s">
        <v>639</v>
      </c>
      <c r="B124" s="863" t="s">
        <v>876</v>
      </c>
      <c r="C124" s="863" t="s">
        <v>339</v>
      </c>
      <c r="D124" s="868" t="s">
        <v>339</v>
      </c>
      <c r="E124" s="869">
        <v>1</v>
      </c>
      <c r="F124" s="870" t="s">
        <v>304</v>
      </c>
      <c r="G124" s="871">
        <v>-37.200000000000003</v>
      </c>
      <c r="H124" s="864" t="s">
        <v>915</v>
      </c>
      <c r="I124" s="865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67" t="s">
        <v>639</v>
      </c>
      <c r="B125" s="863" t="s">
        <v>916</v>
      </c>
      <c r="C125" s="863" t="s">
        <v>339</v>
      </c>
      <c r="D125" s="868" t="s">
        <v>339</v>
      </c>
      <c r="E125" s="869">
        <v>10</v>
      </c>
      <c r="F125" s="870" t="s">
        <v>304</v>
      </c>
      <c r="G125" s="871">
        <v>-372</v>
      </c>
      <c r="H125" s="864" t="s">
        <v>917</v>
      </c>
      <c r="I125" s="865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67" t="s">
        <v>639</v>
      </c>
      <c r="B126" s="863" t="s">
        <v>916</v>
      </c>
      <c r="C126" s="863" t="s">
        <v>339</v>
      </c>
      <c r="D126" s="868" t="s">
        <v>339</v>
      </c>
      <c r="E126" s="869">
        <v>10</v>
      </c>
      <c r="F126" s="870" t="s">
        <v>304</v>
      </c>
      <c r="G126" s="871">
        <v>-372</v>
      </c>
      <c r="H126" s="864" t="s">
        <v>918</v>
      </c>
      <c r="I126" s="865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67" t="s">
        <v>639</v>
      </c>
      <c r="B127" s="863" t="s">
        <v>916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-372</v>
      </c>
      <c r="H127" s="864" t="s">
        <v>931</v>
      </c>
      <c r="I127" s="865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67" t="s">
        <v>639</v>
      </c>
      <c r="B128" s="863" t="s">
        <v>916</v>
      </c>
      <c r="C128" s="863" t="s">
        <v>339</v>
      </c>
      <c r="D128" s="868" t="s">
        <v>339</v>
      </c>
      <c r="E128" s="869">
        <v>50</v>
      </c>
      <c r="F128" s="870" t="s">
        <v>304</v>
      </c>
      <c r="G128" s="871">
        <v>-1860.0000000000002</v>
      </c>
      <c r="H128" s="864" t="s">
        <v>932</v>
      </c>
      <c r="I128" s="865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67" t="s">
        <v>639</v>
      </c>
      <c r="B129" s="863" t="s">
        <v>916</v>
      </c>
      <c r="C129" s="863" t="s">
        <v>339</v>
      </c>
      <c r="D129" s="868" t="s">
        <v>339</v>
      </c>
      <c r="E129" s="869">
        <v>50</v>
      </c>
      <c r="F129" s="870" t="s">
        <v>304</v>
      </c>
      <c r="G129" s="871">
        <v>-1860.0000000000002</v>
      </c>
      <c r="H129" s="864" t="s">
        <v>933</v>
      </c>
      <c r="I129" s="865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67" t="s">
        <v>639</v>
      </c>
      <c r="B130" s="863" t="s">
        <v>952</v>
      </c>
      <c r="C130" s="863" t="s">
        <v>339</v>
      </c>
      <c r="D130" s="868" t="s">
        <v>339</v>
      </c>
      <c r="E130" s="869">
        <v>40</v>
      </c>
      <c r="F130" s="870" t="s">
        <v>304</v>
      </c>
      <c r="G130" s="871">
        <v>-1488</v>
      </c>
      <c r="H130" s="864" t="s">
        <v>967</v>
      </c>
      <c r="I130" s="865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67" t="s">
        <v>629</v>
      </c>
      <c r="B131" s="863" t="s">
        <v>876</v>
      </c>
      <c r="C131" s="863" t="s">
        <v>339</v>
      </c>
      <c r="D131" s="868" t="s">
        <v>339</v>
      </c>
      <c r="E131" s="869">
        <v>-10</v>
      </c>
      <c r="F131" s="870" t="s">
        <v>304</v>
      </c>
      <c r="G131" s="871">
        <v>770</v>
      </c>
      <c r="H131" s="864" t="s">
        <v>919</v>
      </c>
      <c r="I131" s="865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67" t="s">
        <v>629</v>
      </c>
      <c r="B132" s="863" t="s">
        <v>876</v>
      </c>
      <c r="C132" s="863" t="s">
        <v>339</v>
      </c>
      <c r="D132" s="868" t="s">
        <v>339</v>
      </c>
      <c r="E132" s="869">
        <v>-10</v>
      </c>
      <c r="F132" s="870" t="s">
        <v>304</v>
      </c>
      <c r="G132" s="871">
        <v>770</v>
      </c>
      <c r="H132" s="864" t="s">
        <v>920</v>
      </c>
      <c r="I132" s="865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67" t="s">
        <v>629</v>
      </c>
      <c r="B133" s="863" t="s">
        <v>876</v>
      </c>
      <c r="C133" s="863" t="s">
        <v>339</v>
      </c>
      <c r="D133" s="868" t="s">
        <v>339</v>
      </c>
      <c r="E133" s="869">
        <v>-10</v>
      </c>
      <c r="F133" s="870" t="s">
        <v>304</v>
      </c>
      <c r="G133" s="871">
        <v>770</v>
      </c>
      <c r="H133" s="864" t="s">
        <v>921</v>
      </c>
      <c r="I133" s="865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67" t="s">
        <v>629</v>
      </c>
      <c r="B134" s="863" t="s">
        <v>939</v>
      </c>
      <c r="C134" s="863" t="s">
        <v>339</v>
      </c>
      <c r="D134" s="868" t="s">
        <v>339</v>
      </c>
      <c r="E134" s="869">
        <v>-20</v>
      </c>
      <c r="F134" s="870" t="s">
        <v>304</v>
      </c>
      <c r="G134" s="871">
        <v>1540</v>
      </c>
      <c r="H134" s="864" t="s">
        <v>949</v>
      </c>
      <c r="I134" s="865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67" t="s">
        <v>629</v>
      </c>
      <c r="B135" s="863" t="s">
        <v>996</v>
      </c>
      <c r="C135" s="863" t="s">
        <v>339</v>
      </c>
      <c r="D135" s="868" t="s">
        <v>339</v>
      </c>
      <c r="E135" s="869">
        <v>-30</v>
      </c>
      <c r="F135" s="870" t="s">
        <v>304</v>
      </c>
      <c r="G135" s="871">
        <v>2310</v>
      </c>
      <c r="H135" s="864" t="s">
        <v>998</v>
      </c>
      <c r="I135" s="865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67" t="s">
        <v>629</v>
      </c>
      <c r="B136" s="863" t="s">
        <v>1005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-770</v>
      </c>
      <c r="H136" s="864" t="s">
        <v>1022</v>
      </c>
      <c r="I136" s="865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67" t="s">
        <v>629</v>
      </c>
      <c r="B137" s="863" t="s">
        <v>1005</v>
      </c>
      <c r="C137" s="863" t="s">
        <v>339</v>
      </c>
      <c r="D137" s="868" t="s">
        <v>339</v>
      </c>
      <c r="E137" s="869">
        <v>10</v>
      </c>
      <c r="F137" s="870" t="s">
        <v>304</v>
      </c>
      <c r="G137" s="871">
        <v>-770</v>
      </c>
      <c r="H137" s="864" t="s">
        <v>1023</v>
      </c>
      <c r="I137" s="865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67" t="s">
        <v>629</v>
      </c>
      <c r="B138" s="863" t="s">
        <v>1020</v>
      </c>
      <c r="C138" s="863" t="s">
        <v>339</v>
      </c>
      <c r="D138" s="868" t="s">
        <v>339</v>
      </c>
      <c r="E138" s="869">
        <v>10</v>
      </c>
      <c r="F138" s="870" t="s">
        <v>304</v>
      </c>
      <c r="G138" s="871">
        <v>-770</v>
      </c>
      <c r="H138" s="864" t="s">
        <v>1024</v>
      </c>
      <c r="I138" s="865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67" t="s">
        <v>629</v>
      </c>
      <c r="B139" s="863" t="s">
        <v>1042</v>
      </c>
      <c r="C139" s="863" t="s">
        <v>339</v>
      </c>
      <c r="D139" s="868" t="s">
        <v>339</v>
      </c>
      <c r="E139" s="869">
        <v>10</v>
      </c>
      <c r="F139" s="870" t="s">
        <v>304</v>
      </c>
      <c r="G139" s="871">
        <v>0</v>
      </c>
      <c r="H139" s="864" t="s">
        <v>1044</v>
      </c>
      <c r="I139" s="865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67" t="s">
        <v>643</v>
      </c>
      <c r="B140" s="863" t="s">
        <v>1042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1059</v>
      </c>
      <c r="I140" s="865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67" t="s">
        <v>643</v>
      </c>
      <c r="B141" s="863" t="s">
        <v>1042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-770</v>
      </c>
      <c r="H141" s="864" t="s">
        <v>1045</v>
      </c>
      <c r="I141" s="865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67" t="s">
        <v>643</v>
      </c>
      <c r="B142" s="863" t="s">
        <v>1042</v>
      </c>
      <c r="C142" s="863" t="s">
        <v>339</v>
      </c>
      <c r="D142" s="868" t="s">
        <v>339</v>
      </c>
      <c r="E142" s="869">
        <v>10</v>
      </c>
      <c r="F142" s="870" t="s">
        <v>304</v>
      </c>
      <c r="G142" s="871">
        <v>-770</v>
      </c>
      <c r="H142" s="864" t="s">
        <v>1046</v>
      </c>
      <c r="I142" s="865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67" t="s">
        <v>643</v>
      </c>
      <c r="B143" s="863" t="s">
        <v>1049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1064</v>
      </c>
      <c r="I143" s="865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67" t="s">
        <v>643</v>
      </c>
      <c r="B144" s="863" t="s">
        <v>1060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-770</v>
      </c>
      <c r="H144" s="864" t="s">
        <v>1065</v>
      </c>
      <c r="I144" s="865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67" t="s">
        <v>1088</v>
      </c>
      <c r="B145" s="863" t="s">
        <v>1071</v>
      </c>
      <c r="C145" s="863" t="s">
        <v>339</v>
      </c>
      <c r="D145" s="868" t="s">
        <v>339</v>
      </c>
      <c r="E145" s="869">
        <v>-50</v>
      </c>
      <c r="F145" s="870" t="s">
        <v>304</v>
      </c>
      <c r="G145" s="871">
        <v>0</v>
      </c>
      <c r="H145" s="864" t="s">
        <v>1089</v>
      </c>
      <c r="I145" s="865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67" t="s">
        <v>643</v>
      </c>
      <c r="B146" s="863" t="s">
        <v>1071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1090</v>
      </c>
      <c r="I146" s="865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67" t="s">
        <v>643</v>
      </c>
      <c r="B147" s="863" t="s">
        <v>1086</v>
      </c>
      <c r="C147" s="863" t="s">
        <v>339</v>
      </c>
      <c r="D147" s="868" t="s">
        <v>339</v>
      </c>
      <c r="E147" s="869">
        <v>10</v>
      </c>
      <c r="F147" s="870" t="s">
        <v>304</v>
      </c>
      <c r="G147" s="871">
        <v>0</v>
      </c>
      <c r="H147" s="864" t="s">
        <v>1091</v>
      </c>
      <c r="I147" s="865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67" t="s">
        <v>643</v>
      </c>
      <c r="B148" s="863" t="s">
        <v>1086</v>
      </c>
      <c r="C148" s="863" t="s">
        <v>339</v>
      </c>
      <c r="D148" s="868" t="s">
        <v>339</v>
      </c>
      <c r="E148" s="869">
        <v>10</v>
      </c>
      <c r="F148" s="870" t="s">
        <v>304</v>
      </c>
      <c r="G148" s="871">
        <v>0</v>
      </c>
      <c r="H148" s="864" t="s">
        <v>1092</v>
      </c>
      <c r="I148" s="865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67" t="s">
        <v>643</v>
      </c>
      <c r="B149" s="863" t="s">
        <v>1086</v>
      </c>
      <c r="C149" s="863" t="s">
        <v>339</v>
      </c>
      <c r="D149" s="868" t="s">
        <v>339</v>
      </c>
      <c r="E149" s="869">
        <v>10</v>
      </c>
      <c r="F149" s="870" t="s">
        <v>304</v>
      </c>
      <c r="G149" s="871">
        <v>0</v>
      </c>
      <c r="H149" s="864" t="s">
        <v>1093</v>
      </c>
      <c r="I149" s="865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67" t="s">
        <v>643</v>
      </c>
      <c r="B150" s="863" t="s">
        <v>1075</v>
      </c>
      <c r="C150" s="863" t="s">
        <v>339</v>
      </c>
      <c r="D150" s="868" t="s">
        <v>339</v>
      </c>
      <c r="E150" s="869">
        <v>10</v>
      </c>
      <c r="F150" s="870" t="s">
        <v>304</v>
      </c>
      <c r="G150" s="871">
        <v>0</v>
      </c>
      <c r="H150" s="864" t="s">
        <v>1094</v>
      </c>
      <c r="I150" s="865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67" t="s">
        <v>643</v>
      </c>
      <c r="B151" s="863" t="s">
        <v>1075</v>
      </c>
      <c r="C151" s="863" t="s">
        <v>339</v>
      </c>
      <c r="D151" s="868" t="s">
        <v>339</v>
      </c>
      <c r="E151" s="869">
        <v>10</v>
      </c>
      <c r="F151" s="870" t="s">
        <v>304</v>
      </c>
      <c r="G151" s="871">
        <v>0</v>
      </c>
      <c r="H151" s="864" t="s">
        <v>1095</v>
      </c>
      <c r="I151" s="865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67" t="s">
        <v>643</v>
      </c>
      <c r="B152" s="863" t="s">
        <v>1086</v>
      </c>
      <c r="C152" s="863" t="s">
        <v>339</v>
      </c>
      <c r="D152" s="868" t="s">
        <v>339</v>
      </c>
      <c r="E152" s="869">
        <v>10</v>
      </c>
      <c r="F152" s="870" t="s">
        <v>304</v>
      </c>
      <c r="G152" s="871">
        <v>0</v>
      </c>
      <c r="H152" s="864" t="s">
        <v>1096</v>
      </c>
      <c r="I152" s="865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67" t="s">
        <v>643</v>
      </c>
      <c r="B153" s="863" t="s">
        <v>1097</v>
      </c>
      <c r="C153" s="863" t="s">
        <v>339</v>
      </c>
      <c r="D153" s="868" t="s">
        <v>339</v>
      </c>
      <c r="E153" s="869">
        <v>10</v>
      </c>
      <c r="F153" s="870" t="s">
        <v>304</v>
      </c>
      <c r="G153" s="871">
        <v>0</v>
      </c>
      <c r="H153" s="864" t="s">
        <v>1109</v>
      </c>
      <c r="I153" s="865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67" t="s">
        <v>643</v>
      </c>
      <c r="B154" s="863" t="s">
        <v>1097</v>
      </c>
      <c r="C154" s="863" t="s">
        <v>339</v>
      </c>
      <c r="D154" s="868" t="s">
        <v>339</v>
      </c>
      <c r="E154" s="869">
        <v>10</v>
      </c>
      <c r="F154" s="870" t="s">
        <v>304</v>
      </c>
      <c r="G154" s="871">
        <v>0</v>
      </c>
      <c r="H154" s="864" t="s">
        <v>1110</v>
      </c>
      <c r="I154" s="865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67" t="s">
        <v>643</v>
      </c>
      <c r="B155" s="863" t="s">
        <v>1097</v>
      </c>
      <c r="C155" s="863" t="s">
        <v>339</v>
      </c>
      <c r="D155" s="868" t="s">
        <v>339</v>
      </c>
      <c r="E155" s="869">
        <v>20</v>
      </c>
      <c r="F155" s="870" t="s">
        <v>304</v>
      </c>
      <c r="G155" s="871">
        <v>0</v>
      </c>
      <c r="H155" s="864" t="s">
        <v>1111</v>
      </c>
      <c r="I155" s="865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67" t="s">
        <v>1088</v>
      </c>
      <c r="B156" s="863" t="s">
        <v>1101</v>
      </c>
      <c r="C156" s="863" t="s">
        <v>339</v>
      </c>
      <c r="D156" s="868" t="s">
        <v>339</v>
      </c>
      <c r="E156" s="869">
        <v>-50</v>
      </c>
      <c r="F156" s="870" t="s">
        <v>304</v>
      </c>
      <c r="G156" s="871">
        <v>3720.0000000000005</v>
      </c>
      <c r="H156" s="864" t="s">
        <v>1107</v>
      </c>
      <c r="I156" s="865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67" t="s">
        <v>1088</v>
      </c>
      <c r="B157" s="863" t="s">
        <v>1101</v>
      </c>
      <c r="C157" s="863" t="s">
        <v>339</v>
      </c>
      <c r="D157" s="868" t="s">
        <v>339</v>
      </c>
      <c r="E157" s="869">
        <v>-50</v>
      </c>
      <c r="F157" s="870" t="s">
        <v>304</v>
      </c>
      <c r="G157" s="871">
        <v>3720.0000000000005</v>
      </c>
      <c r="H157" s="864" t="s">
        <v>1108</v>
      </c>
      <c r="I157" s="865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67" t="s">
        <v>1088</v>
      </c>
      <c r="B158" s="863" t="s">
        <v>1101</v>
      </c>
      <c r="C158" s="863" t="s">
        <v>339</v>
      </c>
      <c r="D158" s="868" t="s">
        <v>339</v>
      </c>
      <c r="E158" s="869">
        <v>-50</v>
      </c>
      <c r="F158" s="870" t="s">
        <v>304</v>
      </c>
      <c r="G158" s="871">
        <v>3720.0000000000005</v>
      </c>
      <c r="H158" s="864" t="s">
        <v>1107</v>
      </c>
      <c r="I158" s="865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67" t="s">
        <v>1088</v>
      </c>
      <c r="B159" s="863" t="s">
        <v>1101</v>
      </c>
      <c r="C159" s="863" t="s">
        <v>339</v>
      </c>
      <c r="D159" s="868" t="s">
        <v>339</v>
      </c>
      <c r="E159" s="869">
        <v>-50</v>
      </c>
      <c r="F159" s="870" t="s">
        <v>304</v>
      </c>
      <c r="G159" s="871">
        <v>3720.0000000000005</v>
      </c>
      <c r="H159" s="864" t="s">
        <v>1108</v>
      </c>
      <c r="I159" s="865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67" t="s">
        <v>1088</v>
      </c>
      <c r="B160" s="863" t="s">
        <v>1101</v>
      </c>
      <c r="C160" s="863" t="s">
        <v>339</v>
      </c>
      <c r="D160" s="868" t="s">
        <v>339</v>
      </c>
      <c r="E160" s="869">
        <v>-100</v>
      </c>
      <c r="F160" s="870" t="s">
        <v>304</v>
      </c>
      <c r="G160" s="871">
        <v>0</v>
      </c>
      <c r="H160" s="864" t="s">
        <v>1121</v>
      </c>
      <c r="I160" s="865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67" t="s">
        <v>643</v>
      </c>
      <c r="B161" s="863" t="s">
        <v>1101</v>
      </c>
      <c r="C161" s="863" t="s">
        <v>339</v>
      </c>
      <c r="D161" s="868" t="s">
        <v>339</v>
      </c>
      <c r="E161" s="869">
        <v>20</v>
      </c>
      <c r="F161" s="870" t="s">
        <v>304</v>
      </c>
      <c r="G161" s="871">
        <v>-1540</v>
      </c>
      <c r="H161" s="864" t="s">
        <v>1112</v>
      </c>
      <c r="I161" s="865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67" t="s">
        <v>643</v>
      </c>
      <c r="B162" s="863" t="s">
        <v>1101</v>
      </c>
      <c r="C162" s="863" t="s">
        <v>339</v>
      </c>
      <c r="D162" s="868" t="s">
        <v>339</v>
      </c>
      <c r="E162" s="869">
        <v>10</v>
      </c>
      <c r="F162" s="870" t="s">
        <v>304</v>
      </c>
      <c r="G162" s="871">
        <v>-770</v>
      </c>
      <c r="H162" s="864" t="s">
        <v>1113</v>
      </c>
      <c r="I162" s="865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67" t="s">
        <v>643</v>
      </c>
      <c r="B163" s="863" t="s">
        <v>1097</v>
      </c>
      <c r="C163" s="863" t="s">
        <v>339</v>
      </c>
      <c r="D163" s="868" t="s">
        <v>339</v>
      </c>
      <c r="E163" s="869">
        <v>10</v>
      </c>
      <c r="F163" s="870" t="s">
        <v>304</v>
      </c>
      <c r="G163" s="871">
        <v>-770</v>
      </c>
      <c r="H163" s="864" t="s">
        <v>1098</v>
      </c>
      <c r="I163" s="865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67" t="s">
        <v>643</v>
      </c>
      <c r="B164" s="863" t="s">
        <v>1097</v>
      </c>
      <c r="C164" s="863" t="s">
        <v>339</v>
      </c>
      <c r="D164" s="868" t="s">
        <v>339</v>
      </c>
      <c r="E164" s="869">
        <v>10</v>
      </c>
      <c r="F164" s="870" t="s">
        <v>304</v>
      </c>
      <c r="G164" s="871">
        <v>-770</v>
      </c>
      <c r="H164" s="864" t="s">
        <v>1099</v>
      </c>
      <c r="I164" s="865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67" t="s">
        <v>643</v>
      </c>
      <c r="B165" s="863" t="s">
        <v>1101</v>
      </c>
      <c r="C165" s="863" t="s">
        <v>339</v>
      </c>
      <c r="D165" s="868" t="s">
        <v>339</v>
      </c>
      <c r="E165" s="869">
        <v>-10</v>
      </c>
      <c r="F165" s="870" t="s">
        <v>304</v>
      </c>
      <c r="G165" s="871">
        <v>0</v>
      </c>
      <c r="H165" s="864" t="s">
        <v>1122</v>
      </c>
      <c r="I165" s="865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67" t="s">
        <v>643</v>
      </c>
      <c r="B166" s="863" t="s">
        <v>1101</v>
      </c>
      <c r="C166" s="863" t="s">
        <v>339</v>
      </c>
      <c r="D166" s="868" t="s">
        <v>339</v>
      </c>
      <c r="E166" s="869">
        <v>-10</v>
      </c>
      <c r="F166" s="870" t="s">
        <v>304</v>
      </c>
      <c r="G166" s="871">
        <v>0</v>
      </c>
      <c r="H166" s="864" t="s">
        <v>1123</v>
      </c>
      <c r="I166" s="865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67" t="s">
        <v>643</v>
      </c>
      <c r="B167" s="863" t="s">
        <v>1101</v>
      </c>
      <c r="C167" s="863" t="s">
        <v>339</v>
      </c>
      <c r="D167" s="868" t="s">
        <v>339</v>
      </c>
      <c r="E167" s="869">
        <v>-10</v>
      </c>
      <c r="F167" s="870" t="s">
        <v>304</v>
      </c>
      <c r="G167" s="871">
        <v>0</v>
      </c>
      <c r="H167" s="864" t="s">
        <v>1124</v>
      </c>
      <c r="I167" s="865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67" t="s">
        <v>643</v>
      </c>
      <c r="B168" s="863" t="s">
        <v>1101</v>
      </c>
      <c r="C168" s="863" t="s">
        <v>339</v>
      </c>
      <c r="D168" s="868" t="s">
        <v>339</v>
      </c>
      <c r="E168" s="869">
        <v>-10</v>
      </c>
      <c r="F168" s="870" t="s">
        <v>304</v>
      </c>
      <c r="G168" s="871">
        <v>0</v>
      </c>
      <c r="H168" s="864" t="s">
        <v>1125</v>
      </c>
      <c r="I168" s="865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67" t="s">
        <v>643</v>
      </c>
      <c r="B169" s="863" t="s">
        <v>1115</v>
      </c>
      <c r="C169" s="863" t="s">
        <v>339</v>
      </c>
      <c r="D169" s="868" t="s">
        <v>339</v>
      </c>
      <c r="E169" s="869">
        <v>-10</v>
      </c>
      <c r="F169" s="870" t="s">
        <v>304</v>
      </c>
      <c r="G169" s="871">
        <v>0</v>
      </c>
      <c r="H169" s="864" t="s">
        <v>1126</v>
      </c>
      <c r="I169" s="865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67" t="s">
        <v>643</v>
      </c>
      <c r="B170" s="863" t="s">
        <v>1115</v>
      </c>
      <c r="C170" s="863" t="s">
        <v>339</v>
      </c>
      <c r="D170" s="868" t="s">
        <v>339</v>
      </c>
      <c r="E170" s="869">
        <v>-50</v>
      </c>
      <c r="F170" s="870" t="s">
        <v>304</v>
      </c>
      <c r="G170" s="871">
        <v>0</v>
      </c>
      <c r="H170" s="864" t="s">
        <v>1134</v>
      </c>
      <c r="I170" s="865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67" t="s">
        <v>643</v>
      </c>
      <c r="B171" s="863" t="s">
        <v>1115</v>
      </c>
      <c r="C171" s="863" t="s">
        <v>339</v>
      </c>
      <c r="D171" s="868" t="s">
        <v>339</v>
      </c>
      <c r="E171" s="869">
        <v>10</v>
      </c>
      <c r="F171" s="870" t="s">
        <v>304</v>
      </c>
      <c r="G171" s="871">
        <v>0</v>
      </c>
      <c r="H171" s="864" t="s">
        <v>1135</v>
      </c>
      <c r="I171" s="865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67" t="s">
        <v>643</v>
      </c>
      <c r="B172" s="863" t="s">
        <v>1115</v>
      </c>
      <c r="C172" s="863" t="s">
        <v>339</v>
      </c>
      <c r="D172" s="868" t="s">
        <v>339</v>
      </c>
      <c r="E172" s="869">
        <v>30</v>
      </c>
      <c r="F172" s="870" t="s">
        <v>304</v>
      </c>
      <c r="G172" s="871">
        <v>0</v>
      </c>
      <c r="H172" s="864" t="s">
        <v>1136</v>
      </c>
      <c r="I172" s="865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67" t="s">
        <v>643</v>
      </c>
      <c r="B173" s="863" t="s">
        <v>1115</v>
      </c>
      <c r="C173" s="863" t="s">
        <v>339</v>
      </c>
      <c r="D173" s="868" t="s">
        <v>339</v>
      </c>
      <c r="E173" s="869">
        <v>10</v>
      </c>
      <c r="F173" s="870" t="s">
        <v>304</v>
      </c>
      <c r="G173" s="871">
        <v>0</v>
      </c>
      <c r="H173" s="864" t="s">
        <v>1137</v>
      </c>
      <c r="I173" s="865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67" t="s">
        <v>643</v>
      </c>
      <c r="B174" s="863" t="s">
        <v>1132</v>
      </c>
      <c r="C174" s="863" t="s">
        <v>339</v>
      </c>
      <c r="D174" s="868" t="s">
        <v>339</v>
      </c>
      <c r="E174" s="869">
        <v>90</v>
      </c>
      <c r="F174" s="870" t="s">
        <v>304</v>
      </c>
      <c r="G174" s="871">
        <v>0</v>
      </c>
      <c r="H174" s="864" t="s">
        <v>1142</v>
      </c>
      <c r="I174" s="865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67" t="s">
        <v>643</v>
      </c>
      <c r="B175" s="863" t="s">
        <v>1132</v>
      </c>
      <c r="C175" s="863" t="s">
        <v>339</v>
      </c>
      <c r="D175" s="868" t="s">
        <v>339</v>
      </c>
      <c r="E175" s="869">
        <v>10</v>
      </c>
      <c r="F175" s="870" t="s">
        <v>304</v>
      </c>
      <c r="G175" s="871">
        <v>0</v>
      </c>
      <c r="H175" s="864" t="s">
        <v>1143</v>
      </c>
      <c r="I175" s="865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67" t="s">
        <v>643</v>
      </c>
      <c r="B176" s="863" t="s">
        <v>1140</v>
      </c>
      <c r="C176" s="863" t="s">
        <v>339</v>
      </c>
      <c r="D176" s="868" t="s">
        <v>339</v>
      </c>
      <c r="E176" s="869">
        <v>90</v>
      </c>
      <c r="F176" s="870" t="s">
        <v>304</v>
      </c>
      <c r="G176" s="871">
        <v>0</v>
      </c>
      <c r="H176" s="864" t="s">
        <v>1157</v>
      </c>
      <c r="I176" s="865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67" t="s">
        <v>643</v>
      </c>
      <c r="B177" s="863" t="s">
        <v>1140</v>
      </c>
      <c r="C177" s="863" t="s">
        <v>339</v>
      </c>
      <c r="D177" s="868" t="s">
        <v>339</v>
      </c>
      <c r="E177" s="869">
        <v>10</v>
      </c>
      <c r="F177" s="870" t="s">
        <v>304</v>
      </c>
      <c r="G177" s="871">
        <v>0</v>
      </c>
      <c r="H177" s="864" t="s">
        <v>1158</v>
      </c>
      <c r="I177" s="865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67" t="s">
        <v>643</v>
      </c>
      <c r="B178" s="863" t="s">
        <v>1148</v>
      </c>
      <c r="C178" s="863" t="s">
        <v>339</v>
      </c>
      <c r="D178" s="868" t="s">
        <v>339</v>
      </c>
      <c r="E178" s="869">
        <v>80</v>
      </c>
      <c r="F178" s="870" t="s">
        <v>304</v>
      </c>
      <c r="G178" s="871">
        <v>0</v>
      </c>
      <c r="H178" s="864" t="s">
        <v>1171</v>
      </c>
      <c r="I178" s="865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67" t="s">
        <v>643</v>
      </c>
      <c r="B179" s="863" t="s">
        <v>1148</v>
      </c>
      <c r="C179" s="863" t="s">
        <v>339</v>
      </c>
      <c r="D179" s="868" t="s">
        <v>339</v>
      </c>
      <c r="E179" s="869">
        <v>20</v>
      </c>
      <c r="F179" s="870" t="s">
        <v>304</v>
      </c>
      <c r="G179" s="871">
        <v>0</v>
      </c>
      <c r="H179" s="864" t="s">
        <v>1172</v>
      </c>
      <c r="I179" s="865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67" t="s">
        <v>643</v>
      </c>
      <c r="B180" s="863" t="s">
        <v>1148</v>
      </c>
      <c r="C180" s="863" t="s">
        <v>339</v>
      </c>
      <c r="D180" s="868" t="s">
        <v>339</v>
      </c>
      <c r="E180" s="869">
        <v>-20</v>
      </c>
      <c r="F180" s="870" t="s">
        <v>304</v>
      </c>
      <c r="G180" s="871">
        <v>0</v>
      </c>
      <c r="H180" s="864" t="s">
        <v>1173</v>
      </c>
      <c r="I180" s="865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67" t="s">
        <v>647</v>
      </c>
      <c r="B181" s="863" t="s">
        <v>1164</v>
      </c>
      <c r="C181" s="863" t="s">
        <v>339</v>
      </c>
      <c r="D181" s="868" t="s">
        <v>339</v>
      </c>
      <c r="E181" s="869">
        <v>80</v>
      </c>
      <c r="F181" s="870" t="s">
        <v>304</v>
      </c>
      <c r="G181" s="871">
        <v>0</v>
      </c>
      <c r="H181" s="864" t="s">
        <v>1181</v>
      </c>
      <c r="I181" s="865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67" t="s">
        <v>647</v>
      </c>
      <c r="B182" s="863" t="s">
        <v>1164</v>
      </c>
      <c r="C182" s="863" t="s">
        <v>339</v>
      </c>
      <c r="D182" s="868" t="s">
        <v>339</v>
      </c>
      <c r="E182" s="869">
        <v>20</v>
      </c>
      <c r="F182" s="870" t="s">
        <v>304</v>
      </c>
      <c r="G182" s="871">
        <v>0</v>
      </c>
      <c r="H182" s="864" t="s">
        <v>1182</v>
      </c>
      <c r="I182" s="865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67" t="s">
        <v>647</v>
      </c>
      <c r="B183" s="863" t="s">
        <v>1148</v>
      </c>
      <c r="C183" s="863" t="s">
        <v>339</v>
      </c>
      <c r="D183" s="868" t="s">
        <v>339</v>
      </c>
      <c r="E183" s="869">
        <v>32</v>
      </c>
      <c r="F183" s="870" t="s">
        <v>304</v>
      </c>
      <c r="G183" s="871">
        <v>-1366.4</v>
      </c>
      <c r="H183" s="864" t="s">
        <v>1170</v>
      </c>
      <c r="I183" s="865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67" t="s">
        <v>1088</v>
      </c>
      <c r="B184" s="863" t="s">
        <v>1174</v>
      </c>
      <c r="C184" s="863" t="s">
        <v>339</v>
      </c>
      <c r="D184" s="868" t="s">
        <v>339</v>
      </c>
      <c r="E184" s="869">
        <v>50</v>
      </c>
      <c r="F184" s="870" t="s">
        <v>304</v>
      </c>
      <c r="G184" s="871">
        <v>0</v>
      </c>
      <c r="H184" s="864" t="s">
        <v>1183</v>
      </c>
      <c r="I184" s="865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67" t="s">
        <v>1088</v>
      </c>
      <c r="B185" s="863" t="s">
        <v>1174</v>
      </c>
      <c r="C185" s="863" t="s">
        <v>339</v>
      </c>
      <c r="D185" s="868" t="s">
        <v>339</v>
      </c>
      <c r="E185" s="869">
        <v>1</v>
      </c>
      <c r="F185" s="870" t="s">
        <v>304</v>
      </c>
      <c r="G185" s="871">
        <v>0</v>
      </c>
      <c r="H185" s="864" t="s">
        <v>1184</v>
      </c>
      <c r="I185" s="865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67" t="s">
        <v>1088</v>
      </c>
      <c r="B186" s="863" t="s">
        <v>1174</v>
      </c>
      <c r="C186" s="863" t="s">
        <v>339</v>
      </c>
      <c r="D186" s="868" t="s">
        <v>339</v>
      </c>
      <c r="E186" s="869">
        <v>49</v>
      </c>
      <c r="F186" s="870" t="s">
        <v>304</v>
      </c>
      <c r="G186" s="871">
        <v>0</v>
      </c>
      <c r="H186" s="864" t="s">
        <v>1185</v>
      </c>
      <c r="I186" s="865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67" t="s">
        <v>1088</v>
      </c>
      <c r="B187" s="863" t="s">
        <v>1174</v>
      </c>
      <c r="C187" s="863" t="s">
        <v>339</v>
      </c>
      <c r="D187" s="868" t="s">
        <v>339</v>
      </c>
      <c r="E187" s="869">
        <v>-50</v>
      </c>
      <c r="F187" s="870" t="s">
        <v>304</v>
      </c>
      <c r="G187" s="871">
        <v>0</v>
      </c>
      <c r="H187" s="864" t="s">
        <v>1204</v>
      </c>
      <c r="I187" s="865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67" t="s">
        <v>1088</v>
      </c>
      <c r="B188" s="863" t="s">
        <v>1174</v>
      </c>
      <c r="C188" s="863" t="s">
        <v>339</v>
      </c>
      <c r="D188" s="868" t="s">
        <v>339</v>
      </c>
      <c r="E188" s="869">
        <v>-50</v>
      </c>
      <c r="F188" s="870" t="s">
        <v>304</v>
      </c>
      <c r="G188" s="871">
        <v>0</v>
      </c>
      <c r="H188" s="864" t="s">
        <v>1205</v>
      </c>
      <c r="I188" s="865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67" t="s">
        <v>1088</v>
      </c>
      <c r="B189" s="863" t="s">
        <v>1174</v>
      </c>
      <c r="C189" s="863" t="s">
        <v>339</v>
      </c>
      <c r="D189" s="868" t="s">
        <v>339</v>
      </c>
      <c r="E189" s="869">
        <v>-50</v>
      </c>
      <c r="F189" s="870" t="s">
        <v>304</v>
      </c>
      <c r="G189" s="871">
        <v>0</v>
      </c>
      <c r="H189" s="864" t="s">
        <v>1206</v>
      </c>
      <c r="I189" s="865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67" t="s">
        <v>1088</v>
      </c>
      <c r="B190" s="863" t="s">
        <v>1174</v>
      </c>
      <c r="C190" s="863" t="s">
        <v>339</v>
      </c>
      <c r="D190" s="868" t="s">
        <v>339</v>
      </c>
      <c r="E190" s="869">
        <v>-50</v>
      </c>
      <c r="F190" s="870" t="s">
        <v>304</v>
      </c>
      <c r="G190" s="871">
        <v>0</v>
      </c>
      <c r="H190" s="864" t="s">
        <v>1207</v>
      </c>
      <c r="I190" s="865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67" t="s">
        <v>1088</v>
      </c>
      <c r="B191" s="863" t="s">
        <v>1174</v>
      </c>
      <c r="C191" s="863" t="s">
        <v>339</v>
      </c>
      <c r="D191" s="868" t="s">
        <v>339</v>
      </c>
      <c r="E191" s="869">
        <v>-50</v>
      </c>
      <c r="F191" s="870" t="s">
        <v>304</v>
      </c>
      <c r="G191" s="871">
        <v>0</v>
      </c>
      <c r="H191" s="864" t="s">
        <v>1208</v>
      </c>
      <c r="I191" s="865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67" t="s">
        <v>1088</v>
      </c>
      <c r="B192" s="863" t="s">
        <v>1174</v>
      </c>
      <c r="C192" s="863" t="s">
        <v>339</v>
      </c>
      <c r="D192" s="868" t="s">
        <v>339</v>
      </c>
      <c r="E192" s="869">
        <v>-50</v>
      </c>
      <c r="F192" s="870" t="s">
        <v>304</v>
      </c>
      <c r="G192" s="871">
        <v>0</v>
      </c>
      <c r="H192" s="864" t="s">
        <v>1209</v>
      </c>
      <c r="I192" s="865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67" t="s">
        <v>1088</v>
      </c>
      <c r="B193" s="863" t="s">
        <v>1174</v>
      </c>
      <c r="C193" s="863" t="s">
        <v>339</v>
      </c>
      <c r="D193" s="868" t="s">
        <v>339</v>
      </c>
      <c r="E193" s="869">
        <v>-50</v>
      </c>
      <c r="F193" s="870" t="s">
        <v>304</v>
      </c>
      <c r="G193" s="871">
        <v>0</v>
      </c>
      <c r="H193" s="864" t="s">
        <v>1210</v>
      </c>
      <c r="I193" s="865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67" t="s">
        <v>1088</v>
      </c>
      <c r="B194" s="863" t="s">
        <v>1174</v>
      </c>
      <c r="C194" s="863" t="s">
        <v>339</v>
      </c>
      <c r="D194" s="868" t="s">
        <v>339</v>
      </c>
      <c r="E194" s="869">
        <v>-50</v>
      </c>
      <c r="F194" s="870" t="s">
        <v>304</v>
      </c>
      <c r="G194" s="871">
        <v>0</v>
      </c>
      <c r="H194" s="864" t="s">
        <v>1211</v>
      </c>
      <c r="I194" s="865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67" t="s">
        <v>1088</v>
      </c>
      <c r="B195" s="863" t="s">
        <v>1174</v>
      </c>
      <c r="C195" s="863" t="s">
        <v>339</v>
      </c>
      <c r="D195" s="868" t="s">
        <v>339</v>
      </c>
      <c r="E195" s="869">
        <v>-50</v>
      </c>
      <c r="F195" s="870" t="s">
        <v>304</v>
      </c>
      <c r="G195" s="871">
        <v>0</v>
      </c>
      <c r="H195" s="864" t="s">
        <v>1212</v>
      </c>
      <c r="I195" s="865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67" t="s">
        <v>1088</v>
      </c>
      <c r="B196" s="863" t="s">
        <v>1213</v>
      </c>
      <c r="C196" s="863" t="s">
        <v>339</v>
      </c>
      <c r="D196" s="868" t="s">
        <v>339</v>
      </c>
      <c r="E196" s="869">
        <v>50</v>
      </c>
      <c r="F196" s="870" t="s">
        <v>304</v>
      </c>
      <c r="G196" s="871">
        <v>0</v>
      </c>
      <c r="H196" s="864" t="s">
        <v>1228</v>
      </c>
      <c r="I196" s="865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67" t="s">
        <v>1088</v>
      </c>
      <c r="B197" s="863" t="s">
        <v>1213</v>
      </c>
      <c r="C197" s="863" t="s">
        <v>339</v>
      </c>
      <c r="D197" s="868" t="s">
        <v>339</v>
      </c>
      <c r="E197" s="869">
        <v>50</v>
      </c>
      <c r="F197" s="870" t="s">
        <v>304</v>
      </c>
      <c r="G197" s="871">
        <v>0</v>
      </c>
      <c r="H197" s="864" t="s">
        <v>1229</v>
      </c>
      <c r="I197" s="865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67" t="s">
        <v>1088</v>
      </c>
      <c r="B198" s="863" t="s">
        <v>1213</v>
      </c>
      <c r="C198" s="863" t="s">
        <v>339</v>
      </c>
      <c r="D198" s="868" t="s">
        <v>339</v>
      </c>
      <c r="E198" s="869">
        <v>2</v>
      </c>
      <c r="F198" s="870" t="s">
        <v>304</v>
      </c>
      <c r="G198" s="871">
        <v>-74.400000000000006</v>
      </c>
      <c r="H198" s="864" t="s">
        <v>1230</v>
      </c>
      <c r="I198" s="865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67" t="s">
        <v>1088</v>
      </c>
      <c r="B199" s="863" t="s">
        <v>1213</v>
      </c>
      <c r="C199" s="863" t="s">
        <v>339</v>
      </c>
      <c r="D199" s="868" t="s">
        <v>339</v>
      </c>
      <c r="E199" s="869">
        <v>50</v>
      </c>
      <c r="F199" s="870" t="s">
        <v>304</v>
      </c>
      <c r="G199" s="871">
        <v>0</v>
      </c>
      <c r="H199" s="864" t="s">
        <v>1255</v>
      </c>
      <c r="I199" s="865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67" t="s">
        <v>1088</v>
      </c>
      <c r="B200" s="863" t="s">
        <v>1213</v>
      </c>
      <c r="C200" s="863" t="s">
        <v>339</v>
      </c>
      <c r="D200" s="868" t="s">
        <v>339</v>
      </c>
      <c r="E200" s="869">
        <v>50</v>
      </c>
      <c r="F200" s="870" t="s">
        <v>304</v>
      </c>
      <c r="G200" s="871">
        <v>0</v>
      </c>
      <c r="H200" s="864" t="s">
        <v>1256</v>
      </c>
      <c r="I200" s="865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67" t="s">
        <v>1088</v>
      </c>
      <c r="B201" s="863" t="s">
        <v>1239</v>
      </c>
      <c r="C201" s="863" t="s">
        <v>339</v>
      </c>
      <c r="D201" s="868" t="s">
        <v>339</v>
      </c>
      <c r="E201" s="869">
        <v>5</v>
      </c>
      <c r="F201" s="870" t="s">
        <v>304</v>
      </c>
      <c r="G201" s="871">
        <v>0</v>
      </c>
      <c r="H201" s="864" t="s">
        <v>1277</v>
      </c>
      <c r="I201" s="865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67" t="s">
        <v>1088</v>
      </c>
      <c r="B202" s="863" t="s">
        <v>1239</v>
      </c>
      <c r="C202" s="863" t="s">
        <v>339</v>
      </c>
      <c r="D202" s="868" t="s">
        <v>339</v>
      </c>
      <c r="E202" s="869">
        <v>20</v>
      </c>
      <c r="F202" s="870" t="s">
        <v>304</v>
      </c>
      <c r="G202" s="871">
        <v>0</v>
      </c>
      <c r="H202" s="864" t="s">
        <v>1278</v>
      </c>
      <c r="I202" s="865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67" t="s">
        <v>1088</v>
      </c>
      <c r="B203" s="863" t="s">
        <v>1239</v>
      </c>
      <c r="C203" s="863" t="s">
        <v>339</v>
      </c>
      <c r="D203" s="868" t="s">
        <v>339</v>
      </c>
      <c r="E203" s="869">
        <v>40</v>
      </c>
      <c r="F203" s="870" t="s">
        <v>304</v>
      </c>
      <c r="G203" s="871">
        <v>0</v>
      </c>
      <c r="H203" s="864" t="s">
        <v>1279</v>
      </c>
      <c r="I203" s="865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67" t="s">
        <v>1088</v>
      </c>
      <c r="B204" s="863" t="s">
        <v>1239</v>
      </c>
      <c r="C204" s="863" t="s">
        <v>339</v>
      </c>
      <c r="D204" s="868" t="s">
        <v>339</v>
      </c>
      <c r="E204" s="869">
        <v>15</v>
      </c>
      <c r="F204" s="870" t="s">
        <v>304</v>
      </c>
      <c r="G204" s="871">
        <v>0</v>
      </c>
      <c r="H204" s="864" t="s">
        <v>1277</v>
      </c>
      <c r="I204" s="865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67" t="s">
        <v>1088</v>
      </c>
      <c r="B205" s="863" t="s">
        <v>1339</v>
      </c>
      <c r="C205" s="863" t="s">
        <v>339</v>
      </c>
      <c r="D205" s="868" t="s">
        <v>339</v>
      </c>
      <c r="E205" s="869">
        <v>-10</v>
      </c>
      <c r="F205" s="870" t="s">
        <v>304</v>
      </c>
      <c r="G205" s="871">
        <v>0</v>
      </c>
      <c r="H205" s="864" t="s">
        <v>1343</v>
      </c>
      <c r="I205" s="865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67" t="s">
        <v>1088</v>
      </c>
      <c r="B206" s="863" t="s">
        <v>1339</v>
      </c>
      <c r="C206" s="863" t="s">
        <v>339</v>
      </c>
      <c r="D206" s="868" t="s">
        <v>339</v>
      </c>
      <c r="E206" s="869">
        <v>-10</v>
      </c>
      <c r="F206" s="870" t="s">
        <v>304</v>
      </c>
      <c r="G206" s="871">
        <v>0</v>
      </c>
      <c r="H206" s="864" t="s">
        <v>1344</v>
      </c>
      <c r="I206" s="865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67" t="s">
        <v>1088</v>
      </c>
      <c r="B207" s="863" t="s">
        <v>1263</v>
      </c>
      <c r="C207" s="863" t="s">
        <v>339</v>
      </c>
      <c r="D207" s="868" t="s">
        <v>339</v>
      </c>
      <c r="E207" s="869">
        <v>-20</v>
      </c>
      <c r="F207" s="870" t="s">
        <v>304</v>
      </c>
      <c r="G207" s="871">
        <v>744</v>
      </c>
      <c r="H207" s="864" t="s">
        <v>1333</v>
      </c>
      <c r="I207" s="865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67" t="s">
        <v>1088</v>
      </c>
      <c r="B208" s="863" t="s">
        <v>1263</v>
      </c>
      <c r="C208" s="863" t="s">
        <v>339</v>
      </c>
      <c r="D208" s="868" t="s">
        <v>339</v>
      </c>
      <c r="E208" s="869">
        <v>-10</v>
      </c>
      <c r="F208" s="870" t="s">
        <v>304</v>
      </c>
      <c r="G208" s="871">
        <v>372</v>
      </c>
      <c r="H208" s="864" t="s">
        <v>1334</v>
      </c>
      <c r="I208" s="865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67" t="s">
        <v>1088</v>
      </c>
      <c r="B209" s="863" t="s">
        <v>1263</v>
      </c>
      <c r="C209" s="863" t="s">
        <v>339</v>
      </c>
      <c r="D209" s="868" t="s">
        <v>339</v>
      </c>
      <c r="E209" s="869">
        <v>-10</v>
      </c>
      <c r="F209" s="870" t="s">
        <v>304</v>
      </c>
      <c r="G209" s="871">
        <v>372</v>
      </c>
      <c r="H209" s="864" t="s">
        <v>1335</v>
      </c>
      <c r="I209" s="865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67" t="s">
        <v>1088</v>
      </c>
      <c r="B210" s="863" t="s">
        <v>1263</v>
      </c>
      <c r="C210" s="863" t="s">
        <v>339</v>
      </c>
      <c r="D210" s="868" t="s">
        <v>339</v>
      </c>
      <c r="E210" s="869">
        <v>-10</v>
      </c>
      <c r="F210" s="870" t="s">
        <v>304</v>
      </c>
      <c r="G210" s="871">
        <v>372</v>
      </c>
      <c r="H210" s="864" t="s">
        <v>1336</v>
      </c>
      <c r="I210" s="865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67" t="s">
        <v>1088</v>
      </c>
      <c r="B211" s="863" t="s">
        <v>1339</v>
      </c>
      <c r="C211" s="863" t="s">
        <v>339</v>
      </c>
      <c r="D211" s="868" t="s">
        <v>339</v>
      </c>
      <c r="E211" s="869">
        <v>-10</v>
      </c>
      <c r="F211" s="870" t="s">
        <v>304</v>
      </c>
      <c r="G211" s="871">
        <v>0</v>
      </c>
      <c r="H211" s="864" t="s">
        <v>1350</v>
      </c>
      <c r="I211" s="865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67" t="s">
        <v>1088</v>
      </c>
      <c r="B212" s="863" t="s">
        <v>1339</v>
      </c>
      <c r="C212" s="863" t="s">
        <v>339</v>
      </c>
      <c r="D212" s="868" t="s">
        <v>339</v>
      </c>
      <c r="E212" s="869">
        <v>-10</v>
      </c>
      <c r="F212" s="870" t="s">
        <v>304</v>
      </c>
      <c r="G212" s="871">
        <v>0</v>
      </c>
      <c r="H212" s="864" t="s">
        <v>1351</v>
      </c>
      <c r="I212" s="865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67" t="s">
        <v>1088</v>
      </c>
      <c r="B213" s="863" t="s">
        <v>1346</v>
      </c>
      <c r="C213" s="863" t="s">
        <v>339</v>
      </c>
      <c r="D213" s="868" t="s">
        <v>339</v>
      </c>
      <c r="E213" s="869">
        <v>-10</v>
      </c>
      <c r="F213" s="870" t="s">
        <v>304</v>
      </c>
      <c r="G213" s="871">
        <v>0</v>
      </c>
      <c r="H213" s="864" t="s">
        <v>1357</v>
      </c>
      <c r="I213" s="865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67" t="s">
        <v>1088</v>
      </c>
      <c r="B214" s="863" t="s">
        <v>1346</v>
      </c>
      <c r="C214" s="863" t="s">
        <v>339</v>
      </c>
      <c r="D214" s="868" t="s">
        <v>339</v>
      </c>
      <c r="E214" s="869">
        <v>-10</v>
      </c>
      <c r="F214" s="870" t="s">
        <v>304</v>
      </c>
      <c r="G214" s="871">
        <v>0</v>
      </c>
      <c r="H214" s="864" t="s">
        <v>1358</v>
      </c>
      <c r="I214" s="865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67" t="s">
        <v>1088</v>
      </c>
      <c r="B215" s="863" t="s">
        <v>1346</v>
      </c>
      <c r="C215" s="863" t="s">
        <v>339</v>
      </c>
      <c r="D215" s="868" t="s">
        <v>339</v>
      </c>
      <c r="E215" s="869">
        <v>-10</v>
      </c>
      <c r="F215" s="870" t="s">
        <v>304</v>
      </c>
      <c r="G215" s="871">
        <v>0</v>
      </c>
      <c r="H215" s="864" t="s">
        <v>1359</v>
      </c>
      <c r="I215" s="865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67" t="s">
        <v>1088</v>
      </c>
      <c r="B216" s="863" t="s">
        <v>1346</v>
      </c>
      <c r="C216" s="863" t="s">
        <v>339</v>
      </c>
      <c r="D216" s="868" t="s">
        <v>339</v>
      </c>
      <c r="E216" s="869">
        <v>-10</v>
      </c>
      <c r="F216" s="870" t="s">
        <v>304</v>
      </c>
      <c r="G216" s="871">
        <v>0</v>
      </c>
      <c r="H216" s="864" t="s">
        <v>1360</v>
      </c>
      <c r="I216" s="865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67" t="s">
        <v>1088</v>
      </c>
      <c r="B217" s="863" t="s">
        <v>1346</v>
      </c>
      <c r="C217" s="863" t="s">
        <v>339</v>
      </c>
      <c r="D217" s="868" t="s">
        <v>339</v>
      </c>
      <c r="E217" s="869">
        <v>-10</v>
      </c>
      <c r="F217" s="870" t="s">
        <v>304</v>
      </c>
      <c r="G217" s="871">
        <v>0</v>
      </c>
      <c r="H217" s="864" t="s">
        <v>1361</v>
      </c>
      <c r="I217" s="865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67" t="s">
        <v>1088</v>
      </c>
      <c r="B218" s="863" t="s">
        <v>1354</v>
      </c>
      <c r="C218" s="863" t="s">
        <v>339</v>
      </c>
      <c r="D218" s="868" t="s">
        <v>339</v>
      </c>
      <c r="E218" s="869">
        <v>-10</v>
      </c>
      <c r="F218" s="870" t="s">
        <v>304</v>
      </c>
      <c r="G218" s="871">
        <v>372</v>
      </c>
      <c r="H218" s="864" t="s">
        <v>1362</v>
      </c>
      <c r="I218" s="865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67" t="s">
        <v>1088</v>
      </c>
      <c r="B219" s="863" t="s">
        <v>1354</v>
      </c>
      <c r="C219" s="863" t="s">
        <v>339</v>
      </c>
      <c r="D219" s="868" t="s">
        <v>339</v>
      </c>
      <c r="E219" s="869">
        <v>-10</v>
      </c>
      <c r="F219" s="870" t="s">
        <v>304</v>
      </c>
      <c r="G219" s="871">
        <v>372</v>
      </c>
      <c r="H219" s="864" t="s">
        <v>1363</v>
      </c>
      <c r="I219" s="865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67" t="s">
        <v>1088</v>
      </c>
      <c r="B220" s="863" t="s">
        <v>1354</v>
      </c>
      <c r="C220" s="863" t="s">
        <v>339</v>
      </c>
      <c r="D220" s="868" t="s">
        <v>339</v>
      </c>
      <c r="E220" s="869">
        <v>-10</v>
      </c>
      <c r="F220" s="870" t="s">
        <v>304</v>
      </c>
      <c r="G220" s="871">
        <v>372</v>
      </c>
      <c r="H220" s="864" t="s">
        <v>1364</v>
      </c>
      <c r="I220" s="865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67" t="s">
        <v>1088</v>
      </c>
      <c r="B221" s="863" t="s">
        <v>1354</v>
      </c>
      <c r="C221" s="863" t="s">
        <v>339</v>
      </c>
      <c r="D221" s="868" t="s">
        <v>339</v>
      </c>
      <c r="E221" s="869">
        <v>-10</v>
      </c>
      <c r="F221" s="870" t="s">
        <v>304</v>
      </c>
      <c r="G221" s="871">
        <v>372</v>
      </c>
      <c r="H221" s="864" t="s">
        <v>1365</v>
      </c>
      <c r="I221" s="865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67" t="s">
        <v>1088</v>
      </c>
      <c r="B222" s="863" t="s">
        <v>1354</v>
      </c>
      <c r="C222" s="863" t="s">
        <v>339</v>
      </c>
      <c r="D222" s="868" t="s">
        <v>339</v>
      </c>
      <c r="E222" s="869">
        <v>-10</v>
      </c>
      <c r="F222" s="870" t="s">
        <v>304</v>
      </c>
      <c r="G222" s="871">
        <v>372</v>
      </c>
      <c r="H222" s="864" t="s">
        <v>1366</v>
      </c>
      <c r="I222" s="865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67" t="s">
        <v>1088</v>
      </c>
      <c r="B223" s="863" t="s">
        <v>1376</v>
      </c>
      <c r="C223" s="863" t="s">
        <v>339</v>
      </c>
      <c r="D223" s="868" t="s">
        <v>339</v>
      </c>
      <c r="E223" s="869">
        <v>10</v>
      </c>
      <c r="F223" s="870" t="s">
        <v>304</v>
      </c>
      <c r="G223" s="871">
        <v>0</v>
      </c>
      <c r="H223" s="864" t="s">
        <v>1387</v>
      </c>
      <c r="I223" s="865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67" t="s">
        <v>1088</v>
      </c>
      <c r="B224" s="863" t="s">
        <v>1376</v>
      </c>
      <c r="C224" s="863" t="s">
        <v>339</v>
      </c>
      <c r="D224" s="868" t="s">
        <v>339</v>
      </c>
      <c r="E224" s="869">
        <v>10</v>
      </c>
      <c r="F224" s="870" t="s">
        <v>304</v>
      </c>
      <c r="G224" s="871">
        <v>0</v>
      </c>
      <c r="H224" s="864" t="s">
        <v>1388</v>
      </c>
      <c r="I224" s="865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67" t="s">
        <v>1088</v>
      </c>
      <c r="B225" s="863" t="s">
        <v>1384</v>
      </c>
      <c r="C225" s="863" t="s">
        <v>339</v>
      </c>
      <c r="D225" s="868" t="s">
        <v>339</v>
      </c>
      <c r="E225" s="869">
        <v>10</v>
      </c>
      <c r="F225" s="870" t="s">
        <v>304</v>
      </c>
      <c r="G225" s="871">
        <v>0</v>
      </c>
      <c r="H225" s="864" t="s">
        <v>1400</v>
      </c>
      <c r="I225" s="865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67" t="s">
        <v>1088</v>
      </c>
      <c r="B226" s="863" t="s">
        <v>1384</v>
      </c>
      <c r="C226" s="863" t="s">
        <v>339</v>
      </c>
      <c r="D226" s="868" t="s">
        <v>339</v>
      </c>
      <c r="E226" s="869">
        <v>10</v>
      </c>
      <c r="F226" s="870" t="s">
        <v>304</v>
      </c>
      <c r="G226" s="871">
        <v>0</v>
      </c>
      <c r="H226" s="864" t="s">
        <v>1401</v>
      </c>
      <c r="I226" s="865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67" t="s">
        <v>1088</v>
      </c>
      <c r="B227" s="863" t="s">
        <v>1384</v>
      </c>
      <c r="C227" s="863" t="s">
        <v>339</v>
      </c>
      <c r="D227" s="868" t="s">
        <v>339</v>
      </c>
      <c r="E227" s="869">
        <v>10</v>
      </c>
      <c r="F227" s="870" t="s">
        <v>304</v>
      </c>
      <c r="G227" s="871">
        <v>0</v>
      </c>
      <c r="H227" s="864" t="s">
        <v>1402</v>
      </c>
      <c r="I227" s="865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67" t="s">
        <v>647</v>
      </c>
      <c r="B228" s="863" t="s">
        <v>1408</v>
      </c>
      <c r="C228" s="863" t="s">
        <v>339</v>
      </c>
      <c r="D228" s="868" t="s">
        <v>339</v>
      </c>
      <c r="E228" s="869">
        <v>-50</v>
      </c>
      <c r="F228" s="870" t="s">
        <v>304</v>
      </c>
      <c r="G228" s="871">
        <v>0</v>
      </c>
      <c r="H228" s="864" t="s">
        <v>1420</v>
      </c>
      <c r="I228" s="865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67" t="s">
        <v>647</v>
      </c>
      <c r="B229" s="863" t="s">
        <v>1408</v>
      </c>
      <c r="C229" s="863" t="s">
        <v>339</v>
      </c>
      <c r="D229" s="868" t="s">
        <v>339</v>
      </c>
      <c r="E229" s="869">
        <v>-50</v>
      </c>
      <c r="F229" s="870" t="s">
        <v>304</v>
      </c>
      <c r="G229" s="871">
        <v>0</v>
      </c>
      <c r="H229" s="864" t="s">
        <v>1438</v>
      </c>
      <c r="I229" s="865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67" t="s">
        <v>647</v>
      </c>
      <c r="B230" s="863" t="s">
        <v>1408</v>
      </c>
      <c r="C230" s="863" t="s">
        <v>339</v>
      </c>
      <c r="D230" s="868" t="s">
        <v>339</v>
      </c>
      <c r="E230" s="869">
        <v>50</v>
      </c>
      <c r="F230" s="870" t="s">
        <v>304</v>
      </c>
      <c r="G230" s="871">
        <v>-2135</v>
      </c>
      <c r="H230" s="864" t="s">
        <v>1421</v>
      </c>
      <c r="I230" s="865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67" t="s">
        <v>1088</v>
      </c>
      <c r="B231" s="863" t="s">
        <v>1408</v>
      </c>
      <c r="C231" s="863" t="s">
        <v>339</v>
      </c>
      <c r="D231" s="868" t="s">
        <v>339</v>
      </c>
      <c r="E231" s="869">
        <v>-50</v>
      </c>
      <c r="F231" s="870" t="s">
        <v>304</v>
      </c>
      <c r="G231" s="871">
        <v>0</v>
      </c>
      <c r="H231" s="864" t="s">
        <v>1439</v>
      </c>
      <c r="I231" s="865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67" t="s">
        <v>1088</v>
      </c>
      <c r="B232" s="863" t="s">
        <v>1408</v>
      </c>
      <c r="C232" s="863" t="s">
        <v>339</v>
      </c>
      <c r="D232" s="868" t="s">
        <v>339</v>
      </c>
      <c r="E232" s="869">
        <v>-50</v>
      </c>
      <c r="F232" s="870" t="s">
        <v>304</v>
      </c>
      <c r="G232" s="871">
        <v>0</v>
      </c>
      <c r="H232" s="864" t="s">
        <v>1440</v>
      </c>
      <c r="I232" s="865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67" t="s">
        <v>1088</v>
      </c>
      <c r="B233" s="863" t="s">
        <v>1408</v>
      </c>
      <c r="C233" s="863" t="s">
        <v>339</v>
      </c>
      <c r="D233" s="868" t="s">
        <v>339</v>
      </c>
      <c r="E233" s="869">
        <v>-50</v>
      </c>
      <c r="F233" s="870" t="s">
        <v>304</v>
      </c>
      <c r="G233" s="871">
        <v>0</v>
      </c>
      <c r="H233" s="864" t="s">
        <v>1441</v>
      </c>
      <c r="I233" s="865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67" t="s">
        <v>1088</v>
      </c>
      <c r="B234" s="863" t="s">
        <v>1408</v>
      </c>
      <c r="C234" s="863" t="s">
        <v>339</v>
      </c>
      <c r="D234" s="868" t="s">
        <v>339</v>
      </c>
      <c r="E234" s="869">
        <v>20</v>
      </c>
      <c r="F234" s="870" t="s">
        <v>304</v>
      </c>
      <c r="G234" s="871">
        <v>0</v>
      </c>
      <c r="H234" s="864" t="s">
        <v>1442</v>
      </c>
      <c r="I234" s="865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67" t="s">
        <v>1088</v>
      </c>
      <c r="B235" s="863" t="s">
        <v>1408</v>
      </c>
      <c r="C235" s="863" t="s">
        <v>339</v>
      </c>
      <c r="D235" s="868" t="s">
        <v>339</v>
      </c>
      <c r="E235" s="869">
        <v>10</v>
      </c>
      <c r="F235" s="870" t="s">
        <v>304</v>
      </c>
      <c r="G235" s="871">
        <v>0</v>
      </c>
      <c r="H235" s="864" t="s">
        <v>1443</v>
      </c>
      <c r="I235" s="865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67" t="s">
        <v>1088</v>
      </c>
      <c r="B236" s="863" t="s">
        <v>1408</v>
      </c>
      <c r="C236" s="863" t="s">
        <v>339</v>
      </c>
      <c r="D236" s="868" t="s">
        <v>339</v>
      </c>
      <c r="E236" s="869">
        <v>10</v>
      </c>
      <c r="F236" s="870" t="s">
        <v>304</v>
      </c>
      <c r="G236" s="871">
        <v>0</v>
      </c>
      <c r="H236" s="864" t="s">
        <v>1444</v>
      </c>
      <c r="I236" s="865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67" t="s">
        <v>1088</v>
      </c>
      <c r="B237" s="863" t="s">
        <v>1408</v>
      </c>
      <c r="C237" s="863" t="s">
        <v>339</v>
      </c>
      <c r="D237" s="868" t="s">
        <v>339</v>
      </c>
      <c r="E237" s="869">
        <v>10</v>
      </c>
      <c r="F237" s="870" t="s">
        <v>304</v>
      </c>
      <c r="G237" s="871">
        <v>0</v>
      </c>
      <c r="H237" s="864" t="s">
        <v>1445</v>
      </c>
      <c r="I237" s="865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67" t="s">
        <v>1088</v>
      </c>
      <c r="B238" s="863" t="s">
        <v>1408</v>
      </c>
      <c r="C238" s="863" t="s">
        <v>339</v>
      </c>
      <c r="D238" s="868" t="s">
        <v>339</v>
      </c>
      <c r="E238" s="869">
        <v>10</v>
      </c>
      <c r="F238" s="870" t="s">
        <v>304</v>
      </c>
      <c r="G238" s="871">
        <v>0</v>
      </c>
      <c r="H238" s="864" t="s">
        <v>1446</v>
      </c>
      <c r="I238" s="865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67" t="s">
        <v>1088</v>
      </c>
      <c r="B239" s="863" t="s">
        <v>1408</v>
      </c>
      <c r="C239" s="863" t="s">
        <v>339</v>
      </c>
      <c r="D239" s="868" t="s">
        <v>339</v>
      </c>
      <c r="E239" s="869">
        <v>10</v>
      </c>
      <c r="F239" s="870" t="s">
        <v>304</v>
      </c>
      <c r="G239" s="871">
        <v>0</v>
      </c>
      <c r="H239" s="864" t="s">
        <v>1447</v>
      </c>
      <c r="I239" s="865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67" t="s">
        <v>1088</v>
      </c>
      <c r="B240" s="863" t="s">
        <v>1408</v>
      </c>
      <c r="C240" s="863" t="s">
        <v>339</v>
      </c>
      <c r="D240" s="868" t="s">
        <v>339</v>
      </c>
      <c r="E240" s="869">
        <v>30</v>
      </c>
      <c r="F240" s="870" t="s">
        <v>304</v>
      </c>
      <c r="G240" s="871">
        <v>0</v>
      </c>
      <c r="H240" s="864" t="s">
        <v>1448</v>
      </c>
      <c r="I240" s="865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67" t="s">
        <v>1088</v>
      </c>
      <c r="B241" s="863" t="s">
        <v>1390</v>
      </c>
      <c r="C241" s="863" t="s">
        <v>339</v>
      </c>
      <c r="D241" s="868" t="s">
        <v>339</v>
      </c>
      <c r="E241" s="869">
        <v>-20</v>
      </c>
      <c r="F241" s="870" t="s">
        <v>304</v>
      </c>
      <c r="G241" s="871">
        <v>744</v>
      </c>
      <c r="H241" s="864" t="s">
        <v>1405</v>
      </c>
      <c r="I241" s="865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67" t="s">
        <v>1088</v>
      </c>
      <c r="B242" s="863" t="s">
        <v>1390</v>
      </c>
      <c r="C242" s="863" t="s">
        <v>339</v>
      </c>
      <c r="D242" s="868" t="s">
        <v>339</v>
      </c>
      <c r="E242" s="869">
        <v>-20</v>
      </c>
      <c r="F242" s="870" t="s">
        <v>304</v>
      </c>
      <c r="G242" s="871">
        <v>744</v>
      </c>
      <c r="H242" s="864" t="s">
        <v>1406</v>
      </c>
      <c r="I242" s="865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67" t="s">
        <v>1088</v>
      </c>
      <c r="B243" s="863" t="s">
        <v>1452</v>
      </c>
      <c r="C243" s="863" t="s">
        <v>339</v>
      </c>
      <c r="D243" s="868" t="s">
        <v>339</v>
      </c>
      <c r="E243" s="869">
        <v>-20</v>
      </c>
      <c r="F243" s="870" t="s">
        <v>304</v>
      </c>
      <c r="G243" s="871">
        <v>0</v>
      </c>
      <c r="H243" s="864" t="s">
        <v>1484</v>
      </c>
      <c r="I243" s="865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67" t="s">
        <v>1088</v>
      </c>
      <c r="B244" s="863" t="s">
        <v>1452</v>
      </c>
      <c r="C244" s="863" t="s">
        <v>339</v>
      </c>
      <c r="D244" s="868" t="s">
        <v>339</v>
      </c>
      <c r="E244" s="869">
        <v>-20</v>
      </c>
      <c r="F244" s="870" t="s">
        <v>304</v>
      </c>
      <c r="G244" s="871">
        <v>0</v>
      </c>
      <c r="H244" s="864" t="s">
        <v>1485</v>
      </c>
      <c r="I244" s="865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67" t="s">
        <v>1088</v>
      </c>
      <c r="B245" s="863" t="s">
        <v>1452</v>
      </c>
      <c r="C245" s="863" t="s">
        <v>339</v>
      </c>
      <c r="D245" s="868" t="s">
        <v>339</v>
      </c>
      <c r="E245" s="869">
        <v>-10</v>
      </c>
      <c r="F245" s="870" t="s">
        <v>304</v>
      </c>
      <c r="G245" s="871">
        <v>0</v>
      </c>
      <c r="H245" s="864" t="s">
        <v>1486</v>
      </c>
      <c r="I245" s="865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67" t="s">
        <v>1088</v>
      </c>
      <c r="B246" s="863" t="s">
        <v>1452</v>
      </c>
      <c r="C246" s="863" t="s">
        <v>339</v>
      </c>
      <c r="D246" s="868" t="s">
        <v>339</v>
      </c>
      <c r="E246" s="869">
        <v>-30</v>
      </c>
      <c r="F246" s="870" t="s">
        <v>304</v>
      </c>
      <c r="G246" s="871">
        <v>0</v>
      </c>
      <c r="H246" s="864" t="s">
        <v>1487</v>
      </c>
      <c r="I246" s="865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67" t="s">
        <v>1088</v>
      </c>
      <c r="B247" s="863" t="s">
        <v>1452</v>
      </c>
      <c r="C247" s="863" t="s">
        <v>339</v>
      </c>
      <c r="D247" s="868" t="s">
        <v>339</v>
      </c>
      <c r="E247" s="869">
        <v>-10</v>
      </c>
      <c r="F247" s="870" t="s">
        <v>304</v>
      </c>
      <c r="G247" s="871">
        <v>0</v>
      </c>
      <c r="H247" s="864" t="s">
        <v>1488</v>
      </c>
      <c r="I247" s="865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67" t="s">
        <v>1088</v>
      </c>
      <c r="B248" s="863" t="s">
        <v>1452</v>
      </c>
      <c r="C248" s="863" t="s">
        <v>339</v>
      </c>
      <c r="D248" s="868" t="s">
        <v>339</v>
      </c>
      <c r="E248" s="869">
        <v>-10</v>
      </c>
      <c r="F248" s="870" t="s">
        <v>304</v>
      </c>
      <c r="G248" s="871">
        <v>0</v>
      </c>
      <c r="H248" s="864" t="s">
        <v>1489</v>
      </c>
      <c r="I248" s="865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67" t="s">
        <v>1088</v>
      </c>
      <c r="B249" s="863" t="s">
        <v>1452</v>
      </c>
      <c r="C249" s="863" t="s">
        <v>339</v>
      </c>
      <c r="D249" s="868" t="s">
        <v>339</v>
      </c>
      <c r="E249" s="869">
        <v>-10</v>
      </c>
      <c r="F249" s="870" t="s">
        <v>304</v>
      </c>
      <c r="G249" s="871">
        <v>0</v>
      </c>
      <c r="H249" s="864" t="s">
        <v>1490</v>
      </c>
      <c r="I249" s="865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67" t="s">
        <v>1088</v>
      </c>
      <c r="B250" s="863" t="s">
        <v>1474</v>
      </c>
      <c r="C250" s="863" t="s">
        <v>339</v>
      </c>
      <c r="D250" s="868" t="s">
        <v>339</v>
      </c>
      <c r="E250" s="869">
        <v>-20</v>
      </c>
      <c r="F250" s="870" t="s">
        <v>304</v>
      </c>
      <c r="G250" s="871">
        <v>0</v>
      </c>
      <c r="H250" s="864" t="s">
        <v>1491</v>
      </c>
      <c r="I250" s="865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67" t="s">
        <v>1088</v>
      </c>
      <c r="B251" s="863" t="s">
        <v>1452</v>
      </c>
      <c r="C251" s="863" t="s">
        <v>339</v>
      </c>
      <c r="D251" s="868" t="s">
        <v>339</v>
      </c>
      <c r="E251" s="869">
        <v>5</v>
      </c>
      <c r="F251" s="870" t="s">
        <v>304</v>
      </c>
      <c r="G251" s="871">
        <v>0</v>
      </c>
      <c r="H251" s="864" t="s">
        <v>1492</v>
      </c>
      <c r="I251" s="865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67" t="s">
        <v>1088</v>
      </c>
      <c r="B252" s="863" t="s">
        <v>1408</v>
      </c>
      <c r="C252" s="863" t="s">
        <v>339</v>
      </c>
      <c r="D252" s="868" t="s">
        <v>339</v>
      </c>
      <c r="E252" s="869">
        <v>-30</v>
      </c>
      <c r="F252" s="870" t="s">
        <v>304</v>
      </c>
      <c r="G252" s="871">
        <v>1860.0000000000002</v>
      </c>
      <c r="H252" s="864" t="s">
        <v>1423</v>
      </c>
      <c r="I252" s="865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67" t="s">
        <v>1088</v>
      </c>
      <c r="B253" s="863" t="s">
        <v>1493</v>
      </c>
      <c r="C253" s="863" t="s">
        <v>339</v>
      </c>
      <c r="D253" s="868" t="s">
        <v>339</v>
      </c>
      <c r="E253" s="869">
        <v>30</v>
      </c>
      <c r="F253" s="870" t="s">
        <v>304</v>
      </c>
      <c r="G253" s="871">
        <v>0</v>
      </c>
      <c r="H253" s="864" t="s">
        <v>1509</v>
      </c>
      <c r="I253" s="865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67" t="s">
        <v>1088</v>
      </c>
      <c r="B254" s="863" t="s">
        <v>1493</v>
      </c>
      <c r="C254" s="863" t="s">
        <v>339</v>
      </c>
      <c r="D254" s="868" t="s">
        <v>339</v>
      </c>
      <c r="E254" s="869">
        <v>-3</v>
      </c>
      <c r="F254" s="870" t="s">
        <v>304</v>
      </c>
      <c r="G254" s="871">
        <v>0</v>
      </c>
      <c r="H254" s="864" t="s">
        <v>1510</v>
      </c>
      <c r="I254" s="865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67" t="s">
        <v>1088</v>
      </c>
      <c r="B255" s="863" t="s">
        <v>1493</v>
      </c>
      <c r="C255" s="863" t="s">
        <v>339</v>
      </c>
      <c r="D255" s="868" t="s">
        <v>339</v>
      </c>
      <c r="E255" s="869">
        <v>-10</v>
      </c>
      <c r="F255" s="870" t="s">
        <v>304</v>
      </c>
      <c r="G255" s="871">
        <v>0</v>
      </c>
      <c r="H255" s="864" t="s">
        <v>1511</v>
      </c>
      <c r="I255" s="865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67" t="s">
        <v>1088</v>
      </c>
      <c r="B256" s="863" t="s">
        <v>1390</v>
      </c>
      <c r="C256" s="863" t="s">
        <v>339</v>
      </c>
      <c r="D256" s="868" t="s">
        <v>339</v>
      </c>
      <c r="E256" s="869">
        <v>-20</v>
      </c>
      <c r="F256" s="870" t="s">
        <v>304</v>
      </c>
      <c r="G256" s="871">
        <v>744</v>
      </c>
      <c r="H256" s="864" t="s">
        <v>1404</v>
      </c>
      <c r="I256" s="865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67" t="s">
        <v>1088</v>
      </c>
      <c r="B257" s="863" t="s">
        <v>1517</v>
      </c>
      <c r="C257" s="863" t="s">
        <v>339</v>
      </c>
      <c r="D257" s="868" t="s">
        <v>339</v>
      </c>
      <c r="E257" s="869">
        <v>-10</v>
      </c>
      <c r="F257" s="870" t="s">
        <v>304</v>
      </c>
      <c r="G257" s="871">
        <v>0</v>
      </c>
      <c r="H257" s="864" t="s">
        <v>1531</v>
      </c>
      <c r="I257" s="865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67" t="s">
        <v>1088</v>
      </c>
      <c r="B258" s="863" t="s">
        <v>1517</v>
      </c>
      <c r="C258" s="863" t="s">
        <v>339</v>
      </c>
      <c r="D258" s="868" t="s">
        <v>339</v>
      </c>
      <c r="E258" s="869">
        <v>-10</v>
      </c>
      <c r="F258" s="870" t="s">
        <v>304</v>
      </c>
      <c r="G258" s="871">
        <v>0</v>
      </c>
      <c r="H258" s="864" t="s">
        <v>1532</v>
      </c>
      <c r="I258" s="865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67" t="s">
        <v>1088</v>
      </c>
      <c r="B259" s="863" t="s">
        <v>1390</v>
      </c>
      <c r="C259" s="863" t="s">
        <v>339</v>
      </c>
      <c r="D259" s="868" t="s">
        <v>339</v>
      </c>
      <c r="E259" s="869">
        <v>-10</v>
      </c>
      <c r="F259" s="870" t="s">
        <v>304</v>
      </c>
      <c r="G259" s="871">
        <v>744</v>
      </c>
      <c r="H259" s="864" t="s">
        <v>1403</v>
      </c>
      <c r="I259" s="865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67" t="s">
        <v>1088</v>
      </c>
      <c r="B260" s="863" t="s">
        <v>1517</v>
      </c>
      <c r="C260" s="863" t="s">
        <v>339</v>
      </c>
      <c r="D260" s="868" t="s">
        <v>339</v>
      </c>
      <c r="E260" s="869">
        <v>-10</v>
      </c>
      <c r="F260" s="870" t="s">
        <v>304</v>
      </c>
      <c r="G260" s="871">
        <v>0</v>
      </c>
      <c r="H260" s="864" t="s">
        <v>1536</v>
      </c>
      <c r="I260" s="865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67" t="s">
        <v>1088</v>
      </c>
      <c r="B261" s="863" t="s">
        <v>1517</v>
      </c>
      <c r="C261" s="863" t="s">
        <v>339</v>
      </c>
      <c r="D261" s="868" t="s">
        <v>339</v>
      </c>
      <c r="E261" s="869">
        <v>-10</v>
      </c>
      <c r="F261" s="870" t="s">
        <v>304</v>
      </c>
      <c r="G261" s="871">
        <v>0</v>
      </c>
      <c r="H261" s="864" t="s">
        <v>1537</v>
      </c>
      <c r="I261" s="865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67" t="s">
        <v>1088</v>
      </c>
      <c r="B262" s="863" t="s">
        <v>1517</v>
      </c>
      <c r="C262" s="863" t="s">
        <v>339</v>
      </c>
      <c r="D262" s="868" t="s">
        <v>339</v>
      </c>
      <c r="E262" s="869">
        <v>-10</v>
      </c>
      <c r="F262" s="870" t="s">
        <v>304</v>
      </c>
      <c r="G262" s="871">
        <v>0</v>
      </c>
      <c r="H262" s="864" t="s">
        <v>1538</v>
      </c>
      <c r="I262" s="865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67" t="s">
        <v>1088</v>
      </c>
      <c r="B263" s="863" t="s">
        <v>1390</v>
      </c>
      <c r="C263" s="863" t="s">
        <v>339</v>
      </c>
      <c r="D263" s="868" t="s">
        <v>339</v>
      </c>
      <c r="E263" s="869">
        <v>-20</v>
      </c>
      <c r="F263" s="870" t="s">
        <v>304</v>
      </c>
      <c r="G263" s="871">
        <v>744</v>
      </c>
      <c r="H263" s="864" t="s">
        <v>1422</v>
      </c>
      <c r="I263" s="865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67" t="s">
        <v>1088</v>
      </c>
      <c r="B264" s="863" t="s">
        <v>1408</v>
      </c>
      <c r="C264" s="863" t="s">
        <v>339</v>
      </c>
      <c r="D264" s="868" t="s">
        <v>339</v>
      </c>
      <c r="E264" s="869">
        <v>-20</v>
      </c>
      <c r="F264" s="870" t="s">
        <v>304</v>
      </c>
      <c r="G264" s="871">
        <v>744</v>
      </c>
      <c r="H264" s="864" t="s">
        <v>1423</v>
      </c>
      <c r="I264" s="865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67" t="s">
        <v>1088</v>
      </c>
      <c r="B265" s="863" t="s">
        <v>1390</v>
      </c>
      <c r="C265" s="863" t="s">
        <v>339</v>
      </c>
      <c r="D265" s="868" t="s">
        <v>339</v>
      </c>
      <c r="E265" s="869">
        <v>-10</v>
      </c>
      <c r="F265" s="870" t="s">
        <v>304</v>
      </c>
      <c r="G265" s="871">
        <v>372</v>
      </c>
      <c r="H265" s="864" t="s">
        <v>1403</v>
      </c>
      <c r="I265" s="865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67" t="s">
        <v>589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7"/>
        <v>0</v>
      </c>
      <c r="L266" s="381"/>
    </row>
    <row r="267" spans="1:12" s="270" customFormat="1">
      <c r="A267" s="867" t="s">
        <v>586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7"/>
        <v>0</v>
      </c>
      <c r="L267" s="381"/>
    </row>
    <row r="268" spans="1:12" s="270" customFormat="1">
      <c r="A268" s="867" t="s">
        <v>586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7"/>
        <v>0</v>
      </c>
      <c r="L268" s="381"/>
    </row>
    <row r="269" spans="1:12" s="270" customFormat="1">
      <c r="A269" s="867" t="s">
        <v>586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7"/>
        <v>0</v>
      </c>
      <c r="L269" s="381"/>
    </row>
    <row r="270" spans="1:12" s="270" customFormat="1">
      <c r="A270" s="867" t="s">
        <v>589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7"/>
        <v>0</v>
      </c>
      <c r="L270" s="381"/>
    </row>
    <row r="271" spans="1:12" s="270" customFormat="1">
      <c r="A271" s="867" t="s">
        <v>589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7"/>
        <v>0</v>
      </c>
      <c r="L271" s="381"/>
    </row>
    <row r="272" spans="1:12" s="270" customFormat="1">
      <c r="A272" s="867" t="s">
        <v>589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7"/>
        <v>0</v>
      </c>
      <c r="L272" s="381"/>
    </row>
    <row r="273" spans="1:12" s="270" customFormat="1">
      <c r="A273" s="867" t="s">
        <v>589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7"/>
        <v>0</v>
      </c>
      <c r="L273" s="381"/>
    </row>
    <row r="274" spans="1:12" s="270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7"/>
        <v>0</v>
      </c>
      <c r="L274" s="381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7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7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7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7"/>
        <v>0</v>
      </c>
      <c r="L278" s="381"/>
    </row>
    <row r="279" spans="1:12" s="270" customFormat="1">
      <c r="A279" s="867" t="s">
        <v>590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7"/>
        <v>0</v>
      </c>
      <c r="L279" s="381"/>
    </row>
    <row r="280" spans="1:12" s="270" customFormat="1">
      <c r="A280" s="867" t="s">
        <v>590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7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7"/>
        <v>0</v>
      </c>
      <c r="L281" s="381"/>
    </row>
    <row r="282" spans="1:12" s="270" customFormat="1">
      <c r="A282" s="867" t="s">
        <v>589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7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7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7"/>
        <v>0</v>
      </c>
      <c r="L284" s="381"/>
    </row>
    <row r="285" spans="1:12" s="270" customFormat="1">
      <c r="A285" s="867" t="s">
        <v>589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7"/>
        <v>0</v>
      </c>
      <c r="L285" s="381"/>
    </row>
    <row r="286" spans="1:12" s="270" customFormat="1">
      <c r="A286" s="867" t="s">
        <v>589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7"/>
        <v>0</v>
      </c>
      <c r="L286" s="381"/>
    </row>
    <row r="287" spans="1:12" s="270" customFormat="1">
      <c r="A287" s="867" t="s">
        <v>589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7"/>
        <v>0</v>
      </c>
      <c r="L287" s="381"/>
    </row>
    <row r="288" spans="1:12" s="270" customFormat="1">
      <c r="A288" s="867" t="s">
        <v>589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7"/>
        <v>0</v>
      </c>
      <c r="L288" s="381"/>
    </row>
    <row r="289" spans="1:12" s="270" customFormat="1">
      <c r="A289" s="867" t="s">
        <v>604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si="7"/>
        <v>0</v>
      </c>
      <c r="L289" s="381"/>
    </row>
    <row r="290" spans="1:12" s="270" customFormat="1">
      <c r="A290" s="867" t="s">
        <v>604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7"/>
        <v>0</v>
      </c>
      <c r="L290" s="381"/>
    </row>
    <row r="291" spans="1:12" s="270" customFormat="1">
      <c r="A291" s="867" t="s">
        <v>602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7"/>
        <v>0</v>
      </c>
      <c r="L291" s="381"/>
    </row>
    <row r="292" spans="1:12" s="270" customFormat="1">
      <c r="A292" s="867" t="s">
        <v>602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7"/>
        <v>0</v>
      </c>
      <c r="L292" s="381"/>
    </row>
    <row r="293" spans="1:12" s="270" customFormat="1">
      <c r="A293" s="867" t="s">
        <v>602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7"/>
        <v>0</v>
      </c>
      <c r="L293" s="381"/>
    </row>
    <row r="294" spans="1:12" s="270" customFormat="1">
      <c r="A294" s="867" t="s">
        <v>602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7"/>
        <v>0</v>
      </c>
      <c r="L294" s="381"/>
    </row>
    <row r="295" spans="1:12" s="270" customFormat="1">
      <c r="A295" s="867" t="s">
        <v>607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7"/>
        <v>0</v>
      </c>
      <c r="L295" s="381"/>
    </row>
    <row r="296" spans="1:12" s="270" customFormat="1">
      <c r="A296" s="867" t="s">
        <v>607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7"/>
        <v>0</v>
      </c>
      <c r="L296" s="381"/>
    </row>
    <row r="297" spans="1:12" s="270" customFormat="1">
      <c r="A297" s="867" t="s">
        <v>607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7"/>
        <v>0</v>
      </c>
      <c r="L297" s="381"/>
    </row>
    <row r="298" spans="1:12" s="270" customFormat="1">
      <c r="A298" s="867" t="s">
        <v>607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7"/>
        <v>0</v>
      </c>
      <c r="L298" s="381"/>
    </row>
    <row r="299" spans="1:12" s="270" customFormat="1">
      <c r="A299" s="867" t="s">
        <v>607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7"/>
        <v>0</v>
      </c>
      <c r="L299" s="381"/>
    </row>
    <row r="300" spans="1:12" s="270" customFormat="1">
      <c r="A300" s="867" t="s">
        <v>607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7"/>
        <v>0</v>
      </c>
      <c r="L300" s="381"/>
    </row>
    <row r="301" spans="1:12" s="270" customFormat="1">
      <c r="A301" s="867" t="s">
        <v>602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7"/>
        <v>0</v>
      </c>
      <c r="L301" s="381"/>
    </row>
    <row r="302" spans="1:12" s="270" customFormat="1">
      <c r="A302" s="867" t="s">
        <v>602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7"/>
        <v>0</v>
      </c>
      <c r="L302" s="381"/>
    </row>
    <row r="303" spans="1:12" s="270" customFormat="1">
      <c r="A303" s="867" t="s">
        <v>607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7"/>
        <v>0</v>
      </c>
      <c r="L303" s="381"/>
    </row>
    <row r="304" spans="1:12" s="270" customFormat="1">
      <c r="A304" s="867" t="s">
        <v>607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7"/>
        <v>0</v>
      </c>
      <c r="L304" s="381"/>
    </row>
    <row r="305" spans="1:12" s="270" customFormat="1">
      <c r="A305" s="867" t="s">
        <v>607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7"/>
        <v>0</v>
      </c>
      <c r="L305" s="381"/>
    </row>
    <row r="306" spans="1:12" s="270" customFormat="1">
      <c r="A306" s="867" t="s">
        <v>604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7"/>
        <v>0</v>
      </c>
      <c r="L306" s="381"/>
    </row>
    <row r="307" spans="1:12" s="270" customFormat="1">
      <c r="A307" s="867" t="s">
        <v>607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7"/>
        <v>0</v>
      </c>
      <c r="L307" s="381"/>
    </row>
    <row r="308" spans="1:12" s="270" customFormat="1">
      <c r="A308" s="867" t="s">
        <v>607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7"/>
        <v>0</v>
      </c>
      <c r="L308" s="381"/>
    </row>
    <row r="309" spans="1:12" s="270" customFormat="1">
      <c r="A309" s="867" t="s">
        <v>604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7"/>
        <v>0</v>
      </c>
      <c r="L309" s="381"/>
    </row>
    <row r="310" spans="1:12" s="270" customFormat="1">
      <c r="A310" s="867" t="s">
        <v>607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7"/>
        <v>0</v>
      </c>
      <c r="L310" s="381"/>
    </row>
    <row r="311" spans="1:12" s="270" customFormat="1">
      <c r="A311" s="867" t="s">
        <v>607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>IF(LEFT(A311,2)="TU",(J311-I311)*E311/100*100000*2,(J311-I311)*E311/100*100000)</f>
        <v>0</v>
      </c>
      <c r="L311" s="381"/>
    </row>
    <row r="312" spans="1:12" s="270" customFormat="1">
      <c r="A312" s="867" t="s">
        <v>607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7"/>
        <v>0</v>
      </c>
      <c r="L312" s="381"/>
    </row>
    <row r="313" spans="1:12" s="270" customFormat="1">
      <c r="A313" s="867" t="s">
        <v>607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7"/>
        <v>0</v>
      </c>
      <c r="L313" s="381"/>
    </row>
    <row r="314" spans="1:12" s="270" customFormat="1">
      <c r="A314" s="867" t="s">
        <v>607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7"/>
        <v>0</v>
      </c>
      <c r="L314" s="381"/>
    </row>
    <row r="315" spans="1:12" s="270" customFormat="1">
      <c r="A315" s="867" t="s">
        <v>607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67" t="s">
        <v>607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8"/>
        <v>0</v>
      </c>
      <c r="L316" s="381"/>
    </row>
    <row r="317" spans="1:12" s="270" customFormat="1">
      <c r="A317" s="867" t="s">
        <v>607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8"/>
        <v>0</v>
      </c>
      <c r="L317" s="381"/>
    </row>
    <row r="318" spans="1:12" s="270" customFormat="1">
      <c r="A318" s="867" t="s">
        <v>607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8"/>
        <v>0</v>
      </c>
      <c r="L318" s="381"/>
    </row>
    <row r="319" spans="1:12" s="270" customFormat="1">
      <c r="A319" s="867" t="s">
        <v>607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8"/>
        <v>0</v>
      </c>
      <c r="L319" s="381"/>
    </row>
    <row r="320" spans="1:12" s="270" customFormat="1">
      <c r="A320" s="867" t="s">
        <v>607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8"/>
        <v>0</v>
      </c>
      <c r="L320" s="381"/>
    </row>
    <row r="321" spans="1:12" s="270" customFormat="1">
      <c r="A321" s="867" t="s">
        <v>607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8"/>
        <v>0</v>
      </c>
      <c r="L321" s="381"/>
    </row>
    <row r="322" spans="1:12" s="270" customFormat="1">
      <c r="A322" s="867" t="s">
        <v>607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8"/>
        <v>0</v>
      </c>
      <c r="L322" s="381"/>
    </row>
    <row r="323" spans="1:12" s="270" customFormat="1">
      <c r="A323" s="867" t="s">
        <v>607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8"/>
        <v>0</v>
      </c>
      <c r="L323" s="381"/>
    </row>
    <row r="324" spans="1:12" s="270" customFormat="1">
      <c r="A324" s="867" t="s">
        <v>607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8"/>
        <v>0</v>
      </c>
      <c r="L324" s="381"/>
    </row>
    <row r="325" spans="1:12" s="270" customFormat="1">
      <c r="A325" s="867" t="s">
        <v>607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8"/>
        <v>0</v>
      </c>
      <c r="L325" s="381"/>
    </row>
    <row r="326" spans="1:12" s="270" customFormat="1">
      <c r="A326" s="867" t="s">
        <v>607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8"/>
        <v>0</v>
      </c>
      <c r="L326" s="381"/>
    </row>
    <row r="327" spans="1:12" s="270" customFormat="1">
      <c r="A327" s="867" t="s">
        <v>607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8"/>
        <v>0</v>
      </c>
      <c r="L327" s="381"/>
    </row>
    <row r="328" spans="1:12" s="270" customFormat="1">
      <c r="A328" s="867" t="s">
        <v>607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8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8"/>
        <v>0</v>
      </c>
      <c r="L329" s="381"/>
    </row>
    <row r="330" spans="1:12" s="270" customFormat="1">
      <c r="A330" s="867" t="s">
        <v>607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8"/>
        <v>0</v>
      </c>
      <c r="L330" s="381"/>
    </row>
    <row r="331" spans="1:12" s="270" customFormat="1">
      <c r="A331" s="867" t="s">
        <v>607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8"/>
        <v>0</v>
      </c>
      <c r="L331" s="381"/>
    </row>
    <row r="332" spans="1:12" s="270" customFormat="1">
      <c r="A332" s="867" t="s">
        <v>607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8"/>
        <v>0</v>
      </c>
      <c r="L332" s="381"/>
    </row>
    <row r="333" spans="1:12" s="270" customFormat="1">
      <c r="A333" s="867" t="s">
        <v>607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8"/>
        <v>0</v>
      </c>
      <c r="L333" s="381"/>
    </row>
    <row r="334" spans="1:12" s="270" customFormat="1">
      <c r="A334" s="867" t="s">
        <v>607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8"/>
        <v>0</v>
      </c>
      <c r="L334" s="381"/>
    </row>
    <row r="335" spans="1:12" s="270" customFormat="1">
      <c r="A335" s="867" t="s">
        <v>607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8"/>
        <v>0</v>
      </c>
      <c r="L335" s="381"/>
    </row>
    <row r="336" spans="1:12" s="270" customFormat="1">
      <c r="A336" s="867" t="s">
        <v>607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8"/>
        <v>0</v>
      </c>
      <c r="L336" s="381"/>
    </row>
    <row r="337" spans="1:12" s="270" customFormat="1">
      <c r="A337" s="867" t="s">
        <v>604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8"/>
        <v>0</v>
      </c>
      <c r="L337" s="381"/>
    </row>
    <row r="338" spans="1:12" s="270" customFormat="1">
      <c r="A338" s="867" t="s">
        <v>604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8"/>
        <v>0</v>
      </c>
      <c r="L338" s="381"/>
    </row>
    <row r="339" spans="1:12" s="270" customFormat="1">
      <c r="A339" s="867" t="s">
        <v>604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8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8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8"/>
        <v>0</v>
      </c>
      <c r="L341" s="381"/>
    </row>
    <row r="342" spans="1:12" s="270" customFormat="1">
      <c r="A342" s="867" t="s">
        <v>607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8"/>
        <v>0</v>
      </c>
      <c r="L342" s="381"/>
    </row>
    <row r="343" spans="1:12" s="270" customFormat="1">
      <c r="A343" s="867" t="s">
        <v>607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8"/>
        <v>0</v>
      </c>
      <c r="L343" s="381"/>
    </row>
    <row r="344" spans="1:12" s="270" customFormat="1">
      <c r="A344" s="867" t="s">
        <v>607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8"/>
        <v>0</v>
      </c>
      <c r="L344" s="381"/>
    </row>
    <row r="345" spans="1:12" s="270" customFormat="1">
      <c r="A345" s="867" t="s">
        <v>607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8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8"/>
        <v>0</v>
      </c>
      <c r="L346" s="381"/>
    </row>
    <row r="347" spans="1:12" s="270" customFormat="1">
      <c r="A347" s="867" t="s">
        <v>604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8"/>
        <v>0</v>
      </c>
      <c r="L347" s="381"/>
    </row>
    <row r="348" spans="1:12" s="270" customFormat="1">
      <c r="A348" s="867" t="s">
        <v>602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8"/>
        <v>0</v>
      </c>
      <c r="L348" s="381"/>
    </row>
    <row r="349" spans="1:12" s="270" customFormat="1">
      <c r="A349" s="867" t="s">
        <v>602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8"/>
        <v>0</v>
      </c>
      <c r="L349" s="381"/>
    </row>
    <row r="350" spans="1:12" s="270" customFormat="1">
      <c r="A350" s="867" t="s">
        <v>602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8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8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8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si="8"/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8"/>
        <v>0</v>
      </c>
      <c r="L354" s="381"/>
    </row>
    <row r="355" spans="1:12" s="270" customFormat="1">
      <c r="A355" s="867" t="s">
        <v>607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8"/>
        <v>0</v>
      </c>
      <c r="L355" s="381"/>
    </row>
    <row r="356" spans="1:12" s="270" customFormat="1">
      <c r="A356" s="867" t="s">
        <v>607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8"/>
        <v>0</v>
      </c>
      <c r="L356" s="381"/>
    </row>
    <row r="357" spans="1:12" s="270" customFormat="1">
      <c r="A357" s="867" t="s">
        <v>631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8"/>
        <v>0</v>
      </c>
      <c r="L357" s="381"/>
    </row>
    <row r="358" spans="1:12" s="270" customFormat="1">
      <c r="A358" s="867" t="s">
        <v>631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8"/>
        <v>0</v>
      </c>
      <c r="L358" s="381"/>
    </row>
    <row r="359" spans="1:12" s="270" customFormat="1">
      <c r="A359" s="867" t="s">
        <v>629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8"/>
        <v>0</v>
      </c>
      <c r="L359" s="381"/>
    </row>
    <row r="360" spans="1:12" s="270" customFormat="1">
      <c r="A360" s="867" t="s">
        <v>629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8"/>
        <v>0</v>
      </c>
      <c r="L360" s="381"/>
    </row>
    <row r="361" spans="1:12" s="270" customFormat="1">
      <c r="A361" s="867" t="s">
        <v>629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8"/>
        <v>0</v>
      </c>
      <c r="L361" s="381"/>
    </row>
    <row r="362" spans="1:12" s="270" customFormat="1">
      <c r="A362" s="867" t="s">
        <v>629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8"/>
        <v>0</v>
      </c>
      <c r="L362" s="381"/>
    </row>
    <row r="363" spans="1:12" s="270" customFormat="1">
      <c r="A363" s="867" t="s">
        <v>639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8"/>
        <v>0</v>
      </c>
      <c r="L363" s="381"/>
    </row>
    <row r="364" spans="1:12" s="270" customFormat="1">
      <c r="A364" s="867" t="s">
        <v>631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8"/>
        <v>0</v>
      </c>
      <c r="L364" s="381"/>
    </row>
    <row r="365" spans="1:12" s="270" customFormat="1">
      <c r="A365" s="867" t="s">
        <v>629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8"/>
        <v>0</v>
      </c>
      <c r="L365" s="381"/>
    </row>
    <row r="366" spans="1:12" s="270" customFormat="1">
      <c r="A366" s="867" t="s">
        <v>639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8"/>
        <v>0</v>
      </c>
      <c r="L366" s="381"/>
    </row>
    <row r="367" spans="1:12" s="270" customFormat="1">
      <c r="A367" s="867" t="s">
        <v>639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8"/>
        <v>0</v>
      </c>
      <c r="L367" s="381"/>
    </row>
    <row r="368" spans="1:12" s="270" customFormat="1">
      <c r="A368" s="867" t="s">
        <v>631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8"/>
        <v>0</v>
      </c>
      <c r="L368" s="381"/>
    </row>
    <row r="369" spans="1:12" s="270" customFormat="1">
      <c r="A369" s="867" t="s">
        <v>639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8"/>
        <v>0</v>
      </c>
      <c r="L369" s="381"/>
    </row>
    <row r="370" spans="1:12" s="270" customFormat="1">
      <c r="A370" s="867" t="s">
        <v>629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8"/>
        <v>0</v>
      </c>
      <c r="L370" s="381"/>
    </row>
    <row r="371" spans="1:12" s="270" customFormat="1">
      <c r="A371" s="867" t="s">
        <v>629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8"/>
        <v>0</v>
      </c>
      <c r="L371" s="381"/>
    </row>
    <row r="372" spans="1:12" s="270" customFormat="1">
      <c r="A372" s="867" t="s">
        <v>629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8"/>
        <v>0</v>
      </c>
      <c r="L372" s="381"/>
    </row>
    <row r="373" spans="1:12" s="270" customFormat="1">
      <c r="A373" s="867" t="s">
        <v>629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8"/>
        <v>0</v>
      </c>
      <c r="L373" s="381"/>
    </row>
    <row r="374" spans="1:12" s="270" customFormat="1">
      <c r="A374" s="867" t="s">
        <v>631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8"/>
        <v>0</v>
      </c>
      <c r="L374" s="381"/>
    </row>
    <row r="375" spans="1:12" s="270" customFormat="1">
      <c r="A375" s="867" t="s">
        <v>631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8"/>
        <v>0</v>
      </c>
      <c r="L375" s="381"/>
    </row>
    <row r="376" spans="1:12" s="270" customFormat="1">
      <c r="A376" s="867" t="s">
        <v>639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8"/>
        <v>0</v>
      </c>
      <c r="L376" s="381"/>
    </row>
    <row r="377" spans="1:12" s="270" customFormat="1">
      <c r="A377" s="867" t="s">
        <v>629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8"/>
        <v>0</v>
      </c>
      <c r="L377" s="381"/>
    </row>
    <row r="378" spans="1:12" s="270" customFormat="1">
      <c r="A378" s="867" t="s">
        <v>631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8"/>
        <v>0</v>
      </c>
      <c r="L378" s="381"/>
    </row>
    <row r="379" spans="1:12" s="270" customFormat="1">
      <c r="A379" s="867" t="s">
        <v>629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67" t="s">
        <v>639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9"/>
        <v>0</v>
      </c>
      <c r="L380" s="381"/>
    </row>
    <row r="381" spans="1:12" s="270" customFormat="1">
      <c r="A381" s="867" t="s">
        <v>639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9"/>
        <v>0</v>
      </c>
      <c r="L381" s="381"/>
    </row>
    <row r="382" spans="1:12" s="270" customFormat="1">
      <c r="A382" s="867" t="s">
        <v>629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9"/>
        <v>0</v>
      </c>
      <c r="L382" s="381"/>
    </row>
    <row r="383" spans="1:12" s="270" customFormat="1">
      <c r="A383" s="867" t="s">
        <v>629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9"/>
        <v>0</v>
      </c>
      <c r="L383" s="381"/>
    </row>
    <row r="384" spans="1:12" s="270" customFormat="1">
      <c r="A384" s="867" t="s">
        <v>629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9"/>
        <v>0</v>
      </c>
      <c r="L384" s="381"/>
    </row>
    <row r="385" spans="1:12" s="270" customFormat="1">
      <c r="A385" s="867" t="s">
        <v>629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si="9"/>
        <v>0</v>
      </c>
      <c r="L385" s="381"/>
    </row>
    <row r="386" spans="1:12" s="270" customFormat="1">
      <c r="A386" s="867" t="s">
        <v>511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9"/>
        <v>0</v>
      </c>
      <c r="L386" s="381"/>
    </row>
    <row r="387" spans="1:12" s="270" customFormat="1">
      <c r="A387" s="867" t="s">
        <v>511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9"/>
        <v>0</v>
      </c>
      <c r="L387" s="381"/>
    </row>
    <row r="388" spans="1:12" s="270" customFormat="1">
      <c r="A388" s="867" t="s">
        <v>516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9"/>
        <v>0</v>
      </c>
      <c r="L388" s="381"/>
    </row>
    <row r="389" spans="1:12" s="270" customFormat="1">
      <c r="A389" s="867" t="s">
        <v>510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9"/>
        <v>0</v>
      </c>
      <c r="L389" s="381"/>
    </row>
    <row r="390" spans="1:12" s="270" customFormat="1">
      <c r="A390" s="867" t="s">
        <v>510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9"/>
        <v>0</v>
      </c>
      <c r="L390" s="381"/>
    </row>
    <row r="391" spans="1:12" s="270" customFormat="1">
      <c r="A391" s="867" t="s">
        <v>510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9"/>
        <v>0</v>
      </c>
      <c r="L391" s="381"/>
    </row>
    <row r="392" spans="1:12" s="270" customFormat="1">
      <c r="A392" s="867" t="s">
        <v>510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9"/>
        <v>0</v>
      </c>
      <c r="L392" s="381"/>
    </row>
    <row r="393" spans="1:12" s="270" customFormat="1">
      <c r="A393" s="867" t="s">
        <v>510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9"/>
        <v>0</v>
      </c>
      <c r="L393" s="381"/>
    </row>
    <row r="394" spans="1:12" s="270" customFormat="1">
      <c r="A394" s="867" t="s">
        <v>511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9"/>
        <v>0</v>
      </c>
      <c r="L394" s="381"/>
    </row>
    <row r="395" spans="1:12" s="270" customFormat="1">
      <c r="A395" s="867" t="s">
        <v>512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9"/>
        <v>0</v>
      </c>
      <c r="L395" s="381"/>
    </row>
    <row r="396" spans="1:12" s="270" customFormat="1">
      <c r="A396" s="867" t="s">
        <v>512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9"/>
        <v>0</v>
      </c>
      <c r="L396" s="381"/>
    </row>
    <row r="397" spans="1:12" s="270" customFormat="1">
      <c r="A397" s="867" t="s">
        <v>510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9"/>
        <v>0</v>
      </c>
      <c r="L397" s="381"/>
    </row>
    <row r="398" spans="1:12" s="270" customFormat="1">
      <c r="A398" s="867" t="s">
        <v>512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9"/>
        <v>0</v>
      </c>
      <c r="L398" s="381"/>
    </row>
    <row r="399" spans="1:12" s="270" customFormat="1">
      <c r="A399" s="867" t="s">
        <v>512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9"/>
        <v>0</v>
      </c>
      <c r="L399" s="381"/>
    </row>
    <row r="400" spans="1:12" s="270" customFormat="1">
      <c r="A400" s="867" t="s">
        <v>512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9"/>
        <v>0</v>
      </c>
      <c r="L400" s="381"/>
    </row>
    <row r="401" spans="1:12" s="270" customFormat="1">
      <c r="A401" s="867" t="s">
        <v>512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9"/>
        <v>0</v>
      </c>
      <c r="L401" s="381"/>
    </row>
    <row r="402" spans="1:12" s="270" customFormat="1">
      <c r="A402" s="867" t="s">
        <v>516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9"/>
        <v>0</v>
      </c>
      <c r="L402" s="381"/>
    </row>
    <row r="403" spans="1:12" s="270" customFormat="1">
      <c r="A403" s="867" t="s">
        <v>510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9"/>
        <v>0</v>
      </c>
      <c r="L403" s="381"/>
    </row>
    <row r="404" spans="1:12" s="270" customFormat="1">
      <c r="A404" s="867" t="s">
        <v>510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9"/>
        <v>0</v>
      </c>
      <c r="L404" s="381"/>
    </row>
    <row r="405" spans="1:12" s="270" customFormat="1">
      <c r="A405" s="867" t="s">
        <v>510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9"/>
        <v>0</v>
      </c>
      <c r="L405" s="381"/>
    </row>
    <row r="406" spans="1:12" s="270" customFormat="1">
      <c r="A406" s="867" t="s">
        <v>510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9"/>
        <v>0</v>
      </c>
      <c r="L406" s="381"/>
    </row>
    <row r="407" spans="1:12" s="270" customFormat="1">
      <c r="A407" s="867" t="s">
        <v>510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9"/>
        <v>0</v>
      </c>
      <c r="L407" s="381"/>
    </row>
    <row r="408" spans="1:12" s="270" customFormat="1">
      <c r="A408" s="867" t="s">
        <v>510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9"/>
        <v>0</v>
      </c>
      <c r="L408" s="381"/>
    </row>
    <row r="409" spans="1:12" s="270" customFormat="1">
      <c r="A409" s="867" t="s">
        <v>510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9"/>
        <v>0</v>
      </c>
      <c r="L409" s="381"/>
    </row>
    <row r="410" spans="1:12" s="270" customFormat="1">
      <c r="A410" s="867" t="s">
        <v>516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9"/>
        <v>0</v>
      </c>
      <c r="L410" s="381"/>
    </row>
    <row r="411" spans="1:12" s="270" customFormat="1">
      <c r="A411" s="867" t="s">
        <v>511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9"/>
        <v>0</v>
      </c>
      <c r="L411" s="381"/>
    </row>
    <row r="412" spans="1:12" s="270" customFormat="1">
      <c r="A412" s="867" t="s">
        <v>511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9"/>
        <v>0</v>
      </c>
      <c r="L412" s="381"/>
    </row>
    <row r="413" spans="1:12" s="270" customFormat="1">
      <c r="A413" s="867" t="s">
        <v>511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9"/>
        <v>0</v>
      </c>
      <c r="L413" s="381"/>
    </row>
    <row r="414" spans="1:12" s="270" customFormat="1">
      <c r="A414" s="867" t="s">
        <v>512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9"/>
        <v>0</v>
      </c>
      <c r="L414" s="381"/>
    </row>
    <row r="415" spans="1:12" s="270" customFormat="1">
      <c r="A415" s="867" t="s">
        <v>516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9"/>
        <v>0</v>
      </c>
      <c r="L415" s="381"/>
    </row>
    <row r="416" spans="1:12" s="270" customFormat="1">
      <c r="A416" s="867" t="s">
        <v>516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9"/>
        <v>0</v>
      </c>
      <c r="L416" s="381"/>
    </row>
    <row r="417" spans="1:12" s="270" customFormat="1">
      <c r="A417" s="867" t="s">
        <v>516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si="9"/>
        <v>0</v>
      </c>
      <c r="L417" s="381"/>
    </row>
    <row r="418" spans="1:12" s="270" customFormat="1">
      <c r="A418" s="867" t="s">
        <v>510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510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516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516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512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512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512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512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512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 t="s">
        <v>512</v>
      </c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 t="s">
        <v>511</v>
      </c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867" t="s">
        <v>511</v>
      </c>
      <c r="B429" s="863"/>
      <c r="C429" s="863"/>
      <c r="D429" s="868"/>
      <c r="E429" s="869"/>
      <c r="F429" s="870"/>
      <c r="G429" s="871"/>
      <c r="H429" s="864"/>
      <c r="I429" s="865"/>
      <c r="J429" s="295"/>
      <c r="K429" s="296">
        <f t="shared" si="9"/>
        <v>0</v>
      </c>
      <c r="L429" s="381"/>
    </row>
    <row r="430" spans="1:12" s="270" customFormat="1">
      <c r="A430" s="867" t="s">
        <v>516</v>
      </c>
      <c r="B430" s="863"/>
      <c r="C430" s="863"/>
      <c r="D430" s="868"/>
      <c r="E430" s="869"/>
      <c r="F430" s="870"/>
      <c r="G430" s="871"/>
      <c r="H430" s="864"/>
      <c r="I430" s="865"/>
      <c r="J430" s="295"/>
      <c r="K430" s="296">
        <f t="shared" si="9"/>
        <v>0</v>
      </c>
      <c r="L430" s="381"/>
    </row>
    <row r="431" spans="1:12" s="270" customFormat="1">
      <c r="A431" s="867" t="s">
        <v>516</v>
      </c>
      <c r="B431" s="863"/>
      <c r="C431" s="863"/>
      <c r="D431" s="868"/>
      <c r="E431" s="869"/>
      <c r="F431" s="870"/>
      <c r="G431" s="871"/>
      <c r="H431" s="864"/>
      <c r="I431" s="865"/>
      <c r="J431" s="295"/>
      <c r="K431" s="296">
        <f t="shared" si="9"/>
        <v>0</v>
      </c>
      <c r="L431" s="381"/>
    </row>
    <row r="432" spans="1:12" s="270" customFormat="1">
      <c r="A432" s="867" t="s">
        <v>516</v>
      </c>
      <c r="B432" s="863"/>
      <c r="C432" s="863"/>
      <c r="D432" s="868"/>
      <c r="E432" s="869"/>
      <c r="F432" s="870"/>
      <c r="G432" s="871"/>
      <c r="H432" s="864"/>
      <c r="I432" s="865"/>
      <c r="J432" s="295"/>
      <c r="K432" s="296">
        <f t="shared" si="9"/>
        <v>0</v>
      </c>
      <c r="L432" s="381"/>
    </row>
    <row r="433" spans="1:12" s="270" customFormat="1">
      <c r="A433" s="867" t="s">
        <v>516</v>
      </c>
      <c r="B433" s="863"/>
      <c r="C433" s="863"/>
      <c r="D433" s="868"/>
      <c r="E433" s="869"/>
      <c r="F433" s="870"/>
      <c r="G433" s="871"/>
      <c r="H433" s="864"/>
      <c r="I433" s="865"/>
      <c r="J433" s="295"/>
      <c r="K433" s="296">
        <f t="shared" si="9"/>
        <v>0</v>
      </c>
      <c r="L433" s="381"/>
    </row>
    <row r="434" spans="1:12" s="270" customFormat="1">
      <c r="A434" s="867" t="s">
        <v>516</v>
      </c>
      <c r="B434" s="863"/>
      <c r="C434" s="863"/>
      <c r="D434" s="868"/>
      <c r="E434" s="869"/>
      <c r="F434" s="870"/>
      <c r="G434" s="871"/>
      <c r="H434" s="864"/>
      <c r="I434" s="865"/>
      <c r="J434" s="295"/>
      <c r="K434" s="296">
        <f t="shared" si="9"/>
        <v>0</v>
      </c>
      <c r="L434" s="381"/>
    </row>
    <row r="435" spans="1:12" s="270" customFormat="1">
      <c r="A435" s="867" t="s">
        <v>516</v>
      </c>
      <c r="B435" s="863"/>
      <c r="C435" s="863"/>
      <c r="D435" s="868"/>
      <c r="E435" s="869"/>
      <c r="F435" s="870"/>
      <c r="G435" s="871"/>
      <c r="H435" s="864"/>
      <c r="I435" s="865"/>
      <c r="J435" s="295"/>
      <c r="K435" s="296">
        <f t="shared" si="9"/>
        <v>0</v>
      </c>
      <c r="L435" s="381"/>
    </row>
    <row r="436" spans="1:12" s="270" customFormat="1">
      <c r="A436" s="867" t="s">
        <v>516</v>
      </c>
      <c r="B436" s="863"/>
      <c r="C436" s="863"/>
      <c r="D436" s="868"/>
      <c r="E436" s="869"/>
      <c r="F436" s="870"/>
      <c r="G436" s="871"/>
      <c r="H436" s="864"/>
      <c r="I436" s="865"/>
      <c r="J436" s="295"/>
      <c r="K436" s="296">
        <f t="shared" si="9"/>
        <v>0</v>
      </c>
      <c r="L436" s="381"/>
    </row>
    <row r="437" spans="1:12" s="270" customFormat="1">
      <c r="A437" s="867" t="s">
        <v>516</v>
      </c>
      <c r="B437" s="863"/>
      <c r="C437" s="863"/>
      <c r="D437" s="868"/>
      <c r="E437" s="869"/>
      <c r="F437" s="870"/>
      <c r="G437" s="871"/>
      <c r="H437" s="864"/>
      <c r="I437" s="865"/>
      <c r="J437" s="295"/>
      <c r="K437" s="296">
        <f t="shared" si="9"/>
        <v>0</v>
      </c>
      <c r="L437" s="381"/>
    </row>
    <row r="438" spans="1:12" s="270" customFormat="1">
      <c r="A438" s="867" t="s">
        <v>516</v>
      </c>
      <c r="B438" s="863"/>
      <c r="C438" s="863"/>
      <c r="D438" s="868"/>
      <c r="E438" s="869"/>
      <c r="F438" s="870"/>
      <c r="G438" s="871"/>
      <c r="H438" s="864"/>
      <c r="I438" s="865"/>
      <c r="J438" s="295"/>
      <c r="K438" s="296">
        <f t="shared" si="9"/>
        <v>0</v>
      </c>
      <c r="L438" s="381"/>
    </row>
    <row r="439" spans="1:12" s="270" customFormat="1">
      <c r="A439" s="867" t="s">
        <v>512</v>
      </c>
      <c r="B439" s="863"/>
      <c r="C439" s="863"/>
      <c r="D439" s="868"/>
      <c r="E439" s="869"/>
      <c r="F439" s="870"/>
      <c r="G439" s="871"/>
      <c r="H439" s="864"/>
      <c r="I439" s="865"/>
      <c r="J439" s="295"/>
      <c r="K439" s="296">
        <f t="shared" si="9"/>
        <v>0</v>
      </c>
      <c r="L439" s="381"/>
    </row>
    <row r="440" spans="1:12" s="270" customFormat="1">
      <c r="A440" s="867" t="s">
        <v>512</v>
      </c>
      <c r="B440" s="863"/>
      <c r="C440" s="863"/>
      <c r="D440" s="868"/>
      <c r="E440" s="869"/>
      <c r="F440" s="870"/>
      <c r="G440" s="871"/>
      <c r="H440" s="864"/>
      <c r="I440" s="865"/>
      <c r="J440" s="295"/>
      <c r="K440" s="296">
        <f t="shared" si="9"/>
        <v>0</v>
      </c>
      <c r="L440" s="381"/>
    </row>
    <row r="441" spans="1:12" s="270" customFormat="1">
      <c r="A441" s="867" t="s">
        <v>512</v>
      </c>
      <c r="B441" s="863"/>
      <c r="C441" s="863"/>
      <c r="D441" s="868"/>
      <c r="E441" s="869"/>
      <c r="F441" s="870"/>
      <c r="G441" s="871"/>
      <c r="H441" s="864"/>
      <c r="I441" s="865"/>
      <c r="J441" s="295"/>
      <c r="K441" s="296">
        <f t="shared" si="9"/>
        <v>0</v>
      </c>
      <c r="L441" s="381"/>
    </row>
    <row r="442" spans="1:12" s="270" customFormat="1">
      <c r="A442" s="867" t="s">
        <v>512</v>
      </c>
      <c r="B442" s="863"/>
      <c r="C442" s="863"/>
      <c r="D442" s="868"/>
      <c r="E442" s="869"/>
      <c r="F442" s="870"/>
      <c r="G442" s="871"/>
      <c r="H442" s="864"/>
      <c r="I442" s="865"/>
      <c r="J442" s="295"/>
      <c r="K442" s="296">
        <f t="shared" si="9"/>
        <v>0</v>
      </c>
      <c r="L442" s="381"/>
    </row>
    <row r="443" spans="1:12" s="270" customFormat="1">
      <c r="A443" s="867" t="s">
        <v>516</v>
      </c>
      <c r="B443" s="863"/>
      <c r="C443" s="863"/>
      <c r="D443" s="868"/>
      <c r="E443" s="869"/>
      <c r="F443" s="870"/>
      <c r="G443" s="871"/>
      <c r="H443" s="864"/>
      <c r="I443" s="865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67" t="s">
        <v>516</v>
      </c>
      <c r="B444" s="863"/>
      <c r="C444" s="863"/>
      <c r="D444" s="868"/>
      <c r="E444" s="869"/>
      <c r="F444" s="870"/>
      <c r="G444" s="871"/>
      <c r="H444" s="864"/>
      <c r="I444" s="865"/>
      <c r="J444" s="295"/>
      <c r="K444" s="296">
        <f t="shared" si="10"/>
        <v>0</v>
      </c>
      <c r="L444" s="381"/>
    </row>
    <row r="445" spans="1:12" s="270" customFormat="1">
      <c r="A445" s="867" t="s">
        <v>516</v>
      </c>
      <c r="B445" s="863"/>
      <c r="C445" s="863"/>
      <c r="D445" s="868"/>
      <c r="E445" s="869"/>
      <c r="F445" s="870"/>
      <c r="G445" s="871"/>
      <c r="H445" s="864"/>
      <c r="I445" s="865"/>
      <c r="J445" s="295"/>
      <c r="K445" s="296">
        <f t="shared" si="10"/>
        <v>0</v>
      </c>
      <c r="L445" s="381"/>
    </row>
    <row r="446" spans="1:12" s="270" customFormat="1">
      <c r="A446" s="867" t="s">
        <v>516</v>
      </c>
      <c r="B446" s="863"/>
      <c r="C446" s="863"/>
      <c r="D446" s="868"/>
      <c r="E446" s="869"/>
      <c r="F446" s="870"/>
      <c r="G446" s="871"/>
      <c r="H446" s="864"/>
      <c r="I446" s="865"/>
      <c r="J446" s="295"/>
      <c r="K446" s="296">
        <f t="shared" si="10"/>
        <v>0</v>
      </c>
      <c r="L446" s="381"/>
    </row>
    <row r="447" spans="1:12" s="270" customFormat="1">
      <c r="A447" s="867" t="s">
        <v>516</v>
      </c>
      <c r="B447" s="863"/>
      <c r="C447" s="863"/>
      <c r="D447" s="868"/>
      <c r="E447" s="869"/>
      <c r="F447" s="870"/>
      <c r="G447" s="871"/>
      <c r="H447" s="864"/>
      <c r="I447" s="865"/>
      <c r="J447" s="295"/>
      <c r="K447" s="296">
        <f t="shared" si="10"/>
        <v>0</v>
      </c>
      <c r="L447" s="381"/>
    </row>
    <row r="448" spans="1:12" s="270" customFormat="1">
      <c r="A448" s="867" t="s">
        <v>529</v>
      </c>
      <c r="B448" s="863"/>
      <c r="C448" s="863"/>
      <c r="D448" s="868"/>
      <c r="E448" s="869"/>
      <c r="F448" s="870"/>
      <c r="G448" s="871"/>
      <c r="H448" s="864"/>
      <c r="I448" s="865"/>
      <c r="J448" s="295"/>
      <c r="K448" s="296">
        <f t="shared" si="10"/>
        <v>0</v>
      </c>
      <c r="L448" s="381"/>
    </row>
    <row r="449" spans="1:12" s="270" customFormat="1">
      <c r="A449" s="867" t="s">
        <v>528</v>
      </c>
      <c r="B449" s="863"/>
      <c r="C449" s="863"/>
      <c r="D449" s="868"/>
      <c r="E449" s="869"/>
      <c r="F449" s="870"/>
      <c r="G449" s="871"/>
      <c r="H449" s="864"/>
      <c r="I449" s="865"/>
      <c r="J449" s="295"/>
      <c r="K449" s="296">
        <f t="shared" si="10"/>
        <v>0</v>
      </c>
      <c r="L449" s="381"/>
    </row>
    <row r="450" spans="1:12" s="270" customFormat="1">
      <c r="A450" s="867" t="s">
        <v>528</v>
      </c>
      <c r="B450" s="863"/>
      <c r="C450" s="863"/>
      <c r="D450" s="868"/>
      <c r="E450" s="869"/>
      <c r="F450" s="870"/>
      <c r="G450" s="871"/>
      <c r="H450" s="864"/>
      <c r="I450" s="865"/>
      <c r="J450" s="295"/>
      <c r="K450" s="296">
        <f t="shared" si="10"/>
        <v>0</v>
      </c>
      <c r="L450" s="381"/>
    </row>
    <row r="451" spans="1:12" s="270" customFormat="1">
      <c r="A451" s="867" t="s">
        <v>529</v>
      </c>
      <c r="B451" s="863"/>
      <c r="C451" s="863"/>
      <c r="D451" s="868"/>
      <c r="E451" s="869"/>
      <c r="F451" s="870"/>
      <c r="G451" s="871"/>
      <c r="H451" s="864"/>
      <c r="I451" s="865"/>
      <c r="J451" s="295"/>
      <c r="K451" s="296">
        <f t="shared" si="10"/>
        <v>0</v>
      </c>
      <c r="L451" s="381"/>
    </row>
    <row r="452" spans="1:12" s="270" customFormat="1">
      <c r="A452" s="867" t="s">
        <v>529</v>
      </c>
      <c r="B452" s="863"/>
      <c r="C452" s="863"/>
      <c r="D452" s="868"/>
      <c r="E452" s="869"/>
      <c r="F452" s="870"/>
      <c r="G452" s="871"/>
      <c r="H452" s="864"/>
      <c r="I452" s="865"/>
      <c r="J452" s="295"/>
      <c r="K452" s="296">
        <f t="shared" si="10"/>
        <v>0</v>
      </c>
      <c r="L452" s="381"/>
    </row>
    <row r="453" spans="1:12" s="270" customFormat="1">
      <c r="A453" s="867" t="s">
        <v>528</v>
      </c>
      <c r="B453" s="863"/>
      <c r="C453" s="863"/>
      <c r="D453" s="868"/>
      <c r="E453" s="869"/>
      <c r="F453" s="870"/>
      <c r="G453" s="871"/>
      <c r="H453" s="864"/>
      <c r="I453" s="865"/>
      <c r="J453" s="295"/>
      <c r="K453" s="296">
        <f t="shared" si="10"/>
        <v>0</v>
      </c>
      <c r="L453" s="381"/>
    </row>
    <row r="454" spans="1:12" s="270" customFormat="1">
      <c r="A454" s="867" t="s">
        <v>528</v>
      </c>
      <c r="B454" s="863"/>
      <c r="C454" s="863"/>
      <c r="D454" s="868"/>
      <c r="E454" s="869"/>
      <c r="F454" s="870"/>
      <c r="G454" s="871"/>
      <c r="H454" s="864"/>
      <c r="I454" s="865"/>
      <c r="J454" s="295"/>
      <c r="K454" s="296">
        <f t="shared" si="10"/>
        <v>0</v>
      </c>
      <c r="L454" s="381"/>
    </row>
    <row r="455" spans="1:12" s="270" customFormat="1">
      <c r="A455" s="867" t="s">
        <v>528</v>
      </c>
      <c r="B455" s="863"/>
      <c r="C455" s="863"/>
      <c r="D455" s="868"/>
      <c r="E455" s="869"/>
      <c r="F455" s="870"/>
      <c r="G455" s="871"/>
      <c r="H455" s="864"/>
      <c r="I455" s="865"/>
      <c r="J455" s="295"/>
      <c r="K455" s="296">
        <f t="shared" si="10"/>
        <v>0</v>
      </c>
      <c r="L455" s="381"/>
    </row>
    <row r="456" spans="1:12" s="270" customFormat="1">
      <c r="A456" s="867" t="s">
        <v>528</v>
      </c>
      <c r="B456" s="863"/>
      <c r="C456" s="863"/>
      <c r="D456" s="868"/>
      <c r="E456" s="869"/>
      <c r="F456" s="870"/>
      <c r="G456" s="871"/>
      <c r="H456" s="864"/>
      <c r="I456" s="865"/>
      <c r="J456" s="295"/>
      <c r="K456" s="296">
        <f t="shared" si="10"/>
        <v>0</v>
      </c>
      <c r="L456" s="381"/>
    </row>
    <row r="457" spans="1:12" s="270" customFormat="1">
      <c r="A457" s="867" t="s">
        <v>526</v>
      </c>
      <c r="B457" s="863"/>
      <c r="C457" s="863"/>
      <c r="D457" s="868"/>
      <c r="E457" s="869"/>
      <c r="F457" s="870"/>
      <c r="G457" s="871"/>
      <c r="H457" s="864"/>
      <c r="I457" s="865"/>
      <c r="J457" s="295"/>
      <c r="K457" s="296">
        <f t="shared" si="10"/>
        <v>0</v>
      </c>
      <c r="L457" s="381"/>
    </row>
    <row r="458" spans="1:12" s="270" customFormat="1">
      <c r="A458" s="867" t="s">
        <v>529</v>
      </c>
      <c r="B458" s="863"/>
      <c r="C458" s="863"/>
      <c r="D458" s="868"/>
      <c r="E458" s="869"/>
      <c r="F458" s="870"/>
      <c r="G458" s="871"/>
      <c r="H458" s="864"/>
      <c r="I458" s="865"/>
      <c r="J458" s="295"/>
      <c r="K458" s="296">
        <f t="shared" si="10"/>
        <v>0</v>
      </c>
      <c r="L458" s="381"/>
    </row>
    <row r="459" spans="1:12" s="270" customFormat="1">
      <c r="A459" s="867" t="s">
        <v>529</v>
      </c>
      <c r="B459" s="863"/>
      <c r="C459" s="863"/>
      <c r="D459" s="868"/>
      <c r="E459" s="869"/>
      <c r="F459" s="870"/>
      <c r="G459" s="871"/>
      <c r="H459" s="864"/>
      <c r="I459" s="865"/>
      <c r="J459" s="295"/>
      <c r="K459" s="296">
        <f t="shared" si="10"/>
        <v>0</v>
      </c>
      <c r="L459" s="381"/>
    </row>
    <row r="460" spans="1:12" s="270" customFormat="1">
      <c r="A460" s="867" t="s">
        <v>529</v>
      </c>
      <c r="B460" s="863"/>
      <c r="C460" s="863"/>
      <c r="D460" s="868"/>
      <c r="E460" s="869"/>
      <c r="F460" s="870"/>
      <c r="G460" s="871"/>
      <c r="H460" s="864"/>
      <c r="I460" s="865"/>
      <c r="J460" s="295"/>
      <c r="K460" s="296">
        <f t="shared" si="10"/>
        <v>0</v>
      </c>
      <c r="L460" s="381"/>
    </row>
    <row r="461" spans="1:12" s="270" customFormat="1">
      <c r="A461" s="867" t="s">
        <v>529</v>
      </c>
      <c r="B461" s="863"/>
      <c r="C461" s="863"/>
      <c r="D461" s="868"/>
      <c r="E461" s="869"/>
      <c r="F461" s="870"/>
      <c r="G461" s="871"/>
      <c r="H461" s="864"/>
      <c r="I461" s="865"/>
      <c r="J461" s="295"/>
      <c r="K461" s="296">
        <f t="shared" si="10"/>
        <v>0</v>
      </c>
      <c r="L461" s="381"/>
    </row>
    <row r="462" spans="1:12" s="270" customFormat="1">
      <c r="A462" s="867" t="s">
        <v>526</v>
      </c>
      <c r="B462" s="863"/>
      <c r="C462" s="863"/>
      <c r="D462" s="868"/>
      <c r="E462" s="869"/>
      <c r="F462" s="870"/>
      <c r="G462" s="871"/>
      <c r="H462" s="864"/>
      <c r="I462" s="865"/>
      <c r="J462" s="295"/>
      <c r="K462" s="296">
        <f t="shared" si="10"/>
        <v>0</v>
      </c>
      <c r="L462" s="381"/>
    </row>
    <row r="463" spans="1:12" s="270" customFormat="1">
      <c r="A463" s="867" t="s">
        <v>526</v>
      </c>
      <c r="B463" s="863"/>
      <c r="C463" s="863"/>
      <c r="D463" s="868"/>
      <c r="E463" s="869"/>
      <c r="F463" s="870"/>
      <c r="G463" s="871"/>
      <c r="H463" s="864"/>
      <c r="I463" s="865"/>
      <c r="J463" s="295"/>
      <c r="K463" s="296">
        <f t="shared" si="10"/>
        <v>0</v>
      </c>
      <c r="L463" s="381"/>
    </row>
    <row r="464" spans="1:12" s="270" customFormat="1">
      <c r="A464" s="867" t="s">
        <v>526</v>
      </c>
      <c r="B464" s="863"/>
      <c r="C464" s="863"/>
      <c r="D464" s="868"/>
      <c r="E464" s="869"/>
      <c r="F464" s="870"/>
      <c r="G464" s="871"/>
      <c r="H464" s="864"/>
      <c r="I464" s="865"/>
      <c r="J464" s="295"/>
      <c r="K464" s="296">
        <f t="shared" si="10"/>
        <v>0</v>
      </c>
      <c r="L464" s="381"/>
    </row>
    <row r="465" spans="1:12" s="270" customFormat="1">
      <c r="A465" s="867" t="s">
        <v>526</v>
      </c>
      <c r="B465" s="863"/>
      <c r="C465" s="863"/>
      <c r="D465" s="868"/>
      <c r="E465" s="869"/>
      <c r="F465" s="870"/>
      <c r="G465" s="871"/>
      <c r="H465" s="864"/>
      <c r="I465" s="865"/>
      <c r="J465" s="295"/>
      <c r="K465" s="296">
        <f t="shared" si="10"/>
        <v>0</v>
      </c>
      <c r="L465" s="381"/>
    </row>
    <row r="466" spans="1:12" s="270" customFormat="1">
      <c r="A466" s="867" t="s">
        <v>526</v>
      </c>
      <c r="B466" s="863"/>
      <c r="C466" s="863"/>
      <c r="D466" s="868"/>
      <c r="E466" s="869"/>
      <c r="F466" s="870"/>
      <c r="G466" s="871"/>
      <c r="H466" s="864"/>
      <c r="I466" s="865"/>
      <c r="J466" s="295"/>
      <c r="K466" s="296">
        <f t="shared" si="10"/>
        <v>0</v>
      </c>
      <c r="L466" s="381"/>
    </row>
    <row r="467" spans="1:12" s="270" customFormat="1">
      <c r="A467" s="867" t="s">
        <v>526</v>
      </c>
      <c r="B467" s="863"/>
      <c r="C467" s="863"/>
      <c r="D467" s="868"/>
      <c r="E467" s="869"/>
      <c r="F467" s="870"/>
      <c r="G467" s="871"/>
      <c r="H467" s="864"/>
      <c r="I467" s="865"/>
      <c r="J467" s="295"/>
      <c r="K467" s="296">
        <f t="shared" si="10"/>
        <v>0</v>
      </c>
      <c r="L467" s="381"/>
    </row>
    <row r="468" spans="1:12" s="270" customFormat="1">
      <c r="A468" s="867" t="s">
        <v>526</v>
      </c>
      <c r="B468" s="863"/>
      <c r="C468" s="863"/>
      <c r="D468" s="868"/>
      <c r="E468" s="869"/>
      <c r="F468" s="870"/>
      <c r="G468" s="871"/>
      <c r="H468" s="864"/>
      <c r="I468" s="865"/>
      <c r="J468" s="295"/>
      <c r="K468" s="296">
        <f t="shared" si="10"/>
        <v>0</v>
      </c>
      <c r="L468" s="381"/>
    </row>
    <row r="469" spans="1:12" s="270" customFormat="1">
      <c r="A469" s="867" t="s">
        <v>526</v>
      </c>
      <c r="B469" s="863"/>
      <c r="C469" s="863"/>
      <c r="D469" s="868"/>
      <c r="E469" s="869"/>
      <c r="F469" s="870"/>
      <c r="G469" s="871"/>
      <c r="H469" s="864"/>
      <c r="I469" s="865"/>
      <c r="J469" s="295"/>
      <c r="K469" s="296">
        <f t="shared" si="10"/>
        <v>0</v>
      </c>
      <c r="L469" s="381"/>
    </row>
    <row r="470" spans="1:12" s="270" customFormat="1">
      <c r="A470" s="867" t="s">
        <v>529</v>
      </c>
      <c r="B470" s="863"/>
      <c r="C470" s="863"/>
      <c r="D470" s="868"/>
      <c r="E470" s="869"/>
      <c r="F470" s="870"/>
      <c r="G470" s="871"/>
      <c r="H470" s="864"/>
      <c r="I470" s="865"/>
      <c r="J470" s="295"/>
      <c r="K470" s="296">
        <f t="shared" si="10"/>
        <v>0</v>
      </c>
      <c r="L470" s="381"/>
    </row>
    <row r="471" spans="1:12" s="270" customFormat="1">
      <c r="A471" s="867" t="s">
        <v>529</v>
      </c>
      <c r="B471" s="863"/>
      <c r="C471" s="863"/>
      <c r="D471" s="868"/>
      <c r="E471" s="869"/>
      <c r="F471" s="870"/>
      <c r="G471" s="871"/>
      <c r="H471" s="864"/>
      <c r="I471" s="865"/>
      <c r="J471" s="295"/>
      <c r="K471" s="296">
        <f t="shared" si="10"/>
        <v>0</v>
      </c>
      <c r="L471" s="381"/>
    </row>
    <row r="472" spans="1:12" s="270" customFormat="1">
      <c r="A472" s="867" t="s">
        <v>529</v>
      </c>
      <c r="B472" s="863"/>
      <c r="C472" s="863"/>
      <c r="D472" s="868"/>
      <c r="E472" s="869"/>
      <c r="F472" s="870"/>
      <c r="G472" s="871"/>
      <c r="H472" s="864"/>
      <c r="I472" s="865"/>
      <c r="J472" s="295"/>
      <c r="K472" s="296">
        <f t="shared" si="10"/>
        <v>0</v>
      </c>
      <c r="L472" s="381"/>
    </row>
    <row r="473" spans="1:12" s="270" customFormat="1">
      <c r="A473" s="867" t="s">
        <v>529</v>
      </c>
      <c r="B473" s="863"/>
      <c r="C473" s="863"/>
      <c r="D473" s="868"/>
      <c r="E473" s="869"/>
      <c r="F473" s="870"/>
      <c r="G473" s="871"/>
      <c r="H473" s="864"/>
      <c r="I473" s="865"/>
      <c r="J473" s="295"/>
      <c r="K473" s="296">
        <f t="shared" si="10"/>
        <v>0</v>
      </c>
      <c r="L473" s="381"/>
    </row>
    <row r="474" spans="1:12" s="270" customFormat="1">
      <c r="A474" s="867"/>
      <c r="B474" s="863"/>
      <c r="C474" s="863"/>
      <c r="D474" s="868"/>
      <c r="E474" s="869"/>
      <c r="F474" s="870"/>
      <c r="G474" s="871"/>
      <c r="H474" s="864"/>
      <c r="I474" s="865"/>
      <c r="J474" s="295"/>
      <c r="K474" s="296">
        <f t="shared" si="10"/>
        <v>0</v>
      </c>
      <c r="L474" s="381"/>
    </row>
    <row r="475" spans="1:12" s="270" customFormat="1">
      <c r="A475" s="867"/>
      <c r="B475" s="863"/>
      <c r="C475" s="863"/>
      <c r="D475" s="868"/>
      <c r="E475" s="869"/>
      <c r="F475" s="870"/>
      <c r="G475" s="871"/>
      <c r="H475" s="864"/>
      <c r="I475" s="865"/>
      <c r="J475" s="295"/>
      <c r="K475" s="296">
        <f t="shared" si="10"/>
        <v>0</v>
      </c>
      <c r="L475" s="381"/>
    </row>
    <row r="476" spans="1:12" s="270" customFormat="1">
      <c r="A476" s="867"/>
      <c r="B476" s="863"/>
      <c r="C476" s="863"/>
      <c r="D476" s="868"/>
      <c r="E476" s="869"/>
      <c r="F476" s="870"/>
      <c r="G476" s="871"/>
      <c r="H476" s="864"/>
      <c r="I476" s="865"/>
      <c r="J476" s="295"/>
      <c r="K476" s="296">
        <f t="shared" si="10"/>
        <v>0</v>
      </c>
      <c r="L476" s="381"/>
    </row>
    <row r="477" spans="1:12" s="270" customFormat="1">
      <c r="A477" s="867"/>
      <c r="B477" s="863"/>
      <c r="C477" s="863"/>
      <c r="D477" s="868"/>
      <c r="E477" s="869"/>
      <c r="F477" s="870"/>
      <c r="G477" s="871"/>
      <c r="H477" s="864"/>
      <c r="I477" s="865"/>
      <c r="J477" s="295"/>
      <c r="K477" s="296">
        <f t="shared" si="10"/>
        <v>0</v>
      </c>
      <c r="L477" s="381"/>
    </row>
    <row r="478" spans="1:12" s="270" customFormat="1">
      <c r="A478" s="867"/>
      <c r="B478" s="863"/>
      <c r="C478" s="863"/>
      <c r="D478" s="868"/>
      <c r="E478" s="869"/>
      <c r="F478" s="870"/>
      <c r="G478" s="871"/>
      <c r="H478" s="864"/>
      <c r="I478" s="865"/>
      <c r="J478" s="295"/>
      <c r="K478" s="296">
        <f t="shared" si="10"/>
        <v>0</v>
      </c>
      <c r="L478" s="381"/>
    </row>
    <row r="479" spans="1:12" s="270" customFormat="1">
      <c r="A479" s="867"/>
      <c r="B479" s="863"/>
      <c r="C479" s="863"/>
      <c r="D479" s="868"/>
      <c r="E479" s="869"/>
      <c r="F479" s="870"/>
      <c r="G479" s="871"/>
      <c r="H479" s="864"/>
      <c r="I479" s="865"/>
      <c r="J479" s="295"/>
      <c r="K479" s="296">
        <f t="shared" si="10"/>
        <v>0</v>
      </c>
      <c r="L479" s="381"/>
    </row>
    <row r="480" spans="1:12" s="270" customFormat="1">
      <c r="A480" s="867"/>
      <c r="B480" s="863"/>
      <c r="C480" s="863"/>
      <c r="D480" s="868"/>
      <c r="E480" s="869"/>
      <c r="F480" s="870"/>
      <c r="G480" s="871"/>
      <c r="H480" s="864"/>
      <c r="I480" s="865"/>
      <c r="J480" s="295"/>
      <c r="K480" s="296">
        <f t="shared" si="10"/>
        <v>0</v>
      </c>
      <c r="L480" s="381"/>
    </row>
    <row r="481" spans="1:19" s="270" customFormat="1">
      <c r="A481" s="867"/>
      <c r="B481" s="863"/>
      <c r="C481" s="863"/>
      <c r="D481" s="868"/>
      <c r="E481" s="869"/>
      <c r="F481" s="870"/>
      <c r="G481" s="871"/>
      <c r="H481" s="864"/>
      <c r="I481" s="865"/>
      <c r="J481" s="295"/>
      <c r="K481" s="296">
        <f t="shared" si="10"/>
        <v>0</v>
      </c>
      <c r="L481" s="381"/>
    </row>
    <row r="482" spans="1:19" s="270" customFormat="1">
      <c r="A482" s="867"/>
      <c r="B482" s="863"/>
      <c r="C482" s="863"/>
      <c r="D482" s="868"/>
      <c r="E482" s="869"/>
      <c r="F482" s="870"/>
      <c r="G482" s="871"/>
      <c r="H482" s="864"/>
      <c r="I482" s="865"/>
      <c r="J482" s="295"/>
      <c r="K482" s="296">
        <f t="shared" si="10"/>
        <v>0</v>
      </c>
      <c r="L482" s="381"/>
    </row>
    <row r="483" spans="1:19" s="270" customFormat="1">
      <c r="A483" s="867"/>
      <c r="B483" s="863"/>
      <c r="C483" s="863"/>
      <c r="D483" s="868"/>
      <c r="E483" s="869"/>
      <c r="F483" s="870"/>
      <c r="G483" s="871"/>
      <c r="H483" s="864"/>
      <c r="I483" s="865"/>
      <c r="J483" s="295"/>
      <c r="K483" s="296">
        <f t="shared" si="10"/>
        <v>0</v>
      </c>
      <c r="L483" s="381"/>
    </row>
    <row r="484" spans="1:19" s="270" customFormat="1">
      <c r="A484" s="867"/>
      <c r="B484" s="863"/>
      <c r="C484" s="863"/>
      <c r="D484" s="868"/>
      <c r="E484" s="869"/>
      <c r="F484" s="870"/>
      <c r="G484" s="871"/>
      <c r="H484" s="864"/>
      <c r="I484" s="865"/>
      <c r="J484" s="295"/>
      <c r="K484" s="296">
        <f t="shared" si="10"/>
        <v>0</v>
      </c>
      <c r="L484" s="381" t="s">
        <v>347</v>
      </c>
    </row>
    <row r="485" spans="1:19" s="270" customFormat="1">
      <c r="A485" s="349" t="s">
        <v>166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141429.6875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334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335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326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1" priority="2">
      <formula>LEFT(A32,2)="TU"</formula>
    </cfRule>
  </conditionalFormatting>
  <conditionalFormatting sqref="K132:K133">
    <cfRule type="expression" dxfId="10" priority="1">
      <formula>LEFT(A132,2)="TU"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398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402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363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346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301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301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301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301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301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301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301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301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301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301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301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658</v>
      </c>
      <c r="B39" s="328" t="s">
        <v>532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ref="G39:G45" si="3">-77*E39</f>
        <v>0</v>
      </c>
      <c r="H39" s="483" t="s">
        <v>533</v>
      </c>
      <c r="I39" s="335">
        <v>130.390625</v>
      </c>
      <c r="J39" s="335">
        <f>VLOOKUP(A39,'market px'!$B$2:$F$20,5,FALSE)</f>
        <v>111.28125</v>
      </c>
      <c r="K39" s="845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659</v>
      </c>
      <c r="B40" s="328" t="s">
        <v>532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3"/>
        <v>0</v>
      </c>
      <c r="H40" s="483" t="s">
        <v>534</v>
      </c>
      <c r="I40" s="335">
        <v>130.390625</v>
      </c>
      <c r="J40" s="335">
        <f>VLOOKUP(A40,'market px'!$B$2:$F$20,5,FALSE)</f>
        <v>111.28125</v>
      </c>
      <c r="K40" s="845">
        <f t="shared" si="4"/>
        <v>0</v>
      </c>
      <c r="L40" s="377"/>
    </row>
    <row r="41" spans="1:12" s="270" customFormat="1">
      <c r="A41" s="325" t="s">
        <v>629</v>
      </c>
      <c r="B41" s="328" t="s">
        <v>532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3"/>
        <v>0</v>
      </c>
      <c r="H41" s="483" t="s">
        <v>535</v>
      </c>
      <c r="I41" s="335">
        <v>130.390625</v>
      </c>
      <c r="J41" s="335">
        <f>VLOOKUP(A41,'market px'!$B$2:$F$20,5,FALSE)</f>
        <v>111.28125</v>
      </c>
      <c r="K41" s="845">
        <f t="shared" si="4"/>
        <v>0</v>
      </c>
      <c r="L41" s="377"/>
    </row>
    <row r="42" spans="1:12" s="270" customFormat="1">
      <c r="A42" s="325" t="s">
        <v>629</v>
      </c>
      <c r="B42" s="328" t="s">
        <v>536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3"/>
        <v>0</v>
      </c>
      <c r="H42" s="483" t="s">
        <v>537</v>
      </c>
      <c r="I42" s="335">
        <v>130.390625</v>
      </c>
      <c r="J42" s="335">
        <f>VLOOKUP(A42,'market px'!$B$2:$F$20,5,FALSE)</f>
        <v>111.28125</v>
      </c>
      <c r="K42" s="845">
        <f t="shared" si="4"/>
        <v>0</v>
      </c>
      <c r="L42" s="377"/>
    </row>
    <row r="43" spans="1:12" s="270" customFormat="1">
      <c r="A43" s="325" t="s">
        <v>629</v>
      </c>
      <c r="B43" s="328" t="s">
        <v>542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3"/>
        <v>0</v>
      </c>
      <c r="H43" s="483" t="s">
        <v>543</v>
      </c>
      <c r="I43" s="335">
        <v>130.390625</v>
      </c>
      <c r="J43" s="335">
        <f>VLOOKUP(A43,'market px'!$B$2:$F$20,5,FALSE)</f>
        <v>111.28125</v>
      </c>
      <c r="K43" s="845">
        <f t="shared" si="4"/>
        <v>0</v>
      </c>
      <c r="L43" s="377"/>
    </row>
    <row r="44" spans="1:12" s="270" customFormat="1">
      <c r="A44" s="325" t="s">
        <v>629</v>
      </c>
      <c r="B44" s="328" t="s">
        <v>538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3"/>
        <v>0</v>
      </c>
      <c r="H44" s="483" t="s">
        <v>540</v>
      </c>
      <c r="I44" s="335">
        <v>130.390625</v>
      </c>
      <c r="J44" s="335">
        <f>VLOOKUP(A44,'market px'!$B$2:$F$20,5,FALSE)</f>
        <v>111.28125</v>
      </c>
      <c r="K44" s="845">
        <f t="shared" si="4"/>
        <v>0</v>
      </c>
      <c r="L44" s="377"/>
    </row>
    <row r="45" spans="1:12" s="270" customFormat="1">
      <c r="A45" s="325" t="s">
        <v>629</v>
      </c>
      <c r="B45" s="328" t="s">
        <v>539</v>
      </c>
      <c r="C45" s="328" t="s">
        <v>339</v>
      </c>
      <c r="D45" s="542" t="s">
        <v>339</v>
      </c>
      <c r="E45" s="330">
        <v>0</v>
      </c>
      <c r="F45" s="330" t="s">
        <v>304</v>
      </c>
      <c r="G45" s="332">
        <f t="shared" si="3"/>
        <v>0</v>
      </c>
      <c r="H45" s="483" t="s">
        <v>541</v>
      </c>
      <c r="I45" s="335">
        <v>130.390625</v>
      </c>
      <c r="J45" s="335">
        <f>VLOOKUP(A45,'market px'!$B$2:$F$20,5,FALSE)</f>
        <v>111.28125</v>
      </c>
      <c r="K45" s="845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337</v>
      </c>
      <c r="B49" s="328">
        <v>42922</v>
      </c>
      <c r="C49" s="329"/>
      <c r="D49" s="542"/>
      <c r="E49" s="330">
        <v>0</v>
      </c>
      <c r="F49" s="331" t="s">
        <v>304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312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285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285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286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286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346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289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396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396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396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396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396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396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396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396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396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396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396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396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430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430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430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430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430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430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430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430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431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431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431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431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431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431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431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431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431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431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431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431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431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431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431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431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431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431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430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430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431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431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431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499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499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499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499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499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499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499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499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499</v>
      </c>
      <c r="B76" s="333"/>
      <c r="C76" s="333"/>
      <c r="D76" s="819"/>
      <c r="E76" s="325"/>
      <c r="F76" s="333"/>
      <c r="G76" s="333"/>
      <c r="H76" s="334"/>
      <c r="I76" s="820"/>
      <c r="J76" s="820"/>
      <c r="K76" s="296">
        <f t="shared" si="2"/>
        <v>0</v>
      </c>
      <c r="L76" s="377"/>
    </row>
    <row r="77" spans="1:12" s="93" customFormat="1">
      <c r="A77" s="325" t="s">
        <v>499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499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499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511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511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511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511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511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511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511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511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511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511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511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510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510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511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511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511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348</v>
      </c>
    </row>
    <row r="96" spans="1:12" s="270" customFormat="1">
      <c r="A96" s="325" t="s">
        <v>511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511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511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511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511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511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511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511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511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511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511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511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511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511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526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526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526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526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526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526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308</v>
      </c>
      <c r="B135" s="328">
        <v>42922</v>
      </c>
      <c r="C135" s="328"/>
      <c r="D135" s="542"/>
      <c r="E135" s="330">
        <v>0</v>
      </c>
      <c r="F135" s="330" t="s">
        <v>304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308</v>
      </c>
      <c r="B136" s="328">
        <v>42922</v>
      </c>
      <c r="C136" s="328"/>
      <c r="D136" s="542"/>
      <c r="E136" s="330">
        <v>0</v>
      </c>
      <c r="F136" s="330" t="s">
        <v>304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326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507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402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402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460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402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363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402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329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507</v>
      </c>
      <c r="B4" s="802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368</v>
      </c>
      <c r="B5" s="802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368</v>
      </c>
      <c r="B6" s="802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496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35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507</v>
      </c>
      <c r="B8" s="802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398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368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368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507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496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35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507</v>
      </c>
      <c r="B15" s="802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522</v>
      </c>
      <c r="B16" s="802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514</v>
      </c>
      <c r="B17" s="802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557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104.44029999999999</v>
      </c>
      <c r="J18" s="835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557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103.4074</v>
      </c>
      <c r="J19" s="835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415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35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415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364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376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367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367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373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377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379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373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382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384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386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387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390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392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394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377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373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373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404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407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409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373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411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416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418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421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422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494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364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367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367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376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373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377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378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383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21" t="s">
        <v>385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21" t="s">
        <v>387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389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387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21" t="s">
        <v>392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21" t="s">
        <v>395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377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373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373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404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408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410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373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393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412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416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417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421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423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494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495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426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429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428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429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428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660</v>
      </c>
      <c r="B106" s="328" t="s">
        <v>569</v>
      </c>
      <c r="C106" s="328" t="s">
        <v>339</v>
      </c>
      <c r="D106" s="542" t="s">
        <v>339</v>
      </c>
      <c r="E106" s="330">
        <v>0</v>
      </c>
      <c r="F106" s="331" t="s">
        <v>304</v>
      </c>
      <c r="G106" s="332">
        <f>-42.7*E106</f>
        <v>0</v>
      </c>
      <c r="H106" s="483" t="s">
        <v>570</v>
      </c>
      <c r="I106" s="335">
        <v>117.5</v>
      </c>
      <c r="J106" s="335">
        <f>VLOOKUP(A106,'market px'!$B$2:$F$20,5,FALSE)</f>
        <v>109.1640625</v>
      </c>
      <c r="K106" s="845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661</v>
      </c>
      <c r="B107" s="328" t="s">
        <v>574</v>
      </c>
      <c r="C107" s="328" t="s">
        <v>339</v>
      </c>
      <c r="D107" s="542" t="s">
        <v>339</v>
      </c>
      <c r="E107" s="330">
        <v>0</v>
      </c>
      <c r="F107" s="331" t="s">
        <v>304</v>
      </c>
      <c r="G107" s="332">
        <f>-42.7*E107</f>
        <v>0</v>
      </c>
      <c r="H107" s="483" t="s">
        <v>575</v>
      </c>
      <c r="I107" s="335">
        <v>118.109375</v>
      </c>
      <c r="J107" s="335">
        <f>VLOOKUP(A107,'market px'!$B$2:$F$20,5,FALSE)</f>
        <v>109.1640625</v>
      </c>
      <c r="K107" s="845">
        <f t="shared" si="4"/>
        <v>0</v>
      </c>
      <c r="L107" s="377"/>
    </row>
    <row r="108" spans="1:15" s="270" customFormat="1">
      <c r="A108" s="325" t="s">
        <v>647</v>
      </c>
      <c r="B108" s="328" t="s">
        <v>566</v>
      </c>
      <c r="C108" s="328" t="s">
        <v>339</v>
      </c>
      <c r="D108" s="542" t="s">
        <v>339</v>
      </c>
      <c r="E108" s="330">
        <v>0</v>
      </c>
      <c r="F108" s="331" t="s">
        <v>304</v>
      </c>
      <c r="G108" s="332">
        <f>-42.7*E108</f>
        <v>0</v>
      </c>
      <c r="H108" s="483" t="s">
        <v>567</v>
      </c>
      <c r="I108" s="335">
        <v>118</v>
      </c>
      <c r="J108" s="335">
        <f>VLOOKUP(A108,'market px'!$B$2:$F$20,5,FALSE)</f>
        <v>109.1640625</v>
      </c>
      <c r="K108" s="845">
        <f t="shared" si="4"/>
        <v>0</v>
      </c>
      <c r="L108" s="377"/>
    </row>
    <row r="109" spans="1:15" s="270" customFormat="1">
      <c r="A109" s="325" t="s">
        <v>647</v>
      </c>
      <c r="B109" s="328" t="s">
        <v>576</v>
      </c>
      <c r="C109" s="328" t="s">
        <v>339</v>
      </c>
      <c r="D109" s="542" t="s">
        <v>339</v>
      </c>
      <c r="E109" s="330">
        <v>0</v>
      </c>
      <c r="F109" s="331" t="s">
        <v>304</v>
      </c>
      <c r="G109" s="332">
        <f>-42.7*E109</f>
        <v>0</v>
      </c>
      <c r="H109" s="483" t="s">
        <v>577</v>
      </c>
      <c r="I109" s="335">
        <v>117.5859375</v>
      </c>
      <c r="J109" s="335">
        <f>VLOOKUP(A109,'market px'!$B$2:$F$20,5,FALSE)</f>
        <v>109.1640625</v>
      </c>
      <c r="K109" s="845">
        <f t="shared" si="4"/>
        <v>0</v>
      </c>
      <c r="L109" s="377"/>
    </row>
    <row r="110" spans="1:15" s="270" customFormat="1">
      <c r="A110" s="325" t="s">
        <v>647</v>
      </c>
      <c r="B110" s="328" t="s">
        <v>576</v>
      </c>
      <c r="C110" s="328" t="s">
        <v>339</v>
      </c>
      <c r="D110" s="542" t="s">
        <v>339</v>
      </c>
      <c r="E110" s="330">
        <v>0</v>
      </c>
      <c r="F110" s="331" t="s">
        <v>304</v>
      </c>
      <c r="G110" s="332">
        <f>-42.7*E110</f>
        <v>0</v>
      </c>
      <c r="H110" s="483" t="s">
        <v>578</v>
      </c>
      <c r="I110" s="335">
        <v>117.4453125</v>
      </c>
      <c r="J110" s="335">
        <f>VLOOKUP(A110,'market px'!$B$2:$F$20,5,FALSE)</f>
        <v>109.1640625</v>
      </c>
      <c r="K110" s="845">
        <f t="shared" si="4"/>
        <v>0</v>
      </c>
      <c r="L110" s="377"/>
    </row>
    <row r="111" spans="1:15" s="270" customFormat="1">
      <c r="A111" s="325" t="s">
        <v>647</v>
      </c>
      <c r="B111" s="328" t="s">
        <v>584</v>
      </c>
      <c r="C111" s="328" t="s">
        <v>339</v>
      </c>
      <c r="D111" s="542" t="s">
        <v>339</v>
      </c>
      <c r="E111" s="330">
        <v>0</v>
      </c>
      <c r="F111" s="331" t="s">
        <v>304</v>
      </c>
      <c r="G111" s="332">
        <f>-77*E111</f>
        <v>0</v>
      </c>
      <c r="H111" s="483" t="s">
        <v>585</v>
      </c>
      <c r="I111" s="335">
        <v>120.421875</v>
      </c>
      <c r="J111" s="335">
        <f>VLOOKUP(A111,'market px'!$B$2:$F$20,5,FALSE)</f>
        <v>109.1640625</v>
      </c>
      <c r="K111" s="845">
        <f t="shared" si="4"/>
        <v>0</v>
      </c>
      <c r="L111" s="377"/>
    </row>
    <row r="112" spans="1:15" s="270" customFormat="1">
      <c r="A112" s="325" t="s">
        <v>647</v>
      </c>
      <c r="B112" s="328" t="s">
        <v>582</v>
      </c>
      <c r="C112" s="328" t="s">
        <v>339</v>
      </c>
      <c r="D112" s="542" t="s">
        <v>339</v>
      </c>
      <c r="E112" s="330">
        <v>0</v>
      </c>
      <c r="F112" s="331" t="s">
        <v>304</v>
      </c>
      <c r="G112" s="332">
        <f>-77*E112</f>
        <v>0</v>
      </c>
      <c r="H112" s="483" t="s">
        <v>583</v>
      </c>
      <c r="I112" s="335">
        <v>122.625</v>
      </c>
      <c r="J112" s="335">
        <f>VLOOKUP(A112,'market px'!$B$2:$F$20,5,FALSE)</f>
        <v>109.1640625</v>
      </c>
      <c r="K112" s="845">
        <f t="shared" si="4"/>
        <v>0</v>
      </c>
      <c r="L112" s="377"/>
    </row>
    <row r="113" spans="1:12" s="270" customFormat="1">
      <c r="A113" s="325" t="s">
        <v>647</v>
      </c>
      <c r="B113" s="328" t="s">
        <v>520</v>
      </c>
      <c r="C113" s="328" t="s">
        <v>339</v>
      </c>
      <c r="D113" s="542" t="s">
        <v>339</v>
      </c>
      <c r="E113" s="330">
        <v>0</v>
      </c>
      <c r="F113" s="331" t="s">
        <v>304</v>
      </c>
      <c r="G113" s="332">
        <f>-77*E113</f>
        <v>0</v>
      </c>
      <c r="H113" s="483" t="s">
        <v>521</v>
      </c>
      <c r="I113" s="335">
        <v>123.2265625</v>
      </c>
      <c r="J113" s="335">
        <f>VLOOKUP(A113,'market px'!$B$2:$F$20,5,FALSE)</f>
        <v>109.1640625</v>
      </c>
      <c r="K113" s="845">
        <f t="shared" si="4"/>
        <v>0</v>
      </c>
      <c r="L113" s="377"/>
    </row>
    <row r="114" spans="1:12" s="270" customFormat="1">
      <c r="A114" s="325" t="s">
        <v>647</v>
      </c>
      <c r="B114" s="328" t="s">
        <v>340</v>
      </c>
      <c r="C114" s="328" t="s">
        <v>339</v>
      </c>
      <c r="D114" s="542" t="s">
        <v>339</v>
      </c>
      <c r="E114" s="330"/>
      <c r="F114" s="330" t="s">
        <v>304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109.1640625</v>
      </c>
      <c r="K114" s="845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337</v>
      </c>
      <c r="B118" s="328">
        <v>42922</v>
      </c>
      <c r="C118" s="329"/>
      <c r="D118" s="542"/>
      <c r="E118" s="330">
        <v>0</v>
      </c>
      <c r="F118" s="331" t="s">
        <v>304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312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285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285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286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286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411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403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407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415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415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426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391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526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526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526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526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526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526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526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526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526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526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528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528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528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528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526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526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526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528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528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565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565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565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564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565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564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564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564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564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564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564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564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564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564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564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564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565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565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565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564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564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564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565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564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564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564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564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564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564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564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564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564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564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564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564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564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564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564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565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565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564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564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564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564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564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564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564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564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564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564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564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564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564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564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564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564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564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564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564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564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564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564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564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564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564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564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564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564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564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564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564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564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564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564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564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565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565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497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497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497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497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497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497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497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497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497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497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497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497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497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497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497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497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497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497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497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501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501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511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511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501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501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511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511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511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511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511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511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511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511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512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511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511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511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512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512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511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511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511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511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511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511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511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511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511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511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511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511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511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511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374</v>
      </c>
    </row>
    <row r="174" spans="1:12" s="270" customFormat="1">
      <c r="A174" s="325" t="s">
        <v>511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511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511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511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511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511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511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511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511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511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511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511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511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511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511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511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511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511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511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511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511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511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511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511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511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511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511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511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511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511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511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511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511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511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526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526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526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526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526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526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526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526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526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526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526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526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526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526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528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528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308</v>
      </c>
      <c r="B234" s="328">
        <v>42922</v>
      </c>
      <c r="C234" s="328"/>
      <c r="D234" s="542"/>
      <c r="E234" s="330">
        <v>0</v>
      </c>
      <c r="F234" s="330" t="s">
        <v>304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308</v>
      </c>
      <c r="B235" s="328">
        <v>42922</v>
      </c>
      <c r="C235" s="328"/>
      <c r="D235" s="542"/>
      <c r="E235" s="330">
        <v>0</v>
      </c>
      <c r="F235" s="330" t="s">
        <v>304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326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507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507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507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507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514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462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402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415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415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415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368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368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368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413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496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496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507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507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507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507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329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507</v>
      </c>
      <c r="B3" s="802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557</v>
      </c>
      <c r="B4" s="802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103.646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557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35">
        <v>103.4074</v>
      </c>
      <c r="J5" s="774">
        <f>VLOOKUP(A5,'market px'!K$2:P$80,6,FALSE)</f>
        <v>103.646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514</v>
      </c>
      <c r="B6" s="802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415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415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507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507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507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301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301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301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301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301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301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302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301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301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301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301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301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301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302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644</v>
      </c>
      <c r="B34" s="328" t="s">
        <v>571</v>
      </c>
      <c r="C34" s="328" t="s">
        <v>339</v>
      </c>
      <c r="D34" s="542" t="s">
        <v>339</v>
      </c>
      <c r="E34" s="330">
        <v>0</v>
      </c>
      <c r="F34" s="331" t="s">
        <v>304</v>
      </c>
      <c r="G34" s="332">
        <f t="shared" ref="G34:G45" si="5">77*-E34</f>
        <v>0</v>
      </c>
      <c r="H34" s="542" t="s">
        <v>572</v>
      </c>
      <c r="I34" s="335">
        <v>127.1875</v>
      </c>
      <c r="J34" s="335">
        <f>VLOOKUP(A34,'market px'!$B$2:$F$20,5,FALSE)</f>
        <v>114.484375</v>
      </c>
      <c r="K34" s="845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645</v>
      </c>
      <c r="B35" s="328" t="s">
        <v>569</v>
      </c>
      <c r="C35" s="328" t="s">
        <v>339</v>
      </c>
      <c r="D35" s="542" t="s">
        <v>339</v>
      </c>
      <c r="E35" s="330">
        <v>0</v>
      </c>
      <c r="F35" s="331" t="s">
        <v>304</v>
      </c>
      <c r="G35" s="332">
        <f t="shared" si="5"/>
        <v>0</v>
      </c>
      <c r="H35" s="542" t="s">
        <v>573</v>
      </c>
      <c r="I35" s="335">
        <v>126.34375</v>
      </c>
      <c r="J35" s="335">
        <f>VLOOKUP(A35,'market px'!$B$2:$F$20,5,FALSE)</f>
        <v>114.484375</v>
      </c>
      <c r="K35" s="845">
        <f t="shared" si="6"/>
        <v>0</v>
      </c>
      <c r="L35" s="377"/>
    </row>
    <row r="36" spans="1:19" s="93" customFormat="1">
      <c r="A36" s="325" t="s">
        <v>643</v>
      </c>
      <c r="B36" s="328" t="s">
        <v>566</v>
      </c>
      <c r="C36" s="328" t="s">
        <v>339</v>
      </c>
      <c r="D36" s="542" t="s">
        <v>339</v>
      </c>
      <c r="E36" s="330">
        <v>0</v>
      </c>
      <c r="F36" s="331" t="s">
        <v>304</v>
      </c>
      <c r="G36" s="332">
        <f t="shared" si="5"/>
        <v>0</v>
      </c>
      <c r="H36" s="542" t="s">
        <v>568</v>
      </c>
      <c r="I36" s="335">
        <v>127.1875</v>
      </c>
      <c r="J36" s="335">
        <f>VLOOKUP(A36,'market px'!$B$2:$F$20,5,FALSE)</f>
        <v>114.484375</v>
      </c>
      <c r="K36" s="845">
        <f t="shared" si="6"/>
        <v>0</v>
      </c>
      <c r="L36" s="377"/>
    </row>
    <row r="37" spans="1:19" s="93" customFormat="1">
      <c r="A37" s="325" t="s">
        <v>643</v>
      </c>
      <c r="B37" s="328" t="s">
        <v>561</v>
      </c>
      <c r="C37" s="328" t="s">
        <v>339</v>
      </c>
      <c r="D37" s="542" t="s">
        <v>339</v>
      </c>
      <c r="E37" s="330">
        <v>0</v>
      </c>
      <c r="F37" s="331" t="s">
        <v>304</v>
      </c>
      <c r="G37" s="332">
        <f t="shared" si="5"/>
        <v>0</v>
      </c>
      <c r="H37" s="542" t="s">
        <v>562</v>
      </c>
      <c r="I37" s="335">
        <v>126.453125</v>
      </c>
      <c r="J37" s="335">
        <f>VLOOKUP(A37,'market px'!$B$2:$F$20,5,FALSE)</f>
        <v>114.484375</v>
      </c>
      <c r="K37" s="845">
        <f t="shared" si="6"/>
        <v>0</v>
      </c>
      <c r="L37" s="377"/>
    </row>
    <row r="38" spans="1:19" s="93" customFormat="1">
      <c r="A38" s="325" t="s">
        <v>643</v>
      </c>
      <c r="B38" s="328" t="s">
        <v>560</v>
      </c>
      <c r="C38" s="328" t="s">
        <v>339</v>
      </c>
      <c r="D38" s="542" t="s">
        <v>339</v>
      </c>
      <c r="E38" s="330">
        <v>0</v>
      </c>
      <c r="F38" s="331" t="s">
        <v>304</v>
      </c>
      <c r="G38" s="332">
        <f t="shared" si="5"/>
        <v>0</v>
      </c>
      <c r="H38" s="542" t="s">
        <v>563</v>
      </c>
      <c r="I38" s="335">
        <v>126.46875</v>
      </c>
      <c r="J38" s="335">
        <f>VLOOKUP(A38,'market px'!$B$2:$F$20,5,FALSE)</f>
        <v>114.484375</v>
      </c>
      <c r="K38" s="845">
        <f t="shared" si="6"/>
        <v>0</v>
      </c>
      <c r="L38" s="377"/>
    </row>
    <row r="39" spans="1:19" s="93" customFormat="1">
      <c r="A39" s="325" t="s">
        <v>643</v>
      </c>
      <c r="B39" s="328" t="s">
        <v>549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si="5"/>
        <v>0</v>
      </c>
      <c r="H39" s="542" t="s">
        <v>550</v>
      </c>
      <c r="I39" s="335">
        <v>128.328125</v>
      </c>
      <c r="J39" s="335">
        <f>VLOOKUP(A39,'market px'!$B$2:$F$20,5,FALSE)</f>
        <v>114.484375</v>
      </c>
      <c r="K39" s="845">
        <f t="shared" si="6"/>
        <v>0</v>
      </c>
      <c r="L39" s="377"/>
    </row>
    <row r="40" spans="1:19" s="93" customFormat="1">
      <c r="A40" s="325" t="s">
        <v>643</v>
      </c>
      <c r="B40" s="328" t="s">
        <v>405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5"/>
        <v>0</v>
      </c>
      <c r="H40" s="542" t="s">
        <v>406</v>
      </c>
      <c r="I40" s="335">
        <v>136.578125</v>
      </c>
      <c r="J40" s="335">
        <f>VLOOKUP(A40,'market px'!$B$2:$F$20,5,FALSE)</f>
        <v>114.484375</v>
      </c>
      <c r="K40" s="845">
        <f t="shared" si="6"/>
        <v>0</v>
      </c>
      <c r="L40" s="377"/>
    </row>
    <row r="41" spans="1:19" s="93" customFormat="1">
      <c r="A41" s="325" t="s">
        <v>643</v>
      </c>
      <c r="B41" s="328" t="s">
        <v>433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5"/>
        <v>0</v>
      </c>
      <c r="H41" s="542" t="s">
        <v>434</v>
      </c>
      <c r="I41" s="335">
        <v>132.96875</v>
      </c>
      <c r="J41" s="335">
        <f>VLOOKUP(A41,'market px'!$B$2:$F$20,5,FALSE)</f>
        <v>114.484375</v>
      </c>
      <c r="K41" s="845">
        <f t="shared" si="6"/>
        <v>0</v>
      </c>
      <c r="L41" s="377"/>
    </row>
    <row r="42" spans="1:19" s="93" customFormat="1">
      <c r="A42" s="325" t="s">
        <v>643</v>
      </c>
      <c r="B42" s="328" t="s">
        <v>435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5"/>
        <v>0</v>
      </c>
      <c r="H42" s="542" t="s">
        <v>436</v>
      </c>
      <c r="I42" s="335">
        <v>133.375</v>
      </c>
      <c r="J42" s="335">
        <f>VLOOKUP(A42,'market px'!$B$2:$F$20,5,FALSE)</f>
        <v>114.484375</v>
      </c>
      <c r="K42" s="845">
        <f t="shared" si="6"/>
        <v>0</v>
      </c>
      <c r="L42" s="377"/>
    </row>
    <row r="43" spans="1:19" s="93" customFormat="1">
      <c r="A43" s="325" t="s">
        <v>643</v>
      </c>
      <c r="B43" s="328" t="s">
        <v>435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5"/>
        <v>0</v>
      </c>
      <c r="H43" s="542" t="s">
        <v>437</v>
      </c>
      <c r="I43" s="335">
        <v>133.328125</v>
      </c>
      <c r="J43" s="335">
        <f>VLOOKUP(A43,'market px'!$B$2:$F$20,5,FALSE)</f>
        <v>114.484375</v>
      </c>
      <c r="K43" s="845">
        <f t="shared" si="6"/>
        <v>0</v>
      </c>
      <c r="L43" s="377"/>
    </row>
    <row r="44" spans="1:19" s="93" customFormat="1">
      <c r="A44" s="325" t="s">
        <v>643</v>
      </c>
      <c r="B44" s="328" t="s">
        <v>438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5"/>
        <v>0</v>
      </c>
      <c r="H44" s="542" t="s">
        <v>439</v>
      </c>
      <c r="I44" s="335">
        <v>133.484375</v>
      </c>
      <c r="J44" s="335">
        <f>VLOOKUP(A44,'market px'!$B$2:$F$20,5,FALSE)</f>
        <v>114.484375</v>
      </c>
      <c r="K44" s="845">
        <f t="shared" si="6"/>
        <v>0</v>
      </c>
      <c r="L44" s="377"/>
    </row>
    <row r="45" spans="1:19" s="93" customFormat="1">
      <c r="A45" s="325" t="s">
        <v>643</v>
      </c>
      <c r="B45" s="328" t="s">
        <v>440</v>
      </c>
      <c r="C45" s="328" t="s">
        <v>339</v>
      </c>
      <c r="D45" s="542" t="s">
        <v>339</v>
      </c>
      <c r="E45" s="330">
        <v>0</v>
      </c>
      <c r="F45" s="331" t="s">
        <v>304</v>
      </c>
      <c r="G45" s="332">
        <f t="shared" si="5"/>
        <v>0</v>
      </c>
      <c r="H45" s="561" t="s">
        <v>441</v>
      </c>
      <c r="I45" s="335">
        <v>133.625</v>
      </c>
      <c r="J45" s="335">
        <f>VLOOKUP(A45,'market px'!$B$2:$F$20,5,FALSE)</f>
        <v>114.484375</v>
      </c>
      <c r="K45" s="845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302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524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523</v>
      </c>
      <c r="B50" s="328" t="s">
        <v>530</v>
      </c>
      <c r="C50" s="329" t="s">
        <v>339</v>
      </c>
      <c r="D50" s="542" t="s">
        <v>339</v>
      </c>
      <c r="E50" s="330">
        <v>0</v>
      </c>
      <c r="F50" s="331" t="s">
        <v>304</v>
      </c>
      <c r="G50" s="332">
        <f>-I50/100*1000000*(90/360)/10000*E50</f>
        <v>0</v>
      </c>
      <c r="H50" s="561" t="s">
        <v>531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523</v>
      </c>
      <c r="B51" s="328" t="s">
        <v>525</v>
      </c>
      <c r="C51" s="329" t="s">
        <v>339</v>
      </c>
      <c r="D51" s="542" t="s">
        <v>339</v>
      </c>
      <c r="E51" s="330">
        <v>0</v>
      </c>
      <c r="F51" s="331" t="s">
        <v>304</v>
      </c>
      <c r="G51" s="332">
        <f>-I51/100*1000000*(90/360)/10000*E51</f>
        <v>0</v>
      </c>
      <c r="H51" s="561" t="s">
        <v>527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524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524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524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524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526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526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526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526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526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526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526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526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526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526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526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526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526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526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526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526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526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526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526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526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526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526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526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526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526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526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526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526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526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526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526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564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564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564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564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564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564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564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564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431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431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431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431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431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431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431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431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431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431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431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431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431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431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431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431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431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431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431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431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431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431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431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431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431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431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431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431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431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431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431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431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431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431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431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431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431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431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431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431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431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431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431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431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431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431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431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431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431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431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431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431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431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431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431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431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431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431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431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431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431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431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431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431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431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431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431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431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431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431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431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431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431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431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431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431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431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431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431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431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431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431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431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431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431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431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431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431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431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431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431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497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497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497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497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497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497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497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497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497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497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497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497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497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497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497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497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497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497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497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497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497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497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497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497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497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497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497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497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497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497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497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497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497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497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497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497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497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497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497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497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497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497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511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511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511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511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511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511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511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511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511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511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511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511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511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511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511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511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511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511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511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511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511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511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511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511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511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511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511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511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511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511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511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511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511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511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511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511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511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511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511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511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511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511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511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511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511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511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511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511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511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511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511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511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511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511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511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511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511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511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511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511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511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511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511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511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511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511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526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526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526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526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526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526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526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526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526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526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526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526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526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526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526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526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526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526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526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350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523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523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523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523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326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514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363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368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402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415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415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507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507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507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507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507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300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300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300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300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300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300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300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300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300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300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300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300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605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605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317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317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285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285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286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286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288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289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905" t="s">
        <v>17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</row>
    <row r="2" spans="1:34" ht="15" customHeight="1" thickBot="1">
      <c r="A2" s="169"/>
      <c r="B2" s="169"/>
      <c r="U2" s="310"/>
      <c r="AH2" s="61">
        <f ca="1">TODAY()</f>
        <v>45016</v>
      </c>
    </row>
    <row r="3" spans="1:34" ht="15" customHeight="1">
      <c r="A3" s="915">
        <v>2005</v>
      </c>
      <c r="B3" s="916" t="s">
        <v>16</v>
      </c>
      <c r="C3" s="910" t="s">
        <v>114</v>
      </c>
      <c r="D3" s="910"/>
      <c r="E3" s="911"/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8" t="s">
        <v>115</v>
      </c>
      <c r="Q3" s="919"/>
      <c r="R3" s="919"/>
      <c r="S3" s="919"/>
      <c r="T3" s="919"/>
      <c r="U3" s="919"/>
      <c r="V3" s="919"/>
      <c r="W3" s="920"/>
      <c r="X3" s="920"/>
      <c r="Y3" s="920"/>
      <c r="Z3" s="920"/>
      <c r="AA3" s="920"/>
      <c r="AB3" s="920"/>
      <c r="AC3" s="920"/>
      <c r="AD3" s="920"/>
      <c r="AE3" s="920"/>
      <c r="AF3" s="921"/>
      <c r="AG3" s="912" t="s">
        <v>72</v>
      </c>
      <c r="AH3" s="912" t="s">
        <v>72</v>
      </c>
    </row>
    <row r="4" spans="1:34" ht="15" customHeight="1">
      <c r="A4" s="913"/>
      <c r="B4" s="917"/>
      <c r="C4" s="907" t="s">
        <v>73</v>
      </c>
      <c r="D4" s="907"/>
      <c r="E4" s="908"/>
      <c r="F4" s="908"/>
      <c r="G4" s="908"/>
      <c r="H4" s="908"/>
      <c r="I4" s="909" t="s">
        <v>74</v>
      </c>
      <c r="J4" s="907"/>
      <c r="K4" s="908"/>
      <c r="L4" s="908"/>
      <c r="M4" s="908"/>
      <c r="N4" s="908"/>
      <c r="O4" s="908"/>
      <c r="P4" s="922"/>
      <c r="Q4" s="923"/>
      <c r="R4" s="923"/>
      <c r="S4" s="923"/>
      <c r="T4" s="923"/>
      <c r="U4" s="923"/>
      <c r="V4" s="923"/>
      <c r="W4" s="923"/>
      <c r="X4" s="923"/>
      <c r="Y4" s="923"/>
      <c r="Z4" s="923"/>
      <c r="AA4" s="923"/>
      <c r="AB4" s="923"/>
      <c r="AC4" s="923"/>
      <c r="AD4" s="923"/>
      <c r="AE4" s="923"/>
      <c r="AF4" s="924"/>
      <c r="AG4" s="913"/>
      <c r="AH4" s="913"/>
    </row>
    <row r="5" spans="1:34" s="12" customFormat="1" ht="15" customHeight="1">
      <c r="A5" s="913"/>
      <c r="B5" s="227" t="s">
        <v>118</v>
      </c>
      <c r="C5" s="898" t="s">
        <v>147</v>
      </c>
      <c r="D5" s="904"/>
      <c r="E5" s="152" t="s">
        <v>119</v>
      </c>
      <c r="F5" s="156" t="s">
        <v>120</v>
      </c>
      <c r="G5" s="152" t="s">
        <v>121</v>
      </c>
      <c r="H5" s="185" t="s">
        <v>122</v>
      </c>
      <c r="I5" s="898" t="s">
        <v>147</v>
      </c>
      <c r="J5" s="899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898" t="s">
        <v>147</v>
      </c>
      <c r="Q5" s="904"/>
      <c r="R5" s="185" t="s">
        <v>148</v>
      </c>
      <c r="S5" s="902" t="s">
        <v>120</v>
      </c>
      <c r="T5" s="903"/>
      <c r="U5" s="900" t="s">
        <v>149</v>
      </c>
      <c r="V5" s="904"/>
      <c r="W5" s="900" t="s">
        <v>119</v>
      </c>
      <c r="X5" s="899"/>
      <c r="Y5" s="900" t="s">
        <v>151</v>
      </c>
      <c r="Z5" s="899"/>
      <c r="AA5" s="902" t="s">
        <v>150</v>
      </c>
      <c r="AB5" s="903"/>
      <c r="AC5" s="900" t="s">
        <v>121</v>
      </c>
      <c r="AD5" s="901"/>
      <c r="AE5" s="900" t="s">
        <v>122</v>
      </c>
      <c r="AF5" s="925"/>
      <c r="AG5" s="914"/>
      <c r="AH5" s="914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  <mergeCell ref="U5:V5"/>
    <mergeCell ref="S5:T5"/>
    <mergeCell ref="Y5:Z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45016</v>
      </c>
      <c r="C1" s="11">
        <f ca="1">TODAY()</f>
        <v>45016</v>
      </c>
      <c r="D1" s="11">
        <f ca="1">TODAY()</f>
        <v>45016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-17.712328767123289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-17.769863013698629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-17.728767123287671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-17.676712328767124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Jesse-UR</vt:lpstr>
      <vt:lpstr>Jesse-Real</vt:lpstr>
      <vt:lpstr>Aaron-UR</vt:lpstr>
      <vt:lpstr>Aaron-Real</vt:lpstr>
      <vt:lpstr>Mark1-UR</vt:lpstr>
      <vt:lpstr>Mark1-Real</vt:lpstr>
      <vt:lpstr>Gary-UR</vt:lpstr>
      <vt:lpstr>Gary-Real</vt:lpstr>
      <vt:lpstr>Peggy-UR</vt:lpstr>
      <vt:lpstr>Peggy-Real</vt:lpstr>
      <vt:lpstr>Pete-UR</vt:lpstr>
      <vt:lpstr>Pete-Real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吳文祺</cp:lastModifiedBy>
  <cp:lastPrinted>2017-06-16T09:39:17Z</cp:lastPrinted>
  <dcterms:created xsi:type="dcterms:W3CDTF">2003-08-06T10:18:41Z</dcterms:created>
  <dcterms:modified xsi:type="dcterms:W3CDTF">2023-03-31T09:46:29Z</dcterms:modified>
</cp:coreProperties>
</file>