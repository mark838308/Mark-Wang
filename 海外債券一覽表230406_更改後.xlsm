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tsbnas1\財務金融處\固定收益部\劉瑞洋\汪志遠\外債P&amp;L\"/>
    </mc:Choice>
  </mc:AlternateContent>
  <bookViews>
    <workbookView xWindow="-255" yWindow="11445" windowWidth="14640" windowHeight="1305" tabRatio="937" firstSheet="2" activeTab="5"/>
  </bookViews>
  <sheets>
    <sheet name="Report in NTD" sheetId="17" r:id="rId1"/>
    <sheet name="Report-USD" sheetId="13" r:id="rId2"/>
    <sheet name="Report-EUR" sheetId="22" r:id="rId3"/>
    <sheet name="Report-CNY" sheetId="52" r:id="rId4"/>
    <sheet name="market px" sheetId="21" r:id="rId5"/>
    <sheet name="對帳" sheetId="51" r:id="rId6"/>
    <sheet name="total carry-USD" sheetId="35" r:id="rId7"/>
    <sheet name="Jesse-UR" sheetId="41" r:id="rId8"/>
    <sheet name="Jesse-Real" sheetId="42" r:id="rId9"/>
    <sheet name="Aaron-UR" sheetId="30" r:id="rId10"/>
    <sheet name="Aaron-Real" sheetId="31" r:id="rId11"/>
    <sheet name="Mark1-UR" sheetId="50" r:id="rId12"/>
    <sheet name="Mark1-Real" sheetId="49" r:id="rId13"/>
    <sheet name="Gary-UR" sheetId="24" r:id="rId14"/>
    <sheet name="Gary-Real" sheetId="25" r:id="rId15"/>
    <sheet name="Peggy-UR" sheetId="55" r:id="rId16"/>
    <sheet name="Peggy-Real" sheetId="56" r:id="rId17"/>
    <sheet name="Pete-UR" sheetId="44" r:id="rId18"/>
    <sheet name="Pete-Real" sheetId="43" r:id="rId19"/>
    <sheet name="Roger-UR" sheetId="1" r:id="rId20"/>
    <sheet name="Roger-Real" sheetId="19" r:id="rId21"/>
    <sheet name="Cindy-UR" sheetId="53" r:id="rId22"/>
    <sheet name="Cindy-Real" sheetId="54" r:id="rId23"/>
    <sheet name="Ryan-UR" sheetId="48" r:id="rId24"/>
    <sheet name="Ryan-Real" sheetId="47" r:id="rId25"/>
    <sheet name="John-UR" sheetId="27" r:id="rId26"/>
    <sheet name="John-Real" sheetId="26" r:id="rId27"/>
    <sheet name="Realized in USD" sheetId="14" r:id="rId28"/>
    <sheet name="Accrued" sheetId="10" r:id="rId29"/>
  </sheets>
  <functionGroups builtInGroupCount="18"/>
  <externalReferences>
    <externalReference r:id="rId30"/>
  </externalReferences>
  <definedNames>
    <definedName name="_MailOriginal" localSheetId="5">對帳!$X$10</definedName>
    <definedName name="Carry">'total carry-USD'!$A$6</definedName>
    <definedName name="CCCell">對帳!$K$12</definedName>
    <definedName name="EmailCell">對帳!$B$12</definedName>
    <definedName name="EUR_YTD">'Report-EUR'!$I$2</definedName>
    <definedName name="LastReportDate">對帳!$C$3</definedName>
    <definedName name="NTD_YTD">'Report in NTD'!$J$2</definedName>
    <definedName name="_xlnm.Print_Area" localSheetId="27">'Realized in USD'!$A$1:$AH$57</definedName>
    <definedName name="_xlnm.Print_Area" localSheetId="0">'Report in NTD'!$B$1:$E$30</definedName>
    <definedName name="_xlnm.Print_Area" localSheetId="3">'Report-CNY'!$B$1:$I$22</definedName>
    <definedName name="_xlnm.Print_Area" localSheetId="1">'Report-USD'!$B$1:$I$24</definedName>
    <definedName name="_xlnm.Print_Area" localSheetId="19">'Roger-UR'!$A$19:$K$38</definedName>
    <definedName name="RngStep1">對帳!$B$5</definedName>
    <definedName name="RngStep2">對帳!$B$6</definedName>
    <definedName name="RngStep3">對帳!$B$7</definedName>
    <definedName name="RngStep4">對帳!$B$8</definedName>
    <definedName name="RngStep5">對帳!$B$9</definedName>
    <definedName name="SendCell">對帳!$J$12</definedName>
    <definedName name="TodayDate">對帳!$C$2</definedName>
    <definedName name="USD_YTD" localSheetId="3">'Report-CNY'!$J$2</definedName>
    <definedName name="USD_YTD">'Report-USD'!$J$2</definedName>
  </definedNames>
  <calcPr calcId="152511"/>
</workbook>
</file>

<file path=xl/calcChain.xml><?xml version="1.0" encoding="utf-8"?>
<calcChain xmlns="http://schemas.openxmlformats.org/spreadsheetml/2006/main">
  <c r="G33" i="44" l="1"/>
  <c r="G34" i="44"/>
  <c r="G35" i="44"/>
  <c r="G36" i="44"/>
  <c r="G37" i="44"/>
  <c r="K272" i="43"/>
  <c r="G60" i="55" l="1"/>
  <c r="G39" i="30" l="1"/>
  <c r="G47" i="50" l="1"/>
  <c r="G50" i="30"/>
  <c r="G38" i="30"/>
  <c r="G46" i="50" l="1"/>
  <c r="G51" i="30"/>
  <c r="G52" i="30"/>
  <c r="G53" i="30"/>
  <c r="G37" i="30"/>
  <c r="G63" i="55" l="1"/>
  <c r="G50" i="24"/>
  <c r="G82" i="44" l="1"/>
  <c r="G81" i="44"/>
  <c r="G80" i="44"/>
  <c r="G49" i="30"/>
  <c r="G55" i="30"/>
  <c r="G54" i="30"/>
  <c r="G67" i="44" l="1"/>
  <c r="G68" i="44"/>
  <c r="G76" i="44"/>
  <c r="G77" i="44"/>
  <c r="G78" i="44"/>
  <c r="G79" i="44"/>
  <c r="G43" i="30"/>
  <c r="G44" i="30"/>
  <c r="G69" i="44" l="1"/>
  <c r="G70" i="44"/>
  <c r="G71" i="44"/>
  <c r="G72" i="44"/>
  <c r="G49" i="24" l="1"/>
  <c r="K206" i="42" l="1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176" i="42"/>
  <c r="K177" i="42"/>
  <c r="K178" i="42"/>
  <c r="K179" i="42"/>
  <c r="K180" i="42"/>
  <c r="K181" i="42"/>
  <c r="K203" i="42"/>
  <c r="K204" i="42"/>
  <c r="K205" i="42"/>
  <c r="K172" i="42"/>
  <c r="K173" i="42"/>
  <c r="K174" i="42"/>
  <c r="K175" i="42"/>
  <c r="K171" i="42"/>
  <c r="G65" i="44" l="1"/>
  <c r="G66" i="44"/>
  <c r="G42" i="30"/>
  <c r="G51" i="24" l="1"/>
  <c r="G52" i="24"/>
  <c r="G53" i="24"/>
  <c r="J91" i="41"/>
  <c r="K91" i="41" s="1"/>
  <c r="J92" i="41"/>
  <c r="K92" i="41" s="1"/>
  <c r="J93" i="41"/>
  <c r="K93" i="41" s="1"/>
  <c r="J94" i="41"/>
  <c r="K94" i="41" s="1"/>
  <c r="J95" i="41"/>
  <c r="K95" i="41" s="1"/>
  <c r="J96" i="41"/>
  <c r="K96" i="41" s="1"/>
  <c r="J97" i="41"/>
  <c r="K97" i="41" s="1"/>
  <c r="J98" i="41"/>
  <c r="K98" i="41" s="1"/>
  <c r="J99" i="41"/>
  <c r="K99" i="41" s="1"/>
  <c r="J100" i="41"/>
  <c r="K100" i="41" s="1"/>
  <c r="J101" i="41"/>
  <c r="K101" i="41" s="1"/>
  <c r="J102" i="41"/>
  <c r="K102" i="41" s="1"/>
  <c r="J103" i="41"/>
  <c r="K103" i="41" s="1"/>
  <c r="J104" i="41"/>
  <c r="K104" i="41" s="1"/>
  <c r="J105" i="41"/>
  <c r="K105" i="41" s="1"/>
  <c r="J106" i="41"/>
  <c r="K106" i="41" s="1"/>
  <c r="J107" i="41"/>
  <c r="K107" i="41" s="1"/>
  <c r="G36" i="30" l="1"/>
  <c r="G40" i="30"/>
  <c r="G41" i="30"/>
  <c r="G45" i="30"/>
  <c r="G87" i="41"/>
  <c r="G88" i="41"/>
  <c r="G89" i="41"/>
  <c r="J89" i="41"/>
  <c r="K89" i="41" s="1"/>
  <c r="J88" i="41"/>
  <c r="K88" i="41" s="1"/>
  <c r="J87" i="41"/>
  <c r="K87" i="41" s="1"/>
  <c r="J85" i="41"/>
  <c r="G109" i="41" l="1"/>
  <c r="E109" i="41"/>
  <c r="G59" i="44"/>
  <c r="G60" i="44"/>
  <c r="G61" i="44"/>
  <c r="G62" i="44"/>
  <c r="G111" i="41" l="1"/>
  <c r="G110" i="41"/>
  <c r="G85" i="41"/>
  <c r="G86" i="41"/>
  <c r="G84" i="41"/>
  <c r="G108" i="41"/>
  <c r="E67" i="24"/>
  <c r="G67" i="24" s="1"/>
  <c r="E66" i="24"/>
  <c r="G66" i="24" s="1"/>
  <c r="E65" i="24"/>
  <c r="G65" i="24" s="1"/>
  <c r="G64" i="24"/>
  <c r="J64" i="24"/>
  <c r="K64" i="24" s="1"/>
  <c r="E64" i="30"/>
  <c r="G64" i="30" s="1"/>
  <c r="E63" i="30"/>
  <c r="G63" i="30" s="1"/>
  <c r="E62" i="30"/>
  <c r="G62" i="30" s="1"/>
  <c r="G61" i="30"/>
  <c r="H10" i="17"/>
  <c r="G90" i="41" l="1"/>
  <c r="G57" i="30"/>
  <c r="G56" i="30"/>
  <c r="G47" i="24" l="1"/>
  <c r="G72" i="41" l="1"/>
  <c r="G68" i="41"/>
  <c r="K68" i="41"/>
  <c r="G69" i="41"/>
  <c r="G70" i="41"/>
  <c r="G71" i="41"/>
  <c r="K56" i="42"/>
  <c r="K55" i="42"/>
  <c r="K54" i="42"/>
  <c r="K53" i="42"/>
  <c r="K52" i="42"/>
  <c r="G35" i="30"/>
  <c r="K35" i="30"/>
  <c r="G47" i="30"/>
  <c r="G46" i="30"/>
  <c r="G45" i="50" l="1"/>
  <c r="G75" i="44" l="1"/>
  <c r="G54" i="24" l="1"/>
  <c r="G48" i="24" l="1"/>
  <c r="G48" i="50"/>
  <c r="G41" i="44" l="1"/>
  <c r="G40" i="44"/>
  <c r="G38" i="44" l="1"/>
  <c r="G39" i="44"/>
  <c r="G64" i="55"/>
  <c r="G56" i="24" l="1"/>
  <c r="G44" i="50" l="1"/>
  <c r="G73" i="44" l="1"/>
  <c r="G62" i="55" l="1"/>
  <c r="G41" i="50"/>
  <c r="K75" i="31"/>
  <c r="K76" i="31"/>
  <c r="K77" i="31"/>
  <c r="K78" i="31"/>
  <c r="K79" i="31"/>
  <c r="K80" i="31"/>
  <c r="K81" i="31"/>
  <c r="K82" i="31"/>
  <c r="K83" i="31"/>
  <c r="K84" i="31"/>
  <c r="K85" i="31"/>
  <c r="K86" i="31"/>
  <c r="K87" i="31"/>
  <c r="K88" i="31"/>
  <c r="K89" i="31"/>
  <c r="K90" i="31"/>
  <c r="K91" i="31"/>
  <c r="K92" i="31"/>
  <c r="K93" i="31"/>
  <c r="K94" i="31"/>
  <c r="K95" i="31"/>
  <c r="K96" i="31"/>
  <c r="K97" i="31"/>
  <c r="K98" i="31"/>
  <c r="K99" i="31"/>
  <c r="K100" i="31"/>
  <c r="K101" i="31"/>
  <c r="K102" i="31"/>
  <c r="K103" i="31"/>
  <c r="K104" i="31"/>
  <c r="K105" i="31"/>
  <c r="K106" i="31"/>
  <c r="K107" i="31"/>
  <c r="K108" i="31"/>
  <c r="K109" i="31"/>
  <c r="K110" i="31"/>
  <c r="K111" i="31"/>
  <c r="K112" i="31"/>
  <c r="K113" i="31"/>
  <c r="K114" i="31"/>
  <c r="K115" i="31"/>
  <c r="K116" i="31"/>
  <c r="K117" i="31"/>
  <c r="K118" i="31"/>
  <c r="K119" i="31"/>
  <c r="K120" i="31"/>
  <c r="K121" i="31"/>
  <c r="K122" i="31"/>
  <c r="K123" i="31"/>
  <c r="K124" i="31"/>
  <c r="K125" i="31"/>
  <c r="K126" i="31"/>
  <c r="K127" i="31"/>
  <c r="K128" i="31"/>
  <c r="K129" i="31"/>
  <c r="K130" i="31"/>
  <c r="K131" i="31"/>
  <c r="K132" i="31"/>
  <c r="K133" i="31"/>
  <c r="K134" i="31"/>
  <c r="K135" i="31"/>
  <c r="K136" i="31"/>
  <c r="K137" i="31"/>
  <c r="K138" i="31"/>
  <c r="K139" i="31"/>
  <c r="K140" i="31"/>
  <c r="K141" i="31"/>
  <c r="K142" i="31"/>
  <c r="K143" i="31"/>
  <c r="K144" i="31"/>
  <c r="K145" i="31"/>
  <c r="K146" i="31"/>
  <c r="K147" i="31"/>
  <c r="K148" i="31"/>
  <c r="K149" i="31"/>
  <c r="K150" i="31"/>
  <c r="K151" i="31"/>
  <c r="K152" i="31"/>
  <c r="K153" i="31"/>
  <c r="K154" i="31"/>
  <c r="K155" i="31"/>
  <c r="K156" i="31"/>
  <c r="K157" i="31"/>
  <c r="K158" i="31"/>
  <c r="K159" i="31"/>
  <c r="K160" i="31"/>
  <c r="K161" i="31"/>
  <c r="K162" i="31"/>
  <c r="K163" i="31"/>
  <c r="K164" i="31"/>
  <c r="K165" i="31"/>
  <c r="K166" i="31"/>
  <c r="K167" i="31"/>
  <c r="K168" i="31"/>
  <c r="K169" i="31"/>
  <c r="K170" i="31"/>
  <c r="K171" i="31"/>
  <c r="K172" i="31"/>
  <c r="K173" i="31"/>
  <c r="K174" i="31"/>
  <c r="K175" i="31"/>
  <c r="K176" i="31"/>
  <c r="K177" i="31"/>
  <c r="K178" i="31"/>
  <c r="K179" i="31"/>
  <c r="K180" i="31"/>
  <c r="K181" i="31"/>
  <c r="K182" i="31"/>
  <c r="K183" i="31"/>
  <c r="K184" i="31"/>
  <c r="K185" i="31"/>
  <c r="K186" i="31"/>
  <c r="K187" i="31"/>
  <c r="K188" i="31"/>
  <c r="K189" i="31"/>
  <c r="K190" i="31"/>
  <c r="K191" i="31"/>
  <c r="K192" i="31"/>
  <c r="K193" i="31"/>
  <c r="K194" i="31"/>
  <c r="K195" i="31"/>
  <c r="K196" i="31"/>
  <c r="K197" i="31"/>
  <c r="K198" i="31"/>
  <c r="K199" i="31"/>
  <c r="K200" i="31"/>
  <c r="K201" i="31"/>
  <c r="K202" i="31"/>
  <c r="K203" i="31"/>
  <c r="K204" i="31"/>
  <c r="K205" i="31"/>
  <c r="K206" i="31"/>
  <c r="K207" i="31"/>
  <c r="K208" i="31"/>
  <c r="K209" i="31"/>
  <c r="K210" i="31"/>
  <c r="K211" i="31"/>
  <c r="K212" i="31"/>
  <c r="K213" i="31"/>
  <c r="K214" i="31"/>
  <c r="K215" i="31"/>
  <c r="K216" i="31"/>
  <c r="K217" i="31"/>
  <c r="K218" i="31"/>
  <c r="K219" i="31"/>
  <c r="K220" i="31"/>
  <c r="K221" i="31"/>
  <c r="K222" i="31"/>
  <c r="K223" i="31"/>
  <c r="K224" i="31"/>
  <c r="K225" i="31"/>
  <c r="K226" i="31"/>
  <c r="K227" i="31"/>
  <c r="K228" i="31"/>
  <c r="K229" i="31"/>
  <c r="K230" i="31"/>
  <c r="K231" i="31"/>
  <c r="K232" i="31"/>
  <c r="K233" i="31"/>
  <c r="K234" i="31"/>
  <c r="K235" i="31"/>
  <c r="K236" i="31"/>
  <c r="K237" i="31"/>
  <c r="K238" i="31"/>
  <c r="K239" i="31"/>
  <c r="K240" i="31"/>
  <c r="K241" i="31"/>
  <c r="K242" i="31"/>
  <c r="K243" i="31"/>
  <c r="K244" i="31"/>
  <c r="K245" i="31"/>
  <c r="K246" i="31"/>
  <c r="K247" i="31"/>
  <c r="K248" i="31"/>
  <c r="K249" i="31"/>
  <c r="K250" i="31"/>
  <c r="K251" i="31"/>
  <c r="K252" i="31"/>
  <c r="K253" i="31"/>
  <c r="K254" i="31"/>
  <c r="K255" i="31"/>
  <c r="K256" i="31"/>
  <c r="K257" i="31"/>
  <c r="K258" i="31"/>
  <c r="K259" i="31"/>
  <c r="K260" i="31"/>
  <c r="K261" i="31"/>
  <c r="K262" i="31"/>
  <c r="K263" i="31"/>
  <c r="K264" i="31"/>
  <c r="K265" i="31"/>
  <c r="K266" i="31"/>
  <c r="K267" i="31"/>
  <c r="K268" i="31"/>
  <c r="K269" i="31"/>
  <c r="K270" i="31"/>
  <c r="K271" i="31"/>
  <c r="K272" i="31"/>
  <c r="K273" i="31"/>
  <c r="K274" i="31"/>
  <c r="K275" i="31"/>
  <c r="K276" i="31"/>
  <c r="K277" i="31"/>
  <c r="K278" i="31"/>
  <c r="K279" i="31"/>
  <c r="K280" i="31"/>
  <c r="K281" i="31"/>
  <c r="K282" i="31"/>
  <c r="K283" i="31"/>
  <c r="K284" i="31"/>
  <c r="K285" i="31"/>
  <c r="K286" i="31"/>
  <c r="K287" i="31"/>
  <c r="K288" i="31"/>
  <c r="K289" i="31"/>
  <c r="K290" i="31"/>
  <c r="K291" i="31"/>
  <c r="K292" i="31"/>
  <c r="K293" i="31"/>
  <c r="K294" i="31"/>
  <c r="K295" i="31"/>
  <c r="K296" i="31"/>
  <c r="K297" i="31"/>
  <c r="K298" i="31"/>
  <c r="K299" i="31"/>
  <c r="K300" i="31"/>
  <c r="K301" i="31"/>
  <c r="K302" i="31"/>
  <c r="K303" i="31"/>
  <c r="K304" i="31"/>
  <c r="K305" i="31"/>
  <c r="K306" i="31"/>
  <c r="K307" i="31"/>
  <c r="K308" i="31"/>
  <c r="K309" i="31"/>
  <c r="K310" i="31"/>
  <c r="K311" i="31"/>
  <c r="K312" i="31"/>
  <c r="K313" i="31"/>
  <c r="K314" i="31"/>
  <c r="K315" i="31"/>
  <c r="K316" i="31"/>
  <c r="K317" i="31"/>
  <c r="K318" i="31"/>
  <c r="K319" i="31"/>
  <c r="K320" i="31"/>
  <c r="K321" i="31"/>
  <c r="K322" i="31"/>
  <c r="K323" i="31"/>
  <c r="K324" i="31"/>
  <c r="K325" i="31"/>
  <c r="K326" i="31"/>
  <c r="K327" i="31"/>
  <c r="K328" i="31"/>
  <c r="K329" i="31"/>
  <c r="K330" i="31"/>
  <c r="K331" i="31"/>
  <c r="K332" i="31"/>
  <c r="K333" i="31"/>
  <c r="K334" i="31"/>
  <c r="K335" i="31"/>
  <c r="K336" i="31"/>
  <c r="K337" i="31"/>
  <c r="K338" i="31"/>
  <c r="K339" i="31"/>
  <c r="K340" i="31"/>
  <c r="K341" i="31"/>
  <c r="K342" i="31"/>
  <c r="K343" i="31"/>
  <c r="K344" i="31"/>
  <c r="K345" i="31"/>
  <c r="K346" i="31"/>
  <c r="K347" i="31"/>
  <c r="K348" i="31"/>
  <c r="K349" i="31"/>
  <c r="K350" i="31"/>
  <c r="K351" i="31"/>
  <c r="K352" i="31"/>
  <c r="K353" i="31"/>
  <c r="K354" i="31"/>
  <c r="K355" i="31"/>
  <c r="K356" i="31"/>
  <c r="K357" i="31"/>
  <c r="K358" i="31"/>
  <c r="K359" i="31"/>
  <c r="K360" i="31"/>
  <c r="K361" i="31"/>
  <c r="K362" i="31"/>
  <c r="K363" i="31"/>
  <c r="K364" i="31"/>
  <c r="K365" i="31"/>
  <c r="K366" i="31"/>
  <c r="K367" i="31"/>
  <c r="K368" i="31"/>
  <c r="K369" i="31"/>
  <c r="K370" i="31"/>
  <c r="K371" i="31"/>
  <c r="K372" i="31"/>
  <c r="K373" i="31"/>
  <c r="K374" i="31"/>
  <c r="K375" i="31"/>
  <c r="K376" i="31"/>
  <c r="K377" i="31"/>
  <c r="K378" i="31"/>
  <c r="K379" i="31"/>
  <c r="K380" i="31"/>
  <c r="K381" i="31"/>
  <c r="K382" i="31"/>
  <c r="K383" i="31"/>
  <c r="K384" i="31"/>
  <c r="K385" i="31"/>
  <c r="K386" i="31"/>
  <c r="K387" i="31"/>
  <c r="K388" i="31"/>
  <c r="K389" i="31"/>
  <c r="K390" i="31"/>
  <c r="K391" i="31"/>
  <c r="K392" i="31"/>
  <c r="K393" i="31"/>
  <c r="K394" i="31"/>
  <c r="K395" i="31"/>
  <c r="K396" i="31"/>
  <c r="K397" i="31"/>
  <c r="K398" i="31"/>
  <c r="K399" i="31"/>
  <c r="K400" i="31"/>
  <c r="K401" i="31"/>
  <c r="K402" i="31"/>
  <c r="K403" i="31"/>
  <c r="K404" i="31"/>
  <c r="K405" i="31"/>
  <c r="K406" i="31"/>
  <c r="K407" i="31"/>
  <c r="K408" i="31"/>
  <c r="K409" i="31"/>
  <c r="K410" i="31"/>
  <c r="K411" i="31"/>
  <c r="K412" i="31"/>
  <c r="K413" i="31"/>
  <c r="K414" i="31"/>
  <c r="K415" i="31"/>
  <c r="K416" i="31"/>
  <c r="K417" i="31"/>
  <c r="K418" i="31"/>
  <c r="K419" i="31"/>
  <c r="K420" i="31"/>
  <c r="K421" i="31"/>
  <c r="K422" i="31"/>
  <c r="K423" i="31"/>
  <c r="K424" i="31"/>
  <c r="K425" i="31"/>
  <c r="K426" i="31"/>
  <c r="K427" i="31"/>
  <c r="K428" i="31"/>
  <c r="K429" i="31"/>
  <c r="K430" i="31"/>
  <c r="K431" i="31"/>
  <c r="K432" i="31"/>
  <c r="K433" i="31"/>
  <c r="K434" i="31"/>
  <c r="K435" i="31"/>
  <c r="K436" i="31"/>
  <c r="K437" i="31"/>
  <c r="K438" i="31"/>
  <c r="K439" i="31"/>
  <c r="K440" i="31"/>
  <c r="K441" i="31"/>
  <c r="K442" i="31"/>
  <c r="K443" i="31"/>
  <c r="K444" i="31"/>
  <c r="K445" i="31"/>
  <c r="K446" i="31"/>
  <c r="K447" i="31"/>
  <c r="K448" i="31"/>
  <c r="K449" i="31"/>
  <c r="K450" i="31"/>
  <c r="K451" i="31"/>
  <c r="K452" i="31"/>
  <c r="K453" i="31"/>
  <c r="K454" i="31"/>
  <c r="K455" i="31"/>
  <c r="K456" i="31"/>
  <c r="K457" i="31"/>
  <c r="K458" i="31"/>
  <c r="K459" i="31"/>
  <c r="K460" i="31"/>
  <c r="K461" i="31"/>
  <c r="K462" i="31"/>
  <c r="K463" i="31"/>
  <c r="K464" i="31"/>
  <c r="K465" i="31"/>
  <c r="K466" i="31"/>
  <c r="K467" i="31"/>
  <c r="K468" i="31"/>
  <c r="K469" i="31"/>
  <c r="K470" i="31"/>
  <c r="K471" i="31"/>
  <c r="K472" i="31"/>
  <c r="K473" i="31"/>
  <c r="K474" i="31"/>
  <c r="K475" i="31"/>
  <c r="K476" i="31"/>
  <c r="K477" i="31"/>
  <c r="K478" i="31"/>
  <c r="K479" i="31"/>
  <c r="K480" i="31"/>
  <c r="K481" i="31"/>
  <c r="K482" i="31"/>
  <c r="K483" i="31"/>
  <c r="K484" i="31"/>
  <c r="K485" i="31"/>
  <c r="K486" i="31"/>
  <c r="K487" i="31"/>
  <c r="K488" i="31"/>
  <c r="K489" i="31"/>
  <c r="K490" i="31"/>
  <c r="K491" i="31"/>
  <c r="K492" i="31"/>
  <c r="K493" i="31"/>
  <c r="K494" i="31"/>
  <c r="K495" i="31"/>
  <c r="K496" i="31"/>
  <c r="K497" i="31"/>
  <c r="K498" i="31"/>
  <c r="K499" i="31"/>
  <c r="K500" i="31"/>
  <c r="K501" i="31"/>
  <c r="K502" i="31"/>
  <c r="K503" i="31"/>
  <c r="K504" i="31"/>
  <c r="K505" i="31"/>
  <c r="K506" i="31"/>
  <c r="K507" i="31"/>
  <c r="K508" i="31"/>
  <c r="K509" i="31"/>
  <c r="K510" i="31"/>
  <c r="K511" i="31"/>
  <c r="K512" i="31"/>
  <c r="K513" i="31"/>
  <c r="K514" i="31"/>
  <c r="K515" i="31"/>
  <c r="K516" i="31"/>
  <c r="K517" i="31"/>
  <c r="K518" i="31"/>
  <c r="K519" i="31"/>
  <c r="K520" i="31"/>
  <c r="K521" i="31"/>
  <c r="K522" i="31"/>
  <c r="K523" i="31"/>
  <c r="K524" i="31"/>
  <c r="K525" i="31"/>
  <c r="K526" i="31"/>
  <c r="K527" i="31"/>
  <c r="K528" i="31"/>
  <c r="K529" i="31"/>
  <c r="K530" i="31"/>
  <c r="K531" i="31"/>
  <c r="K532" i="31"/>
  <c r="K533" i="31"/>
  <c r="K534" i="31"/>
  <c r="K535" i="31"/>
  <c r="K536" i="31"/>
  <c r="K537" i="31"/>
  <c r="K538" i="31"/>
  <c r="K539" i="31"/>
  <c r="K540" i="31"/>
  <c r="K541" i="31"/>
  <c r="K542" i="31"/>
  <c r="K543" i="31"/>
  <c r="K544" i="31"/>
  <c r="K545" i="31"/>
  <c r="K546" i="31"/>
  <c r="K547" i="31"/>
  <c r="K548" i="31"/>
  <c r="K549" i="31"/>
  <c r="K550" i="31"/>
  <c r="K551" i="31"/>
  <c r="K552" i="31"/>
  <c r="K553" i="31"/>
  <c r="K554" i="31"/>
  <c r="K555" i="31"/>
  <c r="K556" i="31"/>
  <c r="K557" i="31"/>
  <c r="K558" i="31"/>
  <c r="K559" i="31"/>
  <c r="K560" i="31"/>
  <c r="K561" i="31"/>
  <c r="K562" i="31"/>
  <c r="K563" i="31"/>
  <c r="K564" i="31"/>
  <c r="K565" i="31"/>
  <c r="K566" i="31"/>
  <c r="K567" i="31"/>
  <c r="K568" i="31"/>
  <c r="K569" i="31"/>
  <c r="K570" i="31"/>
  <c r="K571" i="31"/>
  <c r="K572" i="31"/>
  <c r="K573" i="31"/>
  <c r="K574" i="31"/>
  <c r="K575" i="31"/>
  <c r="K576" i="31"/>
  <c r="K577" i="31"/>
  <c r="K578" i="31"/>
  <c r="K579" i="31"/>
  <c r="K580" i="31"/>
  <c r="K581" i="31"/>
  <c r="K582" i="31"/>
  <c r="K583" i="31"/>
  <c r="K584" i="31"/>
  <c r="K585" i="31"/>
  <c r="K586" i="31"/>
  <c r="K587" i="31"/>
  <c r="K588" i="31"/>
  <c r="K589" i="31"/>
  <c r="K590" i="31"/>
  <c r="K591" i="31"/>
  <c r="K592" i="31"/>
  <c r="K593" i="31"/>
  <c r="K594" i="31"/>
  <c r="K595" i="31"/>
  <c r="K596" i="31"/>
  <c r="K597" i="31"/>
  <c r="K598" i="31"/>
  <c r="K599" i="31"/>
  <c r="K600" i="31"/>
  <c r="K601" i="31"/>
  <c r="K602" i="31"/>
  <c r="K603" i="31"/>
  <c r="K604" i="31"/>
  <c r="K605" i="31"/>
  <c r="K606" i="31"/>
  <c r="K607" i="31"/>
  <c r="K608" i="31"/>
  <c r="K609" i="31"/>
  <c r="K610" i="31"/>
  <c r="K611" i="31"/>
  <c r="K612" i="31"/>
  <c r="K613" i="31"/>
  <c r="K614" i="31"/>
  <c r="K615" i="31"/>
  <c r="K616" i="31"/>
  <c r="K617" i="31"/>
  <c r="K618" i="31"/>
  <c r="K619" i="31"/>
  <c r="K620" i="31"/>
  <c r="K621" i="31"/>
  <c r="K622" i="31"/>
  <c r="K623" i="31"/>
  <c r="K624" i="31"/>
  <c r="K625" i="31"/>
  <c r="K626" i="31"/>
  <c r="K627" i="31"/>
  <c r="K628" i="31"/>
  <c r="K629" i="31"/>
  <c r="K630" i="31"/>
  <c r="K631" i="31"/>
  <c r="K632" i="31"/>
  <c r="K633" i="31"/>
  <c r="K634" i="31"/>
  <c r="K635" i="31"/>
  <c r="K636" i="31"/>
  <c r="K637" i="31"/>
  <c r="K638" i="31"/>
  <c r="K639" i="31"/>
  <c r="K640" i="31"/>
  <c r="K641" i="31"/>
  <c r="K642" i="31"/>
  <c r="K643" i="31"/>
  <c r="K644" i="31"/>
  <c r="K645" i="31"/>
  <c r="K646" i="31"/>
  <c r="K647" i="31"/>
  <c r="K648" i="31"/>
  <c r="K649" i="31"/>
  <c r="K650" i="31"/>
  <c r="K651" i="31"/>
  <c r="K652" i="31"/>
  <c r="K653" i="31"/>
  <c r="K654" i="31"/>
  <c r="K655" i="31"/>
  <c r="K656" i="31"/>
  <c r="K657" i="31"/>
  <c r="K658" i="31"/>
  <c r="K659" i="31"/>
  <c r="K660" i="31"/>
  <c r="K661" i="31"/>
  <c r="K662" i="31"/>
  <c r="K663" i="31"/>
  <c r="K664" i="31"/>
  <c r="K665" i="31"/>
  <c r="K666" i="31"/>
  <c r="K667" i="31"/>
  <c r="K668" i="31"/>
  <c r="K669" i="31"/>
  <c r="K670" i="31"/>
  <c r="K671" i="31"/>
  <c r="K672" i="31"/>
  <c r="K673" i="31"/>
  <c r="K674" i="31"/>
  <c r="K675" i="31"/>
  <c r="K676" i="31"/>
  <c r="K677" i="31"/>
  <c r="K678" i="31"/>
  <c r="K679" i="31"/>
  <c r="K680" i="31"/>
  <c r="K681" i="31"/>
  <c r="K682" i="31"/>
  <c r="K683" i="31"/>
  <c r="K684" i="31"/>
  <c r="K685" i="31"/>
  <c r="K686" i="31"/>
  <c r="K687" i="31"/>
  <c r="K688" i="31"/>
  <c r="K689" i="31"/>
  <c r="K690" i="31"/>
  <c r="K691" i="31"/>
  <c r="K692" i="31"/>
  <c r="K693" i="31"/>
  <c r="K694" i="31"/>
  <c r="K695" i="31"/>
  <c r="K696" i="31"/>
  <c r="K697" i="31"/>
  <c r="K698" i="31"/>
  <c r="K699" i="31"/>
  <c r="K700" i="31"/>
  <c r="K701" i="31"/>
  <c r="K702" i="31"/>
  <c r="K703" i="31"/>
  <c r="K704" i="31"/>
  <c r="K705" i="31"/>
  <c r="K706" i="31"/>
  <c r="K707" i="31"/>
  <c r="K708" i="31"/>
  <c r="K709" i="31"/>
  <c r="K710" i="31"/>
  <c r="K711" i="31"/>
  <c r="K712" i="31"/>
  <c r="K713" i="31"/>
  <c r="K714" i="31"/>
  <c r="K715" i="31"/>
  <c r="K716" i="31"/>
  <c r="K717" i="31"/>
  <c r="K718" i="31"/>
  <c r="K719" i="31"/>
  <c r="K720" i="31"/>
  <c r="K721" i="31"/>
  <c r="K722" i="31"/>
  <c r="K723" i="31"/>
  <c r="K724" i="31"/>
  <c r="K725" i="31"/>
  <c r="K726" i="31"/>
  <c r="K727" i="31"/>
  <c r="K728" i="31"/>
  <c r="K729" i="31"/>
  <c r="K730" i="31"/>
  <c r="K731" i="31"/>
  <c r="K732" i="31"/>
  <c r="K733" i="31"/>
  <c r="K734" i="31"/>
  <c r="K735" i="31"/>
  <c r="K736" i="31"/>
  <c r="K737" i="31"/>
  <c r="K738" i="31"/>
  <c r="K739" i="31"/>
  <c r="K740" i="31"/>
  <c r="K741" i="31"/>
  <c r="K742" i="31"/>
  <c r="K743" i="31"/>
  <c r="K744" i="31"/>
  <c r="K745" i="31"/>
  <c r="K746" i="31"/>
  <c r="K747" i="31"/>
  <c r="K748" i="31"/>
  <c r="K749" i="31"/>
  <c r="K750" i="31"/>
  <c r="K751" i="31"/>
  <c r="K752" i="31"/>
  <c r="K753" i="31"/>
  <c r="K754" i="31"/>
  <c r="K755" i="31"/>
  <c r="K756" i="31"/>
  <c r="K757" i="31"/>
  <c r="K758" i="31"/>
  <c r="K759" i="31"/>
  <c r="K760" i="31"/>
  <c r="K761" i="31"/>
  <c r="K762" i="31"/>
  <c r="K763" i="31"/>
  <c r="K764" i="31"/>
  <c r="K765" i="31"/>
  <c r="K766" i="31"/>
  <c r="K767" i="31"/>
  <c r="K768" i="31"/>
  <c r="K769" i="31"/>
  <c r="K770" i="31"/>
  <c r="K771" i="31"/>
  <c r="K772" i="31"/>
  <c r="K773" i="31"/>
  <c r="K774" i="31"/>
  <c r="K775" i="31"/>
  <c r="K776" i="31"/>
  <c r="K777" i="31"/>
  <c r="K778" i="31"/>
  <c r="K779" i="31"/>
  <c r="K780" i="31"/>
  <c r="K781" i="31"/>
  <c r="K782" i="31"/>
  <c r="K783" i="31"/>
  <c r="K784" i="31"/>
  <c r="K785" i="31"/>
  <c r="K786" i="31"/>
  <c r="K787" i="31"/>
  <c r="K788" i="31"/>
  <c r="K789" i="31"/>
  <c r="K790" i="31"/>
  <c r="K791" i="31"/>
  <c r="K792" i="31"/>
  <c r="K793" i="31"/>
  <c r="K794" i="31"/>
  <c r="K795" i="31"/>
  <c r="K796" i="31"/>
  <c r="K797" i="31"/>
  <c r="K798" i="31"/>
  <c r="K799" i="31"/>
  <c r="K800" i="31"/>
  <c r="K801" i="31"/>
  <c r="K802" i="31"/>
  <c r="K803" i="31"/>
  <c r="K804" i="31"/>
  <c r="K805" i="31"/>
  <c r="K806" i="31"/>
  <c r="K807" i="31"/>
  <c r="K808" i="31"/>
  <c r="K809" i="31"/>
  <c r="K810" i="31"/>
  <c r="K811" i="31"/>
  <c r="K812" i="31"/>
  <c r="K813" i="31"/>
  <c r="K814" i="31"/>
  <c r="K815" i="31"/>
  <c r="K816" i="31"/>
  <c r="K817" i="31"/>
  <c r="K818" i="31"/>
  <c r="K819" i="31"/>
  <c r="K820" i="31"/>
  <c r="K821" i="31"/>
  <c r="K822" i="31"/>
  <c r="K823" i="31"/>
  <c r="K824" i="31"/>
  <c r="K825" i="31"/>
  <c r="K826" i="31"/>
  <c r="K827" i="31"/>
  <c r="K828" i="31"/>
  <c r="K829" i="31"/>
  <c r="K830" i="31"/>
  <c r="K831" i="31"/>
  <c r="K832" i="31"/>
  <c r="K833" i="31"/>
  <c r="K834" i="31"/>
  <c r="K835" i="31"/>
  <c r="K836" i="31"/>
  <c r="K837" i="31"/>
  <c r="K838" i="31"/>
  <c r="K839" i="31"/>
  <c r="K840" i="31"/>
  <c r="K841" i="31"/>
  <c r="K842" i="31"/>
  <c r="K843" i="31"/>
  <c r="K844" i="31"/>
  <c r="K845" i="31"/>
  <c r="K846" i="31"/>
  <c r="K847" i="31"/>
  <c r="K848" i="31"/>
  <c r="K849" i="31"/>
  <c r="K850" i="31"/>
  <c r="K851" i="31"/>
  <c r="K852" i="31"/>
  <c r="K853" i="31"/>
  <c r="K854" i="31"/>
  <c r="K855" i="31"/>
  <c r="K856" i="31"/>
  <c r="K857" i="31"/>
  <c r="K858" i="31"/>
  <c r="K859" i="31"/>
  <c r="K860" i="31"/>
  <c r="K861" i="31"/>
  <c r="K862" i="31"/>
  <c r="K863" i="31"/>
  <c r="K864" i="31"/>
  <c r="K865" i="31"/>
  <c r="K866" i="31"/>
  <c r="K867" i="31"/>
  <c r="K868" i="31"/>
  <c r="K869" i="31"/>
  <c r="K870" i="31"/>
  <c r="K871" i="31"/>
  <c r="K872" i="31"/>
  <c r="K873" i="31"/>
  <c r="K874" i="31"/>
  <c r="K875" i="31"/>
  <c r="K876" i="31"/>
  <c r="K877" i="31"/>
  <c r="K878" i="31"/>
  <c r="K879" i="31"/>
  <c r="K880" i="31"/>
  <c r="K881" i="31"/>
  <c r="K882" i="31"/>
  <c r="K883" i="31"/>
  <c r="K884" i="31"/>
  <c r="K885" i="31"/>
  <c r="K886" i="31"/>
  <c r="K887" i="31"/>
  <c r="K888" i="31"/>
  <c r="K889" i="31"/>
  <c r="K890" i="31"/>
  <c r="K891" i="31"/>
  <c r="K892" i="31"/>
  <c r="K893" i="31"/>
  <c r="K894" i="31"/>
  <c r="K895" i="31"/>
  <c r="K896" i="31"/>
  <c r="K897" i="31"/>
  <c r="K898" i="31"/>
  <c r="K899" i="31"/>
  <c r="K900" i="31"/>
  <c r="K901" i="31"/>
  <c r="K902" i="31"/>
  <c r="K903" i="31"/>
  <c r="K904" i="31"/>
  <c r="K905" i="31"/>
  <c r="K906" i="31"/>
  <c r="K907" i="31"/>
  <c r="K908" i="31"/>
  <c r="K909" i="31"/>
  <c r="K910" i="31"/>
  <c r="K911" i="31"/>
  <c r="K912" i="31"/>
  <c r="K913" i="31"/>
  <c r="K914" i="31"/>
  <c r="K915" i="31"/>
  <c r="K916" i="31"/>
  <c r="K917" i="31"/>
  <c r="K918" i="31"/>
  <c r="K919" i="31"/>
  <c r="K920" i="31"/>
  <c r="K921" i="31"/>
  <c r="K922" i="31"/>
  <c r="K923" i="31"/>
  <c r="K924" i="31"/>
  <c r="K925" i="31"/>
  <c r="K926" i="31"/>
  <c r="K927" i="31"/>
  <c r="K928" i="31"/>
  <c r="K929" i="31"/>
  <c r="K930" i="31"/>
  <c r="K931" i="31"/>
  <c r="K932" i="31"/>
  <c r="K933" i="31"/>
  <c r="K934" i="31"/>
  <c r="K935" i="31"/>
  <c r="K936" i="31"/>
  <c r="K937" i="31"/>
  <c r="K938" i="31"/>
  <c r="K939" i="31"/>
  <c r="K940" i="31"/>
  <c r="K941" i="31"/>
  <c r="K942" i="31"/>
  <c r="K943" i="31"/>
  <c r="K944" i="31"/>
  <c r="K945" i="31"/>
  <c r="K946" i="31"/>
  <c r="K947" i="31"/>
  <c r="K948" i="31"/>
  <c r="K949" i="31"/>
  <c r="K950" i="31"/>
  <c r="K951" i="31"/>
  <c r="K952" i="31"/>
  <c r="K953" i="31"/>
  <c r="K954" i="31"/>
  <c r="K955" i="31"/>
  <c r="K956" i="31"/>
  <c r="K957" i="31"/>
  <c r="K958" i="31"/>
  <c r="K959" i="31"/>
  <c r="K960" i="31"/>
  <c r="K961" i="31"/>
  <c r="K962" i="31"/>
  <c r="K963" i="31"/>
  <c r="K964" i="31"/>
  <c r="K965" i="31"/>
  <c r="K966" i="31"/>
  <c r="K967" i="31"/>
  <c r="K968" i="31"/>
  <c r="K969" i="31"/>
  <c r="K970" i="31"/>
  <c r="K971" i="31"/>
  <c r="K972" i="31"/>
  <c r="K973" i="31"/>
  <c r="K974" i="31"/>
  <c r="K975" i="31"/>
  <c r="K976" i="31"/>
  <c r="K977" i="31"/>
  <c r="K978" i="31"/>
  <c r="K979" i="31"/>
  <c r="K980" i="31"/>
  <c r="K981" i="31"/>
  <c r="K982" i="31"/>
  <c r="K983" i="31"/>
  <c r="K984" i="31"/>
  <c r="K985" i="31"/>
  <c r="K986" i="31"/>
  <c r="K987" i="31"/>
  <c r="K988" i="31"/>
  <c r="K989" i="31"/>
  <c r="K990" i="31"/>
  <c r="K991" i="31"/>
  <c r="K992" i="31"/>
  <c r="K993" i="31"/>
  <c r="K994" i="31"/>
  <c r="K995" i="31"/>
  <c r="K996" i="31"/>
  <c r="K997" i="31"/>
  <c r="K998" i="31"/>
  <c r="K999" i="31"/>
  <c r="K1000" i="31"/>
  <c r="K1001" i="31"/>
  <c r="K1002" i="31"/>
  <c r="K1003" i="31"/>
  <c r="K1004" i="31"/>
  <c r="K1005" i="31"/>
  <c r="K1006" i="31"/>
  <c r="K1007" i="31"/>
  <c r="K1008" i="31"/>
  <c r="K1009" i="31"/>
  <c r="K1010" i="31"/>
  <c r="K1011" i="31"/>
  <c r="K1012" i="31"/>
  <c r="K1013" i="31"/>
  <c r="K1014" i="31"/>
  <c r="K1015" i="31"/>
  <c r="K1016" i="31"/>
  <c r="K1017" i="31"/>
  <c r="K1018" i="31"/>
  <c r="K1019" i="31"/>
  <c r="K1020" i="31"/>
  <c r="K1021" i="31"/>
  <c r="K1022" i="31"/>
  <c r="K1023" i="31"/>
  <c r="K1024" i="31"/>
  <c r="K1025" i="31"/>
  <c r="K1026" i="31"/>
  <c r="K1027" i="31"/>
  <c r="K1028" i="31"/>
  <c r="K1029" i="31"/>
  <c r="K1030" i="31"/>
  <c r="K1031" i="31"/>
  <c r="K1032" i="31"/>
  <c r="K1033" i="31"/>
  <c r="K1034" i="31"/>
  <c r="K1035" i="31"/>
  <c r="K1036" i="31"/>
  <c r="K1037" i="31"/>
  <c r="K1038" i="31"/>
  <c r="K1039" i="31"/>
  <c r="K1040" i="31"/>
  <c r="K1041" i="31"/>
  <c r="K1042" i="31"/>
  <c r="K1043" i="31"/>
  <c r="K1044" i="31"/>
  <c r="K1045" i="31"/>
  <c r="K1046" i="31"/>
  <c r="K1047" i="31"/>
  <c r="K1048" i="31"/>
  <c r="K1049" i="31"/>
  <c r="K1050" i="31"/>
  <c r="K1051" i="31"/>
  <c r="K1052" i="31"/>
  <c r="K1053" i="31"/>
  <c r="K1054" i="31"/>
  <c r="K1055" i="31"/>
  <c r="K1056" i="31"/>
  <c r="K1057" i="31"/>
  <c r="K1058" i="31"/>
  <c r="K1059" i="31"/>
  <c r="K1060" i="31"/>
  <c r="K1061" i="31"/>
  <c r="K1062" i="31"/>
  <c r="K1063" i="31"/>
  <c r="K1064" i="31"/>
  <c r="K1065" i="31"/>
  <c r="K1066" i="31"/>
  <c r="K1067" i="31"/>
  <c r="K1068" i="31"/>
  <c r="K1069" i="31"/>
  <c r="K1070" i="31"/>
  <c r="K1071" i="31"/>
  <c r="K1072" i="31"/>
  <c r="K1073" i="31"/>
  <c r="K1074" i="31"/>
  <c r="K1075" i="31"/>
  <c r="K1076" i="31"/>
  <c r="K1077" i="31"/>
  <c r="K1078" i="31"/>
  <c r="K1079" i="31"/>
  <c r="K1080" i="31"/>
  <c r="K1081" i="31"/>
  <c r="K1082" i="31"/>
  <c r="K1083" i="31"/>
  <c r="K1084" i="31"/>
  <c r="K1085" i="31"/>
  <c r="K1086" i="31"/>
  <c r="K1087" i="31"/>
  <c r="K1088" i="31"/>
  <c r="K1089" i="31"/>
  <c r="K1090" i="31"/>
  <c r="K1091" i="31"/>
  <c r="K1092" i="31"/>
  <c r="K1093" i="31"/>
  <c r="K1094" i="31"/>
  <c r="K1095" i="31"/>
  <c r="K1096" i="31"/>
  <c r="K1097" i="31"/>
  <c r="K1098" i="31"/>
  <c r="K1099" i="31"/>
  <c r="K1100" i="31"/>
  <c r="K1101" i="31"/>
  <c r="K1102" i="31"/>
  <c r="K1103" i="31"/>
  <c r="K1104" i="31"/>
  <c r="K1105" i="31"/>
  <c r="K1106" i="31"/>
  <c r="K1107" i="31"/>
  <c r="K1108" i="31"/>
  <c r="K1109" i="31"/>
  <c r="K1110" i="31"/>
  <c r="K1111" i="31"/>
  <c r="K1112" i="31"/>
  <c r="K1113" i="31"/>
  <c r="K1114" i="31"/>
  <c r="K1115" i="31"/>
  <c r="K1116" i="31"/>
  <c r="K1117" i="31"/>
  <c r="K1118" i="31"/>
  <c r="K1119" i="31"/>
  <c r="K1120" i="31"/>
  <c r="K1121" i="31"/>
  <c r="K1122" i="31"/>
  <c r="K1123" i="31"/>
  <c r="K1124" i="31"/>
  <c r="K1125" i="31"/>
  <c r="K1126" i="31"/>
  <c r="K1127" i="31"/>
  <c r="K1128" i="31"/>
  <c r="K1129" i="31"/>
  <c r="K1130" i="31"/>
  <c r="K1131" i="31"/>
  <c r="K1132" i="31"/>
  <c r="K1133" i="31"/>
  <c r="K1134" i="31"/>
  <c r="K1135" i="31"/>
  <c r="K1136" i="31"/>
  <c r="K1137" i="31"/>
  <c r="K1138" i="31"/>
  <c r="K1139" i="31"/>
  <c r="K1140" i="31"/>
  <c r="K1141" i="31"/>
  <c r="K1142" i="31"/>
  <c r="K1143" i="31"/>
  <c r="K1144" i="31"/>
  <c r="K1145" i="31"/>
  <c r="K1146" i="31"/>
  <c r="K1147" i="31"/>
  <c r="K1148" i="31"/>
  <c r="K1149" i="31"/>
  <c r="K1150" i="31"/>
  <c r="K1151" i="31"/>
  <c r="K1152" i="31"/>
  <c r="K1153" i="31"/>
  <c r="K1154" i="31"/>
  <c r="K1155" i="31"/>
  <c r="K1156" i="31"/>
  <c r="K1157" i="31"/>
  <c r="K1158" i="31"/>
  <c r="K1159" i="31"/>
  <c r="K1160" i="31"/>
  <c r="K1161" i="31"/>
  <c r="K1162" i="31"/>
  <c r="K1163" i="31"/>
  <c r="K1164" i="31"/>
  <c r="K1165" i="31"/>
  <c r="K1166" i="31"/>
  <c r="K1167" i="31"/>
  <c r="K1168" i="31"/>
  <c r="K1169" i="31"/>
  <c r="K1170" i="31"/>
  <c r="K1171" i="31"/>
  <c r="K1172" i="31"/>
  <c r="K1173" i="31"/>
  <c r="K1174" i="31"/>
  <c r="K1175" i="31"/>
  <c r="K1176" i="31"/>
  <c r="K1177" i="31"/>
  <c r="K1178" i="31"/>
  <c r="K1179" i="31"/>
  <c r="K1180" i="31"/>
  <c r="K1181" i="31"/>
  <c r="K1182" i="31"/>
  <c r="K1183" i="31"/>
  <c r="K1184" i="31"/>
  <c r="K1185" i="31"/>
  <c r="K1186" i="31"/>
  <c r="K1187" i="31"/>
  <c r="K1188" i="31"/>
  <c r="K1189" i="31"/>
  <c r="K1190" i="31"/>
  <c r="K1191" i="31"/>
  <c r="K1192" i="31"/>
  <c r="K1193" i="31"/>
  <c r="K1194" i="31"/>
  <c r="K1195" i="31"/>
  <c r="K1196" i="31"/>
  <c r="K1197" i="31"/>
  <c r="K1198" i="31"/>
  <c r="K1199" i="31"/>
  <c r="K1200" i="31"/>
  <c r="K1201" i="31"/>
  <c r="K1202" i="31"/>
  <c r="K1203" i="31"/>
  <c r="K1204" i="31"/>
  <c r="K1205" i="31"/>
  <c r="K1206" i="31"/>
  <c r="K1207" i="31"/>
  <c r="K1208" i="31"/>
  <c r="K1209" i="31"/>
  <c r="K1210" i="31"/>
  <c r="K1211" i="31"/>
  <c r="K1212" i="31"/>
  <c r="K1213" i="31"/>
  <c r="K1214" i="31"/>
  <c r="K1215" i="31"/>
  <c r="K1216" i="31"/>
  <c r="K1217" i="31"/>
  <c r="K1218" i="31"/>
  <c r="K1219" i="31"/>
  <c r="K1220" i="31"/>
  <c r="K1221" i="31"/>
  <c r="K1222" i="31"/>
  <c r="K1223" i="31"/>
  <c r="K1224" i="31"/>
  <c r="K1225" i="31"/>
  <c r="K1226" i="31"/>
  <c r="K1227" i="31"/>
  <c r="K1228" i="31"/>
  <c r="K1229" i="31"/>
  <c r="K1230" i="31"/>
  <c r="K1231" i="31"/>
  <c r="K1232" i="31"/>
  <c r="K1233" i="31"/>
  <c r="K1234" i="31"/>
  <c r="K1235" i="31"/>
  <c r="K1236" i="31"/>
  <c r="K1237" i="31"/>
  <c r="K1238" i="31"/>
  <c r="K1239" i="31"/>
  <c r="K1240" i="31"/>
  <c r="K1241" i="31"/>
  <c r="K1242" i="31"/>
  <c r="K1243" i="31"/>
  <c r="K1244" i="31"/>
  <c r="K1245" i="31"/>
  <c r="K1246" i="31"/>
  <c r="K1247" i="31"/>
  <c r="K1248" i="31"/>
  <c r="K1249" i="31"/>
  <c r="K1250" i="31"/>
  <c r="K1251" i="31"/>
  <c r="K1252" i="31"/>
  <c r="K1253" i="31"/>
  <c r="K1254" i="31"/>
  <c r="K1255" i="31"/>
  <c r="K1256" i="31"/>
  <c r="K1257" i="31"/>
  <c r="K1258" i="31"/>
  <c r="K1259" i="31"/>
  <c r="K1260" i="31"/>
  <c r="K1261" i="31"/>
  <c r="K1262" i="31"/>
  <c r="K1263" i="31"/>
  <c r="K1264" i="31"/>
  <c r="K1265" i="31"/>
  <c r="K1266" i="31"/>
  <c r="K1267" i="31"/>
  <c r="K1268" i="31"/>
  <c r="K1269" i="31"/>
  <c r="K1270" i="31"/>
  <c r="K1271" i="31"/>
  <c r="K1272" i="31"/>
  <c r="K1273" i="31"/>
  <c r="K1274" i="31"/>
  <c r="K1275" i="31"/>
  <c r="K1276" i="31"/>
  <c r="K1277" i="31"/>
  <c r="K1278" i="31"/>
  <c r="K1279" i="31"/>
  <c r="K1280" i="31"/>
  <c r="K1281" i="31"/>
  <c r="K1282" i="31"/>
  <c r="K1283" i="31"/>
  <c r="K1284" i="31"/>
  <c r="K1285" i="31"/>
  <c r="K1286" i="31"/>
  <c r="K1287" i="31"/>
  <c r="K1288" i="31"/>
  <c r="K1289" i="31"/>
  <c r="K1290" i="31"/>
  <c r="K1291" i="31"/>
  <c r="K1292" i="31"/>
  <c r="K1293" i="31"/>
  <c r="K1294" i="31"/>
  <c r="K1295" i="31"/>
  <c r="K1296" i="31"/>
  <c r="K1297" i="31"/>
  <c r="K1298" i="31"/>
  <c r="K1299" i="31"/>
  <c r="K1300" i="31"/>
  <c r="K1301" i="31"/>
  <c r="K1302" i="31"/>
  <c r="K1303" i="31"/>
  <c r="K1304" i="31"/>
  <c r="K1305" i="31"/>
  <c r="K1306" i="31"/>
  <c r="K1307" i="31"/>
  <c r="K1308" i="31"/>
  <c r="K1309" i="31"/>
  <c r="K1310" i="31"/>
  <c r="K1311" i="31"/>
  <c r="K1312" i="31"/>
  <c r="K1313" i="31"/>
  <c r="K1314" i="31"/>
  <c r="K1315" i="31"/>
  <c r="K1316" i="31"/>
  <c r="K1317" i="31"/>
  <c r="K1318" i="31"/>
  <c r="K1319" i="31"/>
  <c r="K1320" i="31"/>
  <c r="K1321" i="31"/>
  <c r="K1322" i="31"/>
  <c r="K1323" i="31"/>
  <c r="K1324" i="31"/>
  <c r="K1325" i="31"/>
  <c r="K1326" i="31"/>
  <c r="K1327" i="31"/>
  <c r="K1328" i="31"/>
  <c r="K1329" i="31"/>
  <c r="K1330" i="31"/>
  <c r="K1331" i="31"/>
  <c r="K1332" i="31"/>
  <c r="K1333" i="31"/>
  <c r="K1334" i="31"/>
  <c r="K1335" i="31"/>
  <c r="K1336" i="31"/>
  <c r="K1337" i="31"/>
  <c r="K1338" i="31"/>
  <c r="K1339" i="31"/>
  <c r="K1340" i="31"/>
  <c r="K1341" i="31"/>
  <c r="K1342" i="31"/>
  <c r="K1343" i="31"/>
  <c r="K1344" i="31"/>
  <c r="K1345" i="31"/>
  <c r="K1346" i="31"/>
  <c r="K1347" i="31"/>
  <c r="K1348" i="31"/>
  <c r="K1349" i="31"/>
  <c r="K1350" i="31"/>
  <c r="K1351" i="31"/>
  <c r="K1352" i="31"/>
  <c r="K1353" i="31"/>
  <c r="K1354" i="31"/>
  <c r="K1355" i="31"/>
  <c r="K1356" i="31"/>
  <c r="K1357" i="31"/>
  <c r="K1358" i="31"/>
  <c r="K1359" i="31"/>
  <c r="K1360" i="31"/>
  <c r="K1361" i="31"/>
  <c r="K1362" i="31"/>
  <c r="K1363" i="31"/>
  <c r="K1364" i="31"/>
  <c r="K1365" i="31"/>
  <c r="K1366" i="31"/>
  <c r="K1367" i="31"/>
  <c r="K1368" i="31"/>
  <c r="K1369" i="31"/>
  <c r="K1370" i="31"/>
  <c r="K1371" i="31"/>
  <c r="K1372" i="31"/>
  <c r="K1373" i="31"/>
  <c r="K1374" i="31"/>
  <c r="K1375" i="31"/>
  <c r="K1376" i="31"/>
  <c r="K1377" i="31"/>
  <c r="K1378" i="31"/>
  <c r="K1379" i="31"/>
  <c r="K1380" i="31"/>
  <c r="K1381" i="31"/>
  <c r="K1382" i="31"/>
  <c r="K1383" i="31"/>
  <c r="K1384" i="31"/>
  <c r="K1385" i="31"/>
  <c r="K1386" i="31"/>
  <c r="K1387" i="31"/>
  <c r="K1388" i="31"/>
  <c r="K1389" i="31"/>
  <c r="K1390" i="31"/>
  <c r="K1391" i="31"/>
  <c r="K1392" i="31"/>
  <c r="K1393" i="31"/>
  <c r="K1394" i="31"/>
  <c r="K1395" i="31"/>
  <c r="K1396" i="31"/>
  <c r="K1397" i="31"/>
  <c r="K1398" i="31"/>
  <c r="K1399" i="31"/>
  <c r="K1400" i="31"/>
  <c r="K1401" i="31"/>
  <c r="K1402" i="31"/>
  <c r="K1403" i="31"/>
  <c r="K1404" i="31"/>
  <c r="K1405" i="31"/>
  <c r="K1406" i="31"/>
  <c r="K1407" i="31"/>
  <c r="K1408" i="31"/>
  <c r="K1409" i="31"/>
  <c r="K1410" i="31"/>
  <c r="K1411" i="31"/>
  <c r="K1412" i="31"/>
  <c r="K1413" i="31"/>
  <c r="K1414" i="31"/>
  <c r="K1415" i="31"/>
  <c r="K1416" i="31"/>
  <c r="K22" i="31"/>
  <c r="K23" i="31"/>
  <c r="K24" i="31"/>
  <c r="K25" i="31"/>
  <c r="K26" i="31"/>
  <c r="K27" i="31"/>
  <c r="K28" i="31"/>
  <c r="K29" i="31"/>
  <c r="K30" i="31"/>
  <c r="K31" i="31"/>
  <c r="K32" i="31"/>
  <c r="K33" i="31"/>
  <c r="K34" i="31"/>
  <c r="K35" i="31"/>
  <c r="K36" i="31"/>
  <c r="K37" i="31"/>
  <c r="K38" i="31"/>
  <c r="K39" i="31"/>
  <c r="K40" i="31"/>
  <c r="K41" i="31"/>
  <c r="K42" i="31"/>
  <c r="K43" i="31"/>
  <c r="K44" i="31"/>
  <c r="K45" i="31"/>
  <c r="K46" i="31"/>
  <c r="K47" i="31"/>
  <c r="K48" i="31"/>
  <c r="K49" i="31"/>
  <c r="K50" i="31"/>
  <c r="K51" i="31"/>
  <c r="K52" i="31"/>
  <c r="K53" i="31"/>
  <c r="K54" i="31"/>
  <c r="K55" i="31"/>
  <c r="K56" i="31"/>
  <c r="K57" i="31"/>
  <c r="K58" i="31"/>
  <c r="K59" i="31"/>
  <c r="K60" i="31"/>
  <c r="K61" i="31"/>
  <c r="K62" i="31"/>
  <c r="K63" i="31"/>
  <c r="K64" i="31"/>
  <c r="K65" i="31"/>
  <c r="K66" i="31"/>
  <c r="K67" i="31"/>
  <c r="K68" i="31"/>
  <c r="K69" i="31"/>
  <c r="K70" i="31"/>
  <c r="K71" i="31"/>
  <c r="K72" i="31"/>
  <c r="K73" i="31"/>
  <c r="K74" i="31"/>
  <c r="G74" i="44" l="1"/>
  <c r="G43" i="50" l="1"/>
  <c r="G42" i="50" l="1"/>
  <c r="G64" i="44" l="1"/>
  <c r="G63" i="44"/>
  <c r="G58" i="44"/>
  <c r="G57" i="44"/>
  <c r="G56" i="44"/>
  <c r="G55" i="44"/>
  <c r="G54" i="44"/>
  <c r="G53" i="44"/>
  <c r="G52" i="44"/>
  <c r="G51" i="44"/>
  <c r="G50" i="44"/>
  <c r="G49" i="44"/>
  <c r="G48" i="44"/>
  <c r="G47" i="44"/>
  <c r="G46" i="44"/>
  <c r="G45" i="44"/>
  <c r="G44" i="44"/>
  <c r="G43" i="44"/>
  <c r="G42" i="44"/>
  <c r="G83" i="44"/>
  <c r="G84" i="44"/>
  <c r="E88" i="44"/>
  <c r="G91" i="44"/>
  <c r="G39" i="50" l="1"/>
  <c r="G40" i="50"/>
  <c r="G88" i="44" l="1"/>
  <c r="G61" i="55" l="1"/>
  <c r="G72" i="55" l="1"/>
  <c r="G71" i="55"/>
  <c r="G70" i="55"/>
  <c r="G69" i="55"/>
  <c r="G68" i="55"/>
  <c r="G67" i="55"/>
  <c r="G66" i="55"/>
  <c r="G65" i="55"/>
  <c r="J65" i="55" l="1"/>
  <c r="K65" i="55" s="1"/>
  <c r="J66" i="55"/>
  <c r="K66" i="55" s="1"/>
  <c r="J67" i="55"/>
  <c r="K67" i="55" s="1"/>
  <c r="J68" i="55"/>
  <c r="K68" i="55" s="1"/>
  <c r="J69" i="55"/>
  <c r="K69" i="55" s="1"/>
  <c r="J70" i="55"/>
  <c r="K70" i="55" s="1"/>
  <c r="J71" i="55"/>
  <c r="K71" i="55" s="1"/>
  <c r="J72" i="55"/>
  <c r="K72" i="55" s="1"/>
  <c r="J84" i="44" l="1"/>
  <c r="J83" i="44"/>
  <c r="J3" i="50" l="1"/>
  <c r="J4" i="50"/>
  <c r="G4" i="50"/>
  <c r="G57" i="53" l="1"/>
  <c r="G45" i="24" l="1"/>
  <c r="G46" i="24" l="1"/>
  <c r="F17" i="21" l="1"/>
  <c r="G58" i="30" l="1"/>
  <c r="C13" i="51" l="1"/>
  <c r="K83" i="44" l="1"/>
  <c r="J55" i="24"/>
  <c r="J57" i="24"/>
  <c r="J58" i="24"/>
  <c r="J59" i="24"/>
  <c r="J60" i="24"/>
  <c r="J49" i="50"/>
  <c r="J50" i="50"/>
  <c r="J51" i="50"/>
  <c r="J52" i="50"/>
  <c r="J53" i="50"/>
  <c r="J54" i="50"/>
  <c r="J55" i="50"/>
  <c r="J56" i="50"/>
  <c r="J56" i="30" l="1"/>
  <c r="K56" i="30" s="1"/>
  <c r="J57" i="30"/>
  <c r="K3" i="31" l="1"/>
  <c r="G57" i="50" l="1"/>
  <c r="G59" i="24" l="1"/>
  <c r="K259" i="25" l="1"/>
  <c r="K260" i="25"/>
  <c r="K261" i="25"/>
  <c r="K262" i="25"/>
  <c r="K263" i="25"/>
  <c r="K264" i="25"/>
  <c r="K265" i="25"/>
  <c r="K266" i="25"/>
  <c r="K267" i="25"/>
  <c r="K268" i="25"/>
  <c r="K269" i="25"/>
  <c r="K270" i="25"/>
  <c r="K271" i="25"/>
  <c r="K272" i="25"/>
  <c r="K273" i="25"/>
  <c r="K274" i="25"/>
  <c r="K275" i="25"/>
  <c r="K276" i="25"/>
  <c r="K277" i="25"/>
  <c r="K278" i="25"/>
  <c r="K279" i="25"/>
  <c r="K280" i="25"/>
  <c r="K281" i="25"/>
  <c r="K282" i="25"/>
  <c r="K283" i="25"/>
  <c r="K284" i="25"/>
  <c r="K285" i="25"/>
  <c r="K286" i="25"/>
  <c r="K287" i="25"/>
  <c r="K288" i="25"/>
  <c r="K289" i="25"/>
  <c r="K290" i="25"/>
  <c r="K291" i="25"/>
  <c r="K292" i="25"/>
  <c r="K293" i="25"/>
  <c r="K294" i="25"/>
  <c r="K295" i="25"/>
  <c r="K296" i="25"/>
  <c r="K297" i="25"/>
  <c r="K298" i="25"/>
  <c r="K299" i="25"/>
  <c r="K300" i="25"/>
  <c r="K301" i="25"/>
  <c r="K302" i="25"/>
  <c r="K303" i="25"/>
  <c r="K304" i="25"/>
  <c r="K305" i="25"/>
  <c r="K306" i="25"/>
  <c r="K307" i="25"/>
  <c r="K308" i="25"/>
  <c r="K309" i="25"/>
  <c r="K310" i="25"/>
  <c r="K311" i="25"/>
  <c r="K312" i="25"/>
  <c r="K313" i="25"/>
  <c r="K314" i="25"/>
  <c r="K315" i="25"/>
  <c r="K316" i="25"/>
  <c r="K317" i="25"/>
  <c r="K318" i="25"/>
  <c r="K319" i="25"/>
  <c r="K320" i="25"/>
  <c r="K321" i="25"/>
  <c r="K322" i="25"/>
  <c r="K323" i="25"/>
  <c r="K324" i="25"/>
  <c r="K325" i="25"/>
  <c r="K326" i="25"/>
  <c r="K327" i="25"/>
  <c r="K328" i="25"/>
  <c r="K329" i="25"/>
  <c r="K330" i="25"/>
  <c r="K331" i="25"/>
  <c r="K332" i="25"/>
  <c r="K333" i="25"/>
  <c r="K334" i="25"/>
  <c r="K335" i="25"/>
  <c r="K336" i="25"/>
  <c r="K337" i="25"/>
  <c r="K338" i="25"/>
  <c r="K339" i="25"/>
  <c r="K340" i="25"/>
  <c r="K341" i="25"/>
  <c r="K342" i="25"/>
  <c r="K343" i="25"/>
  <c r="K344" i="25"/>
  <c r="K345" i="25"/>
  <c r="K346" i="25"/>
  <c r="G55" i="24" l="1"/>
  <c r="K246" i="25" l="1"/>
  <c r="K348" i="25"/>
  <c r="K347" i="25"/>
  <c r="K258" i="25"/>
  <c r="K257" i="25"/>
  <c r="K256" i="25"/>
  <c r="K255" i="25"/>
  <c r="K254" i="25"/>
  <c r="K253" i="25"/>
  <c r="K252" i="25"/>
  <c r="K251" i="25"/>
  <c r="K250" i="25"/>
  <c r="K249" i="25"/>
  <c r="K248" i="25"/>
  <c r="K247" i="25"/>
  <c r="K311" i="43" l="1"/>
  <c r="E1417" i="31" l="1"/>
  <c r="G5" i="30" l="1"/>
  <c r="G57" i="24" l="1"/>
  <c r="G58" i="24" l="1"/>
  <c r="G54" i="50"/>
  <c r="K33" i="49" l="1"/>
  <c r="K34" i="49"/>
  <c r="K35" i="49"/>
  <c r="K36" i="49"/>
  <c r="K37" i="49"/>
  <c r="K38" i="49"/>
  <c r="K39" i="49"/>
  <c r="K40" i="49"/>
  <c r="K41" i="49"/>
  <c r="K42" i="49"/>
  <c r="K43" i="49"/>
  <c r="K44" i="49"/>
  <c r="K45" i="49"/>
  <c r="K46" i="49"/>
  <c r="K47" i="49"/>
  <c r="K48" i="49"/>
  <c r="K49" i="49"/>
  <c r="K50" i="49"/>
  <c r="K51" i="49"/>
  <c r="K52" i="49"/>
  <c r="K53" i="49"/>
  <c r="K54" i="49"/>
  <c r="K55" i="49"/>
  <c r="K56" i="49"/>
  <c r="K57" i="49"/>
  <c r="K58" i="49"/>
  <c r="K59" i="49"/>
  <c r="K60" i="49"/>
  <c r="K61" i="49"/>
  <c r="K62" i="49"/>
  <c r="K63" i="49"/>
  <c r="K64" i="49"/>
  <c r="K65" i="49"/>
  <c r="K66" i="49"/>
  <c r="K67" i="49"/>
  <c r="K68" i="49"/>
  <c r="K69" i="49"/>
  <c r="K70" i="49"/>
  <c r="K71" i="49"/>
  <c r="K72" i="49"/>
  <c r="K73" i="49"/>
  <c r="K74" i="49"/>
  <c r="K75" i="49"/>
  <c r="K76" i="49"/>
  <c r="K77" i="49"/>
  <c r="K78" i="49"/>
  <c r="K79" i="49"/>
  <c r="K80" i="49"/>
  <c r="K81" i="49"/>
  <c r="K82" i="49"/>
  <c r="K83" i="49"/>
  <c r="K84" i="49"/>
  <c r="K85" i="49"/>
  <c r="K86" i="49"/>
  <c r="K87" i="49"/>
  <c r="K88" i="49"/>
  <c r="K89" i="49"/>
  <c r="K90" i="49"/>
  <c r="K91" i="49"/>
  <c r="K92" i="49"/>
  <c r="K93" i="49"/>
  <c r="K94" i="49"/>
  <c r="K95" i="49"/>
  <c r="K96" i="49"/>
  <c r="K97" i="49"/>
  <c r="K98" i="49"/>
  <c r="K99" i="49"/>
  <c r="K100" i="49"/>
  <c r="K101" i="49"/>
  <c r="K102" i="49"/>
  <c r="K103" i="49"/>
  <c r="K104" i="49"/>
  <c r="K105" i="49"/>
  <c r="K106" i="49"/>
  <c r="K107" i="49"/>
  <c r="K108" i="49"/>
  <c r="K109" i="49"/>
  <c r="K110" i="49"/>
  <c r="K111" i="49"/>
  <c r="K112" i="49"/>
  <c r="K113" i="49"/>
  <c r="K114" i="49"/>
  <c r="K115" i="49"/>
  <c r="K116" i="49"/>
  <c r="K117" i="49"/>
  <c r="K118" i="49"/>
  <c r="K119" i="49"/>
  <c r="K120" i="49"/>
  <c r="K121" i="49"/>
  <c r="K122" i="49"/>
  <c r="K123" i="49"/>
  <c r="K124" i="49"/>
  <c r="K125" i="49"/>
  <c r="K126" i="49"/>
  <c r="K127" i="49"/>
  <c r="K128" i="49"/>
  <c r="K129" i="49"/>
  <c r="K130" i="49"/>
  <c r="K131" i="49"/>
  <c r="K132" i="49"/>
  <c r="K133" i="49"/>
  <c r="K134" i="49"/>
  <c r="K135" i="49"/>
  <c r="K136" i="49"/>
  <c r="K137" i="49"/>
  <c r="K138" i="49"/>
  <c r="K139" i="49"/>
  <c r="K140" i="49"/>
  <c r="K141" i="49"/>
  <c r="K142" i="49"/>
  <c r="K143" i="49"/>
  <c r="K144" i="49"/>
  <c r="K145" i="49"/>
  <c r="K146" i="49"/>
  <c r="K147" i="49"/>
  <c r="K148" i="49"/>
  <c r="K149" i="49"/>
  <c r="K150" i="49"/>
  <c r="K151" i="49"/>
  <c r="K152" i="49"/>
  <c r="K153" i="49"/>
  <c r="K154" i="49"/>
  <c r="K155" i="49"/>
  <c r="K156" i="49"/>
  <c r="K157" i="49"/>
  <c r="K158" i="49"/>
  <c r="K159" i="49"/>
  <c r="K160" i="49"/>
  <c r="K161" i="49"/>
  <c r="K162" i="49"/>
  <c r="K163" i="49"/>
  <c r="K164" i="49"/>
  <c r="K165" i="49"/>
  <c r="K166" i="49"/>
  <c r="K167" i="49"/>
  <c r="K168" i="49"/>
  <c r="K169" i="49"/>
  <c r="K170" i="49"/>
  <c r="K171" i="49"/>
  <c r="K172" i="49"/>
  <c r="K173" i="49"/>
  <c r="K174" i="49"/>
  <c r="K175" i="49"/>
  <c r="K176" i="49"/>
  <c r="K177" i="49"/>
  <c r="K178" i="49"/>
  <c r="K179" i="49"/>
  <c r="K180" i="49"/>
  <c r="K181" i="49"/>
  <c r="K182" i="49"/>
  <c r="K183" i="49"/>
  <c r="K184" i="49"/>
  <c r="K185" i="49"/>
  <c r="K186" i="49"/>
  <c r="K187" i="49"/>
  <c r="K188" i="49"/>
  <c r="K189" i="49"/>
  <c r="K190" i="49"/>
  <c r="K191" i="49"/>
  <c r="K192" i="49"/>
  <c r="K193" i="49"/>
  <c r="K194" i="49"/>
  <c r="K195" i="49"/>
  <c r="K196" i="49"/>
  <c r="K197" i="49"/>
  <c r="K198" i="49"/>
  <c r="K199" i="49"/>
  <c r="K200" i="49"/>
  <c r="K201" i="49"/>
  <c r="K202" i="49"/>
  <c r="K203" i="49"/>
  <c r="K204" i="49"/>
  <c r="K205" i="49"/>
  <c r="K206" i="49"/>
  <c r="K207" i="49"/>
  <c r="K208" i="49"/>
  <c r="K209" i="49"/>
  <c r="K210" i="49"/>
  <c r="K211" i="49"/>
  <c r="K212" i="49"/>
  <c r="K213" i="49"/>
  <c r="K214" i="49"/>
  <c r="K215" i="49"/>
  <c r="K216" i="49"/>
  <c r="K217" i="49"/>
  <c r="K218" i="49"/>
  <c r="K219" i="49"/>
  <c r="K220" i="49"/>
  <c r="K221" i="49"/>
  <c r="K222" i="49"/>
  <c r="K223" i="49"/>
  <c r="K224" i="49"/>
  <c r="K225" i="49"/>
  <c r="K226" i="49"/>
  <c r="K227" i="49"/>
  <c r="K228" i="49"/>
  <c r="K229" i="49"/>
  <c r="K230" i="49"/>
  <c r="K231" i="49"/>
  <c r="K232" i="49"/>
  <c r="K233" i="49"/>
  <c r="K234" i="49"/>
  <c r="K235" i="49"/>
  <c r="K236" i="49"/>
  <c r="K237" i="49"/>
  <c r="K238" i="49"/>
  <c r="K239" i="49"/>
  <c r="K240" i="49"/>
  <c r="K241" i="49"/>
  <c r="K242" i="49"/>
  <c r="K243" i="49"/>
  <c r="K244" i="49"/>
  <c r="K245" i="49"/>
  <c r="K246" i="49"/>
  <c r="K247" i="49"/>
  <c r="K248" i="49"/>
  <c r="K249" i="49"/>
  <c r="K250" i="49"/>
  <c r="K251" i="49"/>
  <c r="K252" i="49"/>
  <c r="K253" i="49"/>
  <c r="K254" i="49"/>
  <c r="K255" i="49"/>
  <c r="K256" i="49"/>
  <c r="K257" i="49"/>
  <c r="K258" i="49"/>
  <c r="K259" i="49"/>
  <c r="K260" i="49"/>
  <c r="K261" i="49"/>
  <c r="K262" i="49"/>
  <c r="K263" i="49"/>
  <c r="K264" i="49"/>
  <c r="K265" i="49"/>
  <c r="K266" i="49"/>
  <c r="K267" i="49"/>
  <c r="K268" i="49"/>
  <c r="K269" i="49"/>
  <c r="K270" i="49"/>
  <c r="K271" i="49"/>
  <c r="K272" i="49"/>
  <c r="K273" i="49"/>
  <c r="K274" i="49"/>
  <c r="K275" i="49"/>
  <c r="K276" i="49"/>
  <c r="K277" i="49"/>
  <c r="K278" i="49"/>
  <c r="K279" i="49"/>
  <c r="K280" i="49"/>
  <c r="K281" i="49"/>
  <c r="K282" i="49"/>
  <c r="K283" i="49"/>
  <c r="K284" i="49"/>
  <c r="K285" i="49"/>
  <c r="K286" i="49"/>
  <c r="K287" i="49"/>
  <c r="K288" i="49"/>
  <c r="K289" i="49"/>
  <c r="K290" i="49"/>
  <c r="K291" i="49"/>
  <c r="K292" i="49"/>
  <c r="K293" i="49"/>
  <c r="K294" i="49"/>
  <c r="K295" i="49"/>
  <c r="K296" i="49"/>
  <c r="K297" i="49"/>
  <c r="K298" i="49"/>
  <c r="K299" i="49"/>
  <c r="K300" i="49"/>
  <c r="K301" i="49"/>
  <c r="K302" i="49"/>
  <c r="K303" i="49"/>
  <c r="K304" i="49"/>
  <c r="K305" i="49"/>
  <c r="K306" i="49"/>
  <c r="K307" i="49"/>
  <c r="K308" i="49"/>
  <c r="K309" i="49"/>
  <c r="K310" i="49"/>
  <c r="K311" i="49"/>
  <c r="K312" i="49"/>
  <c r="K313" i="49"/>
  <c r="K314" i="49"/>
  <c r="K316" i="49"/>
  <c r="K315" i="49"/>
  <c r="G52" i="50" l="1"/>
  <c r="G51" i="50"/>
  <c r="K221" i="25" l="1"/>
  <c r="K222" i="25"/>
  <c r="K223" i="25"/>
  <c r="K224" i="25"/>
  <c r="K225" i="25"/>
  <c r="K226" i="25"/>
  <c r="K227" i="25"/>
  <c r="K228" i="25"/>
  <c r="K229" i="25"/>
  <c r="K230" i="25"/>
  <c r="K231" i="25"/>
  <c r="K232" i="25"/>
  <c r="K233" i="25"/>
  <c r="K234" i="25"/>
  <c r="K235" i="25"/>
  <c r="K236" i="25"/>
  <c r="K237" i="25"/>
  <c r="K238" i="25"/>
  <c r="K239" i="25"/>
  <c r="K240" i="25"/>
  <c r="K241" i="25"/>
  <c r="K242" i="25"/>
  <c r="K243" i="25"/>
  <c r="K244" i="25"/>
  <c r="K245" i="25"/>
  <c r="G60" i="24" l="1"/>
  <c r="G61" i="24" l="1"/>
  <c r="K207" i="25"/>
  <c r="K208" i="25"/>
  <c r="K209" i="25"/>
  <c r="K210" i="25"/>
  <c r="K211" i="25"/>
  <c r="K212" i="25"/>
  <c r="K213" i="25"/>
  <c r="K214" i="25"/>
  <c r="K215" i="25"/>
  <c r="K216" i="25"/>
  <c r="K217" i="25"/>
  <c r="K218" i="25"/>
  <c r="K219" i="25"/>
  <c r="K220" i="25"/>
  <c r="F12" i="21" l="1"/>
  <c r="K187" i="25" l="1"/>
  <c r="K188" i="25"/>
  <c r="K189" i="25"/>
  <c r="K190" i="25"/>
  <c r="K191" i="25"/>
  <c r="K192" i="25"/>
  <c r="K193" i="25"/>
  <c r="K194" i="25"/>
  <c r="K195" i="25"/>
  <c r="K196" i="25"/>
  <c r="K197" i="25"/>
  <c r="K198" i="25"/>
  <c r="K199" i="25"/>
  <c r="K200" i="25"/>
  <c r="K201" i="25"/>
  <c r="K202" i="25"/>
  <c r="K203" i="25"/>
  <c r="K204" i="25"/>
  <c r="K205" i="25"/>
  <c r="K206" i="25"/>
  <c r="G53" i="50" l="1"/>
  <c r="K161" i="25" l="1"/>
  <c r="K162" i="25"/>
  <c r="K163" i="25"/>
  <c r="K164" i="25"/>
  <c r="K165" i="25"/>
  <c r="K166" i="25"/>
  <c r="K167" i="25"/>
  <c r="K168" i="25"/>
  <c r="K169" i="25"/>
  <c r="K170" i="25"/>
  <c r="K171" i="25"/>
  <c r="K172" i="25"/>
  <c r="K173" i="25"/>
  <c r="K174" i="25"/>
  <c r="K175" i="25"/>
  <c r="K176" i="25"/>
  <c r="K177" i="25"/>
  <c r="K178" i="25"/>
  <c r="K179" i="25"/>
  <c r="K180" i="25"/>
  <c r="K181" i="25"/>
  <c r="K182" i="25"/>
  <c r="K183" i="25"/>
  <c r="K184" i="25"/>
  <c r="K185" i="25"/>
  <c r="E31" i="53" l="1"/>
  <c r="J5" i="30"/>
  <c r="K5" i="30" s="1"/>
  <c r="G111" i="53" l="1"/>
  <c r="G108" i="53"/>
  <c r="G112" i="53" l="1"/>
  <c r="G113" i="53" l="1"/>
  <c r="G114" i="53"/>
  <c r="G50" i="50" l="1"/>
  <c r="E58" i="30" l="1"/>
  <c r="K133" i="43" l="1"/>
  <c r="K132" i="43"/>
  <c r="G61" i="50"/>
  <c r="G60" i="50"/>
  <c r="G59" i="50"/>
  <c r="G58" i="50"/>
  <c r="G56" i="50"/>
  <c r="G55" i="50"/>
  <c r="G49" i="50"/>
  <c r="G62" i="50"/>
  <c r="G110" i="53"/>
  <c r="G109" i="53"/>
  <c r="K92" i="54"/>
  <c r="K91" i="54"/>
  <c r="K90" i="54"/>
  <c r="G107" i="53" l="1"/>
  <c r="G34" i="48" l="1"/>
  <c r="G35" i="48"/>
  <c r="G106" i="53"/>
  <c r="G36" i="48" l="1"/>
  <c r="K4" i="50"/>
  <c r="G5" i="48"/>
  <c r="G38" i="48" l="1"/>
  <c r="G37" i="48"/>
  <c r="J4" i="48" l="1"/>
  <c r="K4" i="48" s="1"/>
  <c r="G4" i="48"/>
  <c r="K63" i="43" l="1"/>
  <c r="K49" i="43"/>
  <c r="K22" i="19"/>
  <c r="K23" i="19"/>
  <c r="K24" i="19"/>
  <c r="K25" i="19"/>
  <c r="K26" i="19"/>
  <c r="K27" i="19"/>
  <c r="K28" i="19"/>
  <c r="K29" i="19"/>
  <c r="K30" i="19"/>
  <c r="K31" i="19"/>
  <c r="K32" i="19"/>
  <c r="K33" i="19"/>
  <c r="K34" i="19"/>
  <c r="K35" i="19"/>
  <c r="K36" i="19"/>
  <c r="K37" i="19"/>
  <c r="K38" i="19"/>
  <c r="K39" i="19"/>
  <c r="K40" i="19"/>
  <c r="K41" i="19"/>
  <c r="K42" i="19"/>
  <c r="K43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56" i="19"/>
  <c r="K57" i="19"/>
  <c r="K58" i="19"/>
  <c r="K59" i="19"/>
  <c r="K60" i="19"/>
  <c r="K61" i="19"/>
  <c r="K62" i="19"/>
  <c r="K63" i="19"/>
  <c r="K64" i="19"/>
  <c r="K65" i="19"/>
  <c r="K66" i="19"/>
  <c r="K67" i="19"/>
  <c r="K68" i="19"/>
  <c r="K69" i="19"/>
  <c r="K70" i="19"/>
  <c r="K71" i="19"/>
  <c r="K72" i="19"/>
  <c r="K73" i="19"/>
  <c r="K74" i="19"/>
  <c r="K75" i="19"/>
  <c r="K76" i="19"/>
  <c r="K77" i="19"/>
  <c r="K78" i="19"/>
  <c r="K79" i="19"/>
  <c r="K80" i="19"/>
  <c r="K81" i="19"/>
  <c r="K82" i="19"/>
  <c r="K83" i="19"/>
  <c r="K84" i="19"/>
  <c r="K85" i="19"/>
  <c r="K86" i="19"/>
  <c r="K87" i="19"/>
  <c r="K88" i="19"/>
  <c r="K89" i="19"/>
  <c r="K90" i="19"/>
  <c r="K91" i="19"/>
  <c r="K92" i="19"/>
  <c r="K93" i="19"/>
  <c r="K94" i="19"/>
  <c r="K95" i="19"/>
  <c r="K96" i="19"/>
  <c r="K97" i="19"/>
  <c r="K98" i="19"/>
  <c r="K99" i="19"/>
  <c r="K100" i="19"/>
  <c r="K101" i="19"/>
  <c r="K102" i="19"/>
  <c r="K103" i="19"/>
  <c r="K104" i="19"/>
  <c r="K105" i="19"/>
  <c r="K106" i="19"/>
  <c r="K107" i="19"/>
  <c r="K108" i="19"/>
  <c r="K109" i="19"/>
  <c r="K110" i="19"/>
  <c r="K111" i="19"/>
  <c r="K112" i="19"/>
  <c r="K113" i="19"/>
  <c r="K114" i="19"/>
  <c r="K115" i="19"/>
  <c r="K116" i="19"/>
  <c r="K117" i="19"/>
  <c r="K118" i="19"/>
  <c r="K119" i="19"/>
  <c r="K120" i="19"/>
  <c r="K121" i="19"/>
  <c r="K122" i="19"/>
  <c r="K123" i="19"/>
  <c r="K124" i="19"/>
  <c r="K125" i="19"/>
  <c r="K126" i="19"/>
  <c r="K127" i="19"/>
  <c r="K128" i="19"/>
  <c r="K129" i="19"/>
  <c r="K130" i="19"/>
  <c r="K131" i="19"/>
  <c r="K21" i="19"/>
  <c r="K22" i="47"/>
  <c r="K23" i="47"/>
  <c r="K24" i="47"/>
  <c r="K25" i="47"/>
  <c r="K26" i="47"/>
  <c r="K27" i="47"/>
  <c r="K28" i="47"/>
  <c r="K29" i="47"/>
  <c r="K30" i="47"/>
  <c r="K31" i="47"/>
  <c r="K32" i="47"/>
  <c r="K33" i="47"/>
  <c r="K34" i="47"/>
  <c r="K35" i="47"/>
  <c r="K36" i="47"/>
  <c r="K37" i="47"/>
  <c r="K38" i="47"/>
  <c r="K39" i="47"/>
  <c r="K40" i="47"/>
  <c r="K41" i="47"/>
  <c r="K42" i="47"/>
  <c r="K43" i="47"/>
  <c r="K44" i="47"/>
  <c r="K45" i="47"/>
  <c r="K46" i="47"/>
  <c r="K47" i="47"/>
  <c r="K48" i="47"/>
  <c r="K49" i="47"/>
  <c r="K50" i="47"/>
  <c r="K51" i="47"/>
  <c r="K52" i="47"/>
  <c r="K53" i="47"/>
  <c r="K54" i="47"/>
  <c r="K55" i="47"/>
  <c r="K56" i="47"/>
  <c r="K57" i="47"/>
  <c r="K58" i="47"/>
  <c r="K59" i="47"/>
  <c r="K60" i="47"/>
  <c r="K61" i="47"/>
  <c r="K62" i="47"/>
  <c r="K63" i="47"/>
  <c r="K64" i="47"/>
  <c r="K65" i="47"/>
  <c r="K66" i="47"/>
  <c r="K67" i="47"/>
  <c r="K68" i="47"/>
  <c r="K69" i="47"/>
  <c r="K70" i="47"/>
  <c r="K71" i="47"/>
  <c r="K72" i="47"/>
  <c r="K73" i="47"/>
  <c r="K74" i="47"/>
  <c r="K75" i="47"/>
  <c r="K76" i="47"/>
  <c r="K77" i="47"/>
  <c r="K78" i="47"/>
  <c r="K79" i="47"/>
  <c r="K80" i="47"/>
  <c r="K81" i="47"/>
  <c r="K82" i="47"/>
  <c r="K83" i="47"/>
  <c r="K84" i="47"/>
  <c r="K85" i="47"/>
  <c r="K86" i="47"/>
  <c r="K87" i="47"/>
  <c r="K88" i="47"/>
  <c r="K89" i="47"/>
  <c r="K90" i="47"/>
  <c r="K91" i="47"/>
  <c r="K92" i="47"/>
  <c r="K93" i="47"/>
  <c r="K94" i="47"/>
  <c r="K95" i="47"/>
  <c r="K96" i="47"/>
  <c r="K97" i="47"/>
  <c r="K98" i="47"/>
  <c r="K99" i="47"/>
  <c r="K100" i="47"/>
  <c r="K101" i="47"/>
  <c r="K102" i="47"/>
  <c r="K103" i="47"/>
  <c r="K104" i="47"/>
  <c r="K105" i="47"/>
  <c r="K106" i="47"/>
  <c r="K107" i="47"/>
  <c r="K108" i="47"/>
  <c r="K109" i="47"/>
  <c r="K110" i="47"/>
  <c r="K111" i="47"/>
  <c r="K112" i="47"/>
  <c r="K113" i="47"/>
  <c r="K114" i="47"/>
  <c r="K115" i="47"/>
  <c r="K116" i="47"/>
  <c r="K117" i="47"/>
  <c r="K118" i="47"/>
  <c r="K119" i="47"/>
  <c r="K120" i="47"/>
  <c r="K121" i="47"/>
  <c r="K122" i="47"/>
  <c r="K123" i="47"/>
  <c r="K124" i="47"/>
  <c r="K125" i="47"/>
  <c r="K126" i="47"/>
  <c r="K127" i="47"/>
  <c r="K128" i="47"/>
  <c r="K129" i="47"/>
  <c r="K130" i="47"/>
  <c r="K131" i="47"/>
  <c r="K132" i="47"/>
  <c r="K133" i="47"/>
  <c r="K134" i="47"/>
  <c r="K135" i="47"/>
  <c r="K136" i="47"/>
  <c r="K137" i="47"/>
  <c r="K138" i="47"/>
  <c r="K139" i="47"/>
  <c r="K140" i="47"/>
  <c r="K141" i="47"/>
  <c r="K142" i="47"/>
  <c r="K143" i="47"/>
  <c r="K144" i="47"/>
  <c r="K145" i="47"/>
  <c r="K146" i="47"/>
  <c r="K147" i="47"/>
  <c r="K148" i="47"/>
  <c r="K149" i="47"/>
  <c r="K150" i="47"/>
  <c r="K151" i="47"/>
  <c r="K152" i="47"/>
  <c r="K153" i="47"/>
  <c r="K154" i="47"/>
  <c r="K155" i="47"/>
  <c r="K156" i="47"/>
  <c r="K157" i="47"/>
  <c r="K158" i="47"/>
  <c r="K159" i="47"/>
  <c r="K160" i="47"/>
  <c r="K161" i="47"/>
  <c r="K162" i="47"/>
  <c r="K163" i="47"/>
  <c r="K164" i="47"/>
  <c r="K165" i="47"/>
  <c r="K166" i="47"/>
  <c r="K167" i="47"/>
  <c r="K168" i="47"/>
  <c r="K169" i="47"/>
  <c r="K170" i="47"/>
  <c r="K171" i="47"/>
  <c r="K172" i="47"/>
  <c r="K173" i="47"/>
  <c r="K174" i="47"/>
  <c r="K175" i="47"/>
  <c r="K176" i="47"/>
  <c r="K177" i="47"/>
  <c r="K178" i="47"/>
  <c r="K179" i="47"/>
  <c r="K180" i="47"/>
  <c r="K181" i="47"/>
  <c r="K182" i="47"/>
  <c r="K183" i="47"/>
  <c r="K184" i="47"/>
  <c r="K185" i="47"/>
  <c r="K186" i="47"/>
  <c r="K187" i="47"/>
  <c r="K188" i="47"/>
  <c r="K189" i="47"/>
  <c r="K190" i="47"/>
  <c r="K191" i="47"/>
  <c r="K192" i="47"/>
  <c r="K193" i="47"/>
  <c r="K194" i="47"/>
  <c r="K195" i="47"/>
  <c r="K196" i="47"/>
  <c r="K197" i="47"/>
  <c r="K198" i="47"/>
  <c r="K199" i="47"/>
  <c r="K200" i="47"/>
  <c r="K201" i="47"/>
  <c r="K202" i="47"/>
  <c r="K203" i="47"/>
  <c r="K204" i="47"/>
  <c r="K205" i="47"/>
  <c r="K206" i="47"/>
  <c r="K207" i="47"/>
  <c r="K208" i="47"/>
  <c r="K209" i="47"/>
  <c r="K210" i="47"/>
  <c r="K211" i="47"/>
  <c r="K212" i="47"/>
  <c r="K213" i="47"/>
  <c r="K214" i="47"/>
  <c r="K215" i="47"/>
  <c r="K216" i="47"/>
  <c r="K217" i="47"/>
  <c r="K218" i="47"/>
  <c r="K219" i="47"/>
  <c r="K220" i="47"/>
  <c r="K221" i="47"/>
  <c r="K222" i="47"/>
  <c r="K223" i="47"/>
  <c r="K224" i="47"/>
  <c r="K225" i="47"/>
  <c r="K226" i="47"/>
  <c r="K227" i="47"/>
  <c r="K228" i="47"/>
  <c r="K229" i="47"/>
  <c r="K230" i="47"/>
  <c r="K231" i="47"/>
  <c r="K232" i="47"/>
  <c r="K233" i="47"/>
  <c r="K234" i="47"/>
  <c r="K235" i="47"/>
  <c r="K236" i="47"/>
  <c r="K237" i="47"/>
  <c r="K238" i="47"/>
  <c r="K239" i="47"/>
  <c r="K240" i="47"/>
  <c r="K241" i="47"/>
  <c r="K242" i="47"/>
  <c r="K243" i="47"/>
  <c r="K244" i="47"/>
  <c r="K245" i="47"/>
  <c r="K246" i="47"/>
  <c r="K247" i="47"/>
  <c r="K248" i="47"/>
  <c r="K249" i="47"/>
  <c r="K250" i="47"/>
  <c r="K251" i="47"/>
  <c r="K252" i="47"/>
  <c r="K253" i="47"/>
  <c r="K254" i="47"/>
  <c r="K255" i="47"/>
  <c r="K256" i="47"/>
  <c r="K257" i="47"/>
  <c r="K258" i="47"/>
  <c r="K259" i="47"/>
  <c r="K260" i="47"/>
  <c r="K261" i="47"/>
  <c r="K262" i="47"/>
  <c r="K263" i="47"/>
  <c r="K264" i="47"/>
  <c r="K265" i="47"/>
  <c r="K266" i="47"/>
  <c r="K267" i="47"/>
  <c r="K268" i="47"/>
  <c r="K269" i="47"/>
  <c r="K270" i="47"/>
  <c r="K271" i="47"/>
  <c r="K272" i="47"/>
  <c r="K273" i="47"/>
  <c r="K274" i="47"/>
  <c r="K275" i="47"/>
  <c r="K276" i="47"/>
  <c r="K277" i="47"/>
  <c r="K278" i="47"/>
  <c r="K279" i="47"/>
  <c r="K280" i="47"/>
  <c r="K281" i="47"/>
  <c r="K282" i="47"/>
  <c r="K283" i="47"/>
  <c r="K284" i="47"/>
  <c r="K285" i="47"/>
  <c r="K286" i="47"/>
  <c r="K287" i="47"/>
  <c r="K288" i="47"/>
  <c r="K289" i="47"/>
  <c r="K290" i="47"/>
  <c r="K291" i="47"/>
  <c r="K292" i="47"/>
  <c r="K293" i="47"/>
  <c r="K294" i="47"/>
  <c r="K295" i="47"/>
  <c r="K296" i="47"/>
  <c r="K297" i="47"/>
  <c r="K298" i="47"/>
  <c r="K299" i="47"/>
  <c r="K300" i="47"/>
  <c r="K301" i="47"/>
  <c r="K302" i="47"/>
  <c r="K303" i="47"/>
  <c r="K304" i="47"/>
  <c r="K305" i="47"/>
  <c r="K306" i="47"/>
  <c r="K307" i="47"/>
  <c r="K308" i="47"/>
  <c r="K309" i="47"/>
  <c r="K310" i="47"/>
  <c r="K311" i="47"/>
  <c r="K312" i="47"/>
  <c r="K313" i="47"/>
  <c r="K314" i="47"/>
  <c r="K315" i="47"/>
  <c r="K316" i="47"/>
  <c r="K317" i="47"/>
  <c r="K318" i="47"/>
  <c r="K319" i="47"/>
  <c r="K320" i="47"/>
  <c r="K321" i="47"/>
  <c r="K322" i="47"/>
  <c r="K323" i="47"/>
  <c r="K324" i="47"/>
  <c r="K325" i="47"/>
  <c r="K326" i="47"/>
  <c r="K327" i="47"/>
  <c r="K21" i="47"/>
  <c r="K21" i="25"/>
  <c r="K22" i="25"/>
  <c r="K23" i="25"/>
  <c r="K24" i="25"/>
  <c r="K25" i="25"/>
  <c r="K26" i="25"/>
  <c r="K27" i="25"/>
  <c r="K28" i="25"/>
  <c r="K29" i="25"/>
  <c r="K30" i="25"/>
  <c r="K31" i="25"/>
  <c r="K32" i="25"/>
  <c r="K33" i="25"/>
  <c r="K34" i="25"/>
  <c r="K35" i="25"/>
  <c r="K36" i="25"/>
  <c r="K37" i="25"/>
  <c r="K38" i="25"/>
  <c r="K39" i="25"/>
  <c r="K40" i="25"/>
  <c r="K41" i="25"/>
  <c r="K42" i="25"/>
  <c r="K43" i="25"/>
  <c r="K44" i="25"/>
  <c r="K45" i="25"/>
  <c r="K46" i="25"/>
  <c r="K47" i="25"/>
  <c r="K48" i="25"/>
  <c r="K49" i="25"/>
  <c r="K50" i="25"/>
  <c r="K51" i="25"/>
  <c r="K52" i="25"/>
  <c r="K53" i="25"/>
  <c r="K54" i="25"/>
  <c r="K55" i="25"/>
  <c r="K56" i="25"/>
  <c r="K57" i="25"/>
  <c r="K58" i="25"/>
  <c r="K59" i="25"/>
  <c r="K60" i="25"/>
  <c r="K61" i="25"/>
  <c r="K62" i="25"/>
  <c r="K63" i="25"/>
  <c r="K64" i="25"/>
  <c r="K65" i="25"/>
  <c r="K66" i="25"/>
  <c r="K67" i="25"/>
  <c r="K68" i="25"/>
  <c r="K69" i="25"/>
  <c r="K70" i="25"/>
  <c r="K71" i="25"/>
  <c r="K72" i="25"/>
  <c r="K73" i="25"/>
  <c r="K74" i="25"/>
  <c r="K75" i="25"/>
  <c r="K76" i="25"/>
  <c r="K77" i="25"/>
  <c r="K78" i="25"/>
  <c r="K79" i="25"/>
  <c r="K80" i="25"/>
  <c r="K81" i="25"/>
  <c r="K82" i="25"/>
  <c r="K83" i="25"/>
  <c r="K84" i="25"/>
  <c r="K85" i="25"/>
  <c r="K86" i="25"/>
  <c r="K87" i="25"/>
  <c r="K88" i="25"/>
  <c r="K89" i="25"/>
  <c r="K90" i="25"/>
  <c r="K91" i="25"/>
  <c r="K92" i="25"/>
  <c r="K93" i="25"/>
  <c r="K94" i="25"/>
  <c r="K95" i="25"/>
  <c r="K96" i="25"/>
  <c r="K97" i="25"/>
  <c r="K98" i="25"/>
  <c r="K99" i="25"/>
  <c r="K100" i="25"/>
  <c r="K101" i="25"/>
  <c r="K102" i="25"/>
  <c r="K103" i="25"/>
  <c r="K104" i="25"/>
  <c r="K105" i="25"/>
  <c r="K106" i="25"/>
  <c r="K107" i="25"/>
  <c r="K108" i="25"/>
  <c r="K109" i="25"/>
  <c r="K112" i="25"/>
  <c r="K113" i="25"/>
  <c r="K114" i="25"/>
  <c r="K115" i="25"/>
  <c r="K116" i="25"/>
  <c r="K117" i="25"/>
  <c r="K118" i="25"/>
  <c r="K119" i="25"/>
  <c r="K120" i="25"/>
  <c r="K121" i="25"/>
  <c r="K122" i="25"/>
  <c r="K123" i="25"/>
  <c r="K124" i="25"/>
  <c r="K125" i="25"/>
  <c r="K126" i="25"/>
  <c r="K127" i="25"/>
  <c r="K128" i="25"/>
  <c r="K129" i="25"/>
  <c r="K130" i="25"/>
  <c r="K131" i="25"/>
  <c r="K132" i="25"/>
  <c r="K133" i="25"/>
  <c r="K134" i="25"/>
  <c r="K135" i="25"/>
  <c r="K136" i="25"/>
  <c r="K137" i="25"/>
  <c r="K138" i="25"/>
  <c r="K139" i="25"/>
  <c r="K140" i="25"/>
  <c r="K141" i="25"/>
  <c r="K142" i="25"/>
  <c r="K143" i="25"/>
  <c r="K144" i="25"/>
  <c r="K145" i="25"/>
  <c r="K146" i="25"/>
  <c r="K147" i="25"/>
  <c r="K148" i="25"/>
  <c r="K149" i="25"/>
  <c r="K150" i="25"/>
  <c r="K151" i="25"/>
  <c r="K152" i="25"/>
  <c r="K153" i="25"/>
  <c r="K154" i="25"/>
  <c r="K155" i="25"/>
  <c r="K156" i="25"/>
  <c r="K157" i="25"/>
  <c r="K158" i="25"/>
  <c r="K159" i="25"/>
  <c r="K160" i="25"/>
  <c r="K186" i="25"/>
  <c r="K20" i="25"/>
  <c r="K317" i="49"/>
  <c r="K318" i="49"/>
  <c r="K319" i="49"/>
  <c r="K320" i="49"/>
  <c r="K321" i="49"/>
  <c r="K322" i="49"/>
  <c r="K323" i="49"/>
  <c r="K324" i="49"/>
  <c r="K325" i="49"/>
  <c r="K326" i="49"/>
  <c r="K327" i="49"/>
  <c r="K328" i="49"/>
  <c r="K329" i="49"/>
  <c r="K330" i="49"/>
  <c r="K331" i="49"/>
  <c r="K332" i="49"/>
  <c r="K333" i="49"/>
  <c r="K334" i="49"/>
  <c r="K335" i="49"/>
  <c r="K336" i="49"/>
  <c r="K337" i="49"/>
  <c r="K338" i="49"/>
  <c r="K339" i="49"/>
  <c r="K340" i="49"/>
  <c r="K341" i="49"/>
  <c r="K342" i="49"/>
  <c r="K343" i="49"/>
  <c r="K344" i="49"/>
  <c r="K345" i="49"/>
  <c r="K346" i="49"/>
  <c r="K347" i="49"/>
  <c r="K348" i="49"/>
  <c r="K349" i="49"/>
  <c r="K350" i="49"/>
  <c r="K351" i="49"/>
  <c r="K352" i="49"/>
  <c r="K353" i="49"/>
  <c r="K354" i="49"/>
  <c r="K355" i="49"/>
  <c r="K356" i="49"/>
  <c r="K357" i="49"/>
  <c r="K358" i="49"/>
  <c r="K359" i="49"/>
  <c r="K360" i="49"/>
  <c r="K361" i="49"/>
  <c r="K362" i="49"/>
  <c r="K363" i="49"/>
  <c r="K364" i="49"/>
  <c r="K365" i="49"/>
  <c r="K366" i="49"/>
  <c r="K367" i="49"/>
  <c r="K368" i="49"/>
  <c r="K369" i="49"/>
  <c r="K370" i="49"/>
  <c r="K371" i="49"/>
  <c r="K372" i="49"/>
  <c r="K373" i="49"/>
  <c r="K374" i="49"/>
  <c r="K375" i="49"/>
  <c r="K376" i="49"/>
  <c r="K377" i="49"/>
  <c r="K378" i="49"/>
  <c r="K379" i="49"/>
  <c r="K380" i="49"/>
  <c r="K381" i="49"/>
  <c r="K382" i="49"/>
  <c r="K383" i="49"/>
  <c r="K384" i="49"/>
  <c r="K385" i="49"/>
  <c r="K386" i="49"/>
  <c r="K387" i="49"/>
  <c r="K388" i="49"/>
  <c r="K389" i="49"/>
  <c r="K390" i="49"/>
  <c r="K391" i="49"/>
  <c r="K392" i="49"/>
  <c r="K393" i="49"/>
  <c r="K394" i="49"/>
  <c r="K395" i="49"/>
  <c r="K396" i="49"/>
  <c r="K397" i="49"/>
  <c r="K398" i="49"/>
  <c r="K399" i="49"/>
  <c r="K400" i="49"/>
  <c r="K401" i="49"/>
  <c r="K402" i="49"/>
  <c r="K403" i="49"/>
  <c r="K404" i="49"/>
  <c r="K405" i="49"/>
  <c r="K406" i="49"/>
  <c r="K407" i="49"/>
  <c r="K408" i="49"/>
  <c r="K409" i="49"/>
  <c r="K410" i="49"/>
  <c r="K411" i="49"/>
  <c r="K412" i="49"/>
  <c r="K413" i="49"/>
  <c r="K414" i="49"/>
  <c r="K415" i="49"/>
  <c r="K416" i="49"/>
  <c r="K417" i="49"/>
  <c r="K418" i="49"/>
  <c r="K419" i="49"/>
  <c r="K420" i="49"/>
  <c r="K421" i="49"/>
  <c r="K422" i="49"/>
  <c r="K423" i="49"/>
  <c r="K424" i="49"/>
  <c r="K425" i="49"/>
  <c r="K426" i="49"/>
  <c r="K427" i="49"/>
  <c r="K428" i="49"/>
  <c r="K22" i="54"/>
  <c r="K23" i="54"/>
  <c r="K24" i="54"/>
  <c r="K25" i="54"/>
  <c r="K26" i="54"/>
  <c r="K27" i="54"/>
  <c r="K28" i="54"/>
  <c r="K29" i="54"/>
  <c r="K30" i="54"/>
  <c r="K31" i="54"/>
  <c r="K32" i="54"/>
  <c r="K33" i="54"/>
  <c r="K34" i="54"/>
  <c r="K35" i="54"/>
  <c r="K36" i="54"/>
  <c r="K37" i="54"/>
  <c r="K38" i="54"/>
  <c r="K39" i="54"/>
  <c r="K40" i="54"/>
  <c r="K41" i="54"/>
  <c r="K42" i="54"/>
  <c r="K43" i="54"/>
  <c r="K44" i="54"/>
  <c r="K45" i="54"/>
  <c r="K46" i="54"/>
  <c r="K47" i="54"/>
  <c r="K48" i="54"/>
  <c r="K49" i="54"/>
  <c r="K50" i="54"/>
  <c r="K51" i="54"/>
  <c r="K52" i="54"/>
  <c r="K53" i="54"/>
  <c r="K54" i="54"/>
  <c r="K55" i="54"/>
  <c r="K56" i="54"/>
  <c r="K57" i="54"/>
  <c r="K58" i="54"/>
  <c r="K59" i="54"/>
  <c r="K60" i="54"/>
  <c r="K61" i="54"/>
  <c r="K62" i="54"/>
  <c r="K63" i="54"/>
  <c r="K64" i="54"/>
  <c r="K65" i="54"/>
  <c r="K66" i="54"/>
  <c r="K67" i="54"/>
  <c r="K68" i="54"/>
  <c r="K69" i="54"/>
  <c r="K70" i="54"/>
  <c r="K71" i="54"/>
  <c r="K72" i="54"/>
  <c r="K73" i="54"/>
  <c r="K74" i="54"/>
  <c r="K75" i="54"/>
  <c r="K76" i="54"/>
  <c r="K77" i="54"/>
  <c r="K78" i="54"/>
  <c r="K79" i="54"/>
  <c r="K80" i="54"/>
  <c r="K81" i="54"/>
  <c r="K82" i="54"/>
  <c r="K83" i="54"/>
  <c r="K84" i="54"/>
  <c r="K85" i="54"/>
  <c r="K86" i="54"/>
  <c r="K87" i="54"/>
  <c r="K88" i="54"/>
  <c r="K89" i="54"/>
  <c r="K93" i="54"/>
  <c r="K94" i="54"/>
  <c r="K95" i="54"/>
  <c r="K96" i="54"/>
  <c r="K97" i="54"/>
  <c r="K98" i="54"/>
  <c r="K99" i="54"/>
  <c r="K100" i="54"/>
  <c r="K101" i="54"/>
  <c r="K102" i="54"/>
  <c r="K103" i="54"/>
  <c r="K104" i="54"/>
  <c r="K105" i="54"/>
  <c r="K106" i="54"/>
  <c r="K107" i="54"/>
  <c r="K108" i="54"/>
  <c r="K109" i="54"/>
  <c r="K110" i="54"/>
  <c r="K111" i="54"/>
  <c r="K112" i="54"/>
  <c r="K113" i="54"/>
  <c r="K114" i="54"/>
  <c r="K115" i="54"/>
  <c r="K116" i="54"/>
  <c r="K117" i="54"/>
  <c r="K118" i="54"/>
  <c r="K119" i="54"/>
  <c r="K120" i="54"/>
  <c r="K121" i="54"/>
  <c r="K122" i="54"/>
  <c r="K123" i="54"/>
  <c r="K124" i="54"/>
  <c r="K125" i="54"/>
  <c r="K126" i="54"/>
  <c r="K127" i="54"/>
  <c r="K128" i="54"/>
  <c r="K129" i="54"/>
  <c r="K130" i="54"/>
  <c r="K131" i="54"/>
  <c r="K132" i="54"/>
  <c r="K133" i="54"/>
  <c r="K134" i="54"/>
  <c r="K135" i="54"/>
  <c r="K136" i="54"/>
  <c r="K137" i="54"/>
  <c r="K138" i="54"/>
  <c r="K139" i="54"/>
  <c r="K140" i="54"/>
  <c r="K141" i="54"/>
  <c r="K142" i="54"/>
  <c r="K143" i="54"/>
  <c r="K144" i="54"/>
  <c r="K145" i="54"/>
  <c r="K146" i="54"/>
  <c r="K147" i="54"/>
  <c r="K148" i="54"/>
  <c r="K149" i="54"/>
  <c r="K150" i="54"/>
  <c r="K151" i="54"/>
  <c r="K152" i="54"/>
  <c r="K153" i="54"/>
  <c r="K154" i="54"/>
  <c r="K155" i="54"/>
  <c r="K156" i="54"/>
  <c r="K157" i="54"/>
  <c r="K158" i="54"/>
  <c r="K159" i="54"/>
  <c r="K160" i="54"/>
  <c r="K161" i="54"/>
  <c r="K162" i="54"/>
  <c r="K163" i="54"/>
  <c r="K164" i="54"/>
  <c r="K165" i="54"/>
  <c r="K166" i="54"/>
  <c r="K167" i="54"/>
  <c r="K168" i="54"/>
  <c r="K169" i="54"/>
  <c r="K170" i="54"/>
  <c r="K171" i="54"/>
  <c r="K172" i="54"/>
  <c r="K173" i="54"/>
  <c r="K174" i="54"/>
  <c r="K175" i="54"/>
  <c r="K176" i="54"/>
  <c r="K177" i="54"/>
  <c r="K178" i="54"/>
  <c r="K179" i="54"/>
  <c r="K180" i="54"/>
  <c r="K181" i="54"/>
  <c r="K182" i="54"/>
  <c r="K183" i="54"/>
  <c r="K184" i="54"/>
  <c r="K185" i="54"/>
  <c r="K186" i="54"/>
  <c r="K187" i="54"/>
  <c r="K188" i="54"/>
  <c r="K189" i="54"/>
  <c r="K190" i="54"/>
  <c r="K191" i="54"/>
  <c r="K192" i="54"/>
  <c r="K193" i="54"/>
  <c r="K194" i="54"/>
  <c r="K195" i="54"/>
  <c r="K196" i="54"/>
  <c r="K197" i="54"/>
  <c r="K198" i="54"/>
  <c r="K199" i="54"/>
  <c r="K200" i="54"/>
  <c r="K201" i="54"/>
  <c r="K202" i="54"/>
  <c r="K203" i="54"/>
  <c r="K204" i="54"/>
  <c r="K205" i="54"/>
  <c r="K206" i="54"/>
  <c r="K207" i="54"/>
  <c r="K208" i="54"/>
  <c r="K209" i="54"/>
  <c r="K210" i="54"/>
  <c r="K211" i="54"/>
  <c r="K212" i="54"/>
  <c r="K213" i="54"/>
  <c r="K214" i="54"/>
  <c r="K215" i="54"/>
  <c r="K216" i="54"/>
  <c r="K217" i="54"/>
  <c r="K218" i="54"/>
  <c r="K219" i="54"/>
  <c r="K220" i="54"/>
  <c r="K221" i="54"/>
  <c r="K222" i="54"/>
  <c r="K223" i="54"/>
  <c r="K224" i="54"/>
  <c r="K225" i="54"/>
  <c r="K226" i="54"/>
  <c r="K227" i="54"/>
  <c r="K228" i="54"/>
  <c r="K229" i="54"/>
  <c r="K230" i="54"/>
  <c r="K21" i="54"/>
  <c r="K59" i="43"/>
  <c r="K60" i="43"/>
  <c r="K61" i="43"/>
  <c r="K62" i="43"/>
  <c r="K64" i="43"/>
  <c r="K65" i="43"/>
  <c r="K66" i="43"/>
  <c r="K67" i="43"/>
  <c r="K68" i="43"/>
  <c r="K69" i="43"/>
  <c r="K70" i="43"/>
  <c r="K71" i="43"/>
  <c r="K72" i="43"/>
  <c r="K73" i="43"/>
  <c r="K74" i="43"/>
  <c r="K75" i="43"/>
  <c r="K76" i="43"/>
  <c r="K77" i="43"/>
  <c r="K78" i="43"/>
  <c r="K79" i="43"/>
  <c r="K80" i="43"/>
  <c r="K81" i="43"/>
  <c r="K82" i="43"/>
  <c r="K83" i="43"/>
  <c r="K84" i="43"/>
  <c r="K85" i="43"/>
  <c r="K86" i="43"/>
  <c r="K87" i="43"/>
  <c r="K88" i="43"/>
  <c r="K89" i="43"/>
  <c r="K90" i="43"/>
  <c r="K91" i="43"/>
  <c r="K92" i="43"/>
  <c r="K93" i="43"/>
  <c r="K94" i="43"/>
  <c r="K95" i="43"/>
  <c r="K96" i="43"/>
  <c r="K97" i="43"/>
  <c r="K98" i="43"/>
  <c r="K99" i="43"/>
  <c r="K100" i="43"/>
  <c r="K101" i="43"/>
  <c r="K102" i="43"/>
  <c r="K103" i="43"/>
  <c r="K104" i="43"/>
  <c r="K105" i="43"/>
  <c r="K106" i="43"/>
  <c r="K107" i="43"/>
  <c r="K108" i="43"/>
  <c r="K109" i="43"/>
  <c r="K110" i="43"/>
  <c r="K111" i="43"/>
  <c r="K112" i="43"/>
  <c r="K113" i="43"/>
  <c r="K114" i="43"/>
  <c r="K115" i="43"/>
  <c r="K116" i="43"/>
  <c r="K117" i="43"/>
  <c r="K118" i="43"/>
  <c r="K119" i="43"/>
  <c r="K120" i="43"/>
  <c r="K121" i="43"/>
  <c r="K122" i="43"/>
  <c r="K123" i="43"/>
  <c r="K124" i="43"/>
  <c r="K125" i="43"/>
  <c r="K126" i="43"/>
  <c r="K127" i="43"/>
  <c r="K128" i="43"/>
  <c r="K129" i="43"/>
  <c r="K130" i="43"/>
  <c r="K131" i="43"/>
  <c r="K134" i="43"/>
  <c r="K135" i="43"/>
  <c r="K136" i="43"/>
  <c r="K137" i="43"/>
  <c r="K138" i="43"/>
  <c r="K139" i="43"/>
  <c r="K140" i="43"/>
  <c r="K141" i="43"/>
  <c r="K142" i="43"/>
  <c r="K143" i="43"/>
  <c r="K144" i="43"/>
  <c r="K145" i="43"/>
  <c r="K146" i="43"/>
  <c r="K147" i="43"/>
  <c r="K148" i="43"/>
  <c r="K149" i="43"/>
  <c r="K150" i="43"/>
  <c r="K151" i="43"/>
  <c r="K152" i="43"/>
  <c r="K153" i="43"/>
  <c r="K154" i="43"/>
  <c r="K155" i="43"/>
  <c r="K156" i="43"/>
  <c r="K157" i="43"/>
  <c r="K158" i="43"/>
  <c r="K159" i="43"/>
  <c r="K160" i="43"/>
  <c r="K161" i="43"/>
  <c r="K162" i="43"/>
  <c r="K163" i="43"/>
  <c r="K164" i="43"/>
  <c r="K165" i="43"/>
  <c r="K166" i="43"/>
  <c r="K167" i="43"/>
  <c r="K168" i="43"/>
  <c r="K169" i="43"/>
  <c r="K170" i="43"/>
  <c r="K171" i="43"/>
  <c r="K172" i="43"/>
  <c r="K173" i="43"/>
  <c r="K174" i="43"/>
  <c r="K175" i="43"/>
  <c r="K176" i="43"/>
  <c r="K177" i="43"/>
  <c r="K178" i="43"/>
  <c r="K179" i="43"/>
  <c r="K180" i="43"/>
  <c r="K181" i="43"/>
  <c r="K182" i="43"/>
  <c r="K183" i="43"/>
  <c r="K184" i="43"/>
  <c r="K185" i="43"/>
  <c r="K186" i="43"/>
  <c r="K187" i="43"/>
  <c r="K188" i="43"/>
  <c r="K189" i="43"/>
  <c r="K190" i="43"/>
  <c r="K191" i="43"/>
  <c r="K192" i="43"/>
  <c r="K193" i="43"/>
  <c r="K194" i="43"/>
  <c r="K195" i="43"/>
  <c r="K196" i="43"/>
  <c r="K197" i="43"/>
  <c r="K198" i="43"/>
  <c r="K199" i="43"/>
  <c r="K200" i="43"/>
  <c r="K201" i="43"/>
  <c r="K202" i="43"/>
  <c r="K203" i="43"/>
  <c r="K204" i="43"/>
  <c r="K205" i="43"/>
  <c r="K206" i="43"/>
  <c r="K207" i="43"/>
  <c r="K208" i="43"/>
  <c r="K209" i="43"/>
  <c r="K210" i="43"/>
  <c r="K211" i="43"/>
  <c r="K212" i="43"/>
  <c r="K213" i="43"/>
  <c r="K214" i="43"/>
  <c r="K215" i="43"/>
  <c r="K216" i="43"/>
  <c r="K217" i="43"/>
  <c r="K218" i="43"/>
  <c r="K219" i="43"/>
  <c r="K220" i="43"/>
  <c r="K221" i="43"/>
  <c r="K222" i="43"/>
  <c r="K223" i="43"/>
  <c r="K224" i="43"/>
  <c r="K225" i="43"/>
  <c r="K226" i="43"/>
  <c r="K227" i="43"/>
  <c r="K228" i="43"/>
  <c r="K229" i="43"/>
  <c r="K230" i="43"/>
  <c r="K231" i="43"/>
  <c r="K232" i="43"/>
  <c r="K233" i="43"/>
  <c r="K234" i="43"/>
  <c r="K235" i="43"/>
  <c r="K236" i="43"/>
  <c r="K237" i="43"/>
  <c r="K238" i="43"/>
  <c r="K239" i="43"/>
  <c r="K240" i="43"/>
  <c r="K241" i="43"/>
  <c r="K242" i="43"/>
  <c r="K243" i="43"/>
  <c r="K244" i="43"/>
  <c r="K245" i="43"/>
  <c r="K246" i="43"/>
  <c r="K247" i="43"/>
  <c r="K248" i="43"/>
  <c r="K249" i="43"/>
  <c r="K250" i="43"/>
  <c r="K251" i="43"/>
  <c r="K252" i="43"/>
  <c r="K253" i="43"/>
  <c r="K254" i="43"/>
  <c r="K255" i="43"/>
  <c r="K256" i="43"/>
  <c r="K257" i="43"/>
  <c r="K258" i="43"/>
  <c r="K259" i="43"/>
  <c r="K260" i="43"/>
  <c r="K261" i="43"/>
  <c r="K262" i="43"/>
  <c r="K263" i="43"/>
  <c r="K264" i="43"/>
  <c r="K265" i="43"/>
  <c r="K266" i="43"/>
  <c r="K267" i="43"/>
  <c r="K268" i="43"/>
  <c r="K269" i="43"/>
  <c r="K270" i="43"/>
  <c r="K271" i="43"/>
  <c r="K273" i="43"/>
  <c r="K274" i="43"/>
  <c r="K275" i="43"/>
  <c r="K276" i="43"/>
  <c r="K277" i="43"/>
  <c r="K278" i="43"/>
  <c r="K279" i="43"/>
  <c r="K280" i="43"/>
  <c r="K281" i="43"/>
  <c r="K282" i="43"/>
  <c r="K283" i="43"/>
  <c r="K284" i="43"/>
  <c r="K285" i="43"/>
  <c r="K286" i="43"/>
  <c r="K287" i="43"/>
  <c r="K288" i="43"/>
  <c r="K289" i="43"/>
  <c r="K290" i="43"/>
  <c r="K291" i="43"/>
  <c r="K292" i="43"/>
  <c r="K293" i="43"/>
  <c r="K294" i="43"/>
  <c r="K295" i="43"/>
  <c r="K296" i="43"/>
  <c r="K297" i="43"/>
  <c r="K298" i="43"/>
  <c r="K299" i="43"/>
  <c r="K300" i="43"/>
  <c r="K301" i="43"/>
  <c r="K302" i="43"/>
  <c r="K303" i="43"/>
  <c r="K304" i="43"/>
  <c r="K305" i="43"/>
  <c r="K306" i="43"/>
  <c r="K307" i="43"/>
  <c r="K308" i="43"/>
  <c r="K309" i="43"/>
  <c r="K310" i="43"/>
  <c r="K312" i="43"/>
  <c r="K313" i="43"/>
  <c r="K314" i="43"/>
  <c r="K315" i="43"/>
  <c r="K316" i="43"/>
  <c r="K317" i="43"/>
  <c r="K318" i="43"/>
  <c r="K319" i="43"/>
  <c r="K320" i="43"/>
  <c r="K321" i="43"/>
  <c r="K322" i="43"/>
  <c r="K323" i="43"/>
  <c r="K324" i="43"/>
  <c r="K325" i="43"/>
  <c r="K326" i="43"/>
  <c r="K327" i="43"/>
  <c r="K328" i="43"/>
  <c r="K329" i="43"/>
  <c r="K330" i="43"/>
  <c r="K331" i="43"/>
  <c r="K332" i="43"/>
  <c r="K333" i="43"/>
  <c r="K334" i="43"/>
  <c r="K335" i="43"/>
  <c r="K336" i="43"/>
  <c r="K337" i="43"/>
  <c r="K338" i="43"/>
  <c r="K339" i="43"/>
  <c r="K340" i="43"/>
  <c r="K341" i="43"/>
  <c r="K342" i="43"/>
  <c r="K343" i="43"/>
  <c r="K344" i="43"/>
  <c r="K345" i="43"/>
  <c r="K346" i="43"/>
  <c r="K347" i="43"/>
  <c r="K348" i="43"/>
  <c r="K349" i="43"/>
  <c r="K350" i="43"/>
  <c r="K351" i="43"/>
  <c r="K352" i="43"/>
  <c r="K353" i="43"/>
  <c r="K354" i="43"/>
  <c r="K355" i="43"/>
  <c r="K356" i="43"/>
  <c r="K357" i="43"/>
  <c r="K358" i="43"/>
  <c r="K359" i="43"/>
  <c r="K360" i="43"/>
  <c r="K361" i="43"/>
  <c r="K362" i="43"/>
  <c r="K363" i="43"/>
  <c r="K364" i="43"/>
  <c r="K365" i="43"/>
  <c r="K366" i="43"/>
  <c r="K367" i="43"/>
  <c r="K368" i="43"/>
  <c r="K369" i="43"/>
  <c r="K370" i="43"/>
  <c r="K371" i="43"/>
  <c r="K372" i="43"/>
  <c r="K373" i="43"/>
  <c r="K374" i="43"/>
  <c r="K375" i="43"/>
  <c r="K376" i="43"/>
  <c r="K377" i="43"/>
  <c r="K378" i="43"/>
  <c r="K379" i="43"/>
  <c r="K380" i="43"/>
  <c r="K381" i="43"/>
  <c r="K382" i="43"/>
  <c r="K383" i="43"/>
  <c r="K384" i="43"/>
  <c r="K385" i="43"/>
  <c r="K386" i="43"/>
  <c r="K387" i="43"/>
  <c r="K388" i="43"/>
  <c r="K389" i="43"/>
  <c r="K390" i="43"/>
  <c r="K391" i="43"/>
  <c r="K392" i="43"/>
  <c r="K393" i="43"/>
  <c r="K394" i="43"/>
  <c r="K395" i="43"/>
  <c r="K396" i="43"/>
  <c r="K397" i="43"/>
  <c r="K398" i="43"/>
  <c r="K399" i="43"/>
  <c r="K400" i="43"/>
  <c r="K401" i="43"/>
  <c r="K402" i="43"/>
  <c r="K403" i="43"/>
  <c r="K404" i="43"/>
  <c r="K405" i="43"/>
  <c r="K406" i="43"/>
  <c r="K407" i="43"/>
  <c r="K408" i="43"/>
  <c r="K409" i="43"/>
  <c r="K410" i="43"/>
  <c r="K411" i="43"/>
  <c r="K412" i="43"/>
  <c r="K413" i="43"/>
  <c r="K414" i="43"/>
  <c r="K415" i="43"/>
  <c r="K416" i="43"/>
  <c r="K417" i="43"/>
  <c r="K418" i="43"/>
  <c r="K419" i="43"/>
  <c r="K420" i="43"/>
  <c r="K421" i="43"/>
  <c r="K422" i="43"/>
  <c r="K423" i="43"/>
  <c r="K424" i="43"/>
  <c r="K425" i="43"/>
  <c r="K426" i="43"/>
  <c r="K427" i="43"/>
  <c r="K428" i="43"/>
  <c r="K429" i="43"/>
  <c r="K430" i="43"/>
  <c r="K431" i="43"/>
  <c r="K432" i="43"/>
  <c r="K433" i="43"/>
  <c r="K434" i="43"/>
  <c r="K435" i="43"/>
  <c r="K436" i="43"/>
  <c r="K437" i="43"/>
  <c r="K438" i="43"/>
  <c r="K439" i="43"/>
  <c r="K440" i="43"/>
  <c r="K441" i="43"/>
  <c r="K442" i="43"/>
  <c r="K443" i="43"/>
  <c r="K444" i="43"/>
  <c r="K445" i="43"/>
  <c r="K446" i="43"/>
  <c r="K447" i="43"/>
  <c r="K448" i="43"/>
  <c r="K449" i="43"/>
  <c r="K450" i="43"/>
  <c r="K451" i="43"/>
  <c r="K452" i="43"/>
  <c r="K453" i="43"/>
  <c r="K454" i="43"/>
  <c r="K455" i="43"/>
  <c r="K456" i="43"/>
  <c r="K457" i="43"/>
  <c r="K458" i="43"/>
  <c r="K459" i="43"/>
  <c r="K460" i="43"/>
  <c r="K461" i="43"/>
  <c r="K462" i="43"/>
  <c r="K463" i="43"/>
  <c r="K464" i="43"/>
  <c r="K465" i="43"/>
  <c r="K466" i="43"/>
  <c r="K467" i="43"/>
  <c r="K468" i="43"/>
  <c r="K469" i="43"/>
  <c r="K470" i="43"/>
  <c r="K471" i="43"/>
  <c r="K472" i="43"/>
  <c r="K473" i="43"/>
  <c r="K474" i="43"/>
  <c r="K475" i="43"/>
  <c r="K476" i="43"/>
  <c r="K477" i="43"/>
  <c r="K478" i="43"/>
  <c r="K479" i="43"/>
  <c r="K480" i="43"/>
  <c r="K481" i="43"/>
  <c r="K482" i="43"/>
  <c r="K483" i="43"/>
  <c r="K484" i="43"/>
  <c r="K32" i="43"/>
  <c r="K33" i="43"/>
  <c r="K34" i="43"/>
  <c r="K35" i="43"/>
  <c r="K36" i="43"/>
  <c r="K37" i="43"/>
  <c r="K38" i="43"/>
  <c r="K39" i="43"/>
  <c r="K40" i="43"/>
  <c r="K41" i="43"/>
  <c r="K42" i="43"/>
  <c r="K43" i="43"/>
  <c r="K44" i="43"/>
  <c r="K45" i="43"/>
  <c r="K46" i="43"/>
  <c r="K47" i="43"/>
  <c r="K48" i="43"/>
  <c r="K50" i="43"/>
  <c r="K51" i="43"/>
  <c r="K52" i="43"/>
  <c r="K53" i="43"/>
  <c r="K54" i="43"/>
  <c r="K55" i="43"/>
  <c r="K56" i="43"/>
  <c r="K57" i="43"/>
  <c r="K58" i="43"/>
  <c r="K349" i="25" l="1"/>
  <c r="K485" i="43"/>
  <c r="G39" i="48"/>
  <c r="G43" i="48" l="1"/>
  <c r="G44" i="48"/>
  <c r="G349" i="25" l="1"/>
  <c r="K222" i="42" l="1"/>
  <c r="K223" i="42"/>
  <c r="K224" i="42"/>
  <c r="K225" i="42"/>
  <c r="K226" i="42"/>
  <c r="K227" i="42"/>
  <c r="K228" i="42"/>
  <c r="K229" i="42"/>
  <c r="K230" i="42"/>
  <c r="K231" i="42"/>
  <c r="K232" i="42"/>
  <c r="K233" i="42"/>
  <c r="K218" i="42"/>
  <c r="K43" i="42"/>
  <c r="K44" i="42"/>
  <c r="K33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G43" i="1" l="1"/>
  <c r="G45" i="1" l="1"/>
  <c r="G44" i="1" l="1"/>
  <c r="G39" i="1" l="1"/>
  <c r="G40" i="1"/>
  <c r="G41" i="1"/>
  <c r="G42" i="1"/>
  <c r="G1417" i="31" l="1"/>
  <c r="K333" i="47" l="1"/>
  <c r="K334" i="47"/>
  <c r="G50" i="48" l="1"/>
  <c r="K332" i="47"/>
  <c r="K331" i="47"/>
  <c r="G51" i="48" l="1"/>
  <c r="G49" i="48"/>
  <c r="J50" i="48"/>
  <c r="K50" i="48" s="1"/>
  <c r="J51" i="48"/>
  <c r="K51" i="48" s="1"/>
  <c r="G52" i="48"/>
  <c r="J52" i="48"/>
  <c r="K52" i="48" s="1"/>
  <c r="G53" i="48"/>
  <c r="J53" i="48"/>
  <c r="K53" i="48" s="1"/>
  <c r="G54" i="48"/>
  <c r="J54" i="48"/>
  <c r="K54" i="48" s="1"/>
  <c r="G55" i="48"/>
  <c r="J55" i="48"/>
  <c r="K55" i="48" s="1"/>
  <c r="K187" i="56" l="1"/>
  <c r="K188" i="56"/>
  <c r="K189" i="56"/>
  <c r="K190" i="56"/>
  <c r="K191" i="56"/>
  <c r="K192" i="56"/>
  <c r="K193" i="56"/>
  <c r="K194" i="56"/>
  <c r="K195" i="56"/>
  <c r="K196" i="56"/>
  <c r="K197" i="56"/>
  <c r="K198" i="56"/>
  <c r="K199" i="56"/>
  <c r="K200" i="56"/>
  <c r="K201" i="56"/>
  <c r="K202" i="56"/>
  <c r="K203" i="56"/>
  <c r="K204" i="56"/>
  <c r="K205" i="56"/>
  <c r="K206" i="56"/>
  <c r="K207" i="56"/>
  <c r="K208" i="56"/>
  <c r="G3" i="53" l="1"/>
  <c r="K346" i="47" l="1"/>
  <c r="K347" i="47"/>
  <c r="K348" i="47"/>
  <c r="K349" i="47"/>
  <c r="K350" i="47"/>
  <c r="K351" i="47"/>
  <c r="K263" i="54"/>
  <c r="K264" i="54"/>
  <c r="K265" i="54"/>
  <c r="K266" i="54"/>
  <c r="K267" i="54"/>
  <c r="K268" i="54"/>
  <c r="K269" i="54"/>
  <c r="K270" i="54"/>
  <c r="K271" i="54"/>
  <c r="K272" i="54"/>
  <c r="K273" i="54"/>
  <c r="K262" i="54"/>
  <c r="K260" i="54" l="1"/>
  <c r="K186" i="56" l="1"/>
  <c r="K185" i="56" l="1"/>
  <c r="K184" i="56" l="1"/>
  <c r="K183" i="56" l="1"/>
  <c r="K181" i="56" l="1"/>
  <c r="K182" i="56"/>
  <c r="J11" i="48" l="1"/>
  <c r="K11" i="48" s="1"/>
  <c r="G11" i="48"/>
  <c r="K180" i="56" l="1"/>
  <c r="K179" i="56"/>
  <c r="K178" i="56" l="1"/>
  <c r="K177" i="56" l="1"/>
  <c r="K3" i="50" l="1"/>
  <c r="G3" i="50"/>
  <c r="J6" i="48"/>
  <c r="K6" i="48" s="1"/>
  <c r="G6" i="48"/>
  <c r="K176" i="56" l="1"/>
  <c r="J5" i="48" l="1"/>
  <c r="K5" i="48" s="1"/>
  <c r="K175" i="56" l="1"/>
  <c r="K173" i="56" l="1"/>
  <c r="K174" i="56"/>
  <c r="J10" i="48" l="1"/>
  <c r="K10" i="48" s="1"/>
  <c r="G10" i="48"/>
  <c r="K172" i="56" l="1"/>
  <c r="K171" i="56" l="1"/>
  <c r="K168" i="56" l="1"/>
  <c r="K169" i="56"/>
  <c r="K170" i="56"/>
  <c r="J9" i="48" l="1"/>
  <c r="K9" i="48" s="1"/>
  <c r="G9" i="48"/>
  <c r="G13" i="53"/>
  <c r="K161" i="56" l="1"/>
  <c r="K162" i="56"/>
  <c r="K163" i="56"/>
  <c r="K164" i="56"/>
  <c r="K165" i="56"/>
  <c r="K166" i="56"/>
  <c r="K167" i="56"/>
  <c r="K159" i="56"/>
  <c r="K160" i="56"/>
  <c r="K5" i="54" l="1"/>
  <c r="K4" i="54"/>
  <c r="G5" i="54"/>
  <c r="J8" i="53" l="1"/>
  <c r="G8" i="53"/>
  <c r="K154" i="56" l="1"/>
  <c r="K155" i="56"/>
  <c r="K156" i="56"/>
  <c r="K157" i="56"/>
  <c r="K158" i="56"/>
  <c r="G3" i="48" l="1"/>
  <c r="J4" i="53"/>
  <c r="G4" i="53"/>
  <c r="K153" i="56" l="1"/>
  <c r="K152" i="56" l="1"/>
  <c r="K151" i="56" l="1"/>
  <c r="J3" i="48"/>
  <c r="K3" i="48" s="1"/>
  <c r="J3" i="53"/>
  <c r="K150" i="56" l="1"/>
  <c r="G46" i="1" l="1"/>
  <c r="K152" i="19"/>
  <c r="K149" i="56" l="1"/>
  <c r="K148" i="56" l="1"/>
  <c r="K147" i="56" l="1"/>
  <c r="J100" i="53" l="1"/>
  <c r="G100" i="53"/>
  <c r="J99" i="53"/>
  <c r="K99" i="53" s="1"/>
  <c r="G99" i="53"/>
  <c r="K210" i="42"/>
  <c r="G63" i="53"/>
  <c r="G64" i="53"/>
  <c r="J63" i="53"/>
  <c r="K63" i="53" s="1"/>
  <c r="J64" i="53"/>
  <c r="K64" i="53" s="1"/>
  <c r="J91" i="53"/>
  <c r="K91" i="53" s="1"/>
  <c r="G91" i="53"/>
  <c r="J90" i="53"/>
  <c r="K90" i="53" s="1"/>
  <c r="G90" i="53"/>
  <c r="J89" i="53"/>
  <c r="K89" i="53" s="1"/>
  <c r="G89" i="53"/>
  <c r="J88" i="53"/>
  <c r="G88" i="53"/>
  <c r="J87" i="53"/>
  <c r="K87" i="53" s="1"/>
  <c r="G87" i="53"/>
  <c r="J86" i="53"/>
  <c r="K86" i="53" s="1"/>
  <c r="G86" i="53"/>
  <c r="J85" i="53"/>
  <c r="K85" i="53" s="1"/>
  <c r="G85" i="53"/>
  <c r="J84" i="53"/>
  <c r="K84" i="53" s="1"/>
  <c r="G84" i="53"/>
  <c r="J83" i="53"/>
  <c r="K83" i="53" s="1"/>
  <c r="G83" i="53"/>
  <c r="J82" i="53"/>
  <c r="G82" i="53"/>
  <c r="J81" i="53"/>
  <c r="K81" i="53" s="1"/>
  <c r="G81" i="53"/>
  <c r="J80" i="53"/>
  <c r="K80" i="53" s="1"/>
  <c r="G80" i="53"/>
  <c r="J79" i="53"/>
  <c r="K79" i="53" s="1"/>
  <c r="G79" i="53"/>
  <c r="J78" i="53"/>
  <c r="G78" i="53"/>
  <c r="J77" i="53"/>
  <c r="G77" i="53"/>
  <c r="J76" i="53"/>
  <c r="G76" i="53"/>
  <c r="J75" i="53"/>
  <c r="K75" i="53" s="1"/>
  <c r="G75" i="53"/>
  <c r="J74" i="53"/>
  <c r="K74" i="53" s="1"/>
  <c r="G74" i="53"/>
  <c r="J73" i="53"/>
  <c r="K73" i="53" s="1"/>
  <c r="G73" i="53"/>
  <c r="J72" i="53"/>
  <c r="K72" i="53" s="1"/>
  <c r="G72" i="53"/>
  <c r="J71" i="53"/>
  <c r="K71" i="53" s="1"/>
  <c r="G71" i="53"/>
  <c r="J70" i="53"/>
  <c r="K70" i="53" s="1"/>
  <c r="G70" i="53"/>
  <c r="J69" i="53"/>
  <c r="K69" i="53" s="1"/>
  <c r="G69" i="53"/>
  <c r="J68" i="53"/>
  <c r="K68" i="53" s="1"/>
  <c r="G68" i="53"/>
  <c r="J67" i="53"/>
  <c r="K67" i="53" s="1"/>
  <c r="G67" i="53"/>
  <c r="J66" i="53"/>
  <c r="G66" i="53"/>
  <c r="J65" i="53"/>
  <c r="K65" i="53" s="1"/>
  <c r="G65" i="53"/>
  <c r="J14" i="53"/>
  <c r="K14" i="53" s="1"/>
  <c r="G14" i="53"/>
  <c r="J13" i="53"/>
  <c r="K13" i="53" s="1"/>
  <c r="J12" i="53"/>
  <c r="K12" i="53" s="1"/>
  <c r="G12" i="53"/>
  <c r="J11" i="53"/>
  <c r="K11" i="53" s="1"/>
  <c r="G11" i="53"/>
  <c r="J10" i="53"/>
  <c r="K10" i="53" s="1"/>
  <c r="G10" i="53"/>
  <c r="J9" i="53"/>
  <c r="K9" i="53" s="1"/>
  <c r="G9" i="53"/>
  <c r="J7" i="53"/>
  <c r="K7" i="53" s="1"/>
  <c r="G7" i="53"/>
  <c r="J6" i="53"/>
  <c r="K6" i="53" s="1"/>
  <c r="G6" i="53"/>
  <c r="J5" i="53"/>
  <c r="K5" i="53" s="1"/>
  <c r="G5" i="53"/>
  <c r="K4" i="53"/>
  <c r="K3" i="53"/>
  <c r="J8" i="41"/>
  <c r="K8" i="41" s="1"/>
  <c r="G8" i="41"/>
  <c r="J7" i="41"/>
  <c r="K7" i="41" s="1"/>
  <c r="G7" i="41"/>
  <c r="J6" i="41"/>
  <c r="K6" i="41" s="1"/>
  <c r="G6" i="41"/>
  <c r="J5" i="41"/>
  <c r="K5" i="41" s="1"/>
  <c r="G5" i="41"/>
  <c r="J4" i="41"/>
  <c r="K4" i="41" s="1"/>
  <c r="G4" i="41"/>
  <c r="J47" i="41"/>
  <c r="J48" i="41"/>
  <c r="J49" i="41"/>
  <c r="J50" i="41"/>
  <c r="J51" i="41"/>
  <c r="J52" i="41"/>
  <c r="K100" i="53" l="1"/>
  <c r="K78" i="53"/>
  <c r="K66" i="53"/>
  <c r="K76" i="53"/>
  <c r="K82" i="53"/>
  <c r="K88" i="53"/>
  <c r="K77" i="53"/>
  <c r="K37" i="42"/>
  <c r="G115" i="53" l="1"/>
  <c r="K142" i="56" l="1"/>
  <c r="K140" i="56" l="1"/>
  <c r="K141" i="56"/>
  <c r="K139" i="56" l="1"/>
  <c r="K135" i="56" l="1"/>
  <c r="K136" i="56"/>
  <c r="K137" i="56"/>
  <c r="K138" i="56"/>
  <c r="K134" i="56"/>
  <c r="K132" i="56"/>
  <c r="K133" i="56"/>
  <c r="K127" i="56" l="1"/>
  <c r="K250" i="54"/>
  <c r="J20" i="41" l="1"/>
  <c r="K20" i="41" s="1"/>
  <c r="G20" i="41"/>
  <c r="J8" i="48"/>
  <c r="K8" i="48" s="1"/>
  <c r="G8" i="48"/>
  <c r="J21" i="53"/>
  <c r="K21" i="53" s="1"/>
  <c r="G21" i="53"/>
  <c r="J19" i="41" l="1"/>
  <c r="K19" i="41" s="1"/>
  <c r="G19" i="41"/>
  <c r="J20" i="53"/>
  <c r="K20" i="53" s="1"/>
  <c r="G20" i="53"/>
  <c r="C2" i="51" l="1"/>
  <c r="J18" i="41" l="1"/>
  <c r="K18" i="41" s="1"/>
  <c r="G18" i="41"/>
  <c r="K19" i="53"/>
  <c r="G19" i="53"/>
  <c r="K249" i="54"/>
  <c r="J17" i="41" l="1"/>
  <c r="K17" i="41" s="1"/>
  <c r="G17" i="41"/>
  <c r="K18" i="53"/>
  <c r="G18" i="53"/>
  <c r="J7" i="48"/>
  <c r="K7" i="48" s="1"/>
  <c r="G7" i="48"/>
  <c r="G52" i="41" l="1"/>
  <c r="K52" i="41"/>
  <c r="K51" i="41" l="1"/>
  <c r="G51" i="41"/>
  <c r="J61" i="53"/>
  <c r="K61" i="53" s="1"/>
  <c r="G61" i="53"/>
  <c r="J60" i="41" l="1"/>
  <c r="K60" i="41" s="1"/>
  <c r="G60" i="41"/>
  <c r="J98" i="53"/>
  <c r="K98" i="53" s="1"/>
  <c r="G98" i="53"/>
  <c r="K23" i="56" l="1"/>
  <c r="K24" i="56"/>
  <c r="K25" i="56"/>
  <c r="K26" i="56"/>
  <c r="K27" i="56"/>
  <c r="K28" i="56"/>
  <c r="K29" i="56"/>
  <c r="K30" i="56"/>
  <c r="K31" i="56"/>
  <c r="K32" i="56"/>
  <c r="K33" i="56"/>
  <c r="K34" i="56"/>
  <c r="K35" i="56"/>
  <c r="K36" i="56"/>
  <c r="K37" i="56"/>
  <c r="K38" i="56"/>
  <c r="K39" i="56"/>
  <c r="K40" i="56"/>
  <c r="K41" i="56"/>
  <c r="K42" i="56"/>
  <c r="K43" i="56"/>
  <c r="K44" i="56"/>
  <c r="K45" i="56"/>
  <c r="K46" i="56"/>
  <c r="K47" i="56"/>
  <c r="K48" i="56"/>
  <c r="K49" i="56"/>
  <c r="K50" i="56"/>
  <c r="K51" i="56"/>
  <c r="K52" i="56"/>
  <c r="K53" i="56"/>
  <c r="K54" i="56"/>
  <c r="K55" i="56"/>
  <c r="K56" i="56"/>
  <c r="K57" i="56"/>
  <c r="K58" i="56"/>
  <c r="K59" i="56"/>
  <c r="K60" i="56"/>
  <c r="K61" i="56"/>
  <c r="K62" i="56"/>
  <c r="K63" i="56"/>
  <c r="K64" i="56"/>
  <c r="K65" i="56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G3" i="54" l="1"/>
  <c r="G45" i="48" l="1"/>
  <c r="G42" i="48" l="1"/>
  <c r="G41" i="48" l="1"/>
  <c r="K9" i="50" l="1"/>
  <c r="K13" i="50"/>
  <c r="G13" i="50"/>
  <c r="G9" i="50"/>
  <c r="G11" i="50"/>
  <c r="J97" i="53" l="1"/>
  <c r="K97" i="53" s="1"/>
  <c r="G97" i="53"/>
  <c r="J59" i="41"/>
  <c r="K59" i="41" s="1"/>
  <c r="G59" i="41"/>
  <c r="G78" i="41" l="1"/>
  <c r="J6" i="1" l="1"/>
  <c r="K6" i="1" s="1"/>
  <c r="G6" i="1"/>
  <c r="K220" i="42"/>
  <c r="G220" i="42"/>
  <c r="G16" i="41"/>
  <c r="J16" i="41"/>
  <c r="K16" i="41" s="1"/>
  <c r="K219" i="42"/>
  <c r="G219" i="42"/>
  <c r="J17" i="53"/>
  <c r="K17" i="53" s="1"/>
  <c r="G17" i="53"/>
  <c r="K248" i="54"/>
  <c r="K341" i="47"/>
  <c r="K12" i="50"/>
  <c r="G12" i="50"/>
  <c r="K446" i="49"/>
  <c r="G446" i="49"/>
  <c r="K50" i="41" l="1"/>
  <c r="G50" i="41"/>
  <c r="K49" i="41"/>
  <c r="G49" i="41"/>
  <c r="J60" i="53"/>
  <c r="K60" i="53" s="1"/>
  <c r="G60" i="53"/>
  <c r="J59" i="53"/>
  <c r="K59" i="53" s="1"/>
  <c r="G59" i="53"/>
  <c r="G24" i="17" l="1"/>
  <c r="F21" i="22"/>
  <c r="C21" i="22"/>
  <c r="G20" i="13"/>
  <c r="D21" i="22"/>
  <c r="G248" i="56"/>
  <c r="E248" i="56"/>
  <c r="K247" i="56"/>
  <c r="K246" i="56"/>
  <c r="K245" i="56"/>
  <c r="K244" i="56"/>
  <c r="K243" i="56"/>
  <c r="K242" i="56"/>
  <c r="K241" i="56"/>
  <c r="K240" i="56"/>
  <c r="K239" i="56"/>
  <c r="K238" i="56"/>
  <c r="K237" i="56"/>
  <c r="K236" i="56"/>
  <c r="K235" i="56"/>
  <c r="K234" i="56"/>
  <c r="K233" i="56"/>
  <c r="K232" i="56"/>
  <c r="K231" i="56"/>
  <c r="E21" i="22" s="1"/>
  <c r="I21" i="22" s="1"/>
  <c r="K230" i="56"/>
  <c r="G227" i="56"/>
  <c r="E227" i="56"/>
  <c r="K226" i="56"/>
  <c r="K225" i="56"/>
  <c r="K224" i="56"/>
  <c r="K223" i="56"/>
  <c r="K222" i="56"/>
  <c r="G219" i="56"/>
  <c r="E219" i="56"/>
  <c r="K218" i="56"/>
  <c r="K217" i="56"/>
  <c r="K216" i="56"/>
  <c r="K215" i="56"/>
  <c r="K214" i="56"/>
  <c r="K213" i="56"/>
  <c r="K212" i="56"/>
  <c r="G209" i="56"/>
  <c r="E209" i="56"/>
  <c r="K146" i="56"/>
  <c r="K145" i="56"/>
  <c r="K144" i="56"/>
  <c r="K143" i="56"/>
  <c r="K131" i="56"/>
  <c r="K130" i="56"/>
  <c r="K129" i="56"/>
  <c r="K128" i="56"/>
  <c r="K126" i="56"/>
  <c r="K125" i="56"/>
  <c r="K124" i="56"/>
  <c r="K123" i="56"/>
  <c r="K122" i="56"/>
  <c r="K121" i="56"/>
  <c r="K120" i="56"/>
  <c r="K119" i="56"/>
  <c r="K118" i="56"/>
  <c r="K117" i="56"/>
  <c r="K116" i="56"/>
  <c r="K115" i="56"/>
  <c r="K114" i="56"/>
  <c r="K113" i="56"/>
  <c r="K112" i="56"/>
  <c r="K111" i="56"/>
  <c r="K110" i="56"/>
  <c r="K109" i="56"/>
  <c r="K108" i="56"/>
  <c r="K107" i="56"/>
  <c r="K106" i="56"/>
  <c r="K105" i="56"/>
  <c r="K104" i="56"/>
  <c r="K103" i="56"/>
  <c r="K102" i="56"/>
  <c r="K101" i="56"/>
  <c r="K100" i="56"/>
  <c r="K99" i="56"/>
  <c r="K98" i="56"/>
  <c r="K97" i="56"/>
  <c r="K96" i="56"/>
  <c r="K95" i="56"/>
  <c r="K94" i="56"/>
  <c r="K93" i="56"/>
  <c r="K92" i="56"/>
  <c r="K91" i="56"/>
  <c r="K90" i="56"/>
  <c r="K89" i="56"/>
  <c r="K88" i="56"/>
  <c r="K87" i="56"/>
  <c r="K86" i="56"/>
  <c r="K85" i="56"/>
  <c r="K84" i="56"/>
  <c r="K83" i="56"/>
  <c r="K82" i="56"/>
  <c r="K81" i="56"/>
  <c r="K80" i="56"/>
  <c r="K79" i="56"/>
  <c r="K78" i="56"/>
  <c r="K77" i="56"/>
  <c r="K76" i="56"/>
  <c r="K75" i="56"/>
  <c r="K74" i="56"/>
  <c r="K73" i="56"/>
  <c r="K72" i="56"/>
  <c r="K71" i="56"/>
  <c r="K70" i="56"/>
  <c r="K69" i="56"/>
  <c r="K68" i="56"/>
  <c r="K67" i="56"/>
  <c r="K66" i="56"/>
  <c r="K22" i="56"/>
  <c r="K21" i="56"/>
  <c r="G18" i="56"/>
  <c r="E18" i="56"/>
  <c r="K17" i="56"/>
  <c r="K16" i="56"/>
  <c r="K15" i="56"/>
  <c r="K14" i="56"/>
  <c r="K13" i="56"/>
  <c r="K12" i="56"/>
  <c r="G9" i="56"/>
  <c r="E9" i="56"/>
  <c r="K8" i="56"/>
  <c r="K7" i="56"/>
  <c r="K6" i="56"/>
  <c r="K5" i="56"/>
  <c r="K4" i="56"/>
  <c r="K3" i="56"/>
  <c r="J83" i="55"/>
  <c r="E83" i="55"/>
  <c r="G83" i="55" s="1"/>
  <c r="J82" i="55"/>
  <c r="E82" i="55"/>
  <c r="G82" i="55" s="1"/>
  <c r="J81" i="55"/>
  <c r="E81" i="55"/>
  <c r="G81" i="55" s="1"/>
  <c r="J80" i="55"/>
  <c r="E80" i="55"/>
  <c r="G80" i="55" s="1"/>
  <c r="J79" i="55"/>
  <c r="E79" i="55"/>
  <c r="G79" i="55" s="1"/>
  <c r="J78" i="55"/>
  <c r="E78" i="55"/>
  <c r="G78" i="55" s="1"/>
  <c r="J77" i="55"/>
  <c r="E77" i="55"/>
  <c r="G77" i="55" s="1"/>
  <c r="J76" i="55"/>
  <c r="K76" i="55" s="1"/>
  <c r="E73" i="55"/>
  <c r="G73" i="55"/>
  <c r="D21" i="13" s="1"/>
  <c r="D25" i="17" s="1"/>
  <c r="C25" i="17" s="1"/>
  <c r="J56" i="55"/>
  <c r="E56" i="55"/>
  <c r="J55" i="55"/>
  <c r="E55" i="55"/>
  <c r="G55" i="55" s="1"/>
  <c r="J54" i="55"/>
  <c r="E54" i="55"/>
  <c r="G54" i="55" s="1"/>
  <c r="J53" i="55"/>
  <c r="E53" i="55"/>
  <c r="G53" i="55" s="1"/>
  <c r="J52" i="55"/>
  <c r="E52" i="55"/>
  <c r="J51" i="55"/>
  <c r="E51" i="55"/>
  <c r="E48" i="55"/>
  <c r="C20" i="13" s="1"/>
  <c r="K47" i="55"/>
  <c r="K44" i="55"/>
  <c r="K43" i="55"/>
  <c r="K42" i="55"/>
  <c r="K41" i="55"/>
  <c r="K40" i="55"/>
  <c r="K39" i="55"/>
  <c r="K38" i="55"/>
  <c r="K37" i="55"/>
  <c r="K36" i="55"/>
  <c r="K35" i="55"/>
  <c r="K34" i="55"/>
  <c r="K33" i="55"/>
  <c r="K32" i="55"/>
  <c r="K31" i="55"/>
  <c r="K30" i="55"/>
  <c r="K29" i="55"/>
  <c r="K28" i="55"/>
  <c r="K27" i="55"/>
  <c r="K26" i="55"/>
  <c r="K25" i="55"/>
  <c r="K24" i="55"/>
  <c r="K23" i="55"/>
  <c r="K22" i="55"/>
  <c r="K21" i="55"/>
  <c r="J20" i="55"/>
  <c r="K20" i="55" s="1"/>
  <c r="G20" i="55"/>
  <c r="E17" i="55"/>
  <c r="C18" i="52" s="1"/>
  <c r="K15" i="55"/>
  <c r="K14" i="55"/>
  <c r="K13" i="55"/>
  <c r="K12" i="55"/>
  <c r="K11" i="55"/>
  <c r="K10" i="55"/>
  <c r="K9" i="55"/>
  <c r="K8" i="55"/>
  <c r="K7" i="55"/>
  <c r="K6" i="55"/>
  <c r="K5" i="55"/>
  <c r="K4" i="55"/>
  <c r="J3" i="55"/>
  <c r="K3" i="55" s="1"/>
  <c r="G3" i="55"/>
  <c r="K82" i="55" l="1"/>
  <c r="K77" i="55"/>
  <c r="K80" i="55"/>
  <c r="K79" i="55"/>
  <c r="K55" i="55"/>
  <c r="K81" i="55"/>
  <c r="K78" i="55"/>
  <c r="K53" i="55"/>
  <c r="K83" i="55"/>
  <c r="K51" i="55"/>
  <c r="K227" i="56"/>
  <c r="K219" i="56"/>
  <c r="K248" i="56"/>
  <c r="E18" i="52" s="1"/>
  <c r="E40" i="17" s="1"/>
  <c r="C21" i="13"/>
  <c r="C22" i="51" s="1"/>
  <c r="K9" i="56"/>
  <c r="E20" i="13" s="1"/>
  <c r="E57" i="55"/>
  <c r="C20" i="22" s="1"/>
  <c r="K209" i="56"/>
  <c r="K18" i="56"/>
  <c r="E20" i="22" s="1"/>
  <c r="G17" i="55"/>
  <c r="D18" i="52" s="1"/>
  <c r="D40" i="17" s="1"/>
  <c r="C40" i="17" s="1"/>
  <c r="K52" i="55"/>
  <c r="K56" i="55"/>
  <c r="G48" i="55"/>
  <c r="D20" i="13" s="1"/>
  <c r="K54" i="55"/>
  <c r="H21" i="22"/>
  <c r="G21" i="22"/>
  <c r="K48" i="55"/>
  <c r="F20" i="13" s="1"/>
  <c r="K17" i="55"/>
  <c r="F18" i="52" s="1"/>
  <c r="G84" i="55"/>
  <c r="G51" i="55"/>
  <c r="G52" i="55"/>
  <c r="G56" i="55"/>
  <c r="E84" i="55"/>
  <c r="E21" i="13" l="1"/>
  <c r="E25" i="17" s="1"/>
  <c r="K84" i="55"/>
  <c r="E24" i="17"/>
  <c r="J20" i="13"/>
  <c r="I20" i="13" s="1"/>
  <c r="K57" i="55"/>
  <c r="F20" i="22" s="1"/>
  <c r="I20" i="22" s="1"/>
  <c r="G20" i="22" s="1"/>
  <c r="F40" i="17"/>
  <c r="J40" i="17" s="1"/>
  <c r="G57" i="55"/>
  <c r="D20" i="22" s="1"/>
  <c r="J58" i="53"/>
  <c r="K58" i="53" s="1"/>
  <c r="G58" i="53"/>
  <c r="K48" i="41"/>
  <c r="G48" i="41"/>
  <c r="K47" i="41"/>
  <c r="G44" i="41"/>
  <c r="G45" i="41"/>
  <c r="G46" i="41"/>
  <c r="G47" i="41"/>
  <c r="J57" i="53"/>
  <c r="K57" i="53" s="1"/>
  <c r="G55" i="53"/>
  <c r="G56" i="53"/>
  <c r="G40" i="48"/>
  <c r="J15" i="41"/>
  <c r="K15" i="41" s="1"/>
  <c r="G15" i="41"/>
  <c r="J46" i="41"/>
  <c r="K46" i="41" s="1"/>
  <c r="J56" i="53"/>
  <c r="K56" i="53" s="1"/>
  <c r="J45" i="41"/>
  <c r="K45" i="41" s="1"/>
  <c r="J44" i="41"/>
  <c r="K44" i="41" s="1"/>
  <c r="J55" i="53"/>
  <c r="K55" i="53" s="1"/>
  <c r="J43" i="41"/>
  <c r="K43" i="41" s="1"/>
  <c r="G43" i="41"/>
  <c r="J54" i="53"/>
  <c r="K54" i="53" s="1"/>
  <c r="G54" i="53"/>
  <c r="J42" i="41"/>
  <c r="K42" i="41" s="1"/>
  <c r="G42" i="41"/>
  <c r="J53" i="53"/>
  <c r="K53" i="53" s="1"/>
  <c r="G53" i="53"/>
  <c r="F3" i="21"/>
  <c r="J64" i="55" s="1"/>
  <c r="K64" i="55" s="1"/>
  <c r="J41" i="41"/>
  <c r="K41" i="41" s="1"/>
  <c r="G41" i="41"/>
  <c r="J52" i="53"/>
  <c r="K52" i="53" s="1"/>
  <c r="G52" i="53"/>
  <c r="J16" i="44"/>
  <c r="K16" i="44" s="1"/>
  <c r="J15" i="44"/>
  <c r="K15" i="44" s="1"/>
  <c r="J17" i="44"/>
  <c r="J18" i="44"/>
  <c r="J19" i="44"/>
  <c r="J20" i="44"/>
  <c r="J40" i="41"/>
  <c r="K40" i="41" s="1"/>
  <c r="G40" i="41"/>
  <c r="J51" i="53"/>
  <c r="K51" i="53" s="1"/>
  <c r="G51" i="53"/>
  <c r="J50" i="53"/>
  <c r="K50" i="53" s="1"/>
  <c r="G50" i="53"/>
  <c r="J39" i="41"/>
  <c r="K39" i="41" s="1"/>
  <c r="G39" i="41"/>
  <c r="J38" i="41"/>
  <c r="K38" i="41" s="1"/>
  <c r="G38" i="41"/>
  <c r="J49" i="53"/>
  <c r="K49" i="53" s="1"/>
  <c r="G49" i="53"/>
  <c r="J65" i="24"/>
  <c r="J65" i="50"/>
  <c r="K65" i="50" s="1"/>
  <c r="J66" i="50"/>
  <c r="K66" i="50" s="1"/>
  <c r="J67" i="50"/>
  <c r="K67" i="50" s="1"/>
  <c r="J68" i="50"/>
  <c r="K68" i="50" s="1"/>
  <c r="J69" i="50"/>
  <c r="K69" i="50" s="1"/>
  <c r="J70" i="50"/>
  <c r="K70" i="50" s="1"/>
  <c r="J71" i="50"/>
  <c r="K429" i="49"/>
  <c r="J91" i="44"/>
  <c r="K91" i="44" s="1"/>
  <c r="J92" i="44"/>
  <c r="J93" i="44"/>
  <c r="J94" i="44"/>
  <c r="J95" i="44"/>
  <c r="J96" i="44"/>
  <c r="J118" i="53"/>
  <c r="K118" i="53" s="1"/>
  <c r="J119" i="53"/>
  <c r="J120" i="53"/>
  <c r="J121" i="53"/>
  <c r="J122" i="53"/>
  <c r="J123" i="53"/>
  <c r="J84" i="41"/>
  <c r="K84" i="41" s="1"/>
  <c r="K85" i="41"/>
  <c r="J86" i="41"/>
  <c r="K86" i="41" s="1"/>
  <c r="J90" i="41"/>
  <c r="K90" i="41" s="1"/>
  <c r="J108" i="41"/>
  <c r="K108" i="41" s="1"/>
  <c r="J109" i="41"/>
  <c r="K109" i="41" s="1"/>
  <c r="J110" i="41"/>
  <c r="K110" i="41" s="1"/>
  <c r="J111" i="41"/>
  <c r="K111" i="41" s="1"/>
  <c r="K340" i="47"/>
  <c r="J16" i="53"/>
  <c r="K16" i="53" s="1"/>
  <c r="G16" i="53"/>
  <c r="J5" i="1"/>
  <c r="K5" i="1" s="1"/>
  <c r="J3" i="1"/>
  <c r="K3" i="1" s="1"/>
  <c r="J4" i="1"/>
  <c r="K4" i="1" s="1"/>
  <c r="G5" i="1"/>
  <c r="K11" i="50"/>
  <c r="K10" i="50"/>
  <c r="J14" i="41"/>
  <c r="K14" i="41" s="1"/>
  <c r="G14" i="41"/>
  <c r="G3" i="1"/>
  <c r="J15" i="53"/>
  <c r="K15" i="53" s="1"/>
  <c r="G15" i="53"/>
  <c r="J3" i="41"/>
  <c r="K3" i="41" s="1"/>
  <c r="G4" i="1"/>
  <c r="K259" i="54"/>
  <c r="J37" i="41"/>
  <c r="K37" i="41" s="1"/>
  <c r="G37" i="41"/>
  <c r="J48" i="53"/>
  <c r="K48" i="53" s="1"/>
  <c r="G48" i="53"/>
  <c r="J24" i="44"/>
  <c r="J25" i="44"/>
  <c r="J26" i="44"/>
  <c r="J27" i="44"/>
  <c r="J28" i="44"/>
  <c r="J29" i="44"/>
  <c r="J13" i="41"/>
  <c r="K13" i="41" s="1"/>
  <c r="G13" i="41"/>
  <c r="K159" i="42"/>
  <c r="K160" i="42"/>
  <c r="K161" i="42"/>
  <c r="K162" i="42"/>
  <c r="K163" i="42"/>
  <c r="K164" i="42"/>
  <c r="K165" i="42"/>
  <c r="K166" i="42"/>
  <c r="J36" i="41"/>
  <c r="K36" i="41" s="1"/>
  <c r="G36" i="41"/>
  <c r="J35" i="41"/>
  <c r="K35" i="41" s="1"/>
  <c r="G35" i="41"/>
  <c r="G24" i="41"/>
  <c r="G25" i="41"/>
  <c r="G26" i="41"/>
  <c r="G27" i="41"/>
  <c r="G28" i="41"/>
  <c r="G29" i="41"/>
  <c r="G30" i="41"/>
  <c r="G31" i="41"/>
  <c r="G32" i="41"/>
  <c r="G33" i="41"/>
  <c r="G34" i="41"/>
  <c r="J47" i="53"/>
  <c r="K47" i="53" s="1"/>
  <c r="G47" i="53"/>
  <c r="J46" i="53"/>
  <c r="K46" i="53" s="1"/>
  <c r="G46" i="53"/>
  <c r="K258" i="54"/>
  <c r="J33" i="41"/>
  <c r="K33" i="41" s="1"/>
  <c r="K55" i="41"/>
  <c r="K93" i="53"/>
  <c r="J34" i="41"/>
  <c r="K34" i="41" s="1"/>
  <c r="J45" i="53"/>
  <c r="K45" i="53" s="1"/>
  <c r="G45" i="53"/>
  <c r="G15" i="44"/>
  <c r="G16" i="44"/>
  <c r="D9" i="22"/>
  <c r="J34" i="53"/>
  <c r="K34" i="53" s="1"/>
  <c r="J44" i="53"/>
  <c r="K44" i="53" s="1"/>
  <c r="G44" i="53"/>
  <c r="J32" i="41"/>
  <c r="K32" i="41" s="1"/>
  <c r="J43" i="53"/>
  <c r="K43" i="53" s="1"/>
  <c r="G43" i="53"/>
  <c r="G34" i="53"/>
  <c r="G35" i="53"/>
  <c r="G36" i="53"/>
  <c r="G37" i="53"/>
  <c r="G38" i="53"/>
  <c r="G39" i="53"/>
  <c r="G40" i="53"/>
  <c r="G41" i="53"/>
  <c r="G42" i="53"/>
  <c r="J31" i="41"/>
  <c r="K31" i="41" s="1"/>
  <c r="J42" i="53"/>
  <c r="K42" i="53" s="1"/>
  <c r="G77" i="41"/>
  <c r="J12" i="41"/>
  <c r="K12" i="41" s="1"/>
  <c r="G12" i="41"/>
  <c r="G3" i="41"/>
  <c r="G9" i="41"/>
  <c r="G10" i="41"/>
  <c r="G11" i="41"/>
  <c r="J41" i="53"/>
  <c r="K41" i="53" s="1"/>
  <c r="J29" i="41"/>
  <c r="K29" i="41" s="1"/>
  <c r="J30" i="41"/>
  <c r="K30" i="41" s="1"/>
  <c r="J40" i="53"/>
  <c r="K40" i="53" s="1"/>
  <c r="J28" i="41"/>
  <c r="K28" i="41" s="1"/>
  <c r="J38" i="53"/>
  <c r="K38" i="53" s="1"/>
  <c r="J39" i="53"/>
  <c r="K39" i="53" s="1"/>
  <c r="J35" i="53"/>
  <c r="K35" i="53" s="1"/>
  <c r="J36" i="53"/>
  <c r="K36" i="53" s="1"/>
  <c r="J37" i="53"/>
  <c r="K37" i="53" s="1"/>
  <c r="J27" i="41"/>
  <c r="K27" i="41" s="1"/>
  <c r="J26" i="41"/>
  <c r="K26" i="41" s="1"/>
  <c r="J24" i="41"/>
  <c r="K24" i="41" s="1"/>
  <c r="J25" i="41"/>
  <c r="K25" i="41" s="1"/>
  <c r="J10" i="41"/>
  <c r="K10" i="41" s="1"/>
  <c r="J11" i="41"/>
  <c r="K11" i="41" s="1"/>
  <c r="G464" i="49"/>
  <c r="E464" i="49"/>
  <c r="K463" i="49"/>
  <c r="K462" i="49"/>
  <c r="K461" i="49"/>
  <c r="K460" i="49"/>
  <c r="K459" i="49"/>
  <c r="K458" i="49"/>
  <c r="K457" i="49"/>
  <c r="K456" i="49"/>
  <c r="K455" i="49"/>
  <c r="K454" i="49"/>
  <c r="K453" i="49"/>
  <c r="K452" i="49"/>
  <c r="K451" i="49"/>
  <c r="K450" i="49"/>
  <c r="K449" i="49"/>
  <c r="K448" i="49"/>
  <c r="K447" i="49"/>
  <c r="G16" i="52"/>
  <c r="E15" i="50"/>
  <c r="C16" i="52" s="1"/>
  <c r="G10" i="50"/>
  <c r="J9" i="41"/>
  <c r="K9" i="41" s="1"/>
  <c r="J18" i="50"/>
  <c r="K18" i="50" s="1"/>
  <c r="J19" i="50"/>
  <c r="K19" i="50" s="1"/>
  <c r="J20" i="50"/>
  <c r="K20" i="50" s="1"/>
  <c r="J21" i="50"/>
  <c r="K21" i="50" s="1"/>
  <c r="J22" i="50"/>
  <c r="K22" i="50" s="1"/>
  <c r="J23" i="50"/>
  <c r="K23" i="50" s="1"/>
  <c r="J24" i="50"/>
  <c r="K24" i="50" s="1"/>
  <c r="J25" i="50"/>
  <c r="K25" i="50" s="1"/>
  <c r="J26" i="50"/>
  <c r="K26" i="50" s="1"/>
  <c r="G18" i="50"/>
  <c r="G19" i="50"/>
  <c r="G20" i="50"/>
  <c r="G21" i="50"/>
  <c r="G22" i="50"/>
  <c r="G23" i="50"/>
  <c r="G24" i="50"/>
  <c r="G25" i="50"/>
  <c r="G26" i="50"/>
  <c r="F18" i="50"/>
  <c r="H18" i="50"/>
  <c r="K257" i="54"/>
  <c r="K256" i="54"/>
  <c r="D24" i="51"/>
  <c r="K255" i="54"/>
  <c r="K254" i="54"/>
  <c r="K253" i="54"/>
  <c r="K8" i="53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42" i="42"/>
  <c r="G24" i="51"/>
  <c r="D13" i="13"/>
  <c r="K252" i="54"/>
  <c r="K251" i="54"/>
  <c r="K136" i="42"/>
  <c r="K135" i="42"/>
  <c r="K137" i="42"/>
  <c r="K138" i="42"/>
  <c r="K139" i="42"/>
  <c r="K140" i="42"/>
  <c r="G75" i="41"/>
  <c r="G74" i="41"/>
  <c r="G76" i="41"/>
  <c r="K132" i="42"/>
  <c r="K133" i="42"/>
  <c r="K134" i="42"/>
  <c r="K141" i="42"/>
  <c r="G236" i="42"/>
  <c r="E236" i="42"/>
  <c r="K235" i="42"/>
  <c r="K234" i="42"/>
  <c r="K221" i="42"/>
  <c r="G9" i="54"/>
  <c r="K131" i="42"/>
  <c r="G20" i="43"/>
  <c r="E20" i="43"/>
  <c r="K19" i="43"/>
  <c r="K18" i="43"/>
  <c r="K17" i="43"/>
  <c r="K16" i="43"/>
  <c r="K15" i="43"/>
  <c r="K14" i="43"/>
  <c r="G12" i="52"/>
  <c r="J3" i="44"/>
  <c r="K3" i="44" s="1"/>
  <c r="K12" i="44" s="1"/>
  <c r="F12" i="52" s="1"/>
  <c r="G3" i="44"/>
  <c r="G12" i="44" s="1"/>
  <c r="D12" i="52" s="1"/>
  <c r="D37" i="17" s="1"/>
  <c r="C37" i="17" s="1"/>
  <c r="D7" i="13"/>
  <c r="K121" i="42"/>
  <c r="K122" i="42"/>
  <c r="K123" i="42"/>
  <c r="K124" i="42"/>
  <c r="K125" i="42"/>
  <c r="K126" i="42"/>
  <c r="K127" i="42"/>
  <c r="K128" i="42"/>
  <c r="K129" i="42"/>
  <c r="K130" i="42"/>
  <c r="K167" i="42"/>
  <c r="K119" i="42"/>
  <c r="K120" i="42"/>
  <c r="K115" i="42"/>
  <c r="K109" i="42"/>
  <c r="K110" i="42"/>
  <c r="K111" i="42"/>
  <c r="K112" i="42"/>
  <c r="K113" i="42"/>
  <c r="K114" i="42"/>
  <c r="G73" i="41"/>
  <c r="K100" i="42"/>
  <c r="K101" i="42"/>
  <c r="K102" i="42"/>
  <c r="K103" i="42"/>
  <c r="K104" i="42"/>
  <c r="K105" i="42"/>
  <c r="K106" i="42"/>
  <c r="K107" i="42"/>
  <c r="K108" i="42"/>
  <c r="E17" i="1"/>
  <c r="C6" i="52" s="1"/>
  <c r="K96" i="42"/>
  <c r="K97" i="42"/>
  <c r="K98" i="42"/>
  <c r="K99" i="42"/>
  <c r="K116" i="42"/>
  <c r="K117" i="42"/>
  <c r="K118" i="42"/>
  <c r="J20" i="1"/>
  <c r="K20" i="1" s="1"/>
  <c r="J21" i="1"/>
  <c r="J22" i="1"/>
  <c r="J23" i="1"/>
  <c r="J24" i="1"/>
  <c r="J25" i="1"/>
  <c r="E21" i="1"/>
  <c r="G21" i="1" s="1"/>
  <c r="E22" i="1"/>
  <c r="E23" i="1"/>
  <c r="G23" i="1" s="1"/>
  <c r="E24" i="1"/>
  <c r="G24" i="1" s="1"/>
  <c r="E25" i="1"/>
  <c r="G25" i="1" s="1"/>
  <c r="D11" i="13"/>
  <c r="C10" i="52"/>
  <c r="G274" i="54"/>
  <c r="E274" i="54"/>
  <c r="K261" i="54"/>
  <c r="K247" i="54"/>
  <c r="K246" i="54"/>
  <c r="G243" i="54"/>
  <c r="E243" i="54"/>
  <c r="K242" i="54"/>
  <c r="K241" i="54"/>
  <c r="K240" i="54"/>
  <c r="K239" i="54"/>
  <c r="K238" i="54"/>
  <c r="K235" i="54"/>
  <c r="K234" i="54"/>
  <c r="G231" i="54"/>
  <c r="E231" i="54"/>
  <c r="G18" i="54"/>
  <c r="E18" i="54"/>
  <c r="K17" i="54"/>
  <c r="K16" i="54"/>
  <c r="K15" i="54"/>
  <c r="K14" i="54"/>
  <c r="K13" i="54"/>
  <c r="K12" i="54"/>
  <c r="E9" i="54"/>
  <c r="K8" i="54"/>
  <c r="K7" i="54"/>
  <c r="K6" i="54"/>
  <c r="K3" i="54"/>
  <c r="E123" i="53"/>
  <c r="E122" i="53"/>
  <c r="E121" i="53"/>
  <c r="G121" i="53" s="1"/>
  <c r="E120" i="53"/>
  <c r="G120" i="53" s="1"/>
  <c r="E119" i="53"/>
  <c r="E115" i="53"/>
  <c r="C13" i="13" s="1"/>
  <c r="C18" i="51" s="1"/>
  <c r="E103" i="53"/>
  <c r="C12" i="22" s="1"/>
  <c r="C12" i="13"/>
  <c r="E26" i="30"/>
  <c r="G26" i="30" s="1"/>
  <c r="B1" i="10"/>
  <c r="H27" i="10" s="1"/>
  <c r="C1" i="10"/>
  <c r="D1" i="10"/>
  <c r="E5" i="10"/>
  <c r="K7" i="10"/>
  <c r="K16" i="10" s="1"/>
  <c r="N16" i="10" s="1"/>
  <c r="K15" i="10"/>
  <c r="N15" i="10" s="1"/>
  <c r="E22" i="10"/>
  <c r="I28" i="10"/>
  <c r="AH2" i="14"/>
  <c r="AH7" i="14"/>
  <c r="AG7" i="14" s="1"/>
  <c r="AH8" i="14"/>
  <c r="AG8" i="14" s="1"/>
  <c r="AH9" i="14"/>
  <c r="AG9" i="14" s="1"/>
  <c r="AH10" i="14"/>
  <c r="AG10" i="14" s="1"/>
  <c r="AH11" i="14"/>
  <c r="AG11" i="14" s="1"/>
  <c r="AH12" i="14"/>
  <c r="AG12" i="14" s="1"/>
  <c r="AH13" i="14"/>
  <c r="AH14" i="14"/>
  <c r="AG14" i="14" s="1"/>
  <c r="AH15" i="14"/>
  <c r="AG15" i="14" s="1"/>
  <c r="AH19" i="14"/>
  <c r="AG19" i="14" s="1"/>
  <c r="AH20" i="14"/>
  <c r="AG20" i="14" s="1"/>
  <c r="AH21" i="14"/>
  <c r="AG21" i="14" s="1"/>
  <c r="AH22" i="14"/>
  <c r="AG22" i="14" s="1"/>
  <c r="AH23" i="14"/>
  <c r="AG23" i="14" s="1"/>
  <c r="AH24" i="14"/>
  <c r="AG24" i="14" s="1"/>
  <c r="AH25" i="14"/>
  <c r="AH26" i="14"/>
  <c r="AG26" i="14" s="1"/>
  <c r="AH27" i="14"/>
  <c r="AG27" i="14" s="1"/>
  <c r="AH28" i="14"/>
  <c r="AG28" i="14" s="1"/>
  <c r="AH29" i="14"/>
  <c r="AG29" i="14" s="1"/>
  <c r="AH30" i="14"/>
  <c r="AG30" i="14" s="1"/>
  <c r="AH31" i="14"/>
  <c r="AG31" i="14" s="1"/>
  <c r="AH32" i="14"/>
  <c r="AG32" i="14" s="1"/>
  <c r="AH33" i="14"/>
  <c r="AG33" i="14" s="1"/>
  <c r="AH34" i="14"/>
  <c r="AG34" i="14" s="1"/>
  <c r="AH35" i="14"/>
  <c r="AG35" i="14" s="1"/>
  <c r="AH36" i="14"/>
  <c r="AG36" i="14" s="1"/>
  <c r="AH37" i="14"/>
  <c r="AG37" i="14" s="1"/>
  <c r="AH38" i="14"/>
  <c r="AG38" i="14" s="1"/>
  <c r="AH39" i="14"/>
  <c r="AG39" i="14" s="1"/>
  <c r="AH40" i="14"/>
  <c r="AG40" i="14" s="1"/>
  <c r="AH41" i="14"/>
  <c r="AG41" i="14" s="1"/>
  <c r="AH42" i="14"/>
  <c r="AG42" i="14" s="1"/>
  <c r="AH43" i="14"/>
  <c r="AG43" i="14" s="1"/>
  <c r="AH44" i="14"/>
  <c r="AG44" i="14" s="1"/>
  <c r="AH45" i="14"/>
  <c r="AG45" i="14" s="1"/>
  <c r="AH46" i="14"/>
  <c r="AG46" i="14" s="1"/>
  <c r="AH47" i="14"/>
  <c r="AG47" i="14" s="1"/>
  <c r="AH48" i="14"/>
  <c r="AG48" i="14" s="1"/>
  <c r="AH49" i="14"/>
  <c r="AG49" i="14" s="1"/>
  <c r="AH50" i="14"/>
  <c r="AG50" i="14" s="1"/>
  <c r="B52" i="14"/>
  <c r="B53" i="14" s="1"/>
  <c r="C52" i="14"/>
  <c r="C53" i="14" s="1"/>
  <c r="D52" i="14"/>
  <c r="D53" i="14" s="1"/>
  <c r="E52" i="14"/>
  <c r="E53" i="14" s="1"/>
  <c r="F52" i="14"/>
  <c r="F53" i="14" s="1"/>
  <c r="AA64" i="14" s="1"/>
  <c r="G52" i="14"/>
  <c r="G53" i="14" s="1"/>
  <c r="AA65" i="14" s="1"/>
  <c r="H52" i="14"/>
  <c r="H53" i="14" s="1"/>
  <c r="I52" i="14"/>
  <c r="I53" i="14" s="1"/>
  <c r="AC67" i="14" s="1"/>
  <c r="J52" i="14"/>
  <c r="J53" i="14" s="1"/>
  <c r="K52" i="14"/>
  <c r="K53" i="14" s="1"/>
  <c r="AC62" i="14" s="1"/>
  <c r="L52" i="14"/>
  <c r="L53" i="14" s="1"/>
  <c r="AC64" i="14" s="1"/>
  <c r="M52" i="14"/>
  <c r="M53" i="14" s="1"/>
  <c r="AC65" i="14" s="1"/>
  <c r="N52" i="14"/>
  <c r="N53" i="14" s="1"/>
  <c r="AC66" i="14" s="1"/>
  <c r="O52" i="14"/>
  <c r="O53" i="14" s="1"/>
  <c r="P52" i="14"/>
  <c r="P53" i="14" s="1"/>
  <c r="AE67" i="14" s="1"/>
  <c r="Q52" i="14"/>
  <c r="Q53" i="14" s="1"/>
  <c r="AE68" i="14" s="1"/>
  <c r="R52" i="14"/>
  <c r="R53" i="14" s="1"/>
  <c r="S52" i="14"/>
  <c r="S53" i="14" s="1"/>
  <c r="T52" i="14"/>
  <c r="T53" i="14" s="1"/>
  <c r="U52" i="14"/>
  <c r="U53" i="14" s="1"/>
  <c r="V52" i="14"/>
  <c r="V53" i="14" s="1"/>
  <c r="W52" i="14"/>
  <c r="W53" i="14" s="1"/>
  <c r="AE62" i="14" s="1"/>
  <c r="X52" i="14"/>
  <c r="X53" i="14" s="1"/>
  <c r="Y52" i="14"/>
  <c r="Y53" i="14" s="1"/>
  <c r="Z52" i="14"/>
  <c r="Z53" i="14" s="1"/>
  <c r="AA52" i="14"/>
  <c r="AA53" i="14" s="1"/>
  <c r="AE64" i="14" s="1"/>
  <c r="AB52" i="14"/>
  <c r="AB53" i="14" s="1"/>
  <c r="AC52" i="14"/>
  <c r="AC53" i="14" s="1"/>
  <c r="AE65" i="14" s="1"/>
  <c r="AD52" i="14"/>
  <c r="AD53" i="14" s="1"/>
  <c r="AE52" i="14"/>
  <c r="AE53" i="14" s="1"/>
  <c r="AE66" i="14" s="1"/>
  <c r="AF52" i="14"/>
  <c r="AF53" i="14" s="1"/>
  <c r="K3" i="42"/>
  <c r="K4" i="42"/>
  <c r="K5" i="42"/>
  <c r="K36" i="42"/>
  <c r="K38" i="42"/>
  <c r="K39" i="42"/>
  <c r="E40" i="42"/>
  <c r="G40" i="42"/>
  <c r="K45" i="42"/>
  <c r="K46" i="42"/>
  <c r="K47" i="42"/>
  <c r="K48" i="42"/>
  <c r="E49" i="42"/>
  <c r="G49" i="42"/>
  <c r="E168" i="42"/>
  <c r="G168" i="42"/>
  <c r="E206" i="42"/>
  <c r="G206" i="42"/>
  <c r="K212" i="42"/>
  <c r="K213" i="42"/>
  <c r="K214" i="42"/>
  <c r="E215" i="42"/>
  <c r="G215" i="42"/>
  <c r="E21" i="41"/>
  <c r="C8" i="52" s="1"/>
  <c r="E81" i="41"/>
  <c r="R3" i="26"/>
  <c r="R4" i="26"/>
  <c r="R5" i="26"/>
  <c r="R6" i="26"/>
  <c r="R7" i="26"/>
  <c r="R8" i="26"/>
  <c r="G9" i="26"/>
  <c r="L9" i="26"/>
  <c r="R12" i="26"/>
  <c r="R13" i="26"/>
  <c r="R14" i="26"/>
  <c r="R15" i="26"/>
  <c r="R16" i="26"/>
  <c r="R17" i="26"/>
  <c r="G18" i="26"/>
  <c r="L18" i="26"/>
  <c r="R21" i="26"/>
  <c r="M22" i="26"/>
  <c r="R22" i="26"/>
  <c r="R23" i="26"/>
  <c r="R24" i="26"/>
  <c r="R25" i="26"/>
  <c r="H26" i="26"/>
  <c r="R26" i="26"/>
  <c r="G27" i="26"/>
  <c r="L27" i="26"/>
  <c r="R30" i="26"/>
  <c r="R31" i="26"/>
  <c r="R32" i="26"/>
  <c r="R33" i="26"/>
  <c r="R34" i="26"/>
  <c r="R35" i="26"/>
  <c r="G36" i="26"/>
  <c r="L36" i="26"/>
  <c r="G3" i="27"/>
  <c r="B2" i="35" s="1"/>
  <c r="G4" i="27"/>
  <c r="G5" i="27"/>
  <c r="L5" i="27" s="1"/>
  <c r="G6" i="27"/>
  <c r="L6" i="27" s="1"/>
  <c r="G7" i="27"/>
  <c r="L7" i="27" s="1"/>
  <c r="G8" i="27"/>
  <c r="L8" i="27" s="1"/>
  <c r="G12" i="27"/>
  <c r="L12" i="27" s="1"/>
  <c r="G13" i="27"/>
  <c r="L13" i="27" s="1"/>
  <c r="G14" i="27"/>
  <c r="L14" i="27" s="1"/>
  <c r="G15" i="27"/>
  <c r="L15" i="27" s="1"/>
  <c r="G16" i="27"/>
  <c r="L16" i="27" s="1"/>
  <c r="G17" i="27"/>
  <c r="L17" i="27" s="1"/>
  <c r="G21" i="27"/>
  <c r="G22" i="27"/>
  <c r="L22" i="27" s="1"/>
  <c r="H22" i="27"/>
  <c r="G26" i="27"/>
  <c r="L26" i="27" s="1"/>
  <c r="Q26" i="27"/>
  <c r="G27" i="27"/>
  <c r="L27" i="27" s="1"/>
  <c r="Q27" i="27"/>
  <c r="G28" i="27"/>
  <c r="L28" i="27" s="1"/>
  <c r="Q28" i="27"/>
  <c r="G29" i="27"/>
  <c r="Q29" i="27"/>
  <c r="G30" i="27"/>
  <c r="L30" i="27" s="1"/>
  <c r="Q30" i="27"/>
  <c r="G31" i="27"/>
  <c r="L31" i="27" s="1"/>
  <c r="Q31" i="27"/>
  <c r="K3" i="25"/>
  <c r="K4" i="25"/>
  <c r="K5" i="25"/>
  <c r="K6" i="25"/>
  <c r="K7" i="25"/>
  <c r="E8" i="25"/>
  <c r="G8" i="25"/>
  <c r="K11" i="25"/>
  <c r="K12" i="25"/>
  <c r="K13" i="25"/>
  <c r="K14" i="25"/>
  <c r="K15" i="25"/>
  <c r="K16" i="25"/>
  <c r="E17" i="25"/>
  <c r="G17" i="25"/>
  <c r="E349" i="25"/>
  <c r="K352" i="25"/>
  <c r="K353" i="25"/>
  <c r="K354" i="25"/>
  <c r="K355" i="25"/>
  <c r="K356" i="25"/>
  <c r="K357" i="25"/>
  <c r="E358" i="25"/>
  <c r="G358" i="25"/>
  <c r="K361" i="25"/>
  <c r="K362" i="25"/>
  <c r="K363" i="25"/>
  <c r="K364" i="25"/>
  <c r="K365" i="25"/>
  <c r="K366" i="25"/>
  <c r="E367" i="25"/>
  <c r="G367" i="25"/>
  <c r="E13" i="24"/>
  <c r="C20" i="52" s="1"/>
  <c r="G13" i="24"/>
  <c r="K13" i="24"/>
  <c r="F20" i="52" s="1"/>
  <c r="F41" i="17" s="1"/>
  <c r="L16" i="24"/>
  <c r="K16" i="24" s="1"/>
  <c r="K33" i="24" s="1"/>
  <c r="F22" i="13" s="1"/>
  <c r="E33" i="24"/>
  <c r="C22" i="13" s="1"/>
  <c r="F23" i="51" s="1"/>
  <c r="G33" i="24"/>
  <c r="E36" i="24"/>
  <c r="G36" i="24" s="1"/>
  <c r="E37" i="24"/>
  <c r="G37" i="24" s="1"/>
  <c r="E38" i="24"/>
  <c r="G38" i="24" s="1"/>
  <c r="E39" i="24"/>
  <c r="G39" i="24" s="1"/>
  <c r="E40" i="24"/>
  <c r="G40" i="24" s="1"/>
  <c r="E41" i="24"/>
  <c r="G41" i="24" s="1"/>
  <c r="E61" i="24"/>
  <c r="C23" i="13" s="1"/>
  <c r="C23" i="51" s="1"/>
  <c r="E68" i="24"/>
  <c r="E69" i="24"/>
  <c r="G9" i="19"/>
  <c r="K3" i="19"/>
  <c r="K4" i="19"/>
  <c r="K5" i="19"/>
  <c r="K6" i="19"/>
  <c r="K7" i="19"/>
  <c r="K8" i="19"/>
  <c r="E9" i="19"/>
  <c r="K12" i="19"/>
  <c r="K13" i="19"/>
  <c r="K14" i="19"/>
  <c r="K15" i="19"/>
  <c r="K16" i="19"/>
  <c r="K17" i="19"/>
  <c r="E18" i="19"/>
  <c r="G18" i="19"/>
  <c r="E132" i="19"/>
  <c r="G132" i="19"/>
  <c r="K135" i="19"/>
  <c r="K136" i="19"/>
  <c r="K139" i="19"/>
  <c r="K140" i="19"/>
  <c r="K141" i="19"/>
  <c r="K142" i="19"/>
  <c r="K143" i="19"/>
  <c r="E144" i="19"/>
  <c r="G144" i="19"/>
  <c r="K147" i="19"/>
  <c r="K148" i="19"/>
  <c r="K149" i="19"/>
  <c r="K150" i="19"/>
  <c r="K151" i="19"/>
  <c r="K153" i="19"/>
  <c r="E154" i="19"/>
  <c r="G154" i="19"/>
  <c r="G20" i="1"/>
  <c r="E30" i="1"/>
  <c r="G30" i="1" s="1"/>
  <c r="E31" i="1"/>
  <c r="G31" i="1" s="1"/>
  <c r="E32" i="1"/>
  <c r="G32" i="1" s="1"/>
  <c r="E33" i="1"/>
  <c r="E34" i="1"/>
  <c r="G34" i="1" s="1"/>
  <c r="E35" i="1"/>
  <c r="G35" i="1" s="1"/>
  <c r="E46" i="1"/>
  <c r="C11" i="13" s="1"/>
  <c r="J49" i="1"/>
  <c r="K49" i="1" s="1"/>
  <c r="J50" i="1"/>
  <c r="J51" i="1"/>
  <c r="J52" i="1"/>
  <c r="J53" i="1"/>
  <c r="J54" i="1"/>
  <c r="E50" i="1"/>
  <c r="G50" i="1" s="1"/>
  <c r="E51" i="1"/>
  <c r="G51" i="1" s="1"/>
  <c r="E52" i="1"/>
  <c r="G52" i="1" s="1"/>
  <c r="E53" i="1"/>
  <c r="G53" i="1" s="1"/>
  <c r="E54" i="1"/>
  <c r="G54" i="1" s="1"/>
  <c r="K3" i="43"/>
  <c r="K4" i="43"/>
  <c r="K7" i="43"/>
  <c r="K8" i="43"/>
  <c r="K9" i="43"/>
  <c r="K10" i="43"/>
  <c r="E11" i="43"/>
  <c r="G11" i="43"/>
  <c r="K23" i="43"/>
  <c r="K24" i="43"/>
  <c r="K25" i="43"/>
  <c r="K26" i="43"/>
  <c r="K27" i="43"/>
  <c r="K28" i="43"/>
  <c r="E29" i="43"/>
  <c r="G29" i="43"/>
  <c r="E485" i="43"/>
  <c r="G485" i="43"/>
  <c r="K488" i="43"/>
  <c r="G494" i="43"/>
  <c r="K489" i="43"/>
  <c r="K490" i="43"/>
  <c r="K491" i="43"/>
  <c r="K492" i="43"/>
  <c r="K493" i="43"/>
  <c r="E494" i="43"/>
  <c r="K497" i="43"/>
  <c r="K498" i="43"/>
  <c r="K499" i="43"/>
  <c r="K500" i="43"/>
  <c r="K501" i="43"/>
  <c r="E502" i="43"/>
  <c r="G502" i="43"/>
  <c r="E12" i="44"/>
  <c r="C12" i="52" s="1"/>
  <c r="E17" i="44"/>
  <c r="G17" i="44" s="1"/>
  <c r="E18" i="44"/>
  <c r="G18" i="44" s="1"/>
  <c r="E19" i="44"/>
  <c r="G19" i="44" s="1"/>
  <c r="E20" i="44"/>
  <c r="G20" i="44" s="1"/>
  <c r="E24" i="44"/>
  <c r="G24" i="44" s="1"/>
  <c r="E25" i="44"/>
  <c r="G25" i="44" s="1"/>
  <c r="E26" i="44"/>
  <c r="G26" i="44" s="1"/>
  <c r="E27" i="44"/>
  <c r="G27" i="44" s="1"/>
  <c r="E28" i="44"/>
  <c r="G28" i="44" s="1"/>
  <c r="E29" i="44"/>
  <c r="G29" i="44" s="1"/>
  <c r="E92" i="44"/>
  <c r="E93" i="44"/>
  <c r="G93" i="44" s="1"/>
  <c r="E94" i="44"/>
  <c r="G94" i="44" s="1"/>
  <c r="E95" i="44"/>
  <c r="E96" i="44"/>
  <c r="G96" i="44" s="1"/>
  <c r="K3" i="47"/>
  <c r="K4" i="47"/>
  <c r="K5" i="47"/>
  <c r="K6" i="47"/>
  <c r="K7" i="47"/>
  <c r="K8" i="47"/>
  <c r="E9" i="47"/>
  <c r="G9" i="47"/>
  <c r="K12" i="47"/>
  <c r="K13" i="47"/>
  <c r="K14" i="47"/>
  <c r="K15" i="47"/>
  <c r="K16" i="47"/>
  <c r="K17" i="47"/>
  <c r="E18" i="47"/>
  <c r="G18" i="47"/>
  <c r="E328" i="47"/>
  <c r="G328" i="47"/>
  <c r="K335" i="47"/>
  <c r="K336" i="47"/>
  <c r="E337" i="47"/>
  <c r="G337" i="47"/>
  <c r="K342" i="47"/>
  <c r="K343" i="47"/>
  <c r="K344" i="47"/>
  <c r="K345" i="47"/>
  <c r="E352" i="47"/>
  <c r="G352" i="47"/>
  <c r="E13" i="48"/>
  <c r="C14" i="52" s="1"/>
  <c r="E16" i="48"/>
  <c r="G16" i="48" s="1"/>
  <c r="E17" i="48"/>
  <c r="G17" i="48" s="1"/>
  <c r="E18" i="48"/>
  <c r="G18" i="48" s="1"/>
  <c r="E19" i="48"/>
  <c r="G19" i="48" s="1"/>
  <c r="E20" i="48"/>
  <c r="G20" i="48" s="1"/>
  <c r="E21" i="48"/>
  <c r="G21" i="48" s="1"/>
  <c r="E25" i="48"/>
  <c r="G25" i="48" s="1"/>
  <c r="E26" i="48"/>
  <c r="G26" i="48" s="1"/>
  <c r="E27" i="48"/>
  <c r="G27" i="48" s="1"/>
  <c r="E28" i="48"/>
  <c r="G28" i="48" s="1"/>
  <c r="E29" i="48"/>
  <c r="G29" i="48" s="1"/>
  <c r="E30" i="48"/>
  <c r="G30" i="48" s="1"/>
  <c r="E46" i="48"/>
  <c r="J49" i="48"/>
  <c r="K49" i="48" s="1"/>
  <c r="K12" i="49"/>
  <c r="K13" i="49"/>
  <c r="K14" i="49"/>
  <c r="K15" i="49"/>
  <c r="K16" i="49"/>
  <c r="K17" i="49"/>
  <c r="K18" i="49"/>
  <c r="K19" i="49"/>
  <c r="K20" i="49"/>
  <c r="E21" i="49"/>
  <c r="G21" i="49"/>
  <c r="K24" i="49"/>
  <c r="K25" i="49"/>
  <c r="K26" i="49"/>
  <c r="K27" i="49"/>
  <c r="K28" i="49"/>
  <c r="K29" i="49"/>
  <c r="E30" i="49"/>
  <c r="G30" i="49"/>
  <c r="E429" i="49"/>
  <c r="G429" i="49"/>
  <c r="K432" i="49"/>
  <c r="K433" i="49"/>
  <c r="K434" i="49"/>
  <c r="K435" i="49"/>
  <c r="K436" i="49"/>
  <c r="K437" i="49"/>
  <c r="K438" i="49"/>
  <c r="K439" i="49"/>
  <c r="K440" i="49"/>
  <c r="K441" i="49"/>
  <c r="E442" i="49"/>
  <c r="G442" i="49"/>
  <c r="M22" i="50"/>
  <c r="E27" i="50"/>
  <c r="C18" i="13" s="1"/>
  <c r="F21" i="51" s="1"/>
  <c r="E30" i="50"/>
  <c r="E31" i="50"/>
  <c r="G31" i="50" s="1"/>
  <c r="E32" i="50"/>
  <c r="G32" i="50" s="1"/>
  <c r="E33" i="50"/>
  <c r="G33" i="50" s="1"/>
  <c r="E34" i="50"/>
  <c r="G34" i="50" s="1"/>
  <c r="E35" i="50"/>
  <c r="G35" i="50" s="1"/>
  <c r="E62" i="50"/>
  <c r="C19" i="13" s="1"/>
  <c r="C21" i="51" s="1"/>
  <c r="E71" i="50"/>
  <c r="A72" i="50"/>
  <c r="J72" i="50" s="1"/>
  <c r="E72" i="50"/>
  <c r="E73" i="50"/>
  <c r="A74" i="50"/>
  <c r="J74" i="50" s="1"/>
  <c r="E74" i="50"/>
  <c r="E75" i="50"/>
  <c r="G3" i="31"/>
  <c r="G4" i="31"/>
  <c r="K4" i="31"/>
  <c r="G5" i="31"/>
  <c r="K5" i="31"/>
  <c r="G6" i="31"/>
  <c r="K6" i="31"/>
  <c r="G7" i="31"/>
  <c r="K7" i="31"/>
  <c r="G8" i="31"/>
  <c r="K8" i="31"/>
  <c r="K9" i="31"/>
  <c r="E10" i="31"/>
  <c r="K13" i="31"/>
  <c r="K14" i="31"/>
  <c r="K15" i="31"/>
  <c r="K16" i="31"/>
  <c r="K17" i="31"/>
  <c r="K18" i="31"/>
  <c r="E19" i="31"/>
  <c r="G19" i="31"/>
  <c r="K1420" i="31"/>
  <c r="K1421" i="31"/>
  <c r="K1422" i="31"/>
  <c r="K1423" i="31"/>
  <c r="K1424" i="31"/>
  <c r="K1425" i="31"/>
  <c r="E1426" i="31"/>
  <c r="G1426" i="31"/>
  <c r="K1429" i="31"/>
  <c r="K1430" i="31"/>
  <c r="K1431" i="31"/>
  <c r="K1432" i="31"/>
  <c r="K1433" i="31"/>
  <c r="E1434" i="31"/>
  <c r="G1434" i="31"/>
  <c r="E12" i="30"/>
  <c r="C4" i="52" s="1"/>
  <c r="G12" i="30"/>
  <c r="D4" i="52" s="1"/>
  <c r="D33" i="17" s="1"/>
  <c r="C33" i="17" s="1"/>
  <c r="K12" i="30"/>
  <c r="F4" i="52" s="1"/>
  <c r="J4" i="52" s="1"/>
  <c r="G16" i="30"/>
  <c r="G23" i="30" s="1"/>
  <c r="D6" i="13" s="1"/>
  <c r="L17" i="30"/>
  <c r="L18" i="30"/>
  <c r="K18" i="30" s="1"/>
  <c r="L20" i="30"/>
  <c r="K20" i="30" s="1"/>
  <c r="L21" i="30"/>
  <c r="K21" i="30" s="1"/>
  <c r="E23" i="30"/>
  <c r="C6" i="13" s="1"/>
  <c r="E27" i="30"/>
  <c r="G27" i="30" s="1"/>
  <c r="E28" i="30"/>
  <c r="G28" i="30" s="1"/>
  <c r="E29" i="30"/>
  <c r="G29" i="30" s="1"/>
  <c r="E30" i="30"/>
  <c r="G30" i="30" s="1"/>
  <c r="E31" i="30"/>
  <c r="G31" i="30" s="1"/>
  <c r="J61" i="30"/>
  <c r="J62" i="30"/>
  <c r="J63" i="30"/>
  <c r="J64" i="30"/>
  <c r="E65" i="30"/>
  <c r="G65" i="30" s="1"/>
  <c r="J65" i="30"/>
  <c r="E66" i="30"/>
  <c r="G66" i="30" s="1"/>
  <c r="J66" i="30"/>
  <c r="D1" i="35"/>
  <c r="E1" i="35"/>
  <c r="G10" i="52" s="1"/>
  <c r="F1" i="35"/>
  <c r="G18" i="52" s="1"/>
  <c r="J18" i="52" s="1"/>
  <c r="G1" i="35"/>
  <c r="G14" i="13" s="1"/>
  <c r="G17" i="17" s="1"/>
  <c r="H1" i="35"/>
  <c r="G16" i="13" s="1"/>
  <c r="G20" i="17" s="1"/>
  <c r="J1" i="35"/>
  <c r="G22" i="13" s="1"/>
  <c r="G26" i="17" s="1"/>
  <c r="C2" i="35"/>
  <c r="A3" i="35"/>
  <c r="S3" i="35"/>
  <c r="M4" i="35"/>
  <c r="S4" i="35"/>
  <c r="B6" i="35"/>
  <c r="B1" i="35" s="1"/>
  <c r="G4" i="13" s="1"/>
  <c r="G4" i="17" s="1"/>
  <c r="C6" i="35"/>
  <c r="C1" i="35" s="1"/>
  <c r="I6" i="35"/>
  <c r="I1" i="35" s="1"/>
  <c r="G18" i="13" s="1"/>
  <c r="G22" i="17" s="1"/>
  <c r="D13" i="51"/>
  <c r="E13" i="51"/>
  <c r="G13" i="51"/>
  <c r="F2" i="21"/>
  <c r="K15" i="30"/>
  <c r="F18" i="21"/>
  <c r="K16" i="30"/>
  <c r="F4" i="21"/>
  <c r="F5" i="21"/>
  <c r="J74" i="44" s="1"/>
  <c r="Q15" i="27"/>
  <c r="F7" i="21"/>
  <c r="J48" i="50" s="1"/>
  <c r="F8" i="21"/>
  <c r="F9" i="21"/>
  <c r="J52" i="30" s="1"/>
  <c r="K52" i="30" s="1"/>
  <c r="J39" i="24"/>
  <c r="F10" i="21"/>
  <c r="F13" i="21"/>
  <c r="F14" i="21"/>
  <c r="F15" i="21"/>
  <c r="F19" i="21"/>
  <c r="F20" i="21"/>
  <c r="J1" i="52"/>
  <c r="D20" i="52"/>
  <c r="D41" i="17" s="1"/>
  <c r="C41" i="17" s="1"/>
  <c r="I1" i="22"/>
  <c r="J1" i="13"/>
  <c r="D22" i="13"/>
  <c r="J1" i="17"/>
  <c r="N26" i="17"/>
  <c r="Q26" i="17"/>
  <c r="R26" i="17"/>
  <c r="S26" i="17"/>
  <c r="T26" i="17"/>
  <c r="U26" i="17"/>
  <c r="V26" i="17"/>
  <c r="W26" i="17"/>
  <c r="X26" i="17"/>
  <c r="Y26" i="17"/>
  <c r="Z26" i="17"/>
  <c r="AA26" i="17"/>
  <c r="AB26" i="17"/>
  <c r="AC26" i="17"/>
  <c r="G42" i="17"/>
  <c r="J31" i="1"/>
  <c r="J28" i="30"/>
  <c r="J33" i="1"/>
  <c r="J27" i="48"/>
  <c r="J25" i="48"/>
  <c r="J26" i="48"/>
  <c r="J28" i="48"/>
  <c r="J29" i="48"/>
  <c r="J30" i="48"/>
  <c r="J20" i="48"/>
  <c r="C15" i="13"/>
  <c r="C19" i="51" s="1"/>
  <c r="Q12" i="27"/>
  <c r="Q13" i="27"/>
  <c r="Q14" i="27"/>
  <c r="Q16" i="27"/>
  <c r="Q17" i="27"/>
  <c r="J30" i="50"/>
  <c r="J31" i="50"/>
  <c r="J32" i="50"/>
  <c r="J33" i="50"/>
  <c r="J34" i="50"/>
  <c r="J35" i="50"/>
  <c r="J29" i="30"/>
  <c r="Q8" i="27"/>
  <c r="J17" i="48"/>
  <c r="J19" i="48"/>
  <c r="J21" i="48"/>
  <c r="J36" i="24"/>
  <c r="J37" i="24"/>
  <c r="J38" i="24"/>
  <c r="J40" i="24"/>
  <c r="J41" i="24"/>
  <c r="J30" i="1"/>
  <c r="J32" i="1"/>
  <c r="J34" i="1"/>
  <c r="J35" i="1"/>
  <c r="J16" i="48"/>
  <c r="J18" i="48"/>
  <c r="E56" i="41"/>
  <c r="C8" i="13" s="1"/>
  <c r="E65" i="41"/>
  <c r="C8" i="22" s="1"/>
  <c r="Q3" i="27"/>
  <c r="Q4" i="27"/>
  <c r="Q5" i="27"/>
  <c r="Q6" i="27"/>
  <c r="Q7" i="27"/>
  <c r="J31" i="30"/>
  <c r="J27" i="30"/>
  <c r="J26" i="30"/>
  <c r="J30" i="30"/>
  <c r="K79" i="41"/>
  <c r="K80" i="41"/>
  <c r="J51" i="30" l="1"/>
  <c r="K51" i="30" s="1"/>
  <c r="J81" i="44"/>
  <c r="K81" i="44" s="1"/>
  <c r="J82" i="44"/>
  <c r="J80" i="44"/>
  <c r="J44" i="30"/>
  <c r="J43" i="30"/>
  <c r="J49" i="24"/>
  <c r="K49" i="24" s="1"/>
  <c r="J51" i="24"/>
  <c r="K51" i="24" s="1"/>
  <c r="J53" i="24"/>
  <c r="K53" i="24" s="1"/>
  <c r="J50" i="24"/>
  <c r="K50" i="24" s="1"/>
  <c r="J52" i="24"/>
  <c r="K52" i="24" s="1"/>
  <c r="J38" i="30"/>
  <c r="K38" i="30" s="1"/>
  <c r="J39" i="30"/>
  <c r="K39" i="30" s="1"/>
  <c r="J36" i="30"/>
  <c r="K36" i="30" s="1"/>
  <c r="J37" i="30"/>
  <c r="K37" i="30" s="1"/>
  <c r="J70" i="41"/>
  <c r="K70" i="41" s="1"/>
  <c r="J69" i="41"/>
  <c r="K69" i="41" s="1"/>
  <c r="J71" i="41"/>
  <c r="K71" i="41" s="1"/>
  <c r="J72" i="41"/>
  <c r="K72" i="41" s="1"/>
  <c r="J45" i="30"/>
  <c r="K45" i="30" s="1"/>
  <c r="J46" i="30"/>
  <c r="K46" i="30" s="1"/>
  <c r="J47" i="30"/>
  <c r="J48" i="30"/>
  <c r="K48" i="30" s="1"/>
  <c r="J53" i="30"/>
  <c r="K53" i="30" s="1"/>
  <c r="J54" i="30"/>
  <c r="K54" i="30" s="1"/>
  <c r="J55" i="30"/>
  <c r="K55" i="30" s="1"/>
  <c r="J56" i="24"/>
  <c r="K56" i="24" s="1"/>
  <c r="J46" i="50"/>
  <c r="K46" i="50" s="1"/>
  <c r="J44" i="50"/>
  <c r="K44" i="50" s="1"/>
  <c r="J45" i="50"/>
  <c r="K45" i="50" s="1"/>
  <c r="J47" i="50"/>
  <c r="K47" i="50" s="1"/>
  <c r="J71" i="44"/>
  <c r="K71" i="44" s="1"/>
  <c r="J70" i="44"/>
  <c r="K70" i="44" s="1"/>
  <c r="J72" i="44"/>
  <c r="K72" i="44" s="1"/>
  <c r="J67" i="44"/>
  <c r="K67" i="44" s="1"/>
  <c r="J69" i="44"/>
  <c r="K69" i="44" s="1"/>
  <c r="J52" i="44"/>
  <c r="K52" i="44" s="1"/>
  <c r="J51" i="44"/>
  <c r="K51" i="44" s="1"/>
  <c r="J64" i="44"/>
  <c r="K64" i="44" s="1"/>
  <c r="J66" i="44"/>
  <c r="K66" i="44" s="1"/>
  <c r="J50" i="44"/>
  <c r="K50" i="44" s="1"/>
  <c r="J65" i="44"/>
  <c r="K65" i="44" s="1"/>
  <c r="J49" i="44"/>
  <c r="K49" i="44" s="1"/>
  <c r="J63" i="44"/>
  <c r="K63" i="44" s="1"/>
  <c r="J47" i="44"/>
  <c r="K47" i="44" s="1"/>
  <c r="J62" i="44"/>
  <c r="K62" i="44" s="1"/>
  <c r="J46" i="44"/>
  <c r="K46" i="44" s="1"/>
  <c r="J61" i="44"/>
  <c r="K61" i="44" s="1"/>
  <c r="J45" i="44"/>
  <c r="K45" i="44" s="1"/>
  <c r="J60" i="44"/>
  <c r="K60" i="44" s="1"/>
  <c r="J44" i="44"/>
  <c r="K44" i="44" s="1"/>
  <c r="J59" i="44"/>
  <c r="K59" i="44" s="1"/>
  <c r="J43" i="44"/>
  <c r="K43" i="44" s="1"/>
  <c r="J58" i="44"/>
  <c r="K58" i="44" s="1"/>
  <c r="J48" i="44"/>
  <c r="K48" i="44" s="1"/>
  <c r="J57" i="44"/>
  <c r="K57" i="44" s="1"/>
  <c r="J56" i="44"/>
  <c r="K56" i="44" s="1"/>
  <c r="J55" i="44"/>
  <c r="K55" i="44" s="1"/>
  <c r="J53" i="44"/>
  <c r="K53" i="44" s="1"/>
  <c r="J54" i="44"/>
  <c r="K54" i="44" s="1"/>
  <c r="J54" i="24"/>
  <c r="K54" i="24" s="1"/>
  <c r="J42" i="30"/>
  <c r="K42" i="30" s="1"/>
  <c r="J38" i="44"/>
  <c r="K38" i="44" s="1"/>
  <c r="J68" i="44"/>
  <c r="K68" i="44" s="1"/>
  <c r="J48" i="24"/>
  <c r="K48" i="24" s="1"/>
  <c r="J37" i="44"/>
  <c r="K37" i="44" s="1"/>
  <c r="J62" i="55"/>
  <c r="K62" i="55" s="1"/>
  <c r="J63" i="55"/>
  <c r="K63" i="55" s="1"/>
  <c r="J42" i="44"/>
  <c r="K42" i="44" s="1"/>
  <c r="J40" i="44"/>
  <c r="K40" i="44" s="1"/>
  <c r="J41" i="44"/>
  <c r="K41" i="44" s="1"/>
  <c r="J39" i="44"/>
  <c r="K39" i="44" s="1"/>
  <c r="J73" i="44"/>
  <c r="K73" i="44" s="1"/>
  <c r="J75" i="44"/>
  <c r="K75" i="44" s="1"/>
  <c r="J76" i="44"/>
  <c r="K76" i="44" s="1"/>
  <c r="J77" i="44"/>
  <c r="K77" i="44" s="1"/>
  <c r="J78" i="44"/>
  <c r="K78" i="44" s="1"/>
  <c r="J79" i="44"/>
  <c r="K79" i="44" s="1"/>
  <c r="J61" i="55"/>
  <c r="K61" i="55" s="1"/>
  <c r="J60" i="55"/>
  <c r="K60" i="55" s="1"/>
  <c r="J33" i="44"/>
  <c r="K33" i="44" s="1"/>
  <c r="J35" i="44"/>
  <c r="K35" i="44" s="1"/>
  <c r="J34" i="44"/>
  <c r="K34" i="44" s="1"/>
  <c r="J36" i="44"/>
  <c r="K36" i="44" s="1"/>
  <c r="G94" i="53"/>
  <c r="D12" i="13" s="1"/>
  <c r="K1417" i="31"/>
  <c r="E7" i="13" s="1"/>
  <c r="J46" i="24"/>
  <c r="K46" i="24" s="1"/>
  <c r="J43" i="50"/>
  <c r="K43" i="50" s="1"/>
  <c r="J39" i="50"/>
  <c r="K39" i="50" s="1"/>
  <c r="J45" i="24"/>
  <c r="K45" i="24" s="1"/>
  <c r="J40" i="50"/>
  <c r="K40" i="50" s="1"/>
  <c r="J40" i="30"/>
  <c r="K40" i="30" s="1"/>
  <c r="J41" i="30"/>
  <c r="K41" i="30" s="1"/>
  <c r="J47" i="24"/>
  <c r="K47" i="24" s="1"/>
  <c r="J42" i="50"/>
  <c r="K42" i="50" s="1"/>
  <c r="J41" i="50"/>
  <c r="K41" i="50" s="1"/>
  <c r="J49" i="30"/>
  <c r="K49" i="30" s="1"/>
  <c r="J50" i="30"/>
  <c r="K50" i="30" s="1"/>
  <c r="K55" i="24"/>
  <c r="F33" i="17"/>
  <c r="J114" i="53"/>
  <c r="K114" i="53" s="1"/>
  <c r="J113" i="53"/>
  <c r="K113" i="53" s="1"/>
  <c r="K47" i="30"/>
  <c r="K54" i="50"/>
  <c r="K53" i="50"/>
  <c r="K55" i="50"/>
  <c r="K57" i="30"/>
  <c r="K56" i="50"/>
  <c r="K50" i="50"/>
  <c r="K49" i="50"/>
  <c r="K48" i="50"/>
  <c r="K44" i="30"/>
  <c r="J110" i="53"/>
  <c r="K110" i="53" s="1"/>
  <c r="K43" i="30"/>
  <c r="J107" i="53"/>
  <c r="K107" i="53" s="1"/>
  <c r="J108" i="53"/>
  <c r="K108" i="53" s="1"/>
  <c r="J109" i="53"/>
  <c r="K109" i="53" s="1"/>
  <c r="K60" i="24"/>
  <c r="J111" i="53"/>
  <c r="K111" i="53" s="1"/>
  <c r="K52" i="50"/>
  <c r="J112" i="53"/>
  <c r="K112" i="53" s="1"/>
  <c r="K51" i="50"/>
  <c r="J44" i="48"/>
  <c r="K44" i="48" s="1"/>
  <c r="J43" i="48"/>
  <c r="K43" i="48" s="1"/>
  <c r="K84" i="44"/>
  <c r="E15" i="13"/>
  <c r="L3" i="27"/>
  <c r="K74" i="44"/>
  <c r="R3" i="27"/>
  <c r="J36" i="48"/>
  <c r="K36" i="48" s="1"/>
  <c r="J43" i="1"/>
  <c r="K43" i="1" s="1"/>
  <c r="J42" i="1"/>
  <c r="K42" i="1" s="1"/>
  <c r="K80" i="44"/>
  <c r="K13" i="10"/>
  <c r="N13" i="10" s="1"/>
  <c r="K24" i="10"/>
  <c r="N24" i="10" s="1"/>
  <c r="R15" i="27"/>
  <c r="K25" i="10"/>
  <c r="N25" i="10" s="1"/>
  <c r="K18" i="10"/>
  <c r="K11" i="10"/>
  <c r="N11" i="10" s="1"/>
  <c r="K8" i="10"/>
  <c r="N8" i="10" s="1"/>
  <c r="N7" i="10"/>
  <c r="K26" i="10"/>
  <c r="N26" i="10" s="1"/>
  <c r="K27" i="10"/>
  <c r="N27" i="10" s="1"/>
  <c r="R13" i="27"/>
  <c r="K40" i="24"/>
  <c r="K34" i="50"/>
  <c r="K19" i="48"/>
  <c r="R12" i="27"/>
  <c r="K31" i="1"/>
  <c r="K20" i="48"/>
  <c r="K31" i="30"/>
  <c r="K26" i="30"/>
  <c r="R27" i="27"/>
  <c r="K28" i="30"/>
  <c r="K32" i="50"/>
  <c r="K30" i="30"/>
  <c r="G6" i="52"/>
  <c r="G8" i="52"/>
  <c r="K29" i="30"/>
  <c r="R30" i="27"/>
  <c r="K35" i="50"/>
  <c r="K29" i="48"/>
  <c r="K63" i="30"/>
  <c r="R31" i="27"/>
  <c r="K8" i="25"/>
  <c r="E22" i="13" s="1"/>
  <c r="J22" i="13" s="1"/>
  <c r="G14" i="52"/>
  <c r="K27" i="48"/>
  <c r="K18" i="19"/>
  <c r="E10" i="22" s="1"/>
  <c r="K144" i="19"/>
  <c r="E11" i="22" s="1"/>
  <c r="G32" i="27"/>
  <c r="C5" i="22" s="1"/>
  <c r="R17" i="27"/>
  <c r="K34" i="1"/>
  <c r="K1434" i="31"/>
  <c r="K25" i="48"/>
  <c r="K37" i="24"/>
  <c r="K64" i="30"/>
  <c r="R7" i="27"/>
  <c r="G8" i="13"/>
  <c r="G9" i="17" s="1"/>
  <c r="R36" i="26"/>
  <c r="E5" i="22" s="1"/>
  <c r="R28" i="27"/>
  <c r="E32" i="30"/>
  <c r="C6" i="22" s="1"/>
  <c r="K18" i="48"/>
  <c r="K16" i="48"/>
  <c r="K61" i="30"/>
  <c r="K9" i="54"/>
  <c r="E12" i="13" s="1"/>
  <c r="R8" i="27"/>
  <c r="K49" i="42"/>
  <c r="E8" i="22" s="1"/>
  <c r="A75" i="50"/>
  <c r="J75" i="50" s="1"/>
  <c r="K75" i="50" s="1"/>
  <c r="K30" i="49"/>
  <c r="E18" i="22" s="1"/>
  <c r="K27" i="30"/>
  <c r="R18" i="26"/>
  <c r="E4" i="22" s="1"/>
  <c r="K36" i="24"/>
  <c r="G10" i="31"/>
  <c r="R29" i="27"/>
  <c r="K122" i="53"/>
  <c r="L29" i="27"/>
  <c r="L32" i="27" s="1"/>
  <c r="D5" i="22" s="1"/>
  <c r="K74" i="50"/>
  <c r="K41" i="24"/>
  <c r="K72" i="50"/>
  <c r="K53" i="1"/>
  <c r="K9" i="19"/>
  <c r="E10" i="13" s="1"/>
  <c r="E9" i="22"/>
  <c r="K464" i="49"/>
  <c r="E16" i="52" s="1"/>
  <c r="E39" i="17" s="1"/>
  <c r="E22" i="17" s="1"/>
  <c r="G74" i="50"/>
  <c r="K38" i="24"/>
  <c r="G10" i="13"/>
  <c r="G11" i="17" s="1"/>
  <c r="K52" i="1"/>
  <c r="K236" i="42"/>
  <c r="E8" i="52" s="1"/>
  <c r="E36" i="17" s="1"/>
  <c r="G18" i="27"/>
  <c r="C4" i="22" s="1"/>
  <c r="K39" i="24"/>
  <c r="K51" i="1"/>
  <c r="K358" i="25"/>
  <c r="E23" i="22" s="1"/>
  <c r="R26" i="27"/>
  <c r="G9" i="27"/>
  <c r="C4" i="13" s="1"/>
  <c r="R27" i="26"/>
  <c r="E5" i="13" s="1"/>
  <c r="R9" i="26"/>
  <c r="E4" i="13" s="1"/>
  <c r="K20" i="43"/>
  <c r="E30" i="44"/>
  <c r="C14" i="22" s="1"/>
  <c r="E112" i="41"/>
  <c r="K352" i="47"/>
  <c r="E14" i="52" s="1"/>
  <c r="E38" i="17" s="1"/>
  <c r="E20" i="17" s="1"/>
  <c r="E97" i="44"/>
  <c r="C15" i="22" s="1"/>
  <c r="K502" i="43"/>
  <c r="E12" i="52" s="1"/>
  <c r="E37" i="17" s="1"/>
  <c r="K50" i="1"/>
  <c r="K32" i="1"/>
  <c r="E21" i="44"/>
  <c r="C14" i="13" s="1"/>
  <c r="E22" i="48"/>
  <c r="C16" i="13" s="1"/>
  <c r="AH52" i="14"/>
  <c r="AH53" i="14" s="1"/>
  <c r="K17" i="48"/>
  <c r="K21" i="49"/>
  <c r="E18" i="13" s="1"/>
  <c r="K18" i="47"/>
  <c r="E16" i="22" s="1"/>
  <c r="K30" i="1"/>
  <c r="E56" i="48"/>
  <c r="E42" i="24"/>
  <c r="C22" i="22" s="1"/>
  <c r="R16" i="27"/>
  <c r="G20" i="52"/>
  <c r="R14" i="27"/>
  <c r="K11" i="43"/>
  <c r="E14" i="13" s="1"/>
  <c r="G23" i="27"/>
  <c r="C5" i="13" s="1"/>
  <c r="K10" i="31"/>
  <c r="E6" i="13" s="1"/>
  <c r="K71" i="50"/>
  <c r="J39" i="1"/>
  <c r="K39" i="1" s="1"/>
  <c r="G72" i="50"/>
  <c r="G71" i="50"/>
  <c r="E36" i="50"/>
  <c r="C18" i="22" s="1"/>
  <c r="K215" i="42"/>
  <c r="K94" i="44"/>
  <c r="R6" i="27"/>
  <c r="K66" i="30"/>
  <c r="K19" i="31"/>
  <c r="E6" i="22" s="1"/>
  <c r="E76" i="50"/>
  <c r="C19" i="22" s="1"/>
  <c r="K93" i="44"/>
  <c r="K31" i="50"/>
  <c r="E70" i="24"/>
  <c r="C23" i="22" s="1"/>
  <c r="K30" i="50"/>
  <c r="G12" i="13"/>
  <c r="G14" i="17" s="1"/>
  <c r="K243" i="54"/>
  <c r="E13" i="22" s="1"/>
  <c r="K92" i="44"/>
  <c r="K65" i="24"/>
  <c r="K1426" i="31"/>
  <c r="E7" i="22" s="1"/>
  <c r="K65" i="30"/>
  <c r="K9" i="47"/>
  <c r="E16" i="13" s="1"/>
  <c r="E36" i="1"/>
  <c r="C10" i="22" s="1"/>
  <c r="K29" i="44"/>
  <c r="K18" i="54"/>
  <c r="E12" i="22" s="1"/>
  <c r="D23" i="13"/>
  <c r="E67" i="30"/>
  <c r="C7" i="22" s="1"/>
  <c r="G92" i="44"/>
  <c r="K95" i="44"/>
  <c r="K494" i="43"/>
  <c r="E15" i="22" s="1"/>
  <c r="E27" i="1"/>
  <c r="C10" i="13" s="1"/>
  <c r="K29" i="43"/>
  <c r="E14" i="22" s="1"/>
  <c r="K367" i="25"/>
  <c r="E20" i="52" s="1"/>
  <c r="K17" i="25"/>
  <c r="E22" i="22" s="1"/>
  <c r="E124" i="53"/>
  <c r="C13" i="22" s="1"/>
  <c r="K274" i="54"/>
  <c r="E10" i="52" s="1"/>
  <c r="E35" i="17" s="1"/>
  <c r="K121" i="53"/>
  <c r="K154" i="19"/>
  <c r="E6" i="52" s="1"/>
  <c r="E34" i="17" s="1"/>
  <c r="E11" i="17" s="1"/>
  <c r="K26" i="48"/>
  <c r="K120" i="53"/>
  <c r="K62" i="30"/>
  <c r="K119" i="53"/>
  <c r="K21" i="48"/>
  <c r="K33" i="50"/>
  <c r="K442" i="49"/>
  <c r="E19" i="22" s="1"/>
  <c r="K337" i="47"/>
  <c r="E17" i="22" s="1"/>
  <c r="G95" i="44"/>
  <c r="K40" i="42"/>
  <c r="E8" i="13" s="1"/>
  <c r="K59" i="24"/>
  <c r="K57" i="24"/>
  <c r="J78" i="41"/>
  <c r="K78" i="41" s="1"/>
  <c r="K168" i="42"/>
  <c r="K132" i="19"/>
  <c r="E11" i="13" s="1"/>
  <c r="E23" i="13"/>
  <c r="K231" i="54"/>
  <c r="E13" i="13" s="1"/>
  <c r="J34" i="48"/>
  <c r="K34" i="48" s="1"/>
  <c r="K328" i="47"/>
  <c r="E17" i="13" s="1"/>
  <c r="G46" i="48"/>
  <c r="D17" i="13" s="1"/>
  <c r="G81" i="41"/>
  <c r="G112" i="41"/>
  <c r="D17" i="22" s="1"/>
  <c r="D21" i="17" s="1"/>
  <c r="H17" i="51" s="1"/>
  <c r="G15" i="50"/>
  <c r="D16" i="52" s="1"/>
  <c r="D39" i="17" s="1"/>
  <c r="C39" i="17" s="1"/>
  <c r="C7" i="13"/>
  <c r="C16" i="51" s="1"/>
  <c r="K123" i="53"/>
  <c r="G27" i="50"/>
  <c r="D18" i="13" s="1"/>
  <c r="Q22" i="27"/>
  <c r="R22" i="27" s="1"/>
  <c r="G13" i="48"/>
  <c r="D14" i="52" s="1"/>
  <c r="D38" i="17" s="1"/>
  <c r="C38" i="17" s="1"/>
  <c r="G17" i="1"/>
  <c r="D6" i="52" s="1"/>
  <c r="D34" i="17" s="1"/>
  <c r="C34" i="17" s="1"/>
  <c r="G6" i="13"/>
  <c r="G6" i="17" s="1"/>
  <c r="G4" i="52"/>
  <c r="AE63" i="14"/>
  <c r="AE59" i="14"/>
  <c r="AE58" i="14"/>
  <c r="AL42" i="14"/>
  <c r="AL47" i="14" s="1"/>
  <c r="AL43" i="14"/>
  <c r="L18" i="27"/>
  <c r="D4" i="22" s="1"/>
  <c r="X58" i="14"/>
  <c r="AA67" i="14"/>
  <c r="G42" i="24"/>
  <c r="D22" i="22" s="1"/>
  <c r="D26" i="17" s="1"/>
  <c r="C26" i="17" s="1"/>
  <c r="G32" i="30"/>
  <c r="D6" i="22" s="1"/>
  <c r="D6" i="17" s="1"/>
  <c r="C6" i="17" s="1"/>
  <c r="K23" i="30"/>
  <c r="F6" i="13" s="1"/>
  <c r="AC59" i="14"/>
  <c r="AC58" i="14"/>
  <c r="AC68" i="14"/>
  <c r="G56" i="48"/>
  <c r="G67" i="30"/>
  <c r="D7" i="22" s="1"/>
  <c r="D8" i="17" s="1"/>
  <c r="G22" i="48"/>
  <c r="D16" i="13" s="1"/>
  <c r="G30" i="44"/>
  <c r="D14" i="22" s="1"/>
  <c r="AA66" i="14"/>
  <c r="AL44" i="14"/>
  <c r="G65" i="41"/>
  <c r="D8" i="22" s="1"/>
  <c r="G21" i="44"/>
  <c r="D14" i="13" s="1"/>
  <c r="AL45" i="14"/>
  <c r="AA62" i="14"/>
  <c r="G31" i="48"/>
  <c r="D16" i="22" s="1"/>
  <c r="G55" i="1"/>
  <c r="D11" i="22" s="1"/>
  <c r="D13" i="17" s="1"/>
  <c r="AA68" i="14"/>
  <c r="AA58" i="14"/>
  <c r="AA59" i="14"/>
  <c r="L21" i="27"/>
  <c r="L23" i="27" s="1"/>
  <c r="L4" i="27"/>
  <c r="AG25" i="14"/>
  <c r="AG52" i="14" s="1"/>
  <c r="AG53" i="14" s="1"/>
  <c r="G22" i="1"/>
  <c r="G27" i="1" s="1"/>
  <c r="D10" i="13" s="1"/>
  <c r="J45" i="48"/>
  <c r="K45" i="48" s="1"/>
  <c r="K33" i="1"/>
  <c r="K54" i="1"/>
  <c r="G123" i="53"/>
  <c r="K28" i="44"/>
  <c r="J77" i="41"/>
  <c r="K77" i="41" s="1"/>
  <c r="K96" i="44"/>
  <c r="J45" i="1"/>
  <c r="K45" i="1" s="1"/>
  <c r="G122" i="53"/>
  <c r="K27" i="44"/>
  <c r="J76" i="41"/>
  <c r="K76" i="41" s="1"/>
  <c r="K82" i="44"/>
  <c r="K20" i="44"/>
  <c r="K35" i="1"/>
  <c r="K25" i="1"/>
  <c r="K26" i="44"/>
  <c r="J75" i="41"/>
  <c r="K75" i="41" s="1"/>
  <c r="K19" i="44"/>
  <c r="R5" i="27"/>
  <c r="K24" i="1"/>
  <c r="K25" i="44"/>
  <c r="J74" i="41"/>
  <c r="K74" i="41" s="1"/>
  <c r="K18" i="44"/>
  <c r="D15" i="13"/>
  <c r="R4" i="27"/>
  <c r="A73" i="50"/>
  <c r="K23" i="1"/>
  <c r="G119" i="53"/>
  <c r="G30" i="50"/>
  <c r="G36" i="50" s="1"/>
  <c r="D18" i="22" s="1"/>
  <c r="G103" i="53"/>
  <c r="D12" i="22" s="1"/>
  <c r="K24" i="44"/>
  <c r="J73" i="41"/>
  <c r="K73" i="41" s="1"/>
  <c r="K17" i="44"/>
  <c r="J42" i="48"/>
  <c r="K42" i="48" s="1"/>
  <c r="K22" i="1"/>
  <c r="J41" i="48"/>
  <c r="K41" i="48" s="1"/>
  <c r="K21" i="1"/>
  <c r="E31" i="48"/>
  <c r="C16" i="22" s="1"/>
  <c r="G33" i="1"/>
  <c r="G36" i="1" s="1"/>
  <c r="D10" i="22" s="1"/>
  <c r="H20" i="13"/>
  <c r="K30" i="48"/>
  <c r="C22" i="52"/>
  <c r="E55" i="1"/>
  <c r="C11" i="22" s="1"/>
  <c r="K28" i="48"/>
  <c r="K58" i="24"/>
  <c r="D19" i="13"/>
  <c r="H21" i="51" s="1"/>
  <c r="Q21" i="27"/>
  <c r="R21" i="27" s="1"/>
  <c r="K15" i="50"/>
  <c r="F16" i="52" s="1"/>
  <c r="H20" i="22"/>
  <c r="G21" i="41"/>
  <c r="D8" i="52" s="1"/>
  <c r="D36" i="17" s="1"/>
  <c r="F24" i="17"/>
  <c r="J24" i="17" s="1"/>
  <c r="I24" i="17" s="1"/>
  <c r="K13" i="48"/>
  <c r="F14" i="52" s="1"/>
  <c r="G31" i="53"/>
  <c r="D10" i="52" s="1"/>
  <c r="D35" i="17" s="1"/>
  <c r="G56" i="41"/>
  <c r="D8" i="13" s="1"/>
  <c r="K103" i="53"/>
  <c r="F12" i="22" s="1"/>
  <c r="H40" i="17"/>
  <c r="I40" i="17"/>
  <c r="H18" i="52"/>
  <c r="I18" i="52"/>
  <c r="J35" i="48"/>
  <c r="K35" i="48" s="1"/>
  <c r="J39" i="48"/>
  <c r="K39" i="48" s="1"/>
  <c r="J106" i="53"/>
  <c r="K106" i="53" s="1"/>
  <c r="J38" i="48"/>
  <c r="K38" i="48" s="1"/>
  <c r="J40" i="48"/>
  <c r="K40" i="48" s="1"/>
  <c r="J37" i="48"/>
  <c r="K37" i="48" s="1"/>
  <c r="J44" i="1"/>
  <c r="K44" i="1" s="1"/>
  <c r="J41" i="1"/>
  <c r="K41" i="1" s="1"/>
  <c r="J40" i="1"/>
  <c r="K40" i="1" s="1"/>
  <c r="E19" i="13"/>
  <c r="H26" i="10"/>
  <c r="H24" i="10"/>
  <c r="C15" i="51"/>
  <c r="K94" i="53"/>
  <c r="F12" i="13" s="1"/>
  <c r="K17" i="1"/>
  <c r="F6" i="52" s="1"/>
  <c r="K56" i="41"/>
  <c r="F8" i="13" s="1"/>
  <c r="K31" i="53"/>
  <c r="F10" i="52" s="1"/>
  <c r="K27" i="50"/>
  <c r="F18" i="13" s="1"/>
  <c r="K65" i="41"/>
  <c r="F37" i="17"/>
  <c r="K21" i="41"/>
  <c r="F8" i="52" s="1"/>
  <c r="F26" i="17"/>
  <c r="H25" i="10"/>
  <c r="C17" i="22" l="1"/>
  <c r="F17" i="51" s="1"/>
  <c r="C17" i="13"/>
  <c r="K58" i="30"/>
  <c r="F7" i="13" s="1"/>
  <c r="E4" i="52"/>
  <c r="E33" i="17" s="1"/>
  <c r="J33" i="17" s="1"/>
  <c r="E6" i="17" s="1"/>
  <c r="F38" i="17"/>
  <c r="J38" i="17" s="1"/>
  <c r="I38" i="17" s="1"/>
  <c r="J14" i="52"/>
  <c r="H14" i="52" s="1"/>
  <c r="L9" i="27"/>
  <c r="D4" i="13" s="1"/>
  <c r="K88" i="44"/>
  <c r="F15" i="13" s="1"/>
  <c r="E8" i="17"/>
  <c r="K46" i="1"/>
  <c r="F11" i="13" s="1"/>
  <c r="J11" i="13" s="1"/>
  <c r="C8" i="17"/>
  <c r="H16" i="51"/>
  <c r="N29" i="10"/>
  <c r="O30" i="10" s="1"/>
  <c r="E13" i="17"/>
  <c r="K32" i="30"/>
  <c r="F6" i="22" s="1"/>
  <c r="I6" i="22" s="1"/>
  <c r="E27" i="17"/>
  <c r="I4" i="52"/>
  <c r="G75" i="50"/>
  <c r="R32" i="27"/>
  <c r="F5" i="22" s="1"/>
  <c r="I5" i="22" s="1"/>
  <c r="H5" i="22" s="1"/>
  <c r="A69" i="24"/>
  <c r="J69" i="24" s="1"/>
  <c r="K69" i="24" s="1"/>
  <c r="G22" i="52"/>
  <c r="G28" i="17"/>
  <c r="G24" i="13"/>
  <c r="G97" i="44"/>
  <c r="D15" i="22" s="1"/>
  <c r="D19" i="17" s="1"/>
  <c r="E23" i="17"/>
  <c r="J16" i="52"/>
  <c r="I16" i="52" s="1"/>
  <c r="E14" i="17"/>
  <c r="F15" i="51"/>
  <c r="K55" i="1"/>
  <c r="F11" i="22" s="1"/>
  <c r="I11" i="22" s="1"/>
  <c r="G11" i="22" s="1"/>
  <c r="E21" i="17"/>
  <c r="K67" i="30"/>
  <c r="F7" i="22" s="1"/>
  <c r="K124" i="53"/>
  <c r="F13" i="22" s="1"/>
  <c r="I13" i="22" s="1"/>
  <c r="G13" i="22" s="1"/>
  <c r="E4" i="17"/>
  <c r="J37" i="17"/>
  <c r="H37" i="17" s="1"/>
  <c r="J12" i="52"/>
  <c r="H12" i="52" s="1"/>
  <c r="E17" i="17"/>
  <c r="K56" i="48"/>
  <c r="I12" i="22"/>
  <c r="G12" i="22" s="1"/>
  <c r="R18" i="27"/>
  <c r="F4" i="22" s="1"/>
  <c r="I4" i="22" s="1"/>
  <c r="K42" i="24"/>
  <c r="F22" i="22" s="1"/>
  <c r="I22" i="22" s="1"/>
  <c r="H22" i="22" s="1"/>
  <c r="K22" i="48"/>
  <c r="F16" i="13" s="1"/>
  <c r="J16" i="13" s="1"/>
  <c r="E10" i="17"/>
  <c r="E19" i="17"/>
  <c r="AH59" i="14"/>
  <c r="E9" i="17"/>
  <c r="J20" i="52"/>
  <c r="H20" i="52" s="1"/>
  <c r="K97" i="44"/>
  <c r="F15" i="22" s="1"/>
  <c r="I15" i="22" s="1"/>
  <c r="G15" i="22" s="1"/>
  <c r="E16" i="17"/>
  <c r="C24" i="22"/>
  <c r="E24" i="22"/>
  <c r="K36" i="50"/>
  <c r="F18" i="22" s="1"/>
  <c r="I18" i="22" s="1"/>
  <c r="G18" i="22" s="1"/>
  <c r="J6" i="13"/>
  <c r="E22" i="52"/>
  <c r="E41" i="17"/>
  <c r="J41" i="17" s="1"/>
  <c r="E26" i="17" s="1"/>
  <c r="J26" i="17" s="1"/>
  <c r="D22" i="17"/>
  <c r="C22" i="17" s="1"/>
  <c r="C36" i="17"/>
  <c r="C35" i="17"/>
  <c r="D10" i="17"/>
  <c r="C10" i="17" s="1"/>
  <c r="C24" i="13"/>
  <c r="K112" i="41"/>
  <c r="F17" i="22" s="1"/>
  <c r="F39" i="17"/>
  <c r="J39" i="17" s="1"/>
  <c r="I39" i="17" s="1"/>
  <c r="K115" i="53"/>
  <c r="F13" i="13" s="1"/>
  <c r="J13" i="13" s="1"/>
  <c r="I13" i="13" s="1"/>
  <c r="R23" i="27"/>
  <c r="J5" i="13" s="1"/>
  <c r="I5" i="13" s="1"/>
  <c r="D9" i="17"/>
  <c r="G124" i="53"/>
  <c r="D13" i="22" s="1"/>
  <c r="E18" i="51" s="1"/>
  <c r="R9" i="27"/>
  <c r="F4" i="13" s="1"/>
  <c r="K21" i="44"/>
  <c r="F14" i="13" s="1"/>
  <c r="J14" i="13" s="1"/>
  <c r="K61" i="24"/>
  <c r="F23" i="13" s="1"/>
  <c r="J23" i="13" s="1"/>
  <c r="H23" i="13" s="1"/>
  <c r="D4" i="17"/>
  <c r="C4" i="17" s="1"/>
  <c r="K36" i="1"/>
  <c r="F10" i="22" s="1"/>
  <c r="I10" i="22" s="1"/>
  <c r="G10" i="22" s="1"/>
  <c r="D11" i="17"/>
  <c r="C11" i="17" s="1"/>
  <c r="K27" i="1"/>
  <c r="F10" i="13" s="1"/>
  <c r="J10" i="13" s="1"/>
  <c r="I10" i="13" s="1"/>
  <c r="K31" i="48"/>
  <c r="F16" i="22" s="1"/>
  <c r="I16" i="22" s="1"/>
  <c r="H16" i="22" s="1"/>
  <c r="C14" i="51"/>
  <c r="K30" i="44"/>
  <c r="F14" i="22" s="1"/>
  <c r="I14" i="22" s="1"/>
  <c r="H14" i="22" s="1"/>
  <c r="AH58" i="14"/>
  <c r="D20" i="17"/>
  <c r="C20" i="17" s="1"/>
  <c r="G73" i="50"/>
  <c r="J73" i="50"/>
  <c r="K73" i="50" s="1"/>
  <c r="K76" i="50" s="1"/>
  <c r="F19" i="22" s="1"/>
  <c r="I19" i="22" s="1"/>
  <c r="D17" i="17"/>
  <c r="D22" i="52"/>
  <c r="D14" i="17"/>
  <c r="C14" i="17" s="1"/>
  <c r="E24" i="13"/>
  <c r="I14" i="52"/>
  <c r="K81" i="41"/>
  <c r="J9" i="13" s="1"/>
  <c r="H24" i="17"/>
  <c r="F8" i="22"/>
  <c r="I8" i="22" s="1"/>
  <c r="K62" i="50"/>
  <c r="F19" i="13" s="1"/>
  <c r="K73" i="55"/>
  <c r="F21" i="13" s="1"/>
  <c r="D42" i="17"/>
  <c r="C13" i="17"/>
  <c r="K46" i="48"/>
  <c r="F17" i="13" s="1"/>
  <c r="J17" i="13" s="1"/>
  <c r="H28" i="10"/>
  <c r="J8" i="52"/>
  <c r="F36" i="17"/>
  <c r="J36" i="17" s="1"/>
  <c r="J8" i="13"/>
  <c r="J12" i="13"/>
  <c r="J10" i="52"/>
  <c r="F35" i="17"/>
  <c r="J35" i="17" s="1"/>
  <c r="J18" i="13"/>
  <c r="F22" i="52"/>
  <c r="F34" i="17"/>
  <c r="J34" i="17" s="1"/>
  <c r="J6" i="52"/>
  <c r="H22" i="13"/>
  <c r="I22" i="13"/>
  <c r="F24" i="51" l="1"/>
  <c r="I17" i="22"/>
  <c r="G17" i="22" s="1"/>
  <c r="I7" i="22"/>
  <c r="G7" i="22" s="1"/>
  <c r="F8" i="17"/>
  <c r="J8" i="17" s="1"/>
  <c r="H8" i="17" s="1"/>
  <c r="I9" i="22"/>
  <c r="C19" i="17"/>
  <c r="H19" i="51"/>
  <c r="C21" i="17"/>
  <c r="C17" i="51"/>
  <c r="C20" i="51"/>
  <c r="J7" i="13"/>
  <c r="H7" i="13" s="1"/>
  <c r="C9" i="17"/>
  <c r="F19" i="17"/>
  <c r="G76" i="50"/>
  <c r="D19" i="22" s="1"/>
  <c r="E21" i="51" s="1"/>
  <c r="E24" i="51" s="1"/>
  <c r="F6" i="17"/>
  <c r="I34" i="17"/>
  <c r="H34" i="17"/>
  <c r="A68" i="24"/>
  <c r="J68" i="24" s="1"/>
  <c r="K68" i="24" s="1"/>
  <c r="G69" i="24"/>
  <c r="H38" i="17"/>
  <c r="H4" i="52"/>
  <c r="G5" i="22"/>
  <c r="H11" i="22"/>
  <c r="H15" i="22"/>
  <c r="I20" i="52"/>
  <c r="H16" i="52"/>
  <c r="I37" i="17"/>
  <c r="I12" i="52"/>
  <c r="H12" i="22"/>
  <c r="H13" i="22"/>
  <c r="F4" i="17"/>
  <c r="J4" i="17" s="1"/>
  <c r="I4" i="17" s="1"/>
  <c r="G22" i="22"/>
  <c r="H41" i="17"/>
  <c r="I41" i="17"/>
  <c r="H18" i="22"/>
  <c r="H6" i="13"/>
  <c r="I6" i="13"/>
  <c r="E42" i="17"/>
  <c r="D16" i="17"/>
  <c r="C16" i="17" s="1"/>
  <c r="H9" i="22"/>
  <c r="C42" i="17"/>
  <c r="D24" i="13"/>
  <c r="H39" i="17"/>
  <c r="F22" i="17"/>
  <c r="H13" i="13"/>
  <c r="F16" i="17"/>
  <c r="J16" i="17" s="1"/>
  <c r="I16" i="17" s="1"/>
  <c r="H5" i="13"/>
  <c r="J5" i="17"/>
  <c r="H5" i="17" s="1"/>
  <c r="J4" i="13"/>
  <c r="I4" i="13" s="1"/>
  <c r="F11" i="17"/>
  <c r="J11" i="17" s="1"/>
  <c r="H11" i="17" s="1"/>
  <c r="H10" i="22"/>
  <c r="H15" i="51"/>
  <c r="G16" i="22"/>
  <c r="F17" i="17"/>
  <c r="J17" i="17" s="1"/>
  <c r="H17" i="17" s="1"/>
  <c r="H10" i="13"/>
  <c r="G14" i="22"/>
  <c r="F20" i="17"/>
  <c r="J20" i="17" s="1"/>
  <c r="H20" i="17" s="1"/>
  <c r="C17" i="17"/>
  <c r="G19" i="22"/>
  <c r="H19" i="22"/>
  <c r="J67" i="24"/>
  <c r="K67" i="24" s="1"/>
  <c r="F23" i="17"/>
  <c r="G8" i="22"/>
  <c r="H8" i="22"/>
  <c r="J19" i="13"/>
  <c r="I19" i="13" s="1"/>
  <c r="J15" i="13"/>
  <c r="H15" i="13" s="1"/>
  <c r="F25" i="17"/>
  <c r="J25" i="17" s="1"/>
  <c r="H25" i="17" s="1"/>
  <c r="I32" i="21" s="1"/>
  <c r="J21" i="13"/>
  <c r="I23" i="13"/>
  <c r="F9" i="17"/>
  <c r="J9" i="17" s="1"/>
  <c r="I33" i="17"/>
  <c r="E28" i="17"/>
  <c r="H33" i="17"/>
  <c r="I11" i="13"/>
  <c r="H11" i="13"/>
  <c r="F13" i="17"/>
  <c r="J13" i="17" s="1"/>
  <c r="H13" i="17" s="1"/>
  <c r="I29" i="21" s="1"/>
  <c r="F21" i="17"/>
  <c r="J21" i="17" s="1"/>
  <c r="I17" i="13"/>
  <c r="H17" i="13"/>
  <c r="I9" i="13"/>
  <c r="H9" i="13"/>
  <c r="F24" i="13"/>
  <c r="H10" i="52"/>
  <c r="I10" i="52"/>
  <c r="I18" i="13"/>
  <c r="H18" i="13"/>
  <c r="G6" i="22"/>
  <c r="H6" i="22"/>
  <c r="H35" i="17"/>
  <c r="I35" i="17"/>
  <c r="F14" i="17"/>
  <c r="I16" i="13"/>
  <c r="H16" i="13"/>
  <c r="I12" i="13"/>
  <c r="H12" i="13"/>
  <c r="I36" i="17"/>
  <c r="H36" i="17"/>
  <c r="I8" i="52"/>
  <c r="H8" i="52"/>
  <c r="I6" i="52"/>
  <c r="J22" i="52"/>
  <c r="H6" i="52"/>
  <c r="I14" i="13"/>
  <c r="H14" i="13"/>
  <c r="G4" i="22"/>
  <c r="H4" i="22"/>
  <c r="F42" i="17"/>
  <c r="I8" i="13"/>
  <c r="H8" i="13"/>
  <c r="H26" i="17"/>
  <c r="I26" i="17"/>
  <c r="H7" i="22" l="1"/>
  <c r="H17" i="22"/>
  <c r="C24" i="51"/>
  <c r="I24" i="21"/>
  <c r="D23" i="17"/>
  <c r="C23" i="17" s="1"/>
  <c r="I21" i="17"/>
  <c r="H21" i="17"/>
  <c r="J19" i="17"/>
  <c r="H19" i="17" s="1"/>
  <c r="I30" i="21" s="1"/>
  <c r="J6" i="17"/>
  <c r="J23" i="17"/>
  <c r="H23" i="17" s="1"/>
  <c r="I8" i="17"/>
  <c r="J14" i="17"/>
  <c r="I14" i="17" s="1"/>
  <c r="I20" i="17"/>
  <c r="I9" i="17"/>
  <c r="H9" i="17"/>
  <c r="G68" i="24"/>
  <c r="H4" i="17"/>
  <c r="I23" i="21" s="1"/>
  <c r="H18" i="51"/>
  <c r="H4" i="13"/>
  <c r="J22" i="17"/>
  <c r="H22" i="17" s="1"/>
  <c r="I5" i="17"/>
  <c r="H16" i="17"/>
  <c r="I25" i="21" s="1"/>
  <c r="I11" i="17"/>
  <c r="I17" i="17"/>
  <c r="I15" i="13"/>
  <c r="J66" i="24"/>
  <c r="K66" i="24" s="1"/>
  <c r="K70" i="24" s="1"/>
  <c r="F23" i="22" s="1"/>
  <c r="F27" i="17" s="1"/>
  <c r="I10" i="17"/>
  <c r="H19" i="13"/>
  <c r="H21" i="13"/>
  <c r="I21" i="13"/>
  <c r="I13" i="17"/>
  <c r="I26" i="21"/>
  <c r="H22" i="52"/>
  <c r="I7" i="13"/>
  <c r="J24" i="13"/>
  <c r="H42" i="17"/>
  <c r="J42" i="17"/>
  <c r="I42" i="17"/>
  <c r="I22" i="52"/>
  <c r="I25" i="17" l="1"/>
  <c r="H6" i="17"/>
  <c r="I28" i="21" s="1"/>
  <c r="I27" i="21"/>
  <c r="I23" i="17"/>
  <c r="H14" i="17"/>
  <c r="I19" i="17"/>
  <c r="G70" i="24"/>
  <c r="D23" i="22" s="1"/>
  <c r="D27" i="17" s="1"/>
  <c r="H23" i="51" s="1"/>
  <c r="I22" i="17"/>
  <c r="I23" i="22"/>
  <c r="F24" i="22"/>
  <c r="H24" i="13"/>
  <c r="I24" i="13"/>
  <c r="I6" i="17"/>
  <c r="D24" i="22" l="1"/>
  <c r="D24" i="17"/>
  <c r="C24" i="17" s="1"/>
  <c r="H22" i="51"/>
  <c r="C27" i="17"/>
  <c r="D28" i="17"/>
  <c r="J27" i="17"/>
  <c r="F28" i="17"/>
  <c r="G23" i="22"/>
  <c r="G24" i="22" s="1"/>
  <c r="H23" i="22"/>
  <c r="H24" i="22" s="1"/>
  <c r="I24" i="22"/>
  <c r="C28" i="17" l="1"/>
  <c r="H24" i="51"/>
  <c r="I27" i="17"/>
  <c r="I28" i="17" s="1"/>
  <c r="H27" i="17"/>
  <c r="I31" i="21" s="1"/>
  <c r="J28" i="17"/>
  <c r="H28" i="17" l="1"/>
</calcChain>
</file>

<file path=xl/comments1.xml><?xml version="1.0" encoding="utf-8"?>
<comments xmlns="http://schemas.openxmlformats.org/spreadsheetml/2006/main">
  <authors>
    <author>王鼎偉</author>
  </authors>
  <commentList>
    <comment ref="G31" authorId="0" shapeId="0">
      <text>
        <r>
          <rPr>
            <b/>
            <sz val="9"/>
            <color indexed="81"/>
            <rFont val="細明體"/>
            <family val="3"/>
            <charset val="136"/>
          </rPr>
          <t>王鼎偉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輸入中台累計現券收益(扣除NCD)與本表J欄差異</t>
        </r>
      </text>
    </comment>
  </commentList>
</comments>
</file>

<file path=xl/comments2.xml><?xml version="1.0" encoding="utf-8"?>
<comments xmlns="http://schemas.openxmlformats.org/spreadsheetml/2006/main">
  <authors>
    <author>王鼎偉</author>
  </authors>
  <commentList>
    <comment ref="K2" authorId="0" shapeId="0">
      <text>
        <r>
          <rPr>
            <b/>
            <sz val="9"/>
            <color indexed="81"/>
            <rFont val="細明體"/>
            <family val="3"/>
            <charset val="136"/>
          </rPr>
          <t>王鼎偉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國開</t>
        </r>
      </text>
    </comment>
  </commentList>
</comments>
</file>

<file path=xl/sharedStrings.xml><?xml version="1.0" encoding="utf-8"?>
<sst xmlns="http://schemas.openxmlformats.org/spreadsheetml/2006/main" count="11427" uniqueCount="1573">
  <si>
    <t>ISIN Code</t>
    <phoneticPr fontId="3" type="noConversion"/>
  </si>
  <si>
    <t>Call Date</t>
    <phoneticPr fontId="3" type="noConversion"/>
  </si>
  <si>
    <t>Maturity</t>
    <phoneticPr fontId="3" type="noConversion"/>
  </si>
  <si>
    <t>Duration</t>
    <phoneticPr fontId="3" type="noConversion"/>
  </si>
  <si>
    <t>Cost Yield</t>
    <phoneticPr fontId="3" type="noConversion"/>
  </si>
  <si>
    <t>Market Yield</t>
    <phoneticPr fontId="3" type="noConversion"/>
  </si>
  <si>
    <t>Total</t>
    <phoneticPr fontId="3" type="noConversion"/>
  </si>
  <si>
    <t>Trade Date</t>
    <phoneticPr fontId="3" type="noConversion"/>
  </si>
  <si>
    <t>Rating</t>
    <phoneticPr fontId="3" type="noConversion"/>
  </si>
  <si>
    <t>USD</t>
    <phoneticPr fontId="3" type="noConversion"/>
  </si>
  <si>
    <t>Cost</t>
    <phoneticPr fontId="3" type="noConversion"/>
  </si>
  <si>
    <t>Amount</t>
    <phoneticPr fontId="3" type="noConversion"/>
  </si>
  <si>
    <t>DV01</t>
    <phoneticPr fontId="3" type="noConversion"/>
  </si>
  <si>
    <t>四月</t>
  </si>
  <si>
    <t>五月</t>
  </si>
  <si>
    <t>六月</t>
  </si>
  <si>
    <t>CLN</t>
    <phoneticPr fontId="3" type="noConversion"/>
  </si>
  <si>
    <t>國際債券操作概況表</t>
  </si>
  <si>
    <t>Ticket Number</t>
    <phoneticPr fontId="3" type="noConversion"/>
  </si>
  <si>
    <t>九月</t>
  </si>
  <si>
    <t>十月</t>
  </si>
  <si>
    <t xml:space="preserve"> </t>
    <phoneticPr fontId="3" type="noConversion"/>
  </si>
  <si>
    <t>Futures</t>
    <phoneticPr fontId="3" type="noConversion"/>
  </si>
  <si>
    <t xml:space="preserve"> </t>
    <phoneticPr fontId="3" type="noConversion"/>
  </si>
  <si>
    <t>十一月</t>
  </si>
  <si>
    <t>AS OF</t>
    <phoneticPr fontId="3" type="noConversion"/>
  </si>
  <si>
    <r>
      <t>海外債票券部位一覽表</t>
    </r>
    <r>
      <rPr>
        <b/>
        <sz val="24"/>
        <rFont val="Times New Roman"/>
        <family val="1"/>
      </rPr>
      <t>(</t>
    </r>
    <r>
      <rPr>
        <b/>
        <sz val="24"/>
        <rFont val="新細明體"/>
        <family val="1"/>
        <charset val="136"/>
      </rPr>
      <t>總行</t>
    </r>
    <r>
      <rPr>
        <b/>
        <sz val="24"/>
        <rFont val="Times New Roman"/>
        <family val="1"/>
      </rPr>
      <t>)</t>
    </r>
    <phoneticPr fontId="3" type="noConversion"/>
  </si>
  <si>
    <t>3m Libor</t>
    <phoneticPr fontId="3" type="noConversion"/>
  </si>
  <si>
    <t>Fixed Rate</t>
    <phoneticPr fontId="3" type="noConversion"/>
  </si>
  <si>
    <t>Total</t>
    <phoneticPr fontId="3" type="noConversion"/>
  </si>
  <si>
    <t xml:space="preserve"> </t>
    <phoneticPr fontId="3" type="noConversion"/>
  </si>
  <si>
    <t>Issuer</t>
    <phoneticPr fontId="3" type="noConversion"/>
  </si>
  <si>
    <t>ISIN Code</t>
    <phoneticPr fontId="3" type="noConversion"/>
  </si>
  <si>
    <t>Rating</t>
    <phoneticPr fontId="3" type="noConversion"/>
  </si>
  <si>
    <t>Trade Date</t>
    <phoneticPr fontId="3" type="noConversion"/>
  </si>
  <si>
    <t>Amount</t>
    <phoneticPr fontId="3" type="noConversion"/>
  </si>
  <si>
    <t>Call Date</t>
    <phoneticPr fontId="3" type="noConversion"/>
  </si>
  <si>
    <t>Maturity</t>
    <phoneticPr fontId="3" type="noConversion"/>
  </si>
  <si>
    <t>Duration</t>
    <phoneticPr fontId="3" type="noConversion"/>
  </si>
  <si>
    <t>Cost Yield</t>
    <phoneticPr fontId="3" type="noConversion"/>
  </si>
  <si>
    <t>Cupon</t>
    <phoneticPr fontId="3" type="noConversion"/>
  </si>
  <si>
    <t>Notes</t>
    <phoneticPr fontId="3" type="noConversion"/>
  </si>
  <si>
    <t>counteraprty</t>
    <phoneticPr fontId="3" type="noConversion"/>
  </si>
  <si>
    <t>U.S. CT 10y  (Steven)</t>
    <phoneticPr fontId="3" type="noConversion"/>
  </si>
  <si>
    <t>FHLMC 10y (Steven)</t>
    <phoneticPr fontId="3" type="noConversion"/>
  </si>
  <si>
    <t>Steven</t>
    <phoneticPr fontId="3" type="noConversion"/>
  </si>
  <si>
    <t>Nick</t>
    <phoneticPr fontId="3" type="noConversion"/>
  </si>
  <si>
    <t>Credit Linked Note</t>
    <phoneticPr fontId="3" type="noConversion"/>
  </si>
  <si>
    <t>$ Amount</t>
    <phoneticPr fontId="3" type="noConversion"/>
  </si>
  <si>
    <t>Tenor</t>
    <phoneticPr fontId="3" type="noConversion"/>
  </si>
  <si>
    <t>Libor Spread</t>
    <phoneticPr fontId="3" type="noConversion"/>
  </si>
  <si>
    <t>Benchmark</t>
    <phoneticPr fontId="3" type="noConversion"/>
  </si>
  <si>
    <t>Counterparty</t>
    <phoneticPr fontId="3" type="noConversion"/>
  </si>
  <si>
    <t>DBS(credit linked)</t>
    <phoneticPr fontId="3" type="noConversion"/>
  </si>
  <si>
    <t>Aa3/A</t>
    <phoneticPr fontId="3" type="noConversion"/>
  </si>
  <si>
    <t>Chinatrust Holding</t>
    <phoneticPr fontId="3" type="noConversion"/>
  </si>
  <si>
    <t>DBS</t>
    <phoneticPr fontId="3" type="noConversion"/>
  </si>
  <si>
    <t>BNP(credit Linked)</t>
    <phoneticPr fontId="3" type="noConversion"/>
  </si>
  <si>
    <t>Aa2/AA-</t>
    <phoneticPr fontId="3" type="noConversion"/>
  </si>
  <si>
    <t>Fubon Holding , Cathy Holding , UMC</t>
    <phoneticPr fontId="3" type="noConversion"/>
  </si>
  <si>
    <t>BNP Paribas UK Limited, London</t>
    <phoneticPr fontId="3" type="noConversion"/>
  </si>
  <si>
    <t>LEHMAN  (Credit Linked)</t>
    <phoneticPr fontId="3" type="noConversion"/>
  </si>
  <si>
    <t>A2/A</t>
    <phoneticPr fontId="3" type="noConversion"/>
  </si>
  <si>
    <t>Chinatrust Holding , Cathy Holding</t>
    <phoneticPr fontId="3" type="noConversion"/>
  </si>
  <si>
    <t>Lehman Brothers International(Europe)</t>
    <phoneticPr fontId="3" type="noConversion"/>
  </si>
  <si>
    <t>Merrill Lynch (credit linked)</t>
    <phoneticPr fontId="3" type="noConversion"/>
  </si>
  <si>
    <t>Aa3/AA-</t>
    <phoneticPr fontId="3" type="noConversion"/>
  </si>
  <si>
    <t>Sinopac Holding</t>
    <phoneticPr fontId="3" type="noConversion"/>
  </si>
  <si>
    <t>Merrill Lynch</t>
    <phoneticPr fontId="3" type="noConversion"/>
  </si>
  <si>
    <t>輸入市場價格</t>
    <phoneticPr fontId="3" type="noConversion"/>
  </si>
  <si>
    <t>Nick 2</t>
  </si>
  <si>
    <r>
      <t xml:space="preserve">8/4 </t>
    </r>
    <r>
      <rPr>
        <sz val="10"/>
        <rFont val="細明體"/>
        <family val="3"/>
        <charset val="136"/>
      </rPr>
      <t>報表將</t>
    </r>
    <r>
      <rPr>
        <sz val="10"/>
        <rFont val="Times New Roman"/>
        <family val="1"/>
      </rPr>
      <t>Amy</t>
    </r>
    <r>
      <rPr>
        <sz val="10"/>
        <rFont val="細明體"/>
        <family val="3"/>
        <charset val="136"/>
      </rPr>
      <t>損益併入</t>
    </r>
    <r>
      <rPr>
        <sz val="10"/>
        <rFont val="Times New Roman"/>
        <family val="1"/>
      </rPr>
      <t>Nick</t>
    </r>
    <phoneticPr fontId="3" type="noConversion"/>
  </si>
  <si>
    <t>合計</t>
    <phoneticPr fontId="3" type="noConversion"/>
  </si>
  <si>
    <t>Interest Accred</t>
    <phoneticPr fontId="3" type="noConversion"/>
  </si>
  <si>
    <t>Capital Gain/Loss</t>
    <phoneticPr fontId="3" type="noConversion"/>
  </si>
  <si>
    <t>Lydia</t>
    <phoneticPr fontId="3" type="noConversion"/>
  </si>
  <si>
    <t>Allen</t>
    <phoneticPr fontId="3" type="noConversion"/>
  </si>
  <si>
    <t>Jeff</t>
    <phoneticPr fontId="3" type="noConversion"/>
  </si>
  <si>
    <t>Man</t>
    <phoneticPr fontId="3" type="noConversion"/>
  </si>
  <si>
    <t xml:space="preserve"> </t>
    <phoneticPr fontId="3" type="noConversion"/>
  </si>
  <si>
    <t xml:space="preserve"> </t>
    <phoneticPr fontId="3" type="noConversion"/>
  </si>
  <si>
    <t>US  CT10  2015/8/15 (Jeff)</t>
    <phoneticPr fontId="3" type="noConversion"/>
  </si>
  <si>
    <t>Lydia</t>
    <phoneticPr fontId="3" type="noConversion"/>
  </si>
  <si>
    <t>Allen</t>
    <phoneticPr fontId="3" type="noConversion"/>
  </si>
  <si>
    <t>Jeff</t>
    <phoneticPr fontId="3" type="noConversion"/>
  </si>
  <si>
    <t xml:space="preserve"> PVBP </t>
  </si>
  <si>
    <t xml:space="preserve"> MTD</t>
  </si>
  <si>
    <t xml:space="preserve"> YTD</t>
  </si>
  <si>
    <t xml:space="preserve">P&amp;L </t>
  </si>
  <si>
    <t>Total</t>
  </si>
  <si>
    <t>Trader</t>
    <phoneticPr fontId="3" type="noConversion"/>
  </si>
  <si>
    <t>Notional Amount</t>
    <phoneticPr fontId="3" type="noConversion"/>
  </si>
  <si>
    <t>YTD</t>
    <phoneticPr fontId="3" type="noConversion"/>
  </si>
  <si>
    <t>DTD</t>
    <phoneticPr fontId="3" type="noConversion"/>
  </si>
  <si>
    <t>USD</t>
    <phoneticPr fontId="3" type="noConversion"/>
  </si>
  <si>
    <t>Realized P&amp;L</t>
    <phoneticPr fontId="3" type="noConversion"/>
  </si>
  <si>
    <t>Unrealized P&amp;L</t>
    <phoneticPr fontId="3" type="noConversion"/>
  </si>
  <si>
    <t xml:space="preserve"> Short US 2y USD 24M, Long 10y 1.2M</t>
    <phoneticPr fontId="3" type="noConversion"/>
  </si>
  <si>
    <r>
      <t xml:space="preserve"> </t>
    </r>
    <r>
      <rPr>
        <b/>
        <sz val="11"/>
        <rFont val="新細明體"/>
        <family val="1"/>
        <charset val="136"/>
      </rPr>
      <t>計至</t>
    </r>
    <r>
      <rPr>
        <b/>
        <sz val="11"/>
        <rFont val="Times New Roman"/>
        <family val="1"/>
      </rPr>
      <t xml:space="preserve">8/31/2005 </t>
    </r>
    <r>
      <rPr>
        <b/>
        <sz val="11"/>
        <rFont val="新細明體"/>
        <family val="1"/>
        <charset val="136"/>
      </rPr>
      <t>總部位</t>
    </r>
    <r>
      <rPr>
        <b/>
        <sz val="11"/>
        <rFont val="Times New Roman"/>
        <family val="1"/>
      </rPr>
      <t xml:space="preserve">  Fixed Rate 10y USD 5M, </t>
    </r>
    <phoneticPr fontId="3" type="noConversion"/>
  </si>
  <si>
    <t>Issuer  (Trader)</t>
    <phoneticPr fontId="3" type="noConversion"/>
  </si>
  <si>
    <t>Futures</t>
    <phoneticPr fontId="3" type="noConversion"/>
  </si>
  <si>
    <t>一月</t>
    <phoneticPr fontId="3" type="noConversion"/>
  </si>
  <si>
    <t>二月</t>
    <phoneticPr fontId="3" type="noConversion"/>
  </si>
  <si>
    <t>三月</t>
    <phoneticPr fontId="3" type="noConversion"/>
  </si>
  <si>
    <t>七月</t>
    <phoneticPr fontId="3" type="noConversion"/>
  </si>
  <si>
    <t>八月</t>
    <phoneticPr fontId="3" type="noConversion"/>
  </si>
  <si>
    <t>Realized</t>
    <phoneticPr fontId="3" type="noConversion"/>
  </si>
  <si>
    <t>Amy</t>
    <phoneticPr fontId="3" type="noConversion"/>
  </si>
  <si>
    <t>Nick 1</t>
    <phoneticPr fontId="3" type="noConversion"/>
  </si>
  <si>
    <t>S</t>
    <phoneticPr fontId="3" type="noConversion"/>
  </si>
  <si>
    <t>Theo</t>
    <phoneticPr fontId="3" type="noConversion"/>
  </si>
  <si>
    <t>本月合計</t>
    <phoneticPr fontId="3" type="noConversion"/>
  </si>
  <si>
    <t>本年合計</t>
    <phoneticPr fontId="3" type="noConversion"/>
  </si>
  <si>
    <t>USD 3ML 3.87 ; USD/TWD 32.751</t>
    <phoneticPr fontId="3" type="noConversion"/>
  </si>
  <si>
    <t>Cash  Bond  Trading</t>
    <phoneticPr fontId="3" type="noConversion"/>
  </si>
  <si>
    <t>Bond Futures</t>
    <phoneticPr fontId="3" type="noConversion"/>
  </si>
  <si>
    <t>P&amp;L</t>
    <phoneticPr fontId="3" type="noConversion"/>
  </si>
  <si>
    <t>EUR</t>
    <phoneticPr fontId="3" type="noConversion"/>
  </si>
  <si>
    <t>利差損益</t>
    <phoneticPr fontId="3" type="noConversion"/>
  </si>
  <si>
    <t>Steven</t>
    <phoneticPr fontId="3" type="noConversion"/>
  </si>
  <si>
    <t>Lydia</t>
    <phoneticPr fontId="3" type="noConversion"/>
  </si>
  <si>
    <t>Allen</t>
    <phoneticPr fontId="3" type="noConversion"/>
  </si>
  <si>
    <t>Jeff</t>
    <phoneticPr fontId="3" type="noConversion"/>
  </si>
  <si>
    <t>Nick2 (G)</t>
    <phoneticPr fontId="3" type="noConversion"/>
  </si>
  <si>
    <t>USD</t>
    <phoneticPr fontId="3" type="noConversion"/>
  </si>
  <si>
    <t>YTD P&amp;L</t>
    <phoneticPr fontId="3" type="noConversion"/>
  </si>
  <si>
    <t>Capital Gain</t>
    <phoneticPr fontId="3" type="noConversion"/>
  </si>
  <si>
    <t>Interest Accru</t>
    <phoneticPr fontId="3" type="noConversion"/>
  </si>
  <si>
    <t>USD</t>
    <phoneticPr fontId="3" type="noConversion"/>
  </si>
  <si>
    <t>Steven --  USD</t>
    <phoneticPr fontId="3" type="noConversion"/>
  </si>
  <si>
    <t>Nick   --  USD</t>
    <phoneticPr fontId="3" type="noConversion"/>
  </si>
  <si>
    <t>YTD</t>
    <phoneticPr fontId="3" type="noConversion"/>
  </si>
  <si>
    <t>USD-NTD</t>
    <phoneticPr fontId="3" type="noConversion"/>
  </si>
  <si>
    <t>EUR-USD</t>
    <phoneticPr fontId="3" type="noConversion"/>
  </si>
  <si>
    <t>Foreign Currency Bond &amp; Futures Trading Position and P&amp;L Report</t>
    <phoneticPr fontId="3" type="noConversion"/>
  </si>
  <si>
    <t>Man</t>
    <phoneticPr fontId="3" type="noConversion"/>
  </si>
  <si>
    <t xml:space="preserve"> </t>
    <phoneticPr fontId="3" type="noConversion"/>
  </si>
  <si>
    <t>US912828FC98</t>
    <phoneticPr fontId="3" type="noConversion"/>
  </si>
  <si>
    <t>Settle Date</t>
    <phoneticPr fontId="3" type="noConversion"/>
  </si>
  <si>
    <t>Funding Cost</t>
    <phoneticPr fontId="3" type="noConversion"/>
  </si>
  <si>
    <t>US  CT2  (Allen)</t>
    <phoneticPr fontId="3" type="noConversion"/>
  </si>
  <si>
    <t>U.S. CT10  (Allen)</t>
    <phoneticPr fontId="3" type="noConversion"/>
  </si>
  <si>
    <t>US  CT10  (Lydia)</t>
    <phoneticPr fontId="3" type="noConversion"/>
  </si>
  <si>
    <t>US  CT10 (Nick)</t>
    <phoneticPr fontId="3" type="noConversion"/>
  </si>
  <si>
    <t>Man</t>
    <phoneticPr fontId="3" type="noConversion"/>
  </si>
  <si>
    <t>EUR</t>
    <phoneticPr fontId="3" type="noConversion"/>
  </si>
  <si>
    <t>林燈煤</t>
    <phoneticPr fontId="3" type="noConversion"/>
  </si>
  <si>
    <t>Roger</t>
    <phoneticPr fontId="3" type="noConversion"/>
  </si>
  <si>
    <t>Justin</t>
    <phoneticPr fontId="3" type="noConversion"/>
  </si>
  <si>
    <t>Ross</t>
    <phoneticPr fontId="3" type="noConversion"/>
  </si>
  <si>
    <t>Fred</t>
    <phoneticPr fontId="3" type="noConversion"/>
  </si>
  <si>
    <t>John</t>
    <phoneticPr fontId="3" type="noConversion"/>
  </si>
  <si>
    <t>劉瑞洋</t>
    <phoneticPr fontId="3" type="noConversion"/>
  </si>
  <si>
    <t>十二月</t>
    <phoneticPr fontId="3" type="noConversion"/>
  </si>
  <si>
    <t>EU CT10</t>
  </si>
  <si>
    <t>EU CT5</t>
  </si>
  <si>
    <t>EU CT2</t>
  </si>
  <si>
    <t>U.S. CT10</t>
    <phoneticPr fontId="3" type="noConversion"/>
  </si>
  <si>
    <t>U.S. CT2</t>
    <phoneticPr fontId="3" type="noConversion"/>
  </si>
  <si>
    <t>U.S. CT2</t>
    <phoneticPr fontId="3" type="noConversion"/>
  </si>
  <si>
    <t>U.S. CT5</t>
    <phoneticPr fontId="3" type="noConversion"/>
  </si>
  <si>
    <t>3134A4UX</t>
    <phoneticPr fontId="3" type="noConversion"/>
  </si>
  <si>
    <t>USD cash bond</t>
    <phoneticPr fontId="3" type="noConversion"/>
  </si>
  <si>
    <t>EUR cash bond</t>
    <phoneticPr fontId="3" type="noConversion"/>
  </si>
  <si>
    <t>USD Futures</t>
    <phoneticPr fontId="3" type="noConversion"/>
  </si>
  <si>
    <t>FVH8</t>
    <phoneticPr fontId="3" type="noConversion"/>
  </si>
  <si>
    <t>total</t>
    <phoneticPr fontId="3" type="noConversion"/>
  </si>
  <si>
    <t>OEH8</t>
    <phoneticPr fontId="3" type="noConversion"/>
  </si>
  <si>
    <t>DUH8</t>
    <phoneticPr fontId="3" type="noConversion"/>
  </si>
  <si>
    <t>EUR Futures</t>
    <phoneticPr fontId="3" type="noConversion"/>
  </si>
  <si>
    <t>closed ticket no.</t>
    <phoneticPr fontId="3" type="noConversion"/>
  </si>
  <si>
    <t>closed date</t>
    <phoneticPr fontId="3" type="noConversion"/>
  </si>
  <si>
    <t>last month</t>
    <phoneticPr fontId="3" type="noConversion"/>
  </si>
  <si>
    <t>USD/NTD</t>
    <phoneticPr fontId="3" type="noConversion"/>
  </si>
  <si>
    <t>futures</t>
    <phoneticPr fontId="3" type="noConversion"/>
  </si>
  <si>
    <t>簡嘉宏</t>
    <phoneticPr fontId="3" type="noConversion"/>
  </si>
  <si>
    <t>settement date</t>
    <phoneticPr fontId="3" type="noConversion"/>
  </si>
  <si>
    <t>date</t>
    <phoneticPr fontId="3" type="noConversion"/>
  </si>
  <si>
    <t>O/N</t>
    <phoneticPr fontId="3" type="noConversion"/>
  </si>
  <si>
    <t>Coupon</t>
    <phoneticPr fontId="3" type="noConversion"/>
  </si>
  <si>
    <t>Roger</t>
    <phoneticPr fontId="3" type="noConversion"/>
  </si>
  <si>
    <t>Aaron</t>
    <phoneticPr fontId="3" type="noConversion"/>
  </si>
  <si>
    <t>YTD</t>
    <phoneticPr fontId="3" type="noConversion"/>
  </si>
  <si>
    <t>Carry</t>
    <phoneticPr fontId="3" type="noConversion"/>
  </si>
  <si>
    <t>Futures</t>
    <phoneticPr fontId="3" type="noConversion"/>
  </si>
  <si>
    <t>簡嘉宏</t>
    <phoneticPr fontId="3" type="noConversion"/>
  </si>
  <si>
    <t>Foreign Currency Bond &amp; Futures Trading Position and P&amp;L Report in NTD</t>
    <phoneticPr fontId="3" type="noConversion"/>
  </si>
  <si>
    <t>Trader</t>
    <phoneticPr fontId="3" type="noConversion"/>
  </si>
  <si>
    <t>PVBP</t>
    <phoneticPr fontId="3" type="noConversion"/>
  </si>
  <si>
    <t>DTD</t>
    <phoneticPr fontId="3" type="noConversion"/>
  </si>
  <si>
    <t>TWD</t>
    <phoneticPr fontId="3" type="noConversion"/>
  </si>
  <si>
    <t>realized</t>
    <phoneticPr fontId="3" type="noConversion"/>
  </si>
  <si>
    <t>unrealized</t>
    <phoneticPr fontId="3" type="noConversion"/>
  </si>
  <si>
    <t>carry</t>
    <phoneticPr fontId="3" type="noConversion"/>
  </si>
  <si>
    <t xml:space="preserve">Sub P&amp;L </t>
    <phoneticPr fontId="3" type="noConversion"/>
  </si>
  <si>
    <t>2006/11/31</t>
    <phoneticPr fontId="3" type="noConversion"/>
  </si>
  <si>
    <t>DV01(USD)</t>
    <phoneticPr fontId="3" type="noConversion"/>
  </si>
  <si>
    <t>TOTAL</t>
    <phoneticPr fontId="3" type="noConversion"/>
  </si>
  <si>
    <t>YTD</t>
  </si>
  <si>
    <t>P&amp;L</t>
  </si>
  <si>
    <t>TYZ1</t>
    <phoneticPr fontId="3" type="noConversion"/>
  </si>
  <si>
    <t>RXZ1</t>
    <phoneticPr fontId="3" type="noConversion"/>
  </si>
  <si>
    <t>TYZ1</t>
    <phoneticPr fontId="3" type="noConversion"/>
  </si>
  <si>
    <t>RXZ1</t>
  </si>
  <si>
    <t>DV01</t>
    <phoneticPr fontId="3" type="noConversion"/>
  </si>
  <si>
    <t>AI</t>
    <phoneticPr fontId="3" type="noConversion"/>
  </si>
  <si>
    <t>Funding</t>
    <phoneticPr fontId="3" type="noConversion"/>
  </si>
  <si>
    <t>Total Carry</t>
    <phoneticPr fontId="3" type="noConversion"/>
  </si>
  <si>
    <t>Carry</t>
    <phoneticPr fontId="3" type="noConversion"/>
  </si>
  <si>
    <t>bonds</t>
    <phoneticPr fontId="3" type="noConversion"/>
  </si>
  <si>
    <t>Cost</t>
    <phoneticPr fontId="3" type="noConversion"/>
  </si>
  <si>
    <t>MKT Price</t>
    <phoneticPr fontId="3" type="noConversion"/>
  </si>
  <si>
    <t xml:space="preserve"> MTM P&amp;L</t>
    <phoneticPr fontId="3" type="noConversion"/>
  </si>
  <si>
    <t>Cost</t>
    <phoneticPr fontId="3" type="noConversion"/>
  </si>
  <si>
    <t>MKT Price</t>
    <phoneticPr fontId="3" type="noConversion"/>
  </si>
  <si>
    <t xml:space="preserve"> MTM P&amp;L</t>
    <phoneticPr fontId="3" type="noConversion"/>
  </si>
  <si>
    <t>closed PX</t>
    <phoneticPr fontId="3" type="noConversion"/>
  </si>
  <si>
    <t>Fritz</t>
    <phoneticPr fontId="3" type="noConversion"/>
  </si>
  <si>
    <t>Hom</t>
    <phoneticPr fontId="3" type="noConversion"/>
  </si>
  <si>
    <t>Elly</t>
    <phoneticPr fontId="3" type="noConversion"/>
  </si>
  <si>
    <t>Ryan</t>
    <phoneticPr fontId="3" type="noConversion"/>
  </si>
  <si>
    <t>Greenland</t>
    <phoneticPr fontId="3" type="noConversion"/>
  </si>
  <si>
    <t>Foreign Currency Bond &amp; Futures Trading Position and P&amp;L Report</t>
    <phoneticPr fontId="3" type="noConversion"/>
  </si>
  <si>
    <t>Trader</t>
    <phoneticPr fontId="3" type="noConversion"/>
  </si>
  <si>
    <t>Notional Amount</t>
    <phoneticPr fontId="3" type="noConversion"/>
  </si>
  <si>
    <t>YTD</t>
    <phoneticPr fontId="3" type="noConversion"/>
  </si>
  <si>
    <t>DTD</t>
    <phoneticPr fontId="3" type="noConversion"/>
  </si>
  <si>
    <t>Realized P&amp;L</t>
    <phoneticPr fontId="3" type="noConversion"/>
  </si>
  <si>
    <t>Unrealized P&amp;L</t>
    <phoneticPr fontId="3" type="noConversion"/>
  </si>
  <si>
    <t>P&amp;L</t>
    <phoneticPr fontId="3" type="noConversion"/>
  </si>
  <si>
    <t>劉瑞洋</t>
    <phoneticPr fontId="3" type="noConversion"/>
  </si>
  <si>
    <t>Futures</t>
    <phoneticPr fontId="3" type="noConversion"/>
  </si>
  <si>
    <t>簡嘉宏</t>
    <phoneticPr fontId="3" type="noConversion"/>
  </si>
  <si>
    <t>陳孟麟</t>
    <phoneticPr fontId="3" type="noConversion"/>
  </si>
  <si>
    <t>CUSIP</t>
    <phoneticPr fontId="3" type="noConversion"/>
  </si>
  <si>
    <t>DV01</t>
    <phoneticPr fontId="3" type="noConversion"/>
  </si>
  <si>
    <t>Ticket Number</t>
    <phoneticPr fontId="3" type="noConversion"/>
  </si>
  <si>
    <t>Ticket Number</t>
    <phoneticPr fontId="3" type="noConversion"/>
  </si>
  <si>
    <t xml:space="preserve"> </t>
    <phoneticPr fontId="3" type="noConversion"/>
  </si>
  <si>
    <t>Step2.Complete Tickets</t>
    <phoneticPr fontId="3" type="noConversion"/>
  </si>
  <si>
    <t>Step4.Calculate Carry</t>
    <phoneticPr fontId="3" type="noConversion"/>
  </si>
  <si>
    <t>日期</t>
    <phoneticPr fontId="3" type="noConversion"/>
  </si>
  <si>
    <r>
      <t>Step1.</t>
    </r>
    <r>
      <rPr>
        <b/>
        <sz val="12"/>
        <color indexed="18"/>
        <rFont val="Arial Unicode MS"/>
        <family val="2"/>
        <charset val="136"/>
      </rPr>
      <t>貼上</t>
    </r>
    <r>
      <rPr>
        <b/>
        <sz val="12"/>
        <color indexed="18"/>
        <rFont val="Arial"/>
        <family val="2"/>
      </rPr>
      <t>YTD</t>
    </r>
    <phoneticPr fontId="3" type="noConversion"/>
  </si>
  <si>
    <t>Step5.Send Report</t>
    <phoneticPr fontId="3" type="noConversion"/>
  </si>
  <si>
    <t>Price</t>
    <phoneticPr fontId="3" type="noConversion"/>
  </si>
  <si>
    <t>Aaron</t>
    <phoneticPr fontId="3" type="noConversion"/>
  </si>
  <si>
    <t>Send to:</t>
    <phoneticPr fontId="3" type="noConversion"/>
  </si>
  <si>
    <t>CC to:</t>
    <phoneticPr fontId="3" type="noConversion"/>
  </si>
  <si>
    <t xml:space="preserve"> </t>
    <phoneticPr fontId="3" type="noConversion"/>
  </si>
  <si>
    <t>Gary</t>
    <phoneticPr fontId="3" type="noConversion"/>
  </si>
  <si>
    <t>Futures</t>
    <phoneticPr fontId="3" type="noConversion"/>
  </si>
  <si>
    <t>吳文祺</t>
    <phoneticPr fontId="3" type="noConversion"/>
  </si>
  <si>
    <t>TXH3</t>
    <phoneticPr fontId="3" type="noConversion"/>
  </si>
  <si>
    <t>OEM3</t>
    <phoneticPr fontId="3" type="noConversion"/>
  </si>
  <si>
    <t>DUM3</t>
    <phoneticPr fontId="3" type="noConversion"/>
  </si>
  <si>
    <t>OEU3</t>
    <phoneticPr fontId="3" type="noConversion"/>
  </si>
  <si>
    <t>DUU3</t>
    <phoneticPr fontId="3" type="noConversion"/>
  </si>
  <si>
    <t>OEZ3</t>
    <phoneticPr fontId="3" type="noConversion"/>
  </si>
  <si>
    <t>DUZ3</t>
    <phoneticPr fontId="3" type="noConversion"/>
  </si>
  <si>
    <t>TUU0</t>
    <phoneticPr fontId="3" type="noConversion"/>
  </si>
  <si>
    <t>RXH3</t>
  </si>
  <si>
    <t>Issuer  (Trader)</t>
    <phoneticPr fontId="3" type="noConversion"/>
  </si>
  <si>
    <t>Trade Date</t>
    <phoneticPr fontId="3" type="noConversion"/>
  </si>
  <si>
    <t>closed date</t>
    <phoneticPr fontId="3" type="noConversion"/>
  </si>
  <si>
    <t>closed ticket no.</t>
    <phoneticPr fontId="3" type="noConversion"/>
  </si>
  <si>
    <t>Maturity</t>
    <phoneticPr fontId="3" type="noConversion"/>
  </si>
  <si>
    <t>DV01</t>
    <phoneticPr fontId="3" type="noConversion"/>
  </si>
  <si>
    <t>Ticket Number</t>
    <phoneticPr fontId="3" type="noConversion"/>
  </si>
  <si>
    <t>Cost</t>
    <phoneticPr fontId="3" type="noConversion"/>
  </si>
  <si>
    <t>MKT Price</t>
    <phoneticPr fontId="3" type="noConversion"/>
  </si>
  <si>
    <t xml:space="preserve"> MTM P&amp;L</t>
    <phoneticPr fontId="3" type="noConversion"/>
  </si>
  <si>
    <t>total</t>
    <phoneticPr fontId="3" type="noConversion"/>
  </si>
  <si>
    <t>EUR Futures</t>
    <phoneticPr fontId="3" type="noConversion"/>
  </si>
  <si>
    <t>Issuer  (Trader)</t>
    <phoneticPr fontId="3" type="noConversion"/>
  </si>
  <si>
    <t>Trade Date</t>
    <phoneticPr fontId="3" type="noConversion"/>
  </si>
  <si>
    <t>closed date</t>
    <phoneticPr fontId="3" type="noConversion"/>
  </si>
  <si>
    <t>closed ticket no.</t>
    <phoneticPr fontId="3" type="noConversion"/>
  </si>
  <si>
    <t>Maturity</t>
    <phoneticPr fontId="3" type="noConversion"/>
  </si>
  <si>
    <t>DV01</t>
    <phoneticPr fontId="3" type="noConversion"/>
  </si>
  <si>
    <t>Ticket Number</t>
    <phoneticPr fontId="3" type="noConversion"/>
  </si>
  <si>
    <t>Cost</t>
    <phoneticPr fontId="3" type="noConversion"/>
  </si>
  <si>
    <t>MKT Price</t>
    <phoneticPr fontId="3" type="noConversion"/>
  </si>
  <si>
    <t xml:space="preserve"> MTM P&amp;L</t>
    <phoneticPr fontId="3" type="noConversion"/>
  </si>
  <si>
    <t xml:space="preserve"> </t>
    <phoneticPr fontId="3" type="noConversion"/>
  </si>
  <si>
    <t>OEH4</t>
  </si>
  <si>
    <t>OEH4</t>
    <phoneticPr fontId="3" type="noConversion"/>
  </si>
  <si>
    <t>DUH4</t>
    <phoneticPr fontId="3" type="noConversion"/>
  </si>
  <si>
    <t>DUH4</t>
    <phoneticPr fontId="3" type="noConversion"/>
  </si>
  <si>
    <t>912828B667</t>
  </si>
  <si>
    <t xml:space="preserve"> </t>
  </si>
  <si>
    <t>US912810RH32</t>
    <phoneticPr fontId="3" type="noConversion"/>
  </si>
  <si>
    <t>US912828D564</t>
    <phoneticPr fontId="3" type="noConversion"/>
  </si>
  <si>
    <t>Carry紀錄</t>
    <phoneticPr fontId="3" type="noConversion"/>
  </si>
  <si>
    <t>SUM</t>
    <phoneticPr fontId="3" type="noConversion"/>
  </si>
  <si>
    <t>Carry紀錄</t>
    <phoneticPr fontId="3" type="noConversion"/>
  </si>
  <si>
    <t>SUM</t>
    <phoneticPr fontId="3" type="noConversion"/>
  </si>
  <si>
    <t>US912828UL23</t>
    <phoneticPr fontId="3" type="noConversion"/>
  </si>
  <si>
    <t>US912810RP57</t>
    <phoneticPr fontId="3" type="noConversion"/>
  </si>
  <si>
    <t>US912828R770</t>
    <phoneticPr fontId="3" type="noConversion"/>
  </si>
  <si>
    <t>US912828R697</t>
  </si>
  <si>
    <t>US912810RS96</t>
  </si>
  <si>
    <t>US912828R770</t>
  </si>
  <si>
    <t>Lots</t>
    <phoneticPr fontId="3" type="noConversion"/>
  </si>
  <si>
    <t>AI</t>
    <phoneticPr fontId="3" type="noConversion"/>
  </si>
  <si>
    <t>CAPITAL</t>
  </si>
  <si>
    <t>closed ticket no.</t>
    <phoneticPr fontId="3" type="noConversion"/>
  </si>
  <si>
    <t>湯千慧</t>
    <phoneticPr fontId="3" type="noConversion"/>
  </si>
  <si>
    <t>Acruled AI</t>
    <phoneticPr fontId="3" type="noConversion"/>
  </si>
  <si>
    <t>RXU7</t>
  </si>
  <si>
    <t>Gary</t>
    <phoneticPr fontId="3" type="noConversion"/>
  </si>
  <si>
    <t>RXZ7</t>
    <phoneticPr fontId="3" type="noConversion"/>
  </si>
  <si>
    <t>RXH8</t>
  </si>
  <si>
    <t>RXH8</t>
    <phoneticPr fontId="3" type="noConversion"/>
  </si>
  <si>
    <t>US9128284A52</t>
    <phoneticPr fontId="3" type="noConversion"/>
  </si>
  <si>
    <t>settlementdate</t>
    <phoneticPr fontId="3" type="noConversion"/>
  </si>
  <si>
    <t>RXM8</t>
    <phoneticPr fontId="3" type="noConversion"/>
  </si>
  <si>
    <t>US9128284N73</t>
    <phoneticPr fontId="3" type="noConversion"/>
  </si>
  <si>
    <t>RXH8</t>
    <phoneticPr fontId="3" type="noConversion"/>
  </si>
  <si>
    <t>US912810SC36</t>
  </si>
  <si>
    <t>CNY cash bond</t>
    <phoneticPr fontId="3" type="noConversion"/>
  </si>
  <si>
    <t>CNY</t>
    <phoneticPr fontId="3" type="noConversion"/>
  </si>
  <si>
    <t>CNY CASH BOND</t>
    <phoneticPr fontId="3" type="noConversion"/>
  </si>
  <si>
    <t>簡嘉宏</t>
    <phoneticPr fontId="3" type="noConversion"/>
  </si>
  <si>
    <t>林燈煤</t>
    <phoneticPr fontId="3" type="noConversion"/>
  </si>
  <si>
    <t>徐偉祐</t>
    <phoneticPr fontId="3" type="noConversion"/>
  </si>
  <si>
    <t>吳文祺</t>
    <phoneticPr fontId="3" type="noConversion"/>
  </si>
  <si>
    <t>CNY CASH BOND</t>
    <phoneticPr fontId="3" type="noConversion"/>
  </si>
  <si>
    <t>CNY</t>
    <phoneticPr fontId="3" type="noConversion"/>
  </si>
  <si>
    <t>USD/CNH</t>
    <phoneticPr fontId="3" type="noConversion"/>
  </si>
  <si>
    <t>total</t>
    <phoneticPr fontId="3" type="noConversion"/>
  </si>
  <si>
    <t>Mark</t>
    <phoneticPr fontId="3" type="noConversion"/>
  </si>
  <si>
    <t>王信閎</t>
    <phoneticPr fontId="3" type="noConversion"/>
  </si>
  <si>
    <t>王信閎</t>
    <phoneticPr fontId="3" type="noConversion"/>
  </si>
  <si>
    <t>US9128286R69</t>
    <phoneticPr fontId="3" type="noConversion"/>
  </si>
  <si>
    <t>RXZ1</t>
    <phoneticPr fontId="3" type="noConversion"/>
  </si>
  <si>
    <t>RXU9</t>
    <phoneticPr fontId="3" type="noConversion"/>
  </si>
  <si>
    <t>RXU9</t>
    <phoneticPr fontId="3" type="noConversion"/>
  </si>
  <si>
    <t>RXU9</t>
    <phoneticPr fontId="3" type="noConversion"/>
  </si>
  <si>
    <t>陳韻安</t>
    <phoneticPr fontId="3" type="noConversion"/>
  </si>
  <si>
    <t/>
  </si>
  <si>
    <t>2020/02/10</t>
  </si>
  <si>
    <t>Cindy</t>
    <phoneticPr fontId="3" type="noConversion"/>
  </si>
  <si>
    <t>湯千慧</t>
    <phoneticPr fontId="3" type="noConversion"/>
  </si>
  <si>
    <t>CNY cash bond (CCY:CNY)</t>
    <phoneticPr fontId="3" type="noConversion"/>
  </si>
  <si>
    <t>湯千慧</t>
    <phoneticPr fontId="3" type="noConversion"/>
  </si>
  <si>
    <t>陳韻安</t>
    <phoneticPr fontId="3" type="noConversion"/>
  </si>
  <si>
    <t>US912828Z948</t>
  </si>
  <si>
    <t>ADJ</t>
    <phoneticPr fontId="3" type="noConversion"/>
  </si>
  <si>
    <t>ADJ</t>
    <phoneticPr fontId="3" type="noConversion"/>
  </si>
  <si>
    <t>ADJ</t>
    <phoneticPr fontId="3" type="noConversion"/>
  </si>
  <si>
    <t>ADJ</t>
    <phoneticPr fontId="3" type="noConversion"/>
  </si>
  <si>
    <t>2020/03/09</t>
  </si>
  <si>
    <t>2020030900083</t>
  </si>
  <si>
    <t>2020030900084</t>
  </si>
  <si>
    <t>CND10002HX17</t>
  </si>
  <si>
    <t>百元報價</t>
    <phoneticPr fontId="3" type="noConversion"/>
  </si>
  <si>
    <t>FBD3605</t>
    <phoneticPr fontId="3" type="noConversion"/>
  </si>
  <si>
    <t>CNY cash bond</t>
    <phoneticPr fontId="3" type="noConversion"/>
  </si>
  <si>
    <t>Code</t>
    <phoneticPr fontId="3" type="noConversion"/>
  </si>
  <si>
    <t>2020/05/13</t>
  </si>
  <si>
    <t>2020/05/14</t>
  </si>
  <si>
    <t>2020051300004</t>
  </si>
  <si>
    <t>2020051400006</t>
  </si>
  <si>
    <t>CND100036Q75</t>
  </si>
  <si>
    <t>XS1432570700</t>
  </si>
  <si>
    <t>CND10000LTH1</t>
  </si>
  <si>
    <t>CND100034271</t>
  </si>
  <si>
    <t>XS22088435203</t>
  </si>
  <si>
    <t>CND10003BX04</t>
  </si>
  <si>
    <t>王信閎</t>
    <phoneticPr fontId="3" type="noConversion"/>
  </si>
  <si>
    <t>2020/08/27</t>
  </si>
  <si>
    <t>2020082700017</t>
  </si>
  <si>
    <t>RXH8</t>
    <phoneticPr fontId="3" type="noConversion"/>
  </si>
  <si>
    <t>XS2225790588</t>
  </si>
  <si>
    <t>ADJ</t>
    <phoneticPr fontId="3" type="noConversion"/>
  </si>
  <si>
    <t>ADJ</t>
    <phoneticPr fontId="3" type="noConversion"/>
  </si>
  <si>
    <t>XS2243171233</t>
  </si>
  <si>
    <t>XS2227193054</t>
  </si>
  <si>
    <t>XS1641476657</t>
  </si>
  <si>
    <t>XS1641476657</t>
    <phoneticPr fontId="3" type="noConversion"/>
  </si>
  <si>
    <t>2020/11/04</t>
  </si>
  <si>
    <t>2020110400018</t>
  </si>
  <si>
    <t>XS1982691070</t>
    <phoneticPr fontId="3" type="noConversion"/>
  </si>
  <si>
    <t>XS1982691070</t>
    <phoneticPr fontId="3" type="noConversion"/>
  </si>
  <si>
    <t>XS1720540134</t>
    <phoneticPr fontId="3" type="noConversion"/>
  </si>
  <si>
    <t>XS1720540134</t>
    <phoneticPr fontId="3" type="noConversion"/>
  </si>
  <si>
    <t>XS2027381255</t>
    <phoneticPr fontId="3" type="noConversion"/>
  </si>
  <si>
    <t>XS2027381255</t>
    <phoneticPr fontId="3" type="noConversion"/>
  </si>
  <si>
    <t>US91282CAV37</t>
  </si>
  <si>
    <t>XS2027381255</t>
    <phoneticPr fontId="3" type="noConversion"/>
  </si>
  <si>
    <t>XS2027381255</t>
    <phoneticPr fontId="3" type="noConversion"/>
  </si>
  <si>
    <t>TYH1</t>
  </si>
  <si>
    <t>XS1787370235</t>
    <phoneticPr fontId="3" type="noConversion"/>
  </si>
  <si>
    <t xml:space="preserve">XS1832452103 </t>
  </si>
  <si>
    <t>XS1982691153</t>
  </si>
  <si>
    <t>XS1982691153</t>
    <phoneticPr fontId="3" type="noConversion"/>
  </si>
  <si>
    <t>USH1</t>
  </si>
  <si>
    <t>CND10001WKP8</t>
    <phoneticPr fontId="3" type="noConversion"/>
  </si>
  <si>
    <t>CND10001WKP8</t>
    <phoneticPr fontId="3" type="noConversion"/>
  </si>
  <si>
    <t>CND10001WKP8</t>
    <phoneticPr fontId="3" type="noConversion"/>
  </si>
  <si>
    <t>CND10001YC04</t>
    <phoneticPr fontId="3" type="noConversion"/>
  </si>
  <si>
    <t>CND10003VNX4</t>
    <phoneticPr fontId="3" type="noConversion"/>
  </si>
  <si>
    <t>CND10003VNW6</t>
  </si>
  <si>
    <t>XS2279820125</t>
  </si>
  <si>
    <t>XS2279820125</t>
    <phoneticPr fontId="3" type="noConversion"/>
  </si>
  <si>
    <t>2021/01/13</t>
  </si>
  <si>
    <t>2021011300006</t>
  </si>
  <si>
    <t>XS2279870575</t>
    <phoneticPr fontId="3" type="noConversion"/>
  </si>
  <si>
    <t>XS2279870575</t>
    <phoneticPr fontId="3" type="noConversion"/>
  </si>
  <si>
    <t>XS2227193211</t>
    <phoneticPr fontId="3" type="noConversion"/>
  </si>
  <si>
    <t>XS2227193211</t>
    <phoneticPr fontId="3" type="noConversion"/>
  </si>
  <si>
    <t>XS2287744218</t>
    <phoneticPr fontId="3" type="noConversion"/>
  </si>
  <si>
    <t>XS2287744218</t>
    <phoneticPr fontId="3" type="noConversion"/>
  </si>
  <si>
    <t>CND10001YC04</t>
  </si>
  <si>
    <t>USD CASH BOND</t>
    <phoneticPr fontId="3" type="noConversion"/>
  </si>
  <si>
    <t>CND10003VNX4</t>
  </si>
  <si>
    <t>XS1612095387</t>
  </si>
  <si>
    <t>XS1635993097</t>
    <phoneticPr fontId="3" type="noConversion"/>
  </si>
  <si>
    <t>XS1635993097</t>
    <phoneticPr fontId="3" type="noConversion"/>
  </si>
  <si>
    <t>劉彥廷</t>
    <phoneticPr fontId="3" type="noConversion"/>
  </si>
  <si>
    <t>劉彥廷</t>
    <phoneticPr fontId="3" type="noConversion"/>
  </si>
  <si>
    <t>XS2287744218</t>
  </si>
  <si>
    <t>XS2057847050</t>
    <phoneticPr fontId="3" type="noConversion"/>
  </si>
  <si>
    <t>XS2057847050</t>
    <phoneticPr fontId="3" type="noConversion"/>
  </si>
  <si>
    <t>2021/02/03</t>
  </si>
  <si>
    <t>2021020300007</t>
  </si>
  <si>
    <t>AUD cash bond</t>
    <phoneticPr fontId="3" type="noConversion"/>
  </si>
  <si>
    <t>AUD cash bond</t>
    <phoneticPr fontId="3" type="noConversion"/>
  </si>
  <si>
    <t xml:space="preserve">AU3FN0057709 </t>
  </si>
  <si>
    <t xml:space="preserve">AU3FN0057709 </t>
    <phoneticPr fontId="3" type="noConversion"/>
  </si>
  <si>
    <t>USM1</t>
  </si>
  <si>
    <t>TYM1</t>
  </si>
  <si>
    <t>CND10003R702</t>
  </si>
  <si>
    <t>2021/02/26</t>
  </si>
  <si>
    <t>2021022600032</t>
  </si>
  <si>
    <t>2021/03/01</t>
  </si>
  <si>
    <t>2021030100012</t>
  </si>
  <si>
    <t>2021030100014</t>
  </si>
  <si>
    <t>2021/03/02</t>
  </si>
  <si>
    <t>2021030200008</t>
  </si>
  <si>
    <t>2021/03/03</t>
  </si>
  <si>
    <t>2021030300013</t>
  </si>
  <si>
    <t>(國債)180208</t>
  </si>
  <si>
    <t>(CCB HK)</t>
  </si>
  <si>
    <t>(國債)200006</t>
  </si>
  <si>
    <t>中國工商/杜拜</t>
  </si>
  <si>
    <t>(農發)200404</t>
  </si>
  <si>
    <t>(國開)200210</t>
  </si>
  <si>
    <t>ICBC AS1</t>
  </si>
  <si>
    <t>AGRBK</t>
  </si>
  <si>
    <t>BOCOM(Float)</t>
  </si>
  <si>
    <t>BCHINA(Float)</t>
  </si>
  <si>
    <t>ICBCAS (Float)</t>
  </si>
  <si>
    <t>XS1982691070</t>
  </si>
  <si>
    <t>XS1720540134</t>
  </si>
  <si>
    <t>AGRBK(Foat)</t>
  </si>
  <si>
    <t>XS2027381255</t>
  </si>
  <si>
    <t>杜拜中國</t>
  </si>
  <si>
    <t>XS1787370235</t>
  </si>
  <si>
    <t>(SDBC)190202</t>
  </si>
  <si>
    <t>CND10001WKP8</t>
  </si>
  <si>
    <t>(國債)190003</t>
  </si>
  <si>
    <t>CND10001ZC60</t>
  </si>
  <si>
    <t>(國債)200015</t>
  </si>
  <si>
    <t>(進出口)190303</t>
  </si>
  <si>
    <t>(國債)200016</t>
  </si>
  <si>
    <t>AGRBK 2024</t>
  </si>
  <si>
    <t>BCNINA</t>
  </si>
  <si>
    <t>XS2279870575</t>
  </si>
  <si>
    <t>BOCOMM</t>
  </si>
  <si>
    <t>XS2227193211</t>
  </si>
  <si>
    <t>QNBK(卡達)</t>
  </si>
  <si>
    <t>XS1635993097</t>
  </si>
  <si>
    <t>BCHINA 101722</t>
  </si>
  <si>
    <t>XS2057847050</t>
  </si>
  <si>
    <t>(國債)200013</t>
  </si>
  <si>
    <t>2021/03/09</t>
  </si>
  <si>
    <t>2021030900015</t>
  </si>
  <si>
    <t>2021/03/12</t>
  </si>
  <si>
    <t>2021031200014</t>
  </si>
  <si>
    <t>2021/03/19</t>
  </si>
  <si>
    <t>2021031900022</t>
  </si>
  <si>
    <t>2021/03/22</t>
  </si>
  <si>
    <t>2021032200010</t>
  </si>
  <si>
    <t>2021/03/23</t>
  </si>
  <si>
    <t>2021032300008</t>
  </si>
  <si>
    <t>2021/03/24</t>
  </si>
  <si>
    <t>2021032400035</t>
  </si>
  <si>
    <t>pete.wu</t>
    <phoneticPr fontId="3" type="noConversion"/>
  </si>
  <si>
    <t>Pete</t>
    <phoneticPr fontId="3" type="noConversion"/>
  </si>
  <si>
    <t>吳丕雄</t>
  </si>
  <si>
    <t>吳丕雄</t>
    <phoneticPr fontId="3" type="noConversion"/>
  </si>
  <si>
    <r>
      <t>Pete</t>
    </r>
    <r>
      <rPr>
        <sz val="10"/>
        <color indexed="61"/>
        <rFont val="細明體"/>
        <family val="3"/>
        <charset val="136"/>
      </rPr>
      <t>從此列開始</t>
    </r>
    <phoneticPr fontId="3" type="noConversion"/>
  </si>
  <si>
    <t>FVM1</t>
  </si>
  <si>
    <t xml:space="preserve">XS2331713011 </t>
  </si>
  <si>
    <t>XS1599276794</t>
  </si>
  <si>
    <t>CND10003RVZ0</t>
  </si>
  <si>
    <t>TYU1</t>
  </si>
  <si>
    <t>2021/05/28</t>
  </si>
  <si>
    <t>USU1</t>
  </si>
  <si>
    <t>2021052800008</t>
  </si>
  <si>
    <t>FVU1</t>
  </si>
  <si>
    <t>#N/A N/A</t>
  </si>
  <si>
    <t>2021/06/23</t>
  </si>
  <si>
    <t>2021062300007</t>
  </si>
  <si>
    <t>上一次結帳</t>
    <phoneticPr fontId="3" type="noConversion"/>
  </si>
  <si>
    <t>(國開)200215</t>
    <phoneticPr fontId="3" type="noConversion"/>
  </si>
  <si>
    <t>CND1000446L3</t>
  </si>
  <si>
    <t>CND1000446L3</t>
    <phoneticPr fontId="3" type="noConversion"/>
  </si>
  <si>
    <t>CND10001YC04</t>
    <phoneticPr fontId="3" type="noConversion"/>
  </si>
  <si>
    <t>USZ1</t>
  </si>
  <si>
    <t>TYZ1</t>
  </si>
  <si>
    <t>FVZ1</t>
  </si>
  <si>
    <t>(國開)190205</t>
    <phoneticPr fontId="3" type="noConversion"/>
  </si>
  <si>
    <t>CND10001WKZ7</t>
  </si>
  <si>
    <t>CND10001WKZ7</t>
    <phoneticPr fontId="3" type="noConversion"/>
  </si>
  <si>
    <t>TUZ1</t>
  </si>
  <si>
    <t>2021/09/03</t>
  </si>
  <si>
    <t>2021090300008</t>
  </si>
  <si>
    <t>(國開)210205</t>
    <phoneticPr fontId="3" type="noConversion"/>
  </si>
  <si>
    <t>2021/09/17</t>
  </si>
  <si>
    <t>2021091700031</t>
  </si>
  <si>
    <t>CND1000446L3</t>
    <phoneticPr fontId="3" type="noConversion"/>
  </si>
  <si>
    <t>EDH3</t>
  </si>
  <si>
    <t>EDH3</t>
    <phoneticPr fontId="3" type="noConversion"/>
  </si>
  <si>
    <t>2021/11/26</t>
  </si>
  <si>
    <t>TYH2</t>
  </si>
  <si>
    <t>2021112600023</t>
  </si>
  <si>
    <t>FVH2</t>
  </si>
  <si>
    <t>TUH2</t>
  </si>
  <si>
    <t>2021/11/30</t>
  </si>
  <si>
    <t>2021113000038</t>
  </si>
  <si>
    <t>2021/12/07</t>
  </si>
  <si>
    <t>2021120700007</t>
  </si>
  <si>
    <t>2021120700008</t>
  </si>
  <si>
    <t>2021120700009</t>
  </si>
  <si>
    <t>2021/12/06</t>
  </si>
  <si>
    <t>2021120600040</t>
  </si>
  <si>
    <t>2021/12/08</t>
  </si>
  <si>
    <t>2021/12/09</t>
  </si>
  <si>
    <t>2021120800008</t>
  </si>
  <si>
    <t>2021120900005</t>
  </si>
  <si>
    <t>2021/12/22</t>
  </si>
  <si>
    <t>2021122200006</t>
  </si>
  <si>
    <t>2021/12/29</t>
  </si>
  <si>
    <t>2021122900024</t>
  </si>
  <si>
    <t>2022/01/19</t>
  </si>
  <si>
    <t>2022011900016</t>
  </si>
  <si>
    <t>2022011900017</t>
  </si>
  <si>
    <t>2022/01/21</t>
  </si>
  <si>
    <t>2022012100051</t>
  </si>
  <si>
    <t>jesse.chou</t>
    <phoneticPr fontId="3" type="noConversion"/>
  </si>
  <si>
    <t>Step4</t>
    <phoneticPr fontId="3" type="noConversion"/>
  </si>
  <si>
    <t>Jesse</t>
    <phoneticPr fontId="3" type="noConversion"/>
  </si>
  <si>
    <t>Roger</t>
    <phoneticPr fontId="3" type="noConversion"/>
  </si>
  <si>
    <t>陳韻安</t>
    <phoneticPr fontId="3" type="noConversion"/>
  </si>
  <si>
    <t>CND100029N93</t>
    <phoneticPr fontId="3" type="noConversion"/>
  </si>
  <si>
    <t>CND100029N93</t>
  </si>
  <si>
    <t>周伯彥</t>
    <phoneticPr fontId="3" type="noConversion"/>
  </si>
  <si>
    <t>TYM2</t>
    <phoneticPr fontId="3" type="noConversion"/>
  </si>
  <si>
    <t>2022/02/17</t>
  </si>
  <si>
    <t>2022/02/18</t>
  </si>
  <si>
    <t>2022021800006</t>
  </si>
  <si>
    <t>2022021700034</t>
  </si>
  <si>
    <t>TYM2</t>
  </si>
  <si>
    <t>FVM2</t>
  </si>
  <si>
    <t>2022/02/24</t>
  </si>
  <si>
    <t>2022022400013</t>
  </si>
  <si>
    <t>2022022400023</t>
  </si>
  <si>
    <t>2022/02/25</t>
  </si>
  <si>
    <t>2022022500028</t>
  </si>
  <si>
    <t>2022/02/28</t>
  </si>
  <si>
    <t>2022022800014</t>
  </si>
  <si>
    <t>2022022500046</t>
  </si>
  <si>
    <t>2022/03/03</t>
  </si>
  <si>
    <t>2022030300016</t>
  </si>
  <si>
    <t>2022/03/10</t>
  </si>
  <si>
    <t>2022031000035</t>
  </si>
  <si>
    <t>2022031000029</t>
  </si>
  <si>
    <t>USM2</t>
  </si>
  <si>
    <t>2022/03/21</t>
  </si>
  <si>
    <t>2022032100002</t>
  </si>
  <si>
    <t>2022/03/30</t>
  </si>
  <si>
    <t>2022033000010</t>
  </si>
  <si>
    <t>2022/04/06</t>
  </si>
  <si>
    <t>2022040600015</t>
  </si>
  <si>
    <t>TYU2</t>
  </si>
  <si>
    <t>USU2</t>
    <phoneticPr fontId="3" type="noConversion"/>
  </si>
  <si>
    <t>USU2</t>
  </si>
  <si>
    <t>TUU2</t>
  </si>
  <si>
    <t>FVU2</t>
  </si>
  <si>
    <t>2022/06/16</t>
  </si>
  <si>
    <t>2022061600016</t>
  </si>
  <si>
    <t>2022/06/21</t>
  </si>
  <si>
    <t>2022062100023</t>
  </si>
  <si>
    <t>2022/06/28</t>
  </si>
  <si>
    <t>2022062800006</t>
  </si>
  <si>
    <t>2022/08/08</t>
  </si>
  <si>
    <t>2022080800033</t>
  </si>
  <si>
    <t>2022/08/16</t>
  </si>
  <si>
    <t>2022081600051</t>
  </si>
  <si>
    <t>2022081600042</t>
  </si>
  <si>
    <t>TYZ2</t>
  </si>
  <si>
    <t>2022/08/18</t>
  </si>
  <si>
    <t>TUZ2</t>
  </si>
  <si>
    <t>TYZ2</t>
    <phoneticPr fontId="3" type="noConversion"/>
  </si>
  <si>
    <t>2022081800185</t>
  </si>
  <si>
    <t>FVZ2</t>
  </si>
  <si>
    <t>USZ2</t>
  </si>
  <si>
    <t>Step3</t>
    <phoneticPr fontId="3" type="noConversion"/>
  </si>
  <si>
    <t>2022/09/29</t>
  </si>
  <si>
    <t>2022092900151</t>
  </si>
  <si>
    <t>王珮倫</t>
    <phoneticPr fontId="3" type="noConversion"/>
  </si>
  <si>
    <t>peggy.wang</t>
    <phoneticPr fontId="3" type="noConversion"/>
  </si>
  <si>
    <t>2022/10/12</t>
  </si>
  <si>
    <t>2022101200104</t>
  </si>
  <si>
    <t>(國開)190210 CN</t>
    <phoneticPr fontId="3" type="noConversion"/>
  </si>
  <si>
    <t>2022/10/25</t>
  </si>
  <si>
    <t>2022102500118</t>
  </si>
  <si>
    <t>2022102500124</t>
  </si>
  <si>
    <t>2022102500102</t>
  </si>
  <si>
    <t>2022102500103</t>
  </si>
  <si>
    <t>John</t>
    <phoneticPr fontId="3" type="noConversion"/>
  </si>
  <si>
    <t>Anne</t>
    <phoneticPr fontId="3" type="noConversion"/>
  </si>
  <si>
    <t>Cindy</t>
    <phoneticPr fontId="3" type="noConversion"/>
  </si>
  <si>
    <t>Mark</t>
    <phoneticPr fontId="3" type="noConversion"/>
  </si>
  <si>
    <t>Aaron</t>
    <phoneticPr fontId="3" type="noConversion"/>
  </si>
  <si>
    <t>Roger</t>
    <phoneticPr fontId="3" type="noConversion"/>
  </si>
  <si>
    <t>Gary</t>
    <phoneticPr fontId="3" type="noConversion"/>
  </si>
  <si>
    <t>TYH3</t>
  </si>
  <si>
    <t>2022/11/22</t>
  </si>
  <si>
    <t>FVH3</t>
  </si>
  <si>
    <t>2022112200026</t>
  </si>
  <si>
    <t>USH3</t>
    <phoneticPr fontId="3" type="noConversion"/>
  </si>
  <si>
    <t>FVH3</t>
    <phoneticPr fontId="3" type="noConversion"/>
  </si>
  <si>
    <t>TYH3</t>
    <phoneticPr fontId="3" type="noConversion"/>
  </si>
  <si>
    <t>FVH3</t>
    <phoneticPr fontId="3" type="noConversion"/>
  </si>
  <si>
    <t>TUH3</t>
    <phoneticPr fontId="3" type="noConversion"/>
  </si>
  <si>
    <t>KGI</t>
  </si>
  <si>
    <t>TUH3</t>
  </si>
  <si>
    <t>USH3</t>
    <phoneticPr fontId="3" type="noConversion"/>
  </si>
  <si>
    <t>TYH3</t>
    <phoneticPr fontId="3" type="noConversion"/>
  </si>
  <si>
    <t>TUH3</t>
    <phoneticPr fontId="3" type="noConversion"/>
  </si>
  <si>
    <t>TYM3</t>
  </si>
  <si>
    <t>TYM3</t>
    <phoneticPr fontId="3" type="noConversion"/>
  </si>
  <si>
    <t>TYM3</t>
    <phoneticPr fontId="3" type="noConversion"/>
  </si>
  <si>
    <t>USM3</t>
    <phoneticPr fontId="3" type="noConversion"/>
  </si>
  <si>
    <t>FVM3</t>
  </si>
  <si>
    <t>FVM3</t>
    <phoneticPr fontId="3" type="noConversion"/>
  </si>
  <si>
    <t>TUM3</t>
    <phoneticPr fontId="3" type="noConversion"/>
  </si>
  <si>
    <t>USU3</t>
    <phoneticPr fontId="3" type="noConversion"/>
  </si>
  <si>
    <t>TYU3</t>
    <phoneticPr fontId="3" type="noConversion"/>
  </si>
  <si>
    <t>FVU3</t>
    <phoneticPr fontId="3" type="noConversion"/>
  </si>
  <si>
    <t>TUU3</t>
    <phoneticPr fontId="3" type="noConversion"/>
  </si>
  <si>
    <t>USZ3</t>
    <phoneticPr fontId="3" type="noConversion"/>
  </si>
  <si>
    <t>TYZ3</t>
    <phoneticPr fontId="3" type="noConversion"/>
  </si>
  <si>
    <t>FVZ3</t>
    <phoneticPr fontId="3" type="noConversion"/>
  </si>
  <si>
    <t>TUZ3</t>
    <phoneticPr fontId="3" type="noConversion"/>
  </si>
  <si>
    <t>TYH3</t>
    <phoneticPr fontId="3" type="noConversion"/>
  </si>
  <si>
    <t>TYH3</t>
    <phoneticPr fontId="3" type="noConversion"/>
  </si>
  <si>
    <t>FVM3</t>
    <phoneticPr fontId="3" type="noConversion"/>
  </si>
  <si>
    <t>FVM3</t>
    <phoneticPr fontId="3" type="noConversion"/>
  </si>
  <si>
    <t>USH3</t>
  </si>
  <si>
    <t>MQGAU Float 12/09/25</t>
    <phoneticPr fontId="3" type="noConversion"/>
  </si>
  <si>
    <t>2022/12/20</t>
  </si>
  <si>
    <t>2022122000064</t>
  </si>
  <si>
    <t>2022/12/22</t>
  </si>
  <si>
    <t>2022122200005</t>
  </si>
  <si>
    <t>2022122200023</t>
  </si>
  <si>
    <t>2022122200024</t>
  </si>
  <si>
    <t>2022/12/28</t>
  </si>
  <si>
    <t>2022122800014</t>
  </si>
  <si>
    <t>2022/12/29</t>
  </si>
  <si>
    <t>2022122900024</t>
  </si>
  <si>
    <t>EUR/USD</t>
    <phoneticPr fontId="3" type="noConversion"/>
  </si>
  <si>
    <t>王珮倫</t>
    <phoneticPr fontId="3" type="noConversion"/>
  </si>
  <si>
    <t>Peggy</t>
    <phoneticPr fontId="3" type="noConversion"/>
  </si>
  <si>
    <t>2022/12/30</t>
  </si>
  <si>
    <t>2022123000006</t>
  </si>
  <si>
    <t>Peggy</t>
    <phoneticPr fontId="3" type="noConversion"/>
  </si>
  <si>
    <t>2023/01/03</t>
  </si>
  <si>
    <t>2023010300045</t>
  </si>
  <si>
    <t>2023010300061</t>
  </si>
  <si>
    <t>2023010300056</t>
  </si>
  <si>
    <t>2023010300059</t>
  </si>
  <si>
    <t>2023010300052</t>
  </si>
  <si>
    <t>2023010300055</t>
  </si>
  <si>
    <t>2023/01/04</t>
  </si>
  <si>
    <t>2023010400007</t>
  </si>
  <si>
    <t>2023010300049</t>
  </si>
  <si>
    <t>2023010300050</t>
  </si>
  <si>
    <t>2023010400011</t>
  </si>
  <si>
    <t>2023010400055</t>
  </si>
  <si>
    <t>2023010400056</t>
  </si>
  <si>
    <t>2023010400082</t>
  </si>
  <si>
    <t>2023010400066</t>
  </si>
  <si>
    <t>2023010400083</t>
  </si>
  <si>
    <t>2023010400068</t>
  </si>
  <si>
    <t>2023010400069</t>
  </si>
  <si>
    <t>2023010400070</t>
  </si>
  <si>
    <t>2023010400071</t>
  </si>
  <si>
    <t>2023010400072</t>
  </si>
  <si>
    <t>2023010400076</t>
  </si>
  <si>
    <t>2023010400067</t>
  </si>
  <si>
    <t>2023010400078</t>
  </si>
  <si>
    <t>2023/01/05</t>
  </si>
  <si>
    <t>2023010500010</t>
  </si>
  <si>
    <t>2023010500011</t>
  </si>
  <si>
    <r>
      <t>Step3.Update Market Data and</t>
    </r>
    <r>
      <rPr>
        <b/>
        <sz val="12"/>
        <color rgb="FFFF0000"/>
        <rFont val="Arial"/>
        <family val="2"/>
      </rPr>
      <t xml:space="preserve"> "FX Rate"</t>
    </r>
    <phoneticPr fontId="3" type="noConversion"/>
  </si>
  <si>
    <t>FX Rate</t>
    <phoneticPr fontId="3" type="noConversion"/>
  </si>
  <si>
    <t>2023010500046</t>
  </si>
  <si>
    <t>2023010500047</t>
  </si>
  <si>
    <t>2023010500049</t>
  </si>
  <si>
    <t>2023010500057</t>
  </si>
  <si>
    <t>2023010500077</t>
  </si>
  <si>
    <t>2023010500059</t>
  </si>
  <si>
    <t>2023010500060</t>
  </si>
  <si>
    <t>2023010500062</t>
  </si>
  <si>
    <t>2023010500076</t>
  </si>
  <si>
    <t>2023010500063</t>
  </si>
  <si>
    <t>2023010500064</t>
  </si>
  <si>
    <t>2023010500073</t>
  </si>
  <si>
    <t>2023010500067</t>
  </si>
  <si>
    <t>2023/01/06</t>
  </si>
  <si>
    <t>2023010600023</t>
  </si>
  <si>
    <t>2023010600024</t>
  </si>
  <si>
    <t>2023010600075</t>
  </si>
  <si>
    <t>2023010600084</t>
  </si>
  <si>
    <t>2023010600058</t>
  </si>
  <si>
    <t>2023010600068</t>
  </si>
  <si>
    <t>2023010600078</t>
  </si>
  <si>
    <t>2023010600050</t>
  </si>
  <si>
    <t>2023/01/09</t>
  </si>
  <si>
    <t>2023010900009</t>
  </si>
  <si>
    <t>2023010900003</t>
  </si>
  <si>
    <t>2023010900065</t>
  </si>
  <si>
    <t>2023010900069</t>
  </si>
  <si>
    <t>2023/01/10</t>
  </si>
  <si>
    <t>2023011000029</t>
  </si>
  <si>
    <t>2023011000040</t>
  </si>
  <si>
    <t>2023011000030</t>
  </si>
  <si>
    <t>2023/01/11</t>
  </si>
  <si>
    <t>2023011100011</t>
  </si>
  <si>
    <t>2023011000028</t>
  </si>
  <si>
    <t>2023/01/12</t>
  </si>
  <si>
    <t>2023011200006</t>
  </si>
  <si>
    <t>2023011100034</t>
  </si>
  <si>
    <t>2023011100035</t>
  </si>
  <si>
    <t>2023011200004</t>
  </si>
  <si>
    <t>2023011100033</t>
  </si>
  <si>
    <t>2023011200003</t>
  </si>
  <si>
    <t>2023011200009</t>
  </si>
  <si>
    <t>2023011100031</t>
  </si>
  <si>
    <t>2023011200008</t>
  </si>
  <si>
    <t>2023011200086</t>
  </si>
  <si>
    <t>2023011200087</t>
  </si>
  <si>
    <t>2023011200149</t>
  </si>
  <si>
    <t>2023/01/13</t>
  </si>
  <si>
    <t>2023011300013</t>
  </si>
  <si>
    <t>2023011200101</t>
  </si>
  <si>
    <t>2023011200113</t>
  </si>
  <si>
    <t>2023011200115</t>
  </si>
  <si>
    <t>2023011200124</t>
  </si>
  <si>
    <t>2023011200143</t>
  </si>
  <si>
    <t>2023011200145</t>
  </si>
  <si>
    <t>2023011200140</t>
  </si>
  <si>
    <t>2023011200107</t>
  </si>
  <si>
    <t>2023011200135</t>
  </si>
  <si>
    <t>2023011200103</t>
  </si>
  <si>
    <t>2023011200104</t>
  </si>
  <si>
    <t>2023011200102</t>
  </si>
  <si>
    <t>2023011200133</t>
  </si>
  <si>
    <t>2023011200106</t>
  </si>
  <si>
    <t>2023011300006</t>
  </si>
  <si>
    <t>2023011300007</t>
  </si>
  <si>
    <t>2023011300048</t>
  </si>
  <si>
    <t>2023/01/16</t>
  </si>
  <si>
    <t>2023011600004</t>
  </si>
  <si>
    <t>2023011600032</t>
  </si>
  <si>
    <t>2023011600035</t>
  </si>
  <si>
    <t>2023011600036</t>
  </si>
  <si>
    <t>2023/01/17</t>
  </si>
  <si>
    <t>2023011700003</t>
  </si>
  <si>
    <t>2023011600031</t>
  </si>
  <si>
    <t>2023011700007</t>
  </si>
  <si>
    <t>2023011700041</t>
  </si>
  <si>
    <t>2023/01/18</t>
  </si>
  <si>
    <t>2023011800016</t>
  </si>
  <si>
    <t>2023011700044</t>
  </si>
  <si>
    <t>2023011800008</t>
  </si>
  <si>
    <t>2023011800012</t>
  </si>
  <si>
    <t>2023011800015</t>
  </si>
  <si>
    <t>2023011800019</t>
  </si>
  <si>
    <t>2023011800021</t>
  </si>
  <si>
    <t>2023011700043</t>
  </si>
  <si>
    <t>2023011700042</t>
  </si>
  <si>
    <t>2023011800122</t>
  </si>
  <si>
    <t>2023/01/19</t>
  </si>
  <si>
    <t>2023011900006</t>
  </si>
  <si>
    <t>2023011900008</t>
  </si>
  <si>
    <t>2023011900012</t>
  </si>
  <si>
    <t>2023011800104</t>
  </si>
  <si>
    <t>2023011800110</t>
  </si>
  <si>
    <t>2023011800119</t>
  </si>
  <si>
    <t>2023011800124</t>
  </si>
  <si>
    <t>2023011800125</t>
  </si>
  <si>
    <t>2023011800128</t>
  </si>
  <si>
    <t>2023011800129</t>
  </si>
  <si>
    <t>2023011800131</t>
  </si>
  <si>
    <t>2023011800132</t>
  </si>
  <si>
    <t>2023011800105</t>
  </si>
  <si>
    <t>2023011800127</t>
  </si>
  <si>
    <t>2023011900009</t>
  </si>
  <si>
    <t>2023011900013</t>
  </si>
  <si>
    <t>2023011800106</t>
  </si>
  <si>
    <t>2023011800109</t>
  </si>
  <si>
    <t>2023011800121</t>
  </si>
  <si>
    <t>2023/01/26</t>
  </si>
  <si>
    <t>2023012600025</t>
  </si>
  <si>
    <t>2023/01/27</t>
  </si>
  <si>
    <t>2023012700008</t>
  </si>
  <si>
    <t>2023011900092</t>
  </si>
  <si>
    <t>2023/01/20</t>
  </si>
  <si>
    <t>2023012000019</t>
  </si>
  <si>
    <t>2023012700009</t>
  </si>
  <si>
    <t>2023011900096</t>
  </si>
  <si>
    <t>2023012000040</t>
  </si>
  <si>
    <t>2023/01/25</t>
  </si>
  <si>
    <t>2023012500015</t>
  </si>
  <si>
    <t>2023012500017</t>
  </si>
  <si>
    <t>2023012700005</t>
  </si>
  <si>
    <t>2023011900086</t>
  </si>
  <si>
    <t>2023011900091</t>
  </si>
  <si>
    <t>2023/01/23</t>
  </si>
  <si>
    <t>2023012300015</t>
  </si>
  <si>
    <t>2023/01/24</t>
  </si>
  <si>
    <t>2023012400006</t>
  </si>
  <si>
    <t>2023012500012</t>
  </si>
  <si>
    <t>2023012700012</t>
  </si>
  <si>
    <t>2023011900097</t>
  </si>
  <si>
    <t>2023012400005</t>
  </si>
  <si>
    <t>2023012400007</t>
  </si>
  <si>
    <t>2023012500013</t>
  </si>
  <si>
    <t>2023012000014</t>
  </si>
  <si>
    <t>2023012000021</t>
  </si>
  <si>
    <t>2023012000025</t>
  </si>
  <si>
    <t>2023012000033</t>
  </si>
  <si>
    <t>2023012600012</t>
  </si>
  <si>
    <t>2023012600014</t>
  </si>
  <si>
    <t>2023012600015</t>
  </si>
  <si>
    <t>2023012600017</t>
  </si>
  <si>
    <t>2023012600018</t>
  </si>
  <si>
    <t>2023011900088</t>
  </si>
  <si>
    <t>2023012000013</t>
  </si>
  <si>
    <t>2023/01/30</t>
  </si>
  <si>
    <t>2023013000033</t>
  </si>
  <si>
    <t>2023013000035</t>
  </si>
  <si>
    <t>2023013000038</t>
  </si>
  <si>
    <t>2023/01/31</t>
  </si>
  <si>
    <t>2023013100036</t>
  </si>
  <si>
    <t>2023013100093</t>
  </si>
  <si>
    <t>2023013100103</t>
  </si>
  <si>
    <t>2023/02/01</t>
  </si>
  <si>
    <t>2023020100015</t>
  </si>
  <si>
    <t>2023013100090</t>
  </si>
  <si>
    <t>2023020100016</t>
  </si>
  <si>
    <t>2023020100021</t>
  </si>
  <si>
    <t>2023013100094</t>
  </si>
  <si>
    <t>2023013100096</t>
  </si>
  <si>
    <t>2023013100098</t>
  </si>
  <si>
    <t>2023013100099</t>
  </si>
  <si>
    <t>2023020100086</t>
  </si>
  <si>
    <t>2023020100054</t>
  </si>
  <si>
    <t>2023020100046</t>
  </si>
  <si>
    <t>2023020100064</t>
  </si>
  <si>
    <t>2023020100053</t>
  </si>
  <si>
    <t>2023/02/02</t>
  </si>
  <si>
    <t>2023020200006</t>
  </si>
  <si>
    <t>2023020200045</t>
  </si>
  <si>
    <t>2023020200068</t>
  </si>
  <si>
    <t>2023020200077</t>
  </si>
  <si>
    <t>2023020200089</t>
  </si>
  <si>
    <t>2023020200100</t>
  </si>
  <si>
    <t>2023020200119</t>
  </si>
  <si>
    <t>2023020200035</t>
  </si>
  <si>
    <t>2023020200116</t>
  </si>
  <si>
    <t>2023020200118</t>
  </si>
  <si>
    <t>2023020200083</t>
  </si>
  <si>
    <t>2023020200107</t>
  </si>
  <si>
    <t>2023020200055</t>
  </si>
  <si>
    <t>2023020200057</t>
  </si>
  <si>
    <t>2023020200058</t>
  </si>
  <si>
    <t>2023020200059</t>
  </si>
  <si>
    <t>2023020200060</t>
  </si>
  <si>
    <t>2023020200061</t>
  </si>
  <si>
    <t>2023020200062</t>
  </si>
  <si>
    <t>2023020200063</t>
  </si>
  <si>
    <t>2023020200064</t>
  </si>
  <si>
    <t>2023020200065</t>
  </si>
  <si>
    <t>2023020200066</t>
  </si>
  <si>
    <t>2023020200067</t>
  </si>
  <si>
    <t>2023020200069</t>
  </si>
  <si>
    <t>2023020200087</t>
  </si>
  <si>
    <t>2023020200088</t>
  </si>
  <si>
    <t>2023020200090</t>
  </si>
  <si>
    <t>2023020200091</t>
  </si>
  <si>
    <t>2023020200092</t>
  </si>
  <si>
    <t>2023020200093</t>
  </si>
  <si>
    <t>2023020200094</t>
  </si>
  <si>
    <t>2023020200096</t>
  </si>
  <si>
    <t>2023020200099</t>
  </si>
  <si>
    <t>2023020200101</t>
  </si>
  <si>
    <t>2023020200102</t>
  </si>
  <si>
    <t>2023020200104</t>
  </si>
  <si>
    <t>2023020200105</t>
  </si>
  <si>
    <t>2023020200108</t>
  </si>
  <si>
    <t>2023/02/03</t>
  </si>
  <si>
    <t>2023020300005</t>
  </si>
  <si>
    <t>2023020300012</t>
  </si>
  <si>
    <t>2023020200034</t>
  </si>
  <si>
    <t>2023020200044</t>
  </si>
  <si>
    <t>2023020200076</t>
  </si>
  <si>
    <t>2023020300037</t>
  </si>
  <si>
    <t>2023020300044</t>
  </si>
  <si>
    <t>2023020300078</t>
  </si>
  <si>
    <t>2023020300038</t>
  </si>
  <si>
    <t>2023020300047</t>
  </si>
  <si>
    <t>2023020300058</t>
  </si>
  <si>
    <t>2023020300055</t>
  </si>
  <si>
    <t>2023020300028</t>
  </si>
  <si>
    <t>2023020300070</t>
  </si>
  <si>
    <t>2023020300029</t>
  </si>
  <si>
    <t>2023020300035</t>
  </si>
  <si>
    <t>2023020300040</t>
  </si>
  <si>
    <t>2023020300054</t>
  </si>
  <si>
    <t>2023/02/06</t>
  </si>
  <si>
    <t>2023020600001</t>
  </si>
  <si>
    <t>2023020600008</t>
  </si>
  <si>
    <t>2023020600009</t>
  </si>
  <si>
    <t>2023/02/07</t>
  </si>
  <si>
    <t>2023020700015</t>
  </si>
  <si>
    <t>2023020600013</t>
  </si>
  <si>
    <t>2023020700019</t>
  </si>
  <si>
    <t>2023020600010</t>
  </si>
  <si>
    <t>2023020700011</t>
  </si>
  <si>
    <t>2023020700018</t>
  </si>
  <si>
    <t>2023020700009</t>
  </si>
  <si>
    <t>2023020700008</t>
  </si>
  <si>
    <t>2023020700012</t>
  </si>
  <si>
    <t>2023020700017</t>
  </si>
  <si>
    <t>2023020700041</t>
  </si>
  <si>
    <t>2023020700063</t>
  </si>
  <si>
    <t>2023/02/08</t>
  </si>
  <si>
    <t>2023020800007</t>
  </si>
  <si>
    <t>2023020700070</t>
  </si>
  <si>
    <t>2023020700071</t>
  </si>
  <si>
    <t>2023020700036</t>
  </si>
  <si>
    <t>2023020700060</t>
  </si>
  <si>
    <t>2023020800004</t>
  </si>
  <si>
    <t>2023020800030</t>
  </si>
  <si>
    <t>2023020800035</t>
  </si>
  <si>
    <t>2023/02/09</t>
  </si>
  <si>
    <t>2023020900004</t>
  </si>
  <si>
    <t>2023020800044</t>
  </si>
  <si>
    <t>2023020900006</t>
  </si>
  <si>
    <t>2023020900016</t>
  </si>
  <si>
    <t>2023020900015</t>
  </si>
  <si>
    <t>2023020800041</t>
  </si>
  <si>
    <t>2023020800036</t>
  </si>
  <si>
    <t>2023020900012</t>
  </si>
  <si>
    <t>2023020900011</t>
  </si>
  <si>
    <t>2023020800039</t>
  </si>
  <si>
    <t>2023020900055</t>
  </si>
  <si>
    <t>2023020900040</t>
  </si>
  <si>
    <t>2023020900045</t>
  </si>
  <si>
    <t>2023/02/10</t>
  </si>
  <si>
    <t>2023021000006</t>
  </si>
  <si>
    <t>2023020900030</t>
  </si>
  <si>
    <t>2023021000013</t>
  </si>
  <si>
    <t>2023021000027</t>
  </si>
  <si>
    <t>2023020900033</t>
  </si>
  <si>
    <t>2023020900054</t>
  </si>
  <si>
    <t>2023021000014</t>
  </si>
  <si>
    <t>2023020900037</t>
  </si>
  <si>
    <t>2023020900043</t>
  </si>
  <si>
    <t>2023020900046</t>
  </si>
  <si>
    <t>2023021000007</t>
  </si>
  <si>
    <t>2023021000018</t>
  </si>
  <si>
    <t>2023021000023</t>
  </si>
  <si>
    <t>2023020900031</t>
  </si>
  <si>
    <t>2023020900035</t>
  </si>
  <si>
    <t>2023021000008</t>
  </si>
  <si>
    <t>2023021000053</t>
  </si>
  <si>
    <t>2023021000056</t>
  </si>
  <si>
    <t>2023/02/14</t>
  </si>
  <si>
    <t>2023021400009</t>
  </si>
  <si>
    <t>2023/02/13</t>
  </si>
  <si>
    <t>2023021300024</t>
  </si>
  <si>
    <t>2023021300023</t>
  </si>
  <si>
    <t>2023021400042</t>
  </si>
  <si>
    <t>2023021400048</t>
  </si>
  <si>
    <t>2023021400090</t>
  </si>
  <si>
    <t>2023021400076</t>
  </si>
  <si>
    <t>2023021400110</t>
  </si>
  <si>
    <t>2023021400081</t>
  </si>
  <si>
    <t>2023/02/15</t>
  </si>
  <si>
    <t>2023021500011</t>
  </si>
  <si>
    <t>2023021400053</t>
  </si>
  <si>
    <t>2023021400066</t>
  </si>
  <si>
    <t>2023021500010</t>
  </si>
  <si>
    <t>2023021400054</t>
  </si>
  <si>
    <t>2023021400068</t>
  </si>
  <si>
    <t>2023021400064</t>
  </si>
  <si>
    <t>2023021400071</t>
  </si>
  <si>
    <t>2023021400031</t>
  </si>
  <si>
    <t>2023021500069</t>
  </si>
  <si>
    <t>2023021500075</t>
  </si>
  <si>
    <t>2023021500037</t>
  </si>
  <si>
    <t>2023021500023</t>
  </si>
  <si>
    <t>2023021500062</t>
  </si>
  <si>
    <t>2023/02/16</t>
  </si>
  <si>
    <t>2023021600003</t>
  </si>
  <si>
    <t>2023021500076</t>
  </si>
  <si>
    <t>2023021500077</t>
  </si>
  <si>
    <t>2023021600006</t>
  </si>
  <si>
    <t>2023021600060</t>
  </si>
  <si>
    <t>2023/02/17</t>
  </si>
  <si>
    <t>2023021700015</t>
  </si>
  <si>
    <t>2023021600057</t>
  </si>
  <si>
    <t>2023021700021</t>
  </si>
  <si>
    <t>2023021600017</t>
  </si>
  <si>
    <t>2023021600041</t>
  </si>
  <si>
    <t>2023021600036</t>
  </si>
  <si>
    <t>2023021600037</t>
  </si>
  <si>
    <t>2023021600059</t>
  </si>
  <si>
    <t>2023021700025</t>
  </si>
  <si>
    <t>2023021700054</t>
  </si>
  <si>
    <t>2023021700051</t>
  </si>
  <si>
    <t>2023021700053</t>
  </si>
  <si>
    <t>2023021700061</t>
  </si>
  <si>
    <t>2023021700056</t>
  </si>
  <si>
    <t>2023021700050</t>
  </si>
  <si>
    <t>2023/02/21</t>
  </si>
  <si>
    <t>2023022100004</t>
  </si>
  <si>
    <t>2023022100003</t>
  </si>
  <si>
    <t>2023022100008</t>
  </si>
  <si>
    <t>2023022100011</t>
  </si>
  <si>
    <t>2023022100048</t>
  </si>
  <si>
    <t>2023022100049</t>
  </si>
  <si>
    <t>2023/02/22</t>
  </si>
  <si>
    <t>2023022200009</t>
  </si>
  <si>
    <t>2023022200010</t>
  </si>
  <si>
    <t>2023022100068</t>
  </si>
  <si>
    <t>2023022100026</t>
  </si>
  <si>
    <t>2023022100042</t>
  </si>
  <si>
    <t>2023022100066</t>
  </si>
  <si>
    <t>2023022100067</t>
  </si>
  <si>
    <t>2023022200004</t>
  </si>
  <si>
    <t>2023022200006</t>
  </si>
  <si>
    <t>2023022100062</t>
  </si>
  <si>
    <t>2023/02/23</t>
  </si>
  <si>
    <t>2023022300013</t>
  </si>
  <si>
    <t>2023022300012</t>
  </si>
  <si>
    <t>2023022200026</t>
  </si>
  <si>
    <t>2023022200025</t>
  </si>
  <si>
    <t>2023022300009</t>
  </si>
  <si>
    <t>2023022300034</t>
  </si>
  <si>
    <t>2023022300041</t>
  </si>
  <si>
    <t>2023022300061</t>
  </si>
  <si>
    <t>2023022300038</t>
  </si>
  <si>
    <t>2023022300045</t>
  </si>
  <si>
    <t>2023/02/24</t>
  </si>
  <si>
    <t>2023022400018</t>
  </si>
  <si>
    <t>2023022400022</t>
  </si>
  <si>
    <t>2023022400017</t>
  </si>
  <si>
    <t>2023/02/27</t>
  </si>
  <si>
    <t>2023022700008</t>
  </si>
  <si>
    <t>2023022400083</t>
  </si>
  <si>
    <t>2023022400060</t>
  </si>
  <si>
    <t>2023022400063</t>
  </si>
  <si>
    <t>2023022400078</t>
  </si>
  <si>
    <t>2023022400080</t>
  </si>
  <si>
    <t>2023022400089</t>
  </si>
  <si>
    <t>2023022400081</t>
  </si>
  <si>
    <t>2023022400082</t>
  </si>
  <si>
    <t>2023022400087</t>
  </si>
  <si>
    <t>2023/02/28</t>
  </si>
  <si>
    <t>2023022800017</t>
  </si>
  <si>
    <t>TUM3</t>
  </si>
  <si>
    <t>2023022400066</t>
  </si>
  <si>
    <t>2023022400069</t>
  </si>
  <si>
    <t>2023022800008</t>
  </si>
  <si>
    <t>2023022800010</t>
  </si>
  <si>
    <t>2023022800012</t>
  </si>
  <si>
    <t>2023022700001</t>
  </si>
  <si>
    <t>2023022700004</t>
  </si>
  <si>
    <t>2023022800002</t>
  </si>
  <si>
    <t>2023/03/01</t>
  </si>
  <si>
    <t>2023030100004</t>
  </si>
  <si>
    <t>2023030100009</t>
  </si>
  <si>
    <t>2023030100047</t>
  </si>
  <si>
    <t>2023/03/02</t>
  </si>
  <si>
    <t>2023030200011</t>
  </si>
  <si>
    <t>2023030200012</t>
  </si>
  <si>
    <t>2023030100055</t>
  </si>
  <si>
    <t>2023030200015</t>
  </si>
  <si>
    <t>2023030200017</t>
  </si>
  <si>
    <t>2023030200003</t>
  </si>
  <si>
    <t>2023030200008</t>
  </si>
  <si>
    <t>2023030100033</t>
  </si>
  <si>
    <t>2023030100035</t>
  </si>
  <si>
    <t>2023030100037</t>
  </si>
  <si>
    <t>2023030200002</t>
  </si>
  <si>
    <t>2023030200007</t>
  </si>
  <si>
    <t>2023030300023</t>
  </si>
  <si>
    <t>2023/03/03</t>
  </si>
  <si>
    <t>USM3</t>
  </si>
  <si>
    <t>2023030300017</t>
  </si>
  <si>
    <t>2023030300007</t>
  </si>
  <si>
    <t>2023030300011</t>
  </si>
  <si>
    <t>2023030300016</t>
  </si>
  <si>
    <t>2023030200027</t>
  </si>
  <si>
    <t>2023030200036</t>
  </si>
  <si>
    <t>2023030200037</t>
  </si>
  <si>
    <t>2023030200043</t>
  </si>
  <si>
    <t>2023030200044</t>
  </si>
  <si>
    <t>2023030300003</t>
  </si>
  <si>
    <t>2023030300071</t>
  </si>
  <si>
    <t>2023030300072</t>
  </si>
  <si>
    <t>2023030300073</t>
  </si>
  <si>
    <t>2023030300074</t>
  </si>
  <si>
    <t>2023030300051</t>
  </si>
  <si>
    <t>2023/03/06</t>
  </si>
  <si>
    <t>2023030600004</t>
  </si>
  <si>
    <t>2023030300046</t>
  </si>
  <si>
    <t>2023030300047</t>
  </si>
  <si>
    <t>2023030300048</t>
  </si>
  <si>
    <t>2023030300053</t>
  </si>
  <si>
    <t>2023030600039</t>
  </si>
  <si>
    <t>2023030600050</t>
  </si>
  <si>
    <t>2023/03/07</t>
  </si>
  <si>
    <t>2023030700002</t>
  </si>
  <si>
    <t>2023030600033</t>
  </si>
  <si>
    <t>2023030600034</t>
  </si>
  <si>
    <t>2023030700039</t>
  </si>
  <si>
    <t>2023030700040</t>
  </si>
  <si>
    <t>2023030700050</t>
  </si>
  <si>
    <t>2023030700051</t>
  </si>
  <si>
    <t>2023/03/08</t>
  </si>
  <si>
    <t>2023030800013</t>
  </si>
  <si>
    <t>2023030800014</t>
  </si>
  <si>
    <t>2023030800012</t>
  </si>
  <si>
    <t>2023030800005</t>
  </si>
  <si>
    <t>2023030700023</t>
  </si>
  <si>
    <t>2023030700038</t>
  </si>
  <si>
    <t>2023030700028</t>
  </si>
  <si>
    <t>2023030700035</t>
  </si>
  <si>
    <t>2023030700030</t>
  </si>
  <si>
    <t>2023030700033</t>
  </si>
  <si>
    <t>2023030800070</t>
  </si>
  <si>
    <t>2023030800037</t>
  </si>
  <si>
    <t>2023030800047</t>
  </si>
  <si>
    <t>2023030800057</t>
  </si>
  <si>
    <t>2023030800059</t>
  </si>
  <si>
    <t>2023/03/09</t>
  </si>
  <si>
    <t>2023030900010</t>
  </si>
  <si>
    <t>2023030800027</t>
  </si>
  <si>
    <t>2023030800030</t>
  </si>
  <si>
    <t>2023030800053</t>
  </si>
  <si>
    <t>2023030900009</t>
  </si>
  <si>
    <t>2023030800051</t>
  </si>
  <si>
    <t>2023030800026</t>
  </si>
  <si>
    <t>2023030800060</t>
  </si>
  <si>
    <t>2023030800041</t>
  </si>
  <si>
    <t>2023/03/10</t>
  </si>
  <si>
    <t>2023031000021</t>
  </si>
  <si>
    <t>2023030900026</t>
  </si>
  <si>
    <t>2023030900029</t>
  </si>
  <si>
    <t>2023030900037</t>
  </si>
  <si>
    <t>2023031000007</t>
  </si>
  <si>
    <t>2023031000009</t>
  </si>
  <si>
    <t>2023030900031</t>
  </si>
  <si>
    <t>2023030900032</t>
  </si>
  <si>
    <t>2023031000013</t>
  </si>
  <si>
    <t>2023031000014</t>
  </si>
  <si>
    <t>2023031000015</t>
  </si>
  <si>
    <t>2023031000059</t>
  </si>
  <si>
    <t>2023031000061</t>
  </si>
  <si>
    <t>2023031000104</t>
  </si>
  <si>
    <t>2023031000069</t>
  </si>
  <si>
    <t>2023031000039</t>
  </si>
  <si>
    <t>2023031000042</t>
  </si>
  <si>
    <t>2023031000045</t>
  </si>
  <si>
    <t>2023031000046</t>
  </si>
  <si>
    <t>2023031000047</t>
  </si>
  <si>
    <t>2023031000048</t>
  </si>
  <si>
    <t>2023031000049</t>
  </si>
  <si>
    <t>2023031000050</t>
  </si>
  <si>
    <t>2023031000051</t>
  </si>
  <si>
    <t>2023031000054</t>
  </si>
  <si>
    <t>2023031000055</t>
  </si>
  <si>
    <t>2023031000105</t>
  </si>
  <si>
    <t>2023031000062</t>
  </si>
  <si>
    <t>2023031000041</t>
  </si>
  <si>
    <t>2023031000075</t>
  </si>
  <si>
    <t>2023031000077</t>
  </si>
  <si>
    <t>2023031000083</t>
  </si>
  <si>
    <t>2023031000085</t>
  </si>
  <si>
    <t>2023031000091</t>
  </si>
  <si>
    <t>2023031000093</t>
  </si>
  <si>
    <t>2023031000095</t>
  </si>
  <si>
    <t>2023031000097</t>
  </si>
  <si>
    <t>2023031000099</t>
  </si>
  <si>
    <t>2023/03/13</t>
  </si>
  <si>
    <t>2023031300039</t>
  </si>
  <si>
    <t>2023031300040</t>
  </si>
  <si>
    <t>2023031300041</t>
  </si>
  <si>
    <t>2023031300042</t>
  </si>
  <si>
    <t>2023031300043</t>
  </si>
  <si>
    <t>2023031300044</t>
  </si>
  <si>
    <t>2023031300012</t>
  </si>
  <si>
    <t>2023031300013</t>
  </si>
  <si>
    <t>2023031300037</t>
  </si>
  <si>
    <t>2023031300038</t>
  </si>
  <si>
    <t>2023031300008</t>
  </si>
  <si>
    <t>2023031300029</t>
  </si>
  <si>
    <t>2023031300022</t>
  </si>
  <si>
    <t>2023031300028</t>
  </si>
  <si>
    <t>2023031300002</t>
  </si>
  <si>
    <t>2023031300003</t>
  </si>
  <si>
    <t>2023031300024</t>
  </si>
  <si>
    <t>2023031300142</t>
  </si>
  <si>
    <t>2023031300168</t>
  </si>
  <si>
    <t>2023031300175</t>
  </si>
  <si>
    <t>2023031300176</t>
  </si>
  <si>
    <t>2023031300177</t>
  </si>
  <si>
    <t>2023031300226</t>
  </si>
  <si>
    <t>2023031300228</t>
  </si>
  <si>
    <t>2023031300229</t>
  </si>
  <si>
    <t>2023/03/14</t>
  </si>
  <si>
    <t>2023031400042</t>
  </si>
  <si>
    <t>2023031400043</t>
  </si>
  <si>
    <t>2023031400045</t>
  </si>
  <si>
    <t>2023031400046</t>
  </si>
  <si>
    <t>2023031400038</t>
  </si>
  <si>
    <t>2023031400039</t>
  </si>
  <si>
    <t>2023031400004</t>
  </si>
  <si>
    <t>2023031400006</t>
  </si>
  <si>
    <t>2023031400020</t>
  </si>
  <si>
    <t>2023031400026</t>
  </si>
  <si>
    <t>2023031400028</t>
  </si>
  <si>
    <t>2023031300130</t>
  </si>
  <si>
    <t>2023031300136</t>
  </si>
  <si>
    <t>2023031400002</t>
  </si>
  <si>
    <t>2023031400007</t>
  </si>
  <si>
    <t>2023031300170</t>
  </si>
  <si>
    <t>2023031300172</t>
  </si>
  <si>
    <t>2023031400114</t>
  </si>
  <si>
    <t>2023031400122</t>
  </si>
  <si>
    <t>2023031400119</t>
  </si>
  <si>
    <t>2023031400110</t>
  </si>
  <si>
    <t>2023031400113</t>
  </si>
  <si>
    <t>2023031400118</t>
  </si>
  <si>
    <t>2023/03/15</t>
  </si>
  <si>
    <t>2023031500004</t>
  </si>
  <si>
    <t>2023031500006</t>
  </si>
  <si>
    <t>2023031500007</t>
  </si>
  <si>
    <t>2023031400145</t>
  </si>
  <si>
    <t>2023031400146</t>
  </si>
  <si>
    <t>2023031500011</t>
  </si>
  <si>
    <t>2023031500012</t>
  </si>
  <si>
    <t>2023031400082</t>
  </si>
  <si>
    <t>2023031400083</t>
  </si>
  <si>
    <t>2023031400084</t>
  </si>
  <si>
    <t>2023031400106</t>
  </si>
  <si>
    <t>2023031400093</t>
  </si>
  <si>
    <t>2023031400108</t>
  </si>
  <si>
    <t>2023031400087</t>
  </si>
  <si>
    <t>2023031400090</t>
  </si>
  <si>
    <t>2023031400121</t>
  </si>
  <si>
    <t>closed date</t>
    <phoneticPr fontId="3" type="noConversion"/>
  </si>
  <si>
    <t>Ticket Number</t>
    <phoneticPr fontId="3" type="noConversion"/>
  </si>
  <si>
    <t>closed PX</t>
    <phoneticPr fontId="3" type="noConversion"/>
  </si>
  <si>
    <t xml:space="preserve"> MTM P&amp;L</t>
    <phoneticPr fontId="3" type="noConversion"/>
  </si>
  <si>
    <t>Amount</t>
    <phoneticPr fontId="3" type="noConversion"/>
  </si>
  <si>
    <t>Maturity</t>
    <phoneticPr fontId="3" type="noConversion"/>
  </si>
  <si>
    <t>Cost</t>
    <phoneticPr fontId="3" type="noConversion"/>
  </si>
  <si>
    <t xml:space="preserve"> MTM P&amp;L</t>
    <phoneticPr fontId="3" type="noConversion"/>
  </si>
  <si>
    <t>Trade Date</t>
    <phoneticPr fontId="3" type="noConversion"/>
  </si>
  <si>
    <t>closed date</t>
    <phoneticPr fontId="3" type="noConversion"/>
  </si>
  <si>
    <t>Cost</t>
    <phoneticPr fontId="3" type="noConversion"/>
  </si>
  <si>
    <t>MKT Price</t>
    <phoneticPr fontId="3" type="noConversion"/>
  </si>
  <si>
    <t>Jesse</t>
    <phoneticPr fontId="3" type="noConversion"/>
  </si>
  <si>
    <t>周伯彥</t>
    <phoneticPr fontId="3" type="noConversion"/>
  </si>
  <si>
    <t>周伯彥</t>
    <phoneticPr fontId="3" type="noConversion"/>
  </si>
  <si>
    <t>EUREX</t>
    <phoneticPr fontId="3" type="noConversion"/>
  </si>
  <si>
    <t>DUM3</t>
  </si>
  <si>
    <t>DUM3</t>
    <phoneticPr fontId="3" type="noConversion"/>
  </si>
  <si>
    <t>OEM3</t>
  </si>
  <si>
    <t>OEM3</t>
    <phoneticPr fontId="3" type="noConversion"/>
  </si>
  <si>
    <t>RXM3</t>
  </si>
  <si>
    <t>UBM3</t>
  </si>
  <si>
    <t>DU  2Y</t>
    <phoneticPr fontId="3" type="noConversion"/>
  </si>
  <si>
    <t>OE  5Y</t>
    <phoneticPr fontId="3" type="noConversion"/>
  </si>
  <si>
    <t>RX  10Y</t>
    <phoneticPr fontId="3" type="noConversion"/>
  </si>
  <si>
    <t>UB  30Y</t>
    <phoneticPr fontId="3" type="noConversion"/>
  </si>
  <si>
    <t>2023031500154</t>
  </si>
  <si>
    <t>Man</t>
  </si>
  <si>
    <t>UBH3</t>
    <phoneticPr fontId="3" type="noConversion"/>
  </si>
  <si>
    <t>2023031500155</t>
  </si>
  <si>
    <t>2023031500153</t>
  </si>
  <si>
    <t>2023031500158</t>
  </si>
  <si>
    <t>2023031500159</t>
  </si>
  <si>
    <t>2023031500160</t>
  </si>
  <si>
    <t>2023031500161</t>
  </si>
  <si>
    <t>2023031500026</t>
  </si>
  <si>
    <t>2023031500089</t>
  </si>
  <si>
    <t>2023031500090</t>
  </si>
  <si>
    <t>2023031500066</t>
  </si>
  <si>
    <t>2023031500080</t>
  </si>
  <si>
    <t>2023031500028</t>
  </si>
  <si>
    <t>2023031500029</t>
  </si>
  <si>
    <t>2023031500030</t>
  </si>
  <si>
    <t>2023031500031</t>
  </si>
  <si>
    <t>2023031500106</t>
  </si>
  <si>
    <t>2023031500035</t>
  </si>
  <si>
    <t>2023031500036</t>
  </si>
  <si>
    <t>2023031500065</t>
  </si>
  <si>
    <t>2023031500067</t>
  </si>
  <si>
    <t>2023031500037</t>
  </si>
  <si>
    <t>2023031500055</t>
  </si>
  <si>
    <t>2023031500058</t>
  </si>
  <si>
    <t>2023031500063</t>
  </si>
  <si>
    <t>2023031500069</t>
  </si>
  <si>
    <t>2023031500076</t>
  </si>
  <si>
    <t>2023031500105</t>
  </si>
  <si>
    <t>2023031500144</t>
  </si>
  <si>
    <t>2023/03/16</t>
  </si>
  <si>
    <t>2023031600005</t>
  </si>
  <si>
    <t>2023031600011</t>
  </si>
  <si>
    <t>2023031600013</t>
  </si>
  <si>
    <t>2023031600016</t>
  </si>
  <si>
    <t>2023031600017</t>
  </si>
  <si>
    <t>DV01</t>
    <phoneticPr fontId="3" type="noConversion"/>
  </si>
  <si>
    <t>2023/03/17</t>
  </si>
  <si>
    <t>2023031600054</t>
  </si>
  <si>
    <t>2023031700009</t>
  </si>
  <si>
    <t>2023031700011</t>
  </si>
  <si>
    <t>2023031600050</t>
  </si>
  <si>
    <t>2023031600051</t>
  </si>
  <si>
    <t>2023031700060</t>
  </si>
  <si>
    <t>2023031700062</t>
  </si>
  <si>
    <t>2023/03/20</t>
  </si>
  <si>
    <t>2023032000056</t>
  </si>
  <si>
    <t>2023032000014</t>
  </si>
  <si>
    <t>2023031700059</t>
  </si>
  <si>
    <t>2023031700061</t>
  </si>
  <si>
    <t>2023031700065</t>
  </si>
  <si>
    <t>2023031700079</t>
  </si>
  <si>
    <t>2023031700083</t>
  </si>
  <si>
    <t>2023032000015</t>
  </si>
  <si>
    <t>2023032000017</t>
  </si>
  <si>
    <t>2023032000018</t>
  </si>
  <si>
    <t>2023032000022</t>
  </si>
  <si>
    <t>2023032000023</t>
  </si>
  <si>
    <t>2023032000172</t>
  </si>
  <si>
    <t>2023032000173</t>
  </si>
  <si>
    <t>2023032000174</t>
  </si>
  <si>
    <t>2023032000179</t>
  </si>
  <si>
    <t>2023032000180</t>
  </si>
  <si>
    <t>2023032000115</t>
  </si>
  <si>
    <t>2023032000116</t>
  </si>
  <si>
    <t>2023032000132</t>
  </si>
  <si>
    <t>2023032000171</t>
  </si>
  <si>
    <t>2023/03/21</t>
  </si>
  <si>
    <t>2023032100006</t>
  </si>
  <si>
    <t>2023032100009</t>
  </si>
  <si>
    <t>2023032000093</t>
  </si>
  <si>
    <t>2023032000128</t>
  </si>
  <si>
    <t>2023032000110</t>
  </si>
  <si>
    <t>2023032000122</t>
  </si>
  <si>
    <t>2023032100010</t>
  </si>
  <si>
    <t>2023/03/22</t>
  </si>
  <si>
    <t>2023032200003</t>
  </si>
  <si>
    <t>2023032200006</t>
  </si>
  <si>
    <t>2023032100012</t>
  </si>
  <si>
    <t>2023032100014</t>
  </si>
  <si>
    <t>2023032200031</t>
  </si>
  <si>
    <t>2023/03/23</t>
  </si>
  <si>
    <t>2023032300027</t>
  </si>
  <si>
    <t>2023032300028</t>
  </si>
  <si>
    <t>2023032200033</t>
  </si>
  <si>
    <t>2023032300010</t>
  </si>
  <si>
    <t>2023032300012</t>
  </si>
  <si>
    <t>2023032200029</t>
  </si>
  <si>
    <t>2023032200030</t>
  </si>
  <si>
    <t>2023032200032</t>
  </si>
  <si>
    <t>2023032300002</t>
  </si>
  <si>
    <t>2023032200025</t>
  </si>
  <si>
    <t>2023032200026</t>
  </si>
  <si>
    <t>2023032200027</t>
  </si>
  <si>
    <t>2023032300007</t>
  </si>
  <si>
    <t>2023032300013</t>
  </si>
  <si>
    <t>2023032300014</t>
  </si>
  <si>
    <t>2023032300015</t>
  </si>
  <si>
    <t>2023032300063</t>
  </si>
  <si>
    <t>2023/03/24</t>
  </si>
  <si>
    <t>2023032400020</t>
  </si>
  <si>
    <t>2023032300060</t>
  </si>
  <si>
    <t>2023032300057</t>
  </si>
  <si>
    <t>2023032300067</t>
  </si>
  <si>
    <t>2023032400004</t>
  </si>
  <si>
    <t>2023032400030</t>
  </si>
  <si>
    <t>2023032400034</t>
  </si>
  <si>
    <t>2023032300055</t>
  </si>
  <si>
    <t>2023032300056</t>
  </si>
  <si>
    <t>2023032300059</t>
  </si>
  <si>
    <t>2023032400017</t>
  </si>
  <si>
    <t>2023032400021</t>
  </si>
  <si>
    <t>2023032400018</t>
  </si>
  <si>
    <t>2023032300062</t>
  </si>
  <si>
    <t>2023032400022</t>
  </si>
  <si>
    <t>2023032400060</t>
  </si>
  <si>
    <t>2023032400061</t>
  </si>
  <si>
    <t>2023032400099</t>
  </si>
  <si>
    <t>2023032400086</t>
  </si>
  <si>
    <t>2023032400101</t>
  </si>
  <si>
    <t>2023032400104</t>
  </si>
  <si>
    <t>2023032400109</t>
  </si>
  <si>
    <t>2023032400114</t>
  </si>
  <si>
    <t>2023032400115</t>
  </si>
  <si>
    <t>2023032400145</t>
  </si>
  <si>
    <t>2023032400097</t>
  </si>
  <si>
    <t>2023032400126</t>
  </si>
  <si>
    <t>2023032400082</t>
  </si>
  <si>
    <t>2023032400089</t>
  </si>
  <si>
    <t>2023032400058</t>
  </si>
  <si>
    <t>2023032400064</t>
  </si>
  <si>
    <t>2023032400067</t>
  </si>
  <si>
    <t>2023032400069</t>
  </si>
  <si>
    <t>2023032400078</t>
  </si>
  <si>
    <t>2023032400079</t>
  </si>
  <si>
    <t>2023032400080</t>
  </si>
  <si>
    <t>2023032400081</t>
  </si>
  <si>
    <t>2023032400092</t>
  </si>
  <si>
    <t>2023032400093</t>
  </si>
  <si>
    <t>2023032400096</t>
  </si>
  <si>
    <t>2023032400085</t>
  </si>
  <si>
    <t>2023032400087</t>
  </si>
  <si>
    <t>2023032400094</t>
  </si>
  <si>
    <t>2023/03/27</t>
  </si>
  <si>
    <t>2023032700001</t>
  </si>
  <si>
    <t>2023032700002</t>
  </si>
  <si>
    <t>2023032700025</t>
  </si>
  <si>
    <t>2023032700026</t>
  </si>
  <si>
    <t>2023032700030</t>
  </si>
  <si>
    <t>2023032700018</t>
  </si>
  <si>
    <t>2023032700033</t>
  </si>
  <si>
    <t>2023032700050</t>
  </si>
  <si>
    <t>2023032700051</t>
  </si>
  <si>
    <t>2023032700040</t>
  </si>
  <si>
    <t>2023032700039</t>
  </si>
  <si>
    <t>2023032700027</t>
  </si>
  <si>
    <t>2023032700028</t>
  </si>
  <si>
    <t>2023032700031</t>
  </si>
  <si>
    <t>2023032700088</t>
  </si>
  <si>
    <t>2023032700089</t>
  </si>
  <si>
    <t>2023032700109</t>
  </si>
  <si>
    <t>2023032700111</t>
  </si>
  <si>
    <t>2023032700112</t>
  </si>
  <si>
    <t>2023032700101</t>
  </si>
  <si>
    <t>2023032700099</t>
  </si>
  <si>
    <t>2023/03/28</t>
  </si>
  <si>
    <t>2023032800005</t>
  </si>
  <si>
    <t>2023032700104</t>
  </si>
  <si>
    <t>2023032700087</t>
  </si>
  <si>
    <t>2023032800013</t>
  </si>
  <si>
    <t>2023032800029</t>
  </si>
  <si>
    <t>2023032800009</t>
  </si>
  <si>
    <t>2023032800003</t>
  </si>
  <si>
    <t>2023032700103</t>
  </si>
  <si>
    <t>2023032800011</t>
  </si>
  <si>
    <t>2023032700093</t>
  </si>
  <si>
    <t>2023032700094</t>
  </si>
  <si>
    <t>2023032700095</t>
  </si>
  <si>
    <t>2023032700097</t>
  </si>
  <si>
    <t>2023032700102</t>
  </si>
  <si>
    <t>2023032700108</t>
  </si>
  <si>
    <t>2023032700110</t>
  </si>
  <si>
    <t>2023032800004</t>
  </si>
  <si>
    <t>2023032700090</t>
  </si>
  <si>
    <t>2023/03/29</t>
  </si>
  <si>
    <t>2023032900005</t>
  </si>
  <si>
    <t>2023032900006</t>
  </si>
  <si>
    <t>2023032800048</t>
  </si>
  <si>
    <t>2023032800054</t>
  </si>
  <si>
    <t>2023032800050</t>
  </si>
  <si>
    <t>2023032800049</t>
  </si>
  <si>
    <t>2023032900028</t>
  </si>
  <si>
    <t>2023032900039</t>
  </si>
  <si>
    <t>2023032900040</t>
  </si>
  <si>
    <t>2023032900041</t>
  </si>
  <si>
    <t>2023032800053</t>
  </si>
  <si>
    <t>2023032900002</t>
  </si>
  <si>
    <t>2023032800052</t>
  </si>
  <si>
    <t>2023032800060</t>
  </si>
  <si>
    <t>2023032800062</t>
  </si>
  <si>
    <t>2023032900004</t>
  </si>
  <si>
    <t>2023032900008</t>
  </si>
  <si>
    <t>2023032900011</t>
  </si>
  <si>
    <t>2023032900081</t>
  </si>
  <si>
    <t>2023032900095</t>
  </si>
  <si>
    <t>2023032900096</t>
  </si>
  <si>
    <t>2023032900087</t>
  </si>
  <si>
    <t>2023032900090</t>
  </si>
  <si>
    <t>2023/03/30</t>
  </si>
  <si>
    <t>2023033000010</t>
  </si>
  <si>
    <t>2023033000019</t>
  </si>
  <si>
    <t>2023032900094</t>
  </si>
  <si>
    <t>2023032900104</t>
  </si>
  <si>
    <t>2023032900085</t>
  </si>
  <si>
    <t>2023032900143</t>
  </si>
  <si>
    <t>2023032900076</t>
  </si>
  <si>
    <t>2023032900088</t>
  </si>
  <si>
    <t>2023032900089</t>
  </si>
  <si>
    <t>2023032900102</t>
  </si>
  <si>
    <t>2023033000003</t>
  </si>
  <si>
    <t>2023033000004</t>
  </si>
  <si>
    <t>2023033000013</t>
  </si>
  <si>
    <t>2023033000014</t>
  </si>
  <si>
    <t>2023033000018</t>
  </si>
  <si>
    <t>2023033000060</t>
  </si>
  <si>
    <t>2023033000057</t>
  </si>
  <si>
    <t>2023033000061</t>
  </si>
  <si>
    <t>2023033000062</t>
  </si>
  <si>
    <t>2023/4/6已完成</t>
  </si>
  <si>
    <t>Step1</t>
    <phoneticPr fontId="3" type="noConversion"/>
  </si>
  <si>
    <t>2023/03/31</t>
  </si>
  <si>
    <t>2023033100015</t>
  </si>
  <si>
    <t>2023033100023</t>
  </si>
  <si>
    <t>2023/04/04</t>
  </si>
  <si>
    <t>2023040400015</t>
  </si>
  <si>
    <t>2023/04/05</t>
  </si>
  <si>
    <t>2023040500023</t>
  </si>
  <si>
    <t>2023033100025</t>
  </si>
  <si>
    <t>2023033100014</t>
  </si>
  <si>
    <t>2023033100016</t>
  </si>
  <si>
    <t>2023/04/06</t>
  </si>
  <si>
    <t>2023040600007</t>
  </si>
  <si>
    <t>2023033100019</t>
  </si>
  <si>
    <t>2023033100021</t>
  </si>
  <si>
    <t>2023033100022</t>
  </si>
  <si>
    <t>2023/04/03</t>
  </si>
  <si>
    <t>2023040300005</t>
  </si>
  <si>
    <t>2023040300010</t>
  </si>
  <si>
    <t>2023040300011</t>
  </si>
  <si>
    <t>2023040300012</t>
  </si>
  <si>
    <t>2023040300013</t>
  </si>
  <si>
    <t>2023040300015</t>
  </si>
  <si>
    <t>2023040300016</t>
  </si>
  <si>
    <t>2023040400017</t>
  </si>
  <si>
    <t>2023040400018</t>
  </si>
  <si>
    <t>2023040400019</t>
  </si>
  <si>
    <t>2023040400005</t>
  </si>
  <si>
    <t>2023040400013</t>
  </si>
  <si>
    <t>2023040400008</t>
  </si>
  <si>
    <t>2023040500009</t>
  </si>
  <si>
    <t>2023040500010</t>
  </si>
  <si>
    <t>2023040500020</t>
  </si>
  <si>
    <t>UBM3</t>
    <phoneticPr fontId="3" type="noConversion"/>
  </si>
  <si>
    <t>RXM3</t>
    <phoneticPr fontId="3" type="noConversion"/>
  </si>
  <si>
    <t>Step2</t>
    <phoneticPr fontId="3" type="noConversion"/>
  </si>
  <si>
    <t>Step5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</si>
</sst>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1">
    <numFmt numFmtId="43" formatCode="_-* #,##0.00_-;\-* #,##0.00_-;_-* &quot;-&quot;??_-;_-@_-"/>
    <numFmt numFmtId="24" formatCode="&quot;US$&quot;#,##0_);[Red]\(&quot;US$&quot;#,##0\)"/>
    <numFmt numFmtId="176" formatCode="&quot;$&quot;#,##0_);\(&quot;$&quot;#,##0\)"/>
    <numFmt numFmtId="177" formatCode="&quot;$&quot;#,##0_);[Red]\(&quot;$&quot;#,##0\)"/>
    <numFmt numFmtId="178" formatCode="&quot;$&quot;#,##0.00_);[Red]\(&quot;$&quot;#,##0.00\)"/>
    <numFmt numFmtId="179" formatCode="_(* #,##0.00_);_(* \(#,##0.00\);_(* &quot;-&quot;??_);_(@_)"/>
    <numFmt numFmtId="180" formatCode="#,##0.00_ "/>
    <numFmt numFmtId="181" formatCode="&quot;NT$&quot;#,##0"/>
    <numFmt numFmtId="182" formatCode="0.0000_);[Red]\(0.0000\)"/>
    <numFmt numFmtId="183" formatCode="0_);[Red]\(0\)"/>
    <numFmt numFmtId="184" formatCode="0.0_ "/>
    <numFmt numFmtId="185" formatCode="0_ "/>
    <numFmt numFmtId="186" formatCode="0.000%"/>
    <numFmt numFmtId="187" formatCode="m&quot;月&quot;d&quot;日&quot;"/>
    <numFmt numFmtId="188" formatCode="0_);\(0\)"/>
    <numFmt numFmtId="189" formatCode="0.00_);[Red]\(0.00\)"/>
    <numFmt numFmtId="190" formatCode="#,##0.000000_ "/>
    <numFmt numFmtId="191" formatCode="0.0000%"/>
    <numFmt numFmtId="192" formatCode="0.00000_);[Red]\(0.00000\)"/>
    <numFmt numFmtId="193" formatCode="#,##0.000000_);[Red]\(#,##0.000000\)"/>
    <numFmt numFmtId="194" formatCode="0.0000000_);[Red]\(0.0000000\)"/>
    <numFmt numFmtId="195" formatCode="#,##0.0000000_);[Red]\(#,##0.0000000\)"/>
    <numFmt numFmtId="196" formatCode="m/d/yyyy;@"/>
    <numFmt numFmtId="197" formatCode="_(* #,##0_);_(* \(#,##0\);_(* &quot;-&quot;??_);_(@_)"/>
    <numFmt numFmtId="198" formatCode="0_ ;[Red]\-0\ "/>
    <numFmt numFmtId="199" formatCode="0.00_ "/>
    <numFmt numFmtId="200" formatCode="0.000000_);[Red]\(0.000000\)"/>
    <numFmt numFmtId="201" formatCode="0.000"/>
    <numFmt numFmtId="202" formatCode="0.000_ "/>
    <numFmt numFmtId="203" formatCode="#,##0.0000_ "/>
    <numFmt numFmtId="204" formatCode="0.0000"/>
  </numFmts>
  <fonts count="79">
    <font>
      <sz val="12"/>
      <name val="新細明體"/>
      <family val="1"/>
      <charset val="136"/>
    </font>
    <font>
      <sz val="12"/>
      <name val="新細明體"/>
      <family val="1"/>
      <charset val="136"/>
    </font>
    <font>
      <b/>
      <sz val="12"/>
      <name val="Times New Roman"/>
      <family val="1"/>
    </font>
    <font>
      <sz val="9"/>
      <name val="新細明體"/>
      <family val="1"/>
      <charset val="136"/>
    </font>
    <font>
      <sz val="10"/>
      <name val="Times New Roman"/>
      <family val="1"/>
    </font>
    <font>
      <sz val="11"/>
      <name val="Times New Roman"/>
      <family val="1"/>
    </font>
    <font>
      <sz val="9"/>
      <name val="Times New Roman"/>
      <family val="1"/>
    </font>
    <font>
      <sz val="12"/>
      <name val="Times New Roman"/>
      <family val="1"/>
    </font>
    <font>
      <sz val="10"/>
      <name val="Arial"/>
      <family val="2"/>
    </font>
    <font>
      <b/>
      <sz val="24"/>
      <name val="新細明體"/>
      <family val="1"/>
      <charset val="136"/>
    </font>
    <font>
      <b/>
      <sz val="24"/>
      <name val="Times New Roman"/>
      <family val="1"/>
    </font>
    <font>
      <sz val="10"/>
      <color indexed="12"/>
      <name val="Arial"/>
      <family val="2"/>
    </font>
    <font>
      <b/>
      <sz val="12"/>
      <name val="新細明體"/>
      <family val="1"/>
      <charset val="136"/>
    </font>
    <font>
      <b/>
      <sz val="12"/>
      <name val="細明體"/>
      <family val="3"/>
      <charset val="136"/>
    </font>
    <font>
      <b/>
      <sz val="18"/>
      <name val="新細明體"/>
      <family val="1"/>
      <charset val="136"/>
    </font>
    <font>
      <sz val="12"/>
      <name val="新細明體"/>
      <family val="1"/>
      <charset val="136"/>
    </font>
    <font>
      <b/>
      <sz val="11"/>
      <name val="新細明體"/>
      <family val="1"/>
      <charset val="136"/>
    </font>
    <font>
      <b/>
      <sz val="11"/>
      <name val="Times New Roman"/>
      <family val="1"/>
    </font>
    <font>
      <sz val="10"/>
      <color indexed="61"/>
      <name val="Times New Roman"/>
      <family val="1"/>
    </font>
    <font>
      <sz val="12"/>
      <color indexed="61"/>
      <name val="Times New Roman"/>
      <family val="1"/>
    </font>
    <font>
      <sz val="12"/>
      <color indexed="61"/>
      <name val="新細明體"/>
      <family val="1"/>
      <charset val="136"/>
    </font>
    <font>
      <b/>
      <sz val="12"/>
      <color indexed="60"/>
      <name val="新細明體"/>
      <family val="1"/>
      <charset val="136"/>
    </font>
    <font>
      <b/>
      <sz val="12"/>
      <color indexed="12"/>
      <name val="Times New Roman"/>
      <family val="1"/>
    </font>
    <font>
      <b/>
      <sz val="10"/>
      <name val="Times New Roman"/>
      <family val="1"/>
    </font>
    <font>
      <b/>
      <i/>
      <sz val="12"/>
      <color indexed="10"/>
      <name val="Times New Roman"/>
      <family val="1"/>
    </font>
    <font>
      <sz val="10"/>
      <name val="細明體"/>
      <family val="3"/>
      <charset val="136"/>
    </font>
    <font>
      <sz val="12"/>
      <color indexed="10"/>
      <name val="新細明體"/>
      <family val="1"/>
      <charset val="136"/>
    </font>
    <font>
      <sz val="10"/>
      <color indexed="12"/>
      <name val="Times New Roman"/>
      <family val="1"/>
    </font>
    <font>
      <sz val="12"/>
      <color indexed="12"/>
      <name val="新細明體"/>
      <family val="1"/>
      <charset val="136"/>
    </font>
    <font>
      <b/>
      <sz val="12"/>
      <color indexed="12"/>
      <name val="新細明體"/>
      <family val="1"/>
      <charset val="136"/>
    </font>
    <font>
      <sz val="10"/>
      <color indexed="53"/>
      <name val="Times New Roman"/>
      <family val="1"/>
    </font>
    <font>
      <sz val="10"/>
      <color indexed="53"/>
      <name val="Arial"/>
      <family val="2"/>
    </font>
    <font>
      <sz val="12"/>
      <color indexed="12"/>
      <name val="Times New Roman"/>
      <family val="1"/>
    </font>
    <font>
      <sz val="10"/>
      <color indexed="17"/>
      <name val="Times New Roman"/>
      <family val="1"/>
    </font>
    <font>
      <b/>
      <sz val="10"/>
      <name val="Arial"/>
      <family val="2"/>
    </font>
    <font>
      <b/>
      <sz val="10"/>
      <name val="細明體"/>
      <family val="3"/>
      <charset val="136"/>
    </font>
    <font>
      <b/>
      <sz val="14"/>
      <color indexed="16"/>
      <name val="Times New Roman"/>
      <family val="1"/>
    </font>
    <font>
      <b/>
      <sz val="14"/>
      <color indexed="16"/>
      <name val="新細明體"/>
      <family val="1"/>
      <charset val="136"/>
    </font>
    <font>
      <sz val="14"/>
      <name val="新細明體"/>
      <family val="1"/>
      <charset val="136"/>
    </font>
    <font>
      <sz val="14"/>
      <color indexed="16"/>
      <name val="新細明體"/>
      <family val="1"/>
      <charset val="136"/>
    </font>
    <font>
      <b/>
      <sz val="11"/>
      <color indexed="12"/>
      <name val="Times New Roman"/>
      <family val="1"/>
    </font>
    <font>
      <sz val="8"/>
      <name val="Arial"/>
      <family val="2"/>
    </font>
    <font>
      <sz val="12"/>
      <color indexed="17"/>
      <name val="新細明體"/>
      <family val="1"/>
      <charset val="136"/>
    </font>
    <font>
      <sz val="11"/>
      <color indexed="12"/>
      <name val="Times New Roman"/>
      <family val="1"/>
    </font>
    <font>
      <sz val="10"/>
      <color indexed="58"/>
      <name val="Times New Roman"/>
      <family val="1"/>
    </font>
    <font>
      <sz val="10"/>
      <color indexed="58"/>
      <name val="Arial"/>
      <family val="2"/>
    </font>
    <font>
      <sz val="12"/>
      <name val="細明體"/>
      <family val="3"/>
      <charset val="136"/>
    </font>
    <font>
      <b/>
      <sz val="16"/>
      <name val="新細明體"/>
      <family val="1"/>
      <charset val="136"/>
    </font>
    <font>
      <sz val="12"/>
      <name val="標楷體"/>
      <family val="4"/>
      <charset val="136"/>
    </font>
    <font>
      <b/>
      <sz val="12"/>
      <color indexed="12"/>
      <name val="Dotum"/>
      <family val="2"/>
      <charset val="129"/>
    </font>
    <font>
      <sz val="12"/>
      <name val="Dotum"/>
      <family val="2"/>
      <charset val="129"/>
    </font>
    <font>
      <b/>
      <sz val="10"/>
      <name val="Dotum"/>
      <family val="2"/>
      <charset val="129"/>
    </font>
    <font>
      <sz val="10"/>
      <name val="Dotum"/>
      <family val="2"/>
      <charset val="129"/>
    </font>
    <font>
      <sz val="8"/>
      <name val="Times New Roman"/>
      <family val="1"/>
    </font>
    <font>
      <b/>
      <sz val="12"/>
      <color indexed="18"/>
      <name val="Arial"/>
      <family val="2"/>
    </font>
    <font>
      <b/>
      <sz val="12"/>
      <color indexed="18"/>
      <name val="Arial Unicode MS"/>
      <family val="2"/>
      <charset val="136"/>
    </font>
    <font>
      <b/>
      <sz val="12"/>
      <color indexed="18"/>
      <name val="新細明體"/>
      <family val="1"/>
      <charset val="136"/>
    </font>
    <font>
      <sz val="10"/>
      <color indexed="10"/>
      <name val="新細明體"/>
      <family val="1"/>
      <charset val="136"/>
    </font>
    <font>
      <b/>
      <sz val="8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name val="Calibri"/>
      <family val="2"/>
    </font>
    <font>
      <b/>
      <sz val="10"/>
      <color indexed="12"/>
      <name val="Times New Roman"/>
      <family val="1"/>
    </font>
    <font>
      <b/>
      <sz val="12"/>
      <name val="Dotum"/>
      <family val="2"/>
      <charset val="129"/>
    </font>
    <font>
      <b/>
      <sz val="12"/>
      <name val="標楷體"/>
      <family val="4"/>
      <charset val="136"/>
    </font>
    <font>
      <sz val="10"/>
      <color indexed="53"/>
      <name val="Arial Unicode MS"/>
      <family val="2"/>
      <charset val="136"/>
    </font>
    <font>
      <sz val="9"/>
      <color rgb="FF000000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9"/>
      <color rgb="FF000000"/>
      <name val="Segoe UI"/>
      <family val="2"/>
    </font>
    <font>
      <sz val="10"/>
      <color indexed="12"/>
      <name val="細明體"/>
      <family val="3"/>
      <charset val="136"/>
    </font>
    <font>
      <sz val="10"/>
      <color indexed="61"/>
      <name val="細明體"/>
      <family val="3"/>
      <charset val="136"/>
    </font>
    <font>
      <b/>
      <sz val="12"/>
      <color rgb="FFFF0000"/>
      <name val="Arial"/>
      <family val="2"/>
    </font>
    <font>
      <b/>
      <sz val="12"/>
      <color rgb="FFFF0000"/>
      <name val="新細明體"/>
      <family val="1"/>
      <charset val="136"/>
    </font>
    <font>
      <b/>
      <sz val="16"/>
      <color rgb="FFFF0000"/>
      <name val="新細明體"/>
      <family val="1"/>
      <charset val="136"/>
    </font>
    <font>
      <b/>
      <sz val="12"/>
      <color indexed="53"/>
      <name val="Times New Roman"/>
      <family val="1"/>
    </font>
    <font>
      <b/>
      <sz val="10"/>
      <color indexed="53"/>
      <name val="Times New Roman"/>
      <family val="1"/>
    </font>
  </fonts>
  <fills count="28">
    <fill>
      <patternFill patternType="none"/>
    </fill>
    <fill>
      <patternFill patternType="gray125"/>
    </fill>
    <fill>
      <patternFill patternType="solid">
        <fgColor indexed="42"/>
      </patternFill>
    </fill>
    <fill>
      <patternFill patternType="solid">
        <fgColor indexed="5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</fills>
  <borders count="10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1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/>
      <diagonal/>
    </border>
    <border>
      <left/>
      <right style="medium">
        <color indexed="12"/>
      </right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9">
    <xf numFmtId="0" fontId="0" fillId="0" borderId="0">
      <alignment horizontal="left" wrapText="1"/>
    </xf>
    <xf numFmtId="0" fontId="61" fillId="0" borderId="0"/>
    <xf numFmtId="0" fontId="1" fillId="0" borderId="0">
      <alignment horizontal="left" wrapText="1"/>
    </xf>
    <xf numFmtId="179" fontId="1" fillId="0" borderId="0" applyFont="0" applyFill="0" applyBorder="0" applyAlignment="0" applyProtection="0"/>
    <xf numFmtId="43" fontId="1" fillId="0" borderId="0" applyFont="0" applyFill="0" applyBorder="0" applyAlignment="0" applyProtection="0">
      <alignment vertical="center"/>
    </xf>
    <xf numFmtId="179" fontId="1" fillId="0" borderId="0" applyFont="0" applyFill="0" applyBorder="0" applyAlignment="0" applyProtection="0"/>
    <xf numFmtId="0" fontId="42" fillId="2" borderId="0" applyNumberFormat="0" applyBorder="0" applyAlignment="0" applyProtection="0">
      <alignment vertical="center"/>
    </xf>
    <xf numFmtId="0" fontId="42" fillId="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927">
    <xf numFmtId="0" fontId="0" fillId="0" borderId="0" xfId="0" applyAlignment="1"/>
    <xf numFmtId="0" fontId="2" fillId="0" borderId="0" xfId="0" applyFont="1" applyBorder="1" applyAlignment="1"/>
    <xf numFmtId="177" fontId="0" fillId="0" borderId="0" xfId="0" applyNumberFormat="1" applyAlignment="1"/>
    <xf numFmtId="180" fontId="4" fillId="0" borderId="0" xfId="0" applyNumberFormat="1" applyFont="1" applyAlignment="1"/>
    <xf numFmtId="14" fontId="5" fillId="0" borderId="0" xfId="0" applyNumberFormat="1" applyFont="1" applyAlignment="1"/>
    <xf numFmtId="0" fontId="4" fillId="0" borderId="0" xfId="0" applyFont="1" applyAlignment="1">
      <alignment horizontal="center" vertical="center"/>
    </xf>
    <xf numFmtId="180" fontId="4" fillId="0" borderId="0" xfId="0" applyNumberFormat="1" applyFont="1" applyAlignment="1">
      <alignment horizontal="center" vertical="center"/>
    </xf>
    <xf numFmtId="0" fontId="4" fillId="0" borderId="0" xfId="0" applyFont="1" applyAlignment="1"/>
    <xf numFmtId="177" fontId="4" fillId="0" borderId="0" xfId="0" applyNumberFormat="1" applyFont="1" applyAlignment="1">
      <alignment horizontal="center" vertical="center"/>
    </xf>
    <xf numFmtId="10" fontId="4" fillId="0" borderId="0" xfId="0" applyNumberFormat="1" applyFont="1" applyAlignment="1">
      <alignment horizontal="center" vertical="center"/>
    </xf>
    <xf numFmtId="180" fontId="4" fillId="0" borderId="0" xfId="0" applyNumberFormat="1" applyFont="1" applyAlignment="1">
      <alignment horizontal="left"/>
    </xf>
    <xf numFmtId="14" fontId="0" fillId="0" borderId="0" xfId="0" applyNumberFormat="1" applyAlignment="1">
      <alignment horizontal="center" vertical="center"/>
    </xf>
    <xf numFmtId="0" fontId="7" fillId="0" borderId="0" xfId="0" applyFont="1" applyAlignme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4" fillId="0" borderId="0" xfId="0" applyNumberFormat="1" applyFont="1" applyBorder="1" applyAlignment="1">
      <alignment horizontal="center" vertical="center"/>
    </xf>
    <xf numFmtId="40" fontId="4" fillId="0" borderId="0" xfId="0" applyNumberFormat="1" applyFont="1" applyAlignment="1">
      <alignment horizontal="center" vertical="center"/>
    </xf>
    <xf numFmtId="180" fontId="7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left"/>
    </xf>
    <xf numFmtId="0" fontId="4" fillId="0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 vertical="center"/>
    </xf>
    <xf numFmtId="177" fontId="4" fillId="0" borderId="1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180" fontId="6" fillId="0" borderId="1" xfId="0" applyNumberFormat="1" applyFont="1" applyBorder="1" applyAlignment="1">
      <alignment horizontal="center" vertical="center"/>
    </xf>
    <xf numFmtId="40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/>
    <xf numFmtId="177" fontId="4" fillId="0" borderId="1" xfId="0" applyNumberFormat="1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10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40" fontId="4" fillId="0" borderId="0" xfId="0" applyNumberFormat="1" applyFont="1" applyBorder="1" applyAlignment="1">
      <alignment horizontal="center" vertical="center"/>
    </xf>
    <xf numFmtId="180" fontId="4" fillId="0" borderId="0" xfId="0" applyNumberFormat="1" applyFont="1" applyBorder="1" applyAlignment="1">
      <alignment horizontal="left"/>
    </xf>
    <xf numFmtId="180" fontId="4" fillId="0" borderId="0" xfId="0" applyNumberFormat="1" applyFont="1" applyBorder="1" applyAlignment="1">
      <alignment horizontal="center" vertical="center"/>
    </xf>
    <xf numFmtId="177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/>
    <xf numFmtId="10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40" fontId="2" fillId="0" borderId="0" xfId="0" applyNumberFormat="1" applyFont="1" applyAlignment="1">
      <alignment horizontal="left" vertical="center"/>
    </xf>
    <xf numFmtId="2" fontId="4" fillId="0" borderId="0" xfId="0" applyNumberFormat="1" applyFont="1" applyAlignment="1"/>
    <xf numFmtId="0" fontId="9" fillId="0" borderId="0" xfId="0" applyFont="1" applyAlignment="1"/>
    <xf numFmtId="2" fontId="4" fillId="0" borderId="1" xfId="0" applyNumberFormat="1" applyFont="1" applyBorder="1" applyAlignment="1">
      <alignment horizontal="center" vertical="center"/>
    </xf>
    <xf numFmtId="0" fontId="11" fillId="0" borderId="0" xfId="0" applyFont="1" applyAlignment="1">
      <alignment horizontal="left"/>
    </xf>
    <xf numFmtId="0" fontId="8" fillId="0" borderId="1" xfId="0" applyFont="1" applyBorder="1" applyAlignment="1">
      <alignment horizontal="center"/>
    </xf>
    <xf numFmtId="0" fontId="4" fillId="0" borderId="1" xfId="0" applyFont="1" applyBorder="1" applyAlignment="1">
      <alignment horizontal="left" vertical="center" wrapText="1"/>
    </xf>
    <xf numFmtId="184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 wrapText="1"/>
    </xf>
    <xf numFmtId="14" fontId="7" fillId="0" borderId="0" xfId="0" applyNumberFormat="1" applyFont="1" applyAlignment="1">
      <alignment horizontal="right" vertical="center"/>
    </xf>
    <xf numFmtId="177" fontId="1" fillId="0" borderId="0" xfId="0" applyNumberFormat="1" applyFont="1" applyAlignment="1"/>
    <xf numFmtId="38" fontId="0" fillId="0" borderId="0" xfId="0" applyNumberFormat="1" applyAlignment="1"/>
    <xf numFmtId="0" fontId="8" fillId="0" borderId="0" xfId="0" applyFont="1" applyAlignment="1">
      <alignment horizontal="center"/>
    </xf>
    <xf numFmtId="190" fontId="4" fillId="0" borderId="1" xfId="0" applyNumberFormat="1" applyFont="1" applyBorder="1" applyAlignment="1">
      <alignment horizontal="center" vertical="center"/>
    </xf>
    <xf numFmtId="191" fontId="4" fillId="0" borderId="0" xfId="0" applyNumberFormat="1" applyFont="1" applyAlignment="1">
      <alignment horizontal="center" vertical="center"/>
    </xf>
    <xf numFmtId="191" fontId="0" fillId="0" borderId="0" xfId="0" applyNumberFormat="1" applyAlignment="1"/>
    <xf numFmtId="192" fontId="4" fillId="0" borderId="1" xfId="0" applyNumberFormat="1" applyFont="1" applyBorder="1" applyAlignment="1">
      <alignment horizontal="center" vertical="center"/>
    </xf>
    <xf numFmtId="192" fontId="4" fillId="0" borderId="0" xfId="0" applyNumberFormat="1" applyFont="1" applyBorder="1" applyAlignment="1">
      <alignment horizontal="center" vertical="center"/>
    </xf>
    <xf numFmtId="192" fontId="4" fillId="0" borderId="0" xfId="0" applyNumberFormat="1" applyFont="1" applyAlignment="1">
      <alignment horizontal="center" vertical="center"/>
    </xf>
    <xf numFmtId="192" fontId="4" fillId="0" borderId="1" xfId="0" applyNumberFormat="1" applyFont="1" applyFill="1" applyBorder="1" applyAlignment="1">
      <alignment horizontal="center"/>
    </xf>
    <xf numFmtId="178" fontId="0" fillId="0" borderId="0" xfId="0" applyNumberFormat="1" applyAlignment="1"/>
    <xf numFmtId="14" fontId="12" fillId="0" borderId="0" xfId="0" applyNumberFormat="1" applyFont="1" applyAlignment="1">
      <alignment horizontal="center" vertical="center"/>
    </xf>
    <xf numFmtId="0" fontId="2" fillId="0" borderId="0" xfId="0" applyFont="1" applyAlignment="1"/>
    <xf numFmtId="0" fontId="12" fillId="0" borderId="0" xfId="0" applyFont="1" applyBorder="1" applyAlignment="1"/>
    <xf numFmtId="187" fontId="0" fillId="0" borderId="0" xfId="0" applyNumberFormat="1" applyAlignment="1"/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/>
    </xf>
    <xf numFmtId="14" fontId="4" fillId="0" borderId="1" xfId="0" applyNumberFormat="1" applyFont="1" applyFill="1" applyBorder="1" applyAlignment="1">
      <alignment horizontal="center" vertical="center"/>
    </xf>
    <xf numFmtId="14" fontId="4" fillId="0" borderId="0" xfId="0" applyNumberFormat="1" applyFont="1" applyFill="1" applyBorder="1" applyAlignment="1">
      <alignment horizontal="center" vertical="center"/>
    </xf>
    <xf numFmtId="177" fontId="4" fillId="0" borderId="0" xfId="0" applyNumberFormat="1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189" fontId="0" fillId="0" borderId="0" xfId="0" applyNumberFormat="1" applyAlignment="1">
      <alignment horizontal="center" vertical="center"/>
    </xf>
    <xf numFmtId="189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38" fontId="17" fillId="0" borderId="0" xfId="0" applyNumberFormat="1" applyFont="1" applyAlignment="1"/>
    <xf numFmtId="38" fontId="5" fillId="0" borderId="0" xfId="0" applyNumberFormat="1" applyFont="1" applyAlignment="1"/>
    <xf numFmtId="38" fontId="7" fillId="0" borderId="0" xfId="0" applyNumberFormat="1" applyFont="1" applyAlignment="1"/>
    <xf numFmtId="188" fontId="7" fillId="0" borderId="0" xfId="0" applyNumberFormat="1" applyFont="1" applyAlignment="1"/>
    <xf numFmtId="188" fontId="2" fillId="0" borderId="0" xfId="0" applyNumberFormat="1" applyFont="1" applyAlignment="1"/>
    <xf numFmtId="38" fontId="5" fillId="0" borderId="3" xfId="0" applyNumberFormat="1" applyFont="1" applyBorder="1" applyAlignment="1">
      <alignment horizontal="center"/>
    </xf>
    <xf numFmtId="38" fontId="5" fillId="0" borderId="4" xfId="0" applyNumberFormat="1" applyFont="1" applyBorder="1" applyAlignment="1">
      <alignment horizontal="center"/>
    </xf>
    <xf numFmtId="38" fontId="5" fillId="0" borderId="0" xfId="0" applyNumberFormat="1" applyFont="1" applyBorder="1" applyAlignment="1">
      <alignment horizontal="center"/>
    </xf>
    <xf numFmtId="38" fontId="5" fillId="0" borderId="3" xfId="0" applyNumberFormat="1" applyFont="1" applyFill="1" applyBorder="1" applyAlignment="1">
      <alignment horizontal="center"/>
    </xf>
    <xf numFmtId="38" fontId="5" fillId="0" borderId="5" xfId="0" applyNumberFormat="1" applyFont="1" applyBorder="1" applyAlignment="1">
      <alignment horizontal="center"/>
    </xf>
    <xf numFmtId="38" fontId="5" fillId="0" borderId="1" xfId="0" applyNumberFormat="1" applyFont="1" applyBorder="1" applyAlignment="1">
      <alignment horizontal="center"/>
    </xf>
    <xf numFmtId="0" fontId="5" fillId="0" borderId="0" xfId="0" applyFont="1" applyBorder="1" applyAlignment="1"/>
    <xf numFmtId="0" fontId="18" fillId="0" borderId="1" xfId="0" applyFont="1" applyFill="1" applyBorder="1" applyAlignment="1">
      <alignment horizontal="center"/>
    </xf>
    <xf numFmtId="177" fontId="18" fillId="0" borderId="1" xfId="0" applyNumberFormat="1" applyFont="1" applyFill="1" applyBorder="1" applyAlignment="1">
      <alignment horizontal="center"/>
    </xf>
    <xf numFmtId="176" fontId="24" fillId="0" borderId="0" xfId="0" applyNumberFormat="1" applyFont="1" applyAlignment="1"/>
    <xf numFmtId="177" fontId="25" fillId="0" borderId="0" xfId="0" applyNumberFormat="1" applyFont="1" applyAlignment="1"/>
    <xf numFmtId="0" fontId="7" fillId="0" borderId="0" xfId="0" applyFont="1" applyAlignment="1">
      <alignment horizontal="right"/>
    </xf>
    <xf numFmtId="0" fontId="7" fillId="0" borderId="0" xfId="0" applyFont="1" applyFill="1" applyAlignment="1"/>
    <xf numFmtId="0" fontId="0" fillId="0" borderId="0" xfId="0" applyFill="1" applyAlignment="1"/>
    <xf numFmtId="0" fontId="0" fillId="3" borderId="0" xfId="0" applyFill="1" applyAlignment="1">
      <alignment horizontal="center" vertical="center"/>
    </xf>
    <xf numFmtId="38" fontId="5" fillId="0" borderId="4" xfId="0" applyNumberFormat="1" applyFont="1" applyFill="1" applyBorder="1" applyAlignment="1">
      <alignment horizontal="center"/>
    </xf>
    <xf numFmtId="14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8" fillId="0" borderId="0" xfId="0" applyFont="1" applyFill="1" applyAlignment="1">
      <alignment horizontal="center"/>
    </xf>
    <xf numFmtId="0" fontId="11" fillId="0" borderId="0" xfId="0" applyFont="1" applyFill="1" applyAlignment="1">
      <alignment horizontal="left"/>
    </xf>
    <xf numFmtId="177" fontId="0" fillId="0" borderId="0" xfId="0" applyNumberFormat="1" applyFill="1" applyAlignment="1"/>
    <xf numFmtId="0" fontId="11" fillId="0" borderId="1" xfId="0" applyFont="1" applyFill="1" applyBorder="1" applyAlignment="1">
      <alignment horizontal="center"/>
    </xf>
    <xf numFmtId="0" fontId="20" fillId="0" borderId="0" xfId="0" applyFont="1" applyFill="1" applyAlignment="1"/>
    <xf numFmtId="185" fontId="20" fillId="0" borderId="0" xfId="0" applyNumberFormat="1" applyFont="1" applyFill="1" applyAlignment="1"/>
    <xf numFmtId="178" fontId="18" fillId="0" borderId="1" xfId="0" applyNumberFormat="1" applyFont="1" applyFill="1" applyBorder="1" applyAlignment="1">
      <alignment horizontal="center" vertical="center"/>
    </xf>
    <xf numFmtId="180" fontId="4" fillId="0" borderId="0" xfId="0" applyNumberFormat="1" applyFont="1" applyFill="1" applyBorder="1" applyAlignment="1">
      <alignment horizontal="center" vertical="center"/>
    </xf>
    <xf numFmtId="178" fontId="4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/>
    </xf>
    <xf numFmtId="177" fontId="4" fillId="0" borderId="0" xfId="0" applyNumberFormat="1" applyFont="1" applyFill="1" applyBorder="1" applyAlignment="1">
      <alignment horizontal="center" vertical="center"/>
    </xf>
    <xf numFmtId="177" fontId="7" fillId="0" borderId="0" xfId="0" applyNumberFormat="1" applyFont="1" applyFill="1" applyAlignment="1"/>
    <xf numFmtId="0" fontId="27" fillId="0" borderId="1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 vertical="center"/>
    </xf>
    <xf numFmtId="14" fontId="27" fillId="0" borderId="1" xfId="0" applyNumberFormat="1" applyFont="1" applyFill="1" applyBorder="1" applyAlignment="1">
      <alignment horizontal="center" vertical="center"/>
    </xf>
    <xf numFmtId="177" fontId="27" fillId="0" borderId="1" xfId="0" applyNumberFormat="1" applyFont="1" applyFill="1" applyBorder="1" applyAlignment="1">
      <alignment horizontal="center"/>
    </xf>
    <xf numFmtId="0" fontId="27" fillId="0" borderId="1" xfId="0" applyFont="1" applyFill="1" applyBorder="1" applyAlignment="1">
      <alignment horizontal="center" vertical="center"/>
    </xf>
    <xf numFmtId="0" fontId="28" fillId="0" borderId="0" xfId="0" applyFont="1" applyFill="1" applyAlignment="1"/>
    <xf numFmtId="38" fontId="28" fillId="0" borderId="0" xfId="0" applyNumberFormat="1" applyFont="1" applyFill="1" applyAlignment="1"/>
    <xf numFmtId="180" fontId="27" fillId="0" borderId="1" xfId="0" applyNumberFormat="1" applyFont="1" applyFill="1" applyBorder="1" applyAlignment="1">
      <alignment horizontal="center" vertical="center"/>
    </xf>
    <xf numFmtId="178" fontId="0" fillId="0" borderId="0" xfId="0" applyNumberFormat="1" applyFill="1" applyAlignment="1"/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 vertical="center"/>
    </xf>
    <xf numFmtId="14" fontId="18" fillId="0" borderId="1" xfId="0" applyNumberFormat="1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horizontal="center" vertical="center"/>
    </xf>
    <xf numFmtId="180" fontId="18" fillId="0" borderId="1" xfId="0" applyNumberFormat="1" applyFont="1" applyFill="1" applyBorder="1" applyAlignment="1">
      <alignment horizontal="center" vertical="center"/>
    </xf>
    <xf numFmtId="195" fontId="27" fillId="0" borderId="1" xfId="0" applyNumberFormat="1" applyFont="1" applyFill="1" applyBorder="1" applyAlignment="1">
      <alignment horizontal="center" wrapText="1"/>
    </xf>
    <xf numFmtId="181" fontId="21" fillId="0" borderId="0" xfId="0" applyNumberFormat="1" applyFont="1" applyFill="1" applyAlignment="1">
      <alignment horizontal="center"/>
    </xf>
    <xf numFmtId="190" fontId="4" fillId="0" borderId="1" xfId="0" applyNumberFormat="1" applyFont="1" applyFill="1" applyBorder="1" applyAlignment="1">
      <alignment horizontal="center" vertical="center"/>
    </xf>
    <xf numFmtId="181" fontId="0" fillId="0" borderId="0" xfId="0" applyNumberFormat="1" applyFill="1" applyAlignment="1">
      <alignment horizontal="center" vertical="center"/>
    </xf>
    <xf numFmtId="193" fontId="18" fillId="0" borderId="1" xfId="0" applyNumberFormat="1" applyFont="1" applyFill="1" applyBorder="1" applyAlignment="1">
      <alignment horizontal="center"/>
    </xf>
    <xf numFmtId="190" fontId="4" fillId="0" borderId="6" xfId="0" applyNumberFormat="1" applyFont="1" applyFill="1" applyBorder="1" applyAlignment="1">
      <alignment horizontal="center" vertical="center"/>
    </xf>
    <xf numFmtId="38" fontId="7" fillId="0" borderId="0" xfId="0" applyNumberFormat="1" applyFont="1" applyFill="1" applyAlignment="1"/>
    <xf numFmtId="0" fontId="12" fillId="0" borderId="0" xfId="0" applyFont="1" applyFill="1" applyAlignment="1"/>
    <xf numFmtId="0" fontId="0" fillId="3" borderId="0" xfId="0" applyFill="1" applyAlignment="1"/>
    <xf numFmtId="0" fontId="12" fillId="0" borderId="0" xfId="0" applyFont="1" applyAlignment="1"/>
    <xf numFmtId="0" fontId="2" fillId="0" borderId="0" xfId="0" applyFont="1" applyAlignment="1">
      <alignment horizontal="center"/>
    </xf>
    <xf numFmtId="178" fontId="7" fillId="0" borderId="0" xfId="0" applyNumberFormat="1" applyFont="1" applyAlignment="1"/>
    <xf numFmtId="178" fontId="12" fillId="0" borderId="0" xfId="0" applyNumberFormat="1" applyFont="1" applyAlignment="1"/>
    <xf numFmtId="181" fontId="21" fillId="4" borderId="0" xfId="0" applyNumberFormat="1" applyFont="1" applyFill="1" applyAlignment="1">
      <alignment horizontal="center"/>
    </xf>
    <xf numFmtId="14" fontId="4" fillId="0" borderId="2" xfId="0" applyNumberFormat="1" applyFont="1" applyFill="1" applyBorder="1" applyAlignment="1">
      <alignment horizontal="center" vertical="center"/>
    </xf>
    <xf numFmtId="177" fontId="4" fillId="0" borderId="2" xfId="0" applyNumberFormat="1" applyFont="1" applyFill="1" applyBorder="1" applyAlignment="1">
      <alignment horizontal="center"/>
    </xf>
    <xf numFmtId="14" fontId="4" fillId="0" borderId="2" xfId="0" applyNumberFormat="1" applyFont="1" applyBorder="1" applyAlignment="1">
      <alignment horizontal="center" vertical="center"/>
    </xf>
    <xf numFmtId="190" fontId="4" fillId="0" borderId="7" xfId="0" applyNumberFormat="1" applyFont="1" applyFill="1" applyBorder="1" applyAlignment="1">
      <alignment horizontal="center" vertical="center"/>
    </xf>
    <xf numFmtId="38" fontId="2" fillId="5" borderId="0" xfId="0" applyNumberFormat="1" applyFont="1" applyFill="1" applyAlignment="1"/>
    <xf numFmtId="40" fontId="4" fillId="0" borderId="0" xfId="0" applyNumberFormat="1" applyFont="1" applyFill="1" applyAlignment="1">
      <alignment horizontal="center" vertical="center"/>
    </xf>
    <xf numFmtId="24" fontId="4" fillId="0" borderId="0" xfId="0" applyNumberFormat="1" applyFont="1" applyFill="1" applyAlignment="1"/>
    <xf numFmtId="191" fontId="0" fillId="0" borderId="0" xfId="0" applyNumberFormat="1" applyFill="1" applyAlignment="1"/>
    <xf numFmtId="0" fontId="7" fillId="0" borderId="0" xfId="0" applyFont="1" applyFill="1" applyAlignment="1">
      <alignment horizontal="right"/>
    </xf>
    <xf numFmtId="191" fontId="7" fillId="0" borderId="0" xfId="0" applyNumberFormat="1" applyFont="1" applyFill="1" applyAlignment="1"/>
    <xf numFmtId="0" fontId="26" fillId="0" borderId="0" xfId="0" applyFont="1" applyFill="1" applyAlignment="1">
      <alignment horizontal="center" vertical="center"/>
    </xf>
    <xf numFmtId="38" fontId="4" fillId="0" borderId="0" xfId="0" applyNumberFormat="1" applyFont="1" applyAlignment="1"/>
    <xf numFmtId="180" fontId="33" fillId="0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190" fontId="4" fillId="0" borderId="0" xfId="0" applyNumberFormat="1" applyFont="1" applyFill="1" applyBorder="1" applyAlignment="1">
      <alignment horizontal="center" vertical="center"/>
    </xf>
    <xf numFmtId="0" fontId="0" fillId="4" borderId="0" xfId="0" applyFill="1" applyAlignment="1"/>
    <xf numFmtId="14" fontId="4" fillId="5" borderId="1" xfId="0" applyNumberFormat="1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/>
    </xf>
    <xf numFmtId="37" fontId="23" fillId="0" borderId="0" xfId="0" applyNumberFormat="1" applyFont="1" applyAlignment="1"/>
    <xf numFmtId="37" fontId="4" fillId="6" borderId="0" xfId="0" applyNumberFormat="1" applyFont="1" applyFill="1" applyAlignment="1"/>
    <xf numFmtId="37" fontId="4" fillId="0" borderId="0" xfId="0" applyNumberFormat="1" applyFont="1" applyAlignment="1"/>
    <xf numFmtId="0" fontId="23" fillId="0" borderId="0" xfId="0" applyFont="1" applyAlignment="1"/>
    <xf numFmtId="38" fontId="4" fillId="7" borderId="0" xfId="0" applyNumberFormat="1" applyFont="1" applyFill="1" applyAlignment="1"/>
    <xf numFmtId="38" fontId="4" fillId="8" borderId="0" xfId="0" applyNumberFormat="1" applyFont="1" applyFill="1" applyAlignment="1"/>
    <xf numFmtId="38" fontId="5" fillId="0" borderId="9" xfId="0" applyNumberFormat="1" applyFont="1" applyBorder="1" applyAlignment="1">
      <alignment horizontal="center"/>
    </xf>
    <xf numFmtId="38" fontId="5" fillId="0" borderId="0" xfId="0" applyNumberFormat="1" applyFont="1" applyFill="1" applyBorder="1" applyAlignment="1">
      <alignment horizontal="center"/>
    </xf>
    <xf numFmtId="38" fontId="5" fillId="0" borderId="2" xfId="0" applyNumberFormat="1" applyFont="1" applyBorder="1" applyAlignment="1">
      <alignment horizontal="center"/>
    </xf>
    <xf numFmtId="37" fontId="5" fillId="0" borderId="10" xfId="0" applyNumberFormat="1" applyFont="1" applyBorder="1" applyAlignment="1">
      <alignment horizontal="center"/>
    </xf>
    <xf numFmtId="38" fontId="5" fillId="0" borderId="11" xfId="0" applyNumberFormat="1" applyFont="1" applyBorder="1" applyAlignment="1">
      <alignment horizontal="center"/>
    </xf>
    <xf numFmtId="38" fontId="5" fillId="0" borderId="12" xfId="0" applyNumberFormat="1" applyFont="1" applyBorder="1" applyAlignment="1">
      <alignment horizontal="center"/>
    </xf>
    <xf numFmtId="0" fontId="0" fillId="0" borderId="0" xfId="0" applyBorder="1" applyAlignment="1"/>
    <xf numFmtId="38" fontId="5" fillId="0" borderId="12" xfId="0" applyNumberFormat="1" applyFont="1" applyFill="1" applyBorder="1" applyAlignment="1">
      <alignment horizontal="center"/>
    </xf>
    <xf numFmtId="38" fontId="5" fillId="0" borderId="10" xfId="0" applyNumberFormat="1" applyFont="1" applyFill="1" applyBorder="1" applyAlignment="1">
      <alignment horizontal="center"/>
    </xf>
    <xf numFmtId="38" fontId="5" fillId="0" borderId="13" xfId="0" applyNumberFormat="1" applyFont="1" applyBorder="1" applyAlignment="1">
      <alignment horizontal="center"/>
    </xf>
    <xf numFmtId="38" fontId="5" fillId="0" borderId="14" xfId="0" applyNumberFormat="1" applyFont="1" applyBorder="1" applyAlignment="1">
      <alignment horizontal="center"/>
    </xf>
    <xf numFmtId="38" fontId="5" fillId="0" borderId="14" xfId="0" applyNumberFormat="1" applyFont="1" applyFill="1" applyBorder="1" applyAlignment="1">
      <alignment horizontal="center"/>
    </xf>
    <xf numFmtId="38" fontId="5" fillId="0" borderId="15" xfId="0" applyNumberFormat="1" applyFont="1" applyBorder="1" applyAlignment="1">
      <alignment horizontal="center"/>
    </xf>
    <xf numFmtId="187" fontId="13" fillId="0" borderId="16" xfId="0" applyNumberFormat="1" applyFont="1" applyBorder="1" applyAlignment="1">
      <alignment horizontal="center"/>
    </xf>
    <xf numFmtId="187" fontId="2" fillId="0" borderId="16" xfId="0" applyNumberFormat="1" applyFont="1" applyBorder="1" applyAlignment="1">
      <alignment horizontal="center"/>
    </xf>
    <xf numFmtId="0" fontId="12" fillId="0" borderId="17" xfId="0" applyFont="1" applyBorder="1" applyAlignment="1"/>
    <xf numFmtId="0" fontId="12" fillId="0" borderId="18" xfId="0" applyFont="1" applyBorder="1" applyAlignment="1"/>
    <xf numFmtId="38" fontId="5" fillId="0" borderId="19" xfId="0" applyNumberFormat="1" applyFont="1" applyBorder="1" applyAlignment="1">
      <alignment horizontal="center"/>
    </xf>
    <xf numFmtId="38" fontId="5" fillId="0" borderId="20" xfId="0" applyNumberFormat="1" applyFont="1" applyBorder="1" applyAlignment="1">
      <alignment horizontal="center"/>
    </xf>
    <xf numFmtId="38" fontId="5" fillId="0" borderId="21" xfId="0" applyNumberFormat="1" applyFont="1" applyBorder="1" applyAlignment="1">
      <alignment horizontal="center"/>
    </xf>
    <xf numFmtId="38" fontId="5" fillId="0" borderId="22" xfId="0" applyNumberFormat="1" applyFont="1" applyBorder="1" applyAlignment="1">
      <alignment horizontal="center"/>
    </xf>
    <xf numFmtId="38" fontId="5" fillId="0" borderId="23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38" fontId="5" fillId="0" borderId="8" xfId="0" applyNumberFormat="1" applyFont="1" applyBorder="1" applyAlignment="1">
      <alignment horizontal="center"/>
    </xf>
    <xf numFmtId="38" fontId="5" fillId="0" borderId="9" xfId="0" applyNumberFormat="1" applyFont="1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38" fontId="5" fillId="0" borderId="10" xfId="0" applyNumberFormat="1" applyFont="1" applyBorder="1" applyAlignment="1">
      <alignment horizontal="center"/>
    </xf>
    <xf numFmtId="0" fontId="0" fillId="0" borderId="4" xfId="0" applyBorder="1" applyAlignment="1"/>
    <xf numFmtId="0" fontId="0" fillId="0" borderId="7" xfId="0" applyBorder="1" applyAlignment="1"/>
    <xf numFmtId="177" fontId="27" fillId="0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3" fillId="0" borderId="24" xfId="0" applyFont="1" applyBorder="1" applyAlignment="1">
      <alignment horizontal="center" wrapText="1"/>
    </xf>
    <xf numFmtId="0" fontId="34" fillId="0" borderId="25" xfId="0" applyFont="1" applyBorder="1" applyAlignment="1">
      <alignment horizontal="center" wrapText="1"/>
    </xf>
    <xf numFmtId="38" fontId="8" fillId="0" borderId="26" xfId="0" applyNumberFormat="1" applyFont="1" applyBorder="1" applyAlignment="1">
      <alignment horizontal="center" wrapText="1"/>
    </xf>
    <xf numFmtId="0" fontId="23" fillId="0" borderId="27" xfId="0" applyFont="1" applyBorder="1" applyAlignment="1">
      <alignment horizontal="center" wrapText="1"/>
    </xf>
    <xf numFmtId="0" fontId="23" fillId="0" borderId="28" xfId="0" applyFont="1" applyBorder="1" applyAlignment="1">
      <alignment horizontal="center" wrapText="1"/>
    </xf>
    <xf numFmtId="0" fontId="23" fillId="0" borderId="29" xfId="0" applyFont="1" applyBorder="1" applyAlignment="1">
      <alignment horizontal="center" wrapText="1"/>
    </xf>
    <xf numFmtId="0" fontId="23" fillId="0" borderId="30" xfId="0" applyFont="1" applyBorder="1" applyAlignment="1">
      <alignment horizontal="center" wrapText="1"/>
    </xf>
    <xf numFmtId="0" fontId="23" fillId="0" borderId="31" xfId="0" applyFont="1" applyBorder="1" applyAlignment="1">
      <alignment horizontal="center" wrapText="1"/>
    </xf>
    <xf numFmtId="177" fontId="27" fillId="0" borderId="0" xfId="0" applyNumberFormat="1" applyFont="1" applyFill="1" applyBorder="1" applyAlignment="1">
      <alignment horizontal="center" vertical="center"/>
    </xf>
    <xf numFmtId="195" fontId="27" fillId="0" borderId="0" xfId="0" applyNumberFormat="1" applyFont="1" applyFill="1" applyBorder="1" applyAlignment="1">
      <alignment horizontal="center" wrapText="1"/>
    </xf>
    <xf numFmtId="194" fontId="11" fillId="0" borderId="0" xfId="0" applyNumberFormat="1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177" fontId="4" fillId="9" borderId="1" xfId="0" applyNumberFormat="1" applyFont="1" applyFill="1" applyBorder="1" applyAlignment="1">
      <alignment horizontal="center"/>
    </xf>
    <xf numFmtId="180" fontId="6" fillId="9" borderId="1" xfId="0" applyNumberFormat="1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/>
    </xf>
    <xf numFmtId="38" fontId="8" fillId="0" borderId="3" xfId="0" applyNumberFormat="1" applyFont="1" applyBorder="1" applyAlignment="1">
      <alignment horizontal="center" wrapText="1"/>
    </xf>
    <xf numFmtId="38" fontId="5" fillId="0" borderId="32" xfId="0" applyNumberFormat="1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38" fontId="8" fillId="0" borderId="24" xfId="0" applyNumberFormat="1" applyFont="1" applyBorder="1" applyAlignment="1">
      <alignment horizontal="center" wrapText="1"/>
    </xf>
    <xf numFmtId="0" fontId="0" fillId="0" borderId="34" xfId="0" applyBorder="1" applyAlignment="1">
      <alignment horizontal="center"/>
    </xf>
    <xf numFmtId="0" fontId="7" fillId="0" borderId="35" xfId="0" applyFont="1" applyBorder="1" applyAlignment="1">
      <alignment horizontal="center"/>
    </xf>
    <xf numFmtId="38" fontId="8" fillId="0" borderId="29" xfId="0" applyNumberFormat="1" applyFont="1" applyBorder="1" applyAlignment="1">
      <alignment horizontal="center" wrapText="1"/>
    </xf>
    <xf numFmtId="38" fontId="8" fillId="0" borderId="30" xfId="0" applyNumberFormat="1" applyFont="1" applyBorder="1" applyAlignment="1">
      <alignment horizontal="center" wrapText="1"/>
    </xf>
    <xf numFmtId="38" fontId="8" fillId="5" borderId="28" xfId="0" applyNumberFormat="1" applyFont="1" applyFill="1" applyBorder="1" applyAlignment="1">
      <alignment horizontal="center" wrapText="1"/>
    </xf>
    <xf numFmtId="38" fontId="8" fillId="5" borderId="24" xfId="0" applyNumberFormat="1" applyFont="1" applyFill="1" applyBorder="1" applyAlignment="1">
      <alignment horizontal="center" wrapText="1"/>
    </xf>
    <xf numFmtId="0" fontId="2" fillId="0" borderId="2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13" fillId="0" borderId="37" xfId="0" applyFont="1" applyBorder="1" applyAlignment="1">
      <alignment horizontal="center"/>
    </xf>
    <xf numFmtId="0" fontId="7" fillId="0" borderId="18" xfId="0" applyFont="1" applyBorder="1" applyAlignment="1">
      <alignment vertical="center"/>
    </xf>
    <xf numFmtId="0" fontId="2" fillId="0" borderId="38" xfId="0" applyFont="1" applyBorder="1" applyAlignment="1">
      <alignment horizontal="center"/>
    </xf>
    <xf numFmtId="38" fontId="17" fillId="0" borderId="0" xfId="0" applyNumberFormat="1" applyFont="1" applyAlignment="1">
      <alignment horizontal="center"/>
    </xf>
    <xf numFmtId="38" fontId="2" fillId="0" borderId="0" xfId="0" applyNumberFormat="1" applyFont="1" applyAlignment="1"/>
    <xf numFmtId="38" fontId="40" fillId="0" borderId="0" xfId="0" applyNumberFormat="1" applyFont="1" applyAlignment="1">
      <alignment horizontal="right"/>
    </xf>
    <xf numFmtId="38" fontId="40" fillId="0" borderId="0" xfId="0" applyNumberFormat="1" applyFont="1" applyAlignment="1">
      <alignment horizontal="center"/>
    </xf>
    <xf numFmtId="38" fontId="2" fillId="5" borderId="0" xfId="0" applyNumberFormat="1" applyFont="1" applyFill="1" applyAlignment="1">
      <alignment horizontal="center"/>
    </xf>
    <xf numFmtId="38" fontId="5" fillId="5" borderId="0" xfId="0" applyNumberFormat="1" applyFont="1" applyFill="1" applyAlignment="1"/>
    <xf numFmtId="0" fontId="2" fillId="0" borderId="23" xfId="0" applyFont="1" applyBorder="1" applyAlignment="1">
      <alignment horizontal="center" vertical="center"/>
    </xf>
    <xf numFmtId="178" fontId="0" fillId="4" borderId="0" xfId="0" applyNumberFormat="1" applyFill="1" applyAlignment="1"/>
    <xf numFmtId="0" fontId="7" fillId="0" borderId="0" xfId="0" applyFont="1" applyAlignment="1">
      <alignment horizontal="left"/>
    </xf>
    <xf numFmtId="0" fontId="7" fillId="0" borderId="39" xfId="0" applyFont="1" applyBorder="1" applyAlignment="1">
      <alignment horizontal="left"/>
    </xf>
    <xf numFmtId="38" fontId="0" fillId="0" borderId="7" xfId="0" applyNumberFormat="1" applyBorder="1" applyAlignment="1"/>
    <xf numFmtId="38" fontId="0" fillId="0" borderId="40" xfId="0" applyNumberFormat="1" applyBorder="1" applyAlignment="1"/>
    <xf numFmtId="0" fontId="7" fillId="0" borderId="8" xfId="0" applyFont="1" applyBorder="1" applyAlignment="1">
      <alignment horizontal="left"/>
    </xf>
    <xf numFmtId="0" fontId="0" fillId="0" borderId="2" xfId="0" applyBorder="1" applyAlignment="1"/>
    <xf numFmtId="38" fontId="0" fillId="0" borderId="2" xfId="0" applyNumberFormat="1" applyBorder="1" applyAlignment="1"/>
    <xf numFmtId="38" fontId="0" fillId="0" borderId="5" xfId="0" applyNumberFormat="1" applyBorder="1" applyAlignment="1"/>
    <xf numFmtId="38" fontId="2" fillId="0" borderId="39" xfId="0" applyNumberFormat="1" applyFont="1" applyBorder="1" applyAlignment="1">
      <alignment horizontal="right"/>
    </xf>
    <xf numFmtId="38" fontId="2" fillId="0" borderId="7" xfId="0" applyNumberFormat="1" applyFont="1" applyBorder="1" applyAlignment="1"/>
    <xf numFmtId="38" fontId="2" fillId="0" borderId="40" xfId="0" applyNumberFormat="1" applyFont="1" applyBorder="1" applyAlignment="1"/>
    <xf numFmtId="38" fontId="2" fillId="0" borderId="33" xfId="0" applyNumberFormat="1" applyFont="1" applyBorder="1" applyAlignment="1">
      <alignment horizontal="right"/>
    </xf>
    <xf numFmtId="38" fontId="7" fillId="0" borderId="41" xfId="0" applyNumberFormat="1" applyFont="1" applyBorder="1" applyAlignment="1"/>
    <xf numFmtId="38" fontId="2" fillId="0" borderId="41" xfId="0" applyNumberFormat="1" applyFont="1" applyBorder="1" applyAlignment="1"/>
    <xf numFmtId="38" fontId="2" fillId="0" borderId="42" xfId="0" applyNumberFormat="1" applyFont="1" applyBorder="1" applyAlignment="1"/>
    <xf numFmtId="0" fontId="7" fillId="5" borderId="33" xfId="0" applyFont="1" applyFill="1" applyBorder="1" applyAlignment="1">
      <alignment horizontal="right"/>
    </xf>
    <xf numFmtId="0" fontId="0" fillId="5" borderId="41" xfId="0" applyFill="1" applyBorder="1" applyAlignment="1"/>
    <xf numFmtId="38" fontId="0" fillId="5" borderId="42" xfId="0" applyNumberFormat="1" applyFill="1" applyBorder="1" applyAlignment="1"/>
    <xf numFmtId="38" fontId="0" fillId="5" borderId="41" xfId="0" applyNumberFormat="1" applyFill="1" applyBorder="1" applyAlignment="1"/>
    <xf numFmtId="0" fontId="7" fillId="10" borderId="0" xfId="0" applyFont="1" applyFill="1" applyAlignment="1">
      <alignment horizontal="center"/>
    </xf>
    <xf numFmtId="38" fontId="8" fillId="0" borderId="3" xfId="0" applyNumberFormat="1" applyFont="1" applyFill="1" applyBorder="1" applyAlignment="1">
      <alignment horizontal="center" wrapText="1"/>
    </xf>
    <xf numFmtId="38" fontId="8" fillId="0" borderId="29" xfId="0" applyNumberFormat="1" applyFont="1" applyFill="1" applyBorder="1" applyAlignment="1">
      <alignment horizontal="center" wrapText="1"/>
    </xf>
    <xf numFmtId="0" fontId="41" fillId="9" borderId="1" xfId="0" applyFont="1" applyFill="1" applyBorder="1" applyAlignment="1">
      <alignment horizontal="center"/>
    </xf>
    <xf numFmtId="178" fontId="27" fillId="0" borderId="1" xfId="0" applyNumberFormat="1" applyFont="1" applyFill="1" applyBorder="1" applyAlignment="1">
      <alignment horizontal="center" vertical="center"/>
    </xf>
    <xf numFmtId="0" fontId="33" fillId="0" borderId="1" xfId="0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 vertical="center"/>
    </xf>
    <xf numFmtId="14" fontId="33" fillId="0" borderId="1" xfId="0" applyNumberFormat="1" applyFont="1" applyFill="1" applyBorder="1" applyAlignment="1">
      <alignment horizontal="center" vertical="center"/>
    </xf>
    <xf numFmtId="177" fontId="33" fillId="0" borderId="1" xfId="0" applyNumberFormat="1" applyFont="1" applyFill="1" applyBorder="1" applyAlignment="1">
      <alignment horizontal="center"/>
    </xf>
    <xf numFmtId="0" fontId="33" fillId="0" borderId="1" xfId="0" applyFont="1" applyFill="1" applyBorder="1" applyAlignment="1">
      <alignment horizontal="center" vertical="center"/>
    </xf>
    <xf numFmtId="193" fontId="33" fillId="0" borderId="1" xfId="0" applyNumberFormat="1" applyFont="1" applyFill="1" applyBorder="1" applyAlignment="1">
      <alignment horizontal="center"/>
    </xf>
    <xf numFmtId="178" fontId="33" fillId="0" borderId="1" xfId="0" applyNumberFormat="1" applyFont="1" applyFill="1" applyBorder="1" applyAlignment="1">
      <alignment horizontal="center" vertical="center"/>
    </xf>
    <xf numFmtId="0" fontId="42" fillId="0" borderId="0" xfId="0" applyFont="1" applyFill="1" applyAlignment="1"/>
    <xf numFmtId="0" fontId="33" fillId="0" borderId="0" xfId="0" applyFont="1" applyFill="1" applyBorder="1" applyAlignment="1">
      <alignment horizontal="left"/>
    </xf>
    <xf numFmtId="14" fontId="33" fillId="0" borderId="1" xfId="0" applyNumberFormat="1" applyFont="1" applyBorder="1" applyAlignment="1">
      <alignment horizontal="center" vertical="center"/>
    </xf>
    <xf numFmtId="190" fontId="33" fillId="0" borderId="1" xfId="0" applyNumberFormat="1" applyFont="1" applyFill="1" applyBorder="1" applyAlignment="1">
      <alignment horizontal="center" vertical="center"/>
    </xf>
    <xf numFmtId="0" fontId="27" fillId="0" borderId="1" xfId="0" applyNumberFormat="1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22" fillId="0" borderId="32" xfId="0" applyFont="1" applyBorder="1" applyAlignment="1">
      <alignment horizontal="center"/>
    </xf>
    <xf numFmtId="38" fontId="43" fillId="0" borderId="4" xfId="0" applyNumberFormat="1" applyFont="1" applyBorder="1" applyAlignment="1">
      <alignment horizontal="center"/>
    </xf>
    <xf numFmtId="38" fontId="43" fillId="0" borderId="4" xfId="0" applyNumberFormat="1" applyFont="1" applyFill="1" applyBorder="1" applyAlignment="1">
      <alignment horizontal="center"/>
    </xf>
    <xf numFmtId="38" fontId="43" fillId="0" borderId="1" xfId="0" applyNumberFormat="1" applyFont="1" applyBorder="1" applyAlignment="1">
      <alignment horizontal="center"/>
    </xf>
    <xf numFmtId="38" fontId="43" fillId="0" borderId="32" xfId="0" applyNumberFormat="1" applyFont="1" applyBorder="1" applyAlignment="1">
      <alignment horizontal="center"/>
    </xf>
    <xf numFmtId="38" fontId="43" fillId="0" borderId="0" xfId="0" applyNumberFormat="1" applyFont="1" applyBorder="1" applyAlignment="1">
      <alignment horizontal="center"/>
    </xf>
    <xf numFmtId="0" fontId="22" fillId="0" borderId="21" xfId="0" applyFont="1" applyBorder="1" applyAlignment="1">
      <alignment horizontal="center"/>
    </xf>
    <xf numFmtId="38" fontId="43" fillId="0" borderId="0" xfId="0" applyNumberFormat="1" applyFont="1" applyFill="1" applyBorder="1" applyAlignment="1">
      <alignment horizontal="center"/>
    </xf>
    <xf numFmtId="0" fontId="11" fillId="11" borderId="1" xfId="0" applyFont="1" applyFill="1" applyBorder="1" applyAlignment="1">
      <alignment horizontal="center"/>
    </xf>
    <xf numFmtId="0" fontId="27" fillId="10" borderId="1" xfId="0" applyFont="1" applyFill="1" applyBorder="1" applyAlignment="1">
      <alignment horizontal="center"/>
    </xf>
    <xf numFmtId="0" fontId="27" fillId="10" borderId="0" xfId="0" applyFont="1" applyFill="1" applyBorder="1" applyAlignment="1">
      <alignment horizontal="center"/>
    </xf>
    <xf numFmtId="0" fontId="27" fillId="10" borderId="0" xfId="0" applyFont="1" applyFill="1" applyBorder="1" applyAlignment="1">
      <alignment horizontal="center" vertical="center"/>
    </xf>
    <xf numFmtId="14" fontId="27" fillId="10" borderId="1" xfId="0" applyNumberFormat="1" applyFont="1" applyFill="1" applyBorder="1" applyAlignment="1">
      <alignment horizontal="center" vertical="center"/>
    </xf>
    <xf numFmtId="0" fontId="27" fillId="10" borderId="1" xfId="0" applyNumberFormat="1" applyFont="1" applyFill="1" applyBorder="1" applyAlignment="1">
      <alignment horizontal="center" vertical="center"/>
    </xf>
    <xf numFmtId="177" fontId="27" fillId="10" borderId="1" xfId="0" applyNumberFormat="1" applyFont="1" applyFill="1" applyBorder="1" applyAlignment="1">
      <alignment horizontal="center"/>
    </xf>
    <xf numFmtId="177" fontId="27" fillId="10" borderId="1" xfId="0" applyNumberFormat="1" applyFont="1" applyFill="1" applyBorder="1" applyAlignment="1">
      <alignment horizontal="center" vertical="center"/>
    </xf>
    <xf numFmtId="180" fontId="27" fillId="10" borderId="1" xfId="0" applyNumberFormat="1" applyFont="1" applyFill="1" applyBorder="1" applyAlignment="1">
      <alignment horizontal="center" vertical="center"/>
    </xf>
    <xf numFmtId="0" fontId="27" fillId="10" borderId="1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/>
    </xf>
    <xf numFmtId="195" fontId="27" fillId="10" borderId="1" xfId="0" applyNumberFormat="1" applyFont="1" applyFill="1" applyBorder="1" applyAlignment="1">
      <alignment horizontal="center" wrapText="1"/>
    </xf>
    <xf numFmtId="178" fontId="27" fillId="10" borderId="1" xfId="0" applyNumberFormat="1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22" fillId="0" borderId="43" xfId="0" applyFont="1" applyBorder="1" applyAlignment="1">
      <alignment horizontal="center"/>
    </xf>
    <xf numFmtId="0" fontId="28" fillId="0" borderId="0" xfId="0" applyFont="1" applyAlignment="1"/>
    <xf numFmtId="38" fontId="43" fillId="0" borderId="44" xfId="0" applyNumberFormat="1" applyFont="1" applyBorder="1" applyAlignment="1">
      <alignment horizontal="center"/>
    </xf>
    <xf numFmtId="38" fontId="43" fillId="0" borderId="44" xfId="0" applyNumberFormat="1" applyFont="1" applyFill="1" applyBorder="1" applyAlignment="1">
      <alignment horizontal="center"/>
    </xf>
    <xf numFmtId="38" fontId="43" fillId="0" borderId="45" xfId="0" applyNumberFormat="1" applyFont="1" applyBorder="1" applyAlignment="1">
      <alignment horizontal="center"/>
    </xf>
    <xf numFmtId="38" fontId="43" fillId="0" borderId="0" xfId="0" applyNumberFormat="1" applyFont="1" applyAlignment="1"/>
    <xf numFmtId="38" fontId="22" fillId="0" borderId="0" xfId="0" applyNumberFormat="1" applyFont="1" applyBorder="1" applyAlignment="1"/>
    <xf numFmtId="38" fontId="32" fillId="0" borderId="0" xfId="0" applyNumberFormat="1" applyFont="1" applyAlignment="1"/>
    <xf numFmtId="38" fontId="28" fillId="0" borderId="0" xfId="0" applyNumberFormat="1" applyFont="1" applyBorder="1" applyAlignment="1"/>
    <xf numFmtId="38" fontId="28" fillId="5" borderId="0" xfId="0" applyNumberFormat="1" applyFont="1" applyFill="1" applyBorder="1" applyAlignment="1"/>
    <xf numFmtId="0" fontId="46" fillId="0" borderId="12" xfId="0" applyFont="1" applyBorder="1" applyAlignment="1">
      <alignment horizontal="center"/>
    </xf>
    <xf numFmtId="38" fontId="22" fillId="0" borderId="0" xfId="0" applyNumberFormat="1" applyFont="1" applyAlignment="1"/>
    <xf numFmtId="0" fontId="1" fillId="0" borderId="0" xfId="0" applyFont="1" applyAlignment="1"/>
    <xf numFmtId="0" fontId="15" fillId="0" borderId="0" xfId="0" applyFont="1" applyAlignment="1"/>
    <xf numFmtId="0" fontId="1" fillId="0" borderId="12" xfId="0" applyFont="1" applyBorder="1" applyAlignment="1">
      <alignment horizontal="center" vertical="center" wrapText="1"/>
    </xf>
    <xf numFmtId="14" fontId="27" fillId="0" borderId="0" xfId="0" applyNumberFormat="1" applyFont="1" applyFill="1" applyBorder="1" applyAlignment="1">
      <alignment horizontal="center" vertical="center"/>
    </xf>
    <xf numFmtId="177" fontId="27" fillId="0" borderId="0" xfId="0" applyNumberFormat="1" applyFont="1" applyFill="1" applyBorder="1" applyAlignment="1">
      <alignment horizontal="center"/>
    </xf>
    <xf numFmtId="0" fontId="27" fillId="0" borderId="41" xfId="0" applyFont="1" applyFill="1" applyBorder="1" applyAlignment="1">
      <alignment horizontal="center"/>
    </xf>
    <xf numFmtId="180" fontId="27" fillId="0" borderId="0" xfId="0" applyNumberFormat="1" applyFont="1" applyFill="1" applyBorder="1" applyAlignment="1">
      <alignment horizontal="center" vertical="center"/>
    </xf>
    <xf numFmtId="0" fontId="27" fillId="0" borderId="41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/>
    </xf>
    <xf numFmtId="193" fontId="27" fillId="0" borderId="1" xfId="0" applyNumberFormat="1" applyFont="1" applyFill="1" applyBorder="1" applyAlignment="1">
      <alignment horizontal="center"/>
    </xf>
    <xf numFmtId="185" fontId="28" fillId="0" borderId="0" xfId="0" applyNumberFormat="1" applyFont="1" applyFill="1" applyAlignment="1"/>
    <xf numFmtId="0" fontId="27" fillId="11" borderId="0" xfId="0" applyFont="1" applyFill="1" applyBorder="1" applyAlignment="1">
      <alignment horizontal="center"/>
    </xf>
    <xf numFmtId="0" fontId="27" fillId="11" borderId="0" xfId="0" applyFont="1" applyFill="1" applyBorder="1" applyAlignment="1">
      <alignment horizontal="center" vertical="center"/>
    </xf>
    <xf numFmtId="193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>
      <alignment horizontal="left"/>
    </xf>
    <xf numFmtId="0" fontId="30" fillId="5" borderId="1" xfId="0" applyFont="1" applyFill="1" applyBorder="1" applyAlignment="1">
      <alignment horizontal="center"/>
    </xf>
    <xf numFmtId="0" fontId="30" fillId="5" borderId="0" xfId="0" applyFont="1" applyFill="1" applyBorder="1" applyAlignment="1">
      <alignment horizontal="center"/>
    </xf>
    <xf numFmtId="0" fontId="30" fillId="5" borderId="0" xfId="0" applyFont="1" applyFill="1" applyBorder="1" applyAlignment="1">
      <alignment horizontal="center" vertical="center"/>
    </xf>
    <xf numFmtId="14" fontId="30" fillId="5" borderId="1" xfId="0" applyNumberFormat="1" applyFont="1" applyFill="1" applyBorder="1" applyAlignment="1">
      <alignment horizontal="center" vertical="center"/>
    </xf>
    <xf numFmtId="0" fontId="30" fillId="5" borderId="1" xfId="0" applyNumberFormat="1" applyFont="1" applyFill="1" applyBorder="1" applyAlignment="1">
      <alignment horizontal="center" vertical="center"/>
    </xf>
    <xf numFmtId="177" fontId="30" fillId="5" borderId="1" xfId="0" applyNumberFormat="1" applyFont="1" applyFill="1" applyBorder="1" applyAlignment="1">
      <alignment horizontal="center"/>
    </xf>
    <xf numFmtId="177" fontId="30" fillId="5" borderId="1" xfId="0" applyNumberFormat="1" applyFont="1" applyFill="1" applyBorder="1" applyAlignment="1">
      <alignment horizontal="center" vertical="center"/>
    </xf>
    <xf numFmtId="180" fontId="30" fillId="5" borderId="1" xfId="0" applyNumberFormat="1" applyFont="1" applyFill="1" applyBorder="1" applyAlignment="1">
      <alignment horizontal="center" vertical="center"/>
    </xf>
    <xf numFmtId="0" fontId="30" fillId="5" borderId="1" xfId="0" applyFont="1" applyFill="1" applyBorder="1" applyAlignment="1">
      <alignment horizontal="center" vertical="center"/>
    </xf>
    <xf numFmtId="0" fontId="31" fillId="5" borderId="1" xfId="0" applyFont="1" applyFill="1" applyBorder="1" applyAlignment="1">
      <alignment horizontal="center"/>
    </xf>
    <xf numFmtId="195" fontId="30" fillId="5" borderId="1" xfId="0" applyNumberFormat="1" applyFont="1" applyFill="1" applyBorder="1" applyAlignment="1">
      <alignment horizontal="center" wrapText="1"/>
    </xf>
    <xf numFmtId="178" fontId="30" fillId="5" borderId="1" xfId="0" applyNumberFormat="1" applyFont="1" applyFill="1" applyBorder="1" applyAlignment="1">
      <alignment horizontal="center" vertical="center"/>
    </xf>
    <xf numFmtId="0" fontId="44" fillId="8" borderId="1" xfId="0" applyFont="1" applyFill="1" applyBorder="1" applyAlignment="1">
      <alignment horizontal="center"/>
    </xf>
    <xf numFmtId="0" fontId="44" fillId="8" borderId="0" xfId="0" applyFont="1" applyFill="1" applyBorder="1" applyAlignment="1">
      <alignment horizontal="center"/>
    </xf>
    <xf numFmtId="0" fontId="44" fillId="8" borderId="0" xfId="0" applyFont="1" applyFill="1" applyBorder="1" applyAlignment="1">
      <alignment horizontal="center" vertical="center"/>
    </xf>
    <xf numFmtId="14" fontId="44" fillId="8" borderId="1" xfId="0" applyNumberFormat="1" applyFont="1" applyFill="1" applyBorder="1" applyAlignment="1">
      <alignment horizontal="center" vertical="center"/>
    </xf>
    <xf numFmtId="0" fontId="44" fillId="8" borderId="1" xfId="0" applyNumberFormat="1" applyFont="1" applyFill="1" applyBorder="1" applyAlignment="1">
      <alignment horizontal="center" vertical="center"/>
    </xf>
    <xf numFmtId="177" fontId="44" fillId="8" borderId="1" xfId="0" applyNumberFormat="1" applyFont="1" applyFill="1" applyBorder="1" applyAlignment="1">
      <alignment horizontal="center"/>
    </xf>
    <xf numFmtId="177" fontId="44" fillId="8" borderId="1" xfId="0" applyNumberFormat="1" applyFont="1" applyFill="1" applyBorder="1" applyAlignment="1">
      <alignment horizontal="center" vertical="center"/>
    </xf>
    <xf numFmtId="180" fontId="44" fillId="8" borderId="1" xfId="0" applyNumberFormat="1" applyFont="1" applyFill="1" applyBorder="1" applyAlignment="1">
      <alignment horizontal="center" vertical="center"/>
    </xf>
    <xf numFmtId="0" fontId="44" fillId="8" borderId="1" xfId="0" applyFont="1" applyFill="1" applyBorder="1" applyAlignment="1">
      <alignment horizontal="center" vertical="center"/>
    </xf>
    <xf numFmtId="0" fontId="45" fillId="8" borderId="1" xfId="0" applyFont="1" applyFill="1" applyBorder="1" applyAlignment="1">
      <alignment horizontal="center"/>
    </xf>
    <xf numFmtId="195" fontId="44" fillId="8" borderId="1" xfId="0" applyNumberFormat="1" applyFont="1" applyFill="1" applyBorder="1" applyAlignment="1">
      <alignment horizontal="center" wrapText="1"/>
    </xf>
    <xf numFmtId="178" fontId="44" fillId="8" borderId="1" xfId="0" applyNumberFormat="1" applyFont="1" applyFill="1" applyBorder="1" applyAlignment="1">
      <alignment horizontal="center" vertical="center"/>
    </xf>
    <xf numFmtId="0" fontId="27" fillId="11" borderId="1" xfId="0" applyFont="1" applyFill="1" applyBorder="1" applyAlignment="1">
      <alignment horizontal="center"/>
    </xf>
    <xf numFmtId="14" fontId="27" fillId="11" borderId="1" xfId="0" applyNumberFormat="1" applyFont="1" applyFill="1" applyBorder="1" applyAlignment="1">
      <alignment horizontal="center" vertical="center"/>
    </xf>
    <xf numFmtId="0" fontId="27" fillId="11" borderId="1" xfId="0" applyNumberFormat="1" applyFont="1" applyFill="1" applyBorder="1" applyAlignment="1">
      <alignment horizontal="center" vertical="center"/>
    </xf>
    <xf numFmtId="177" fontId="27" fillId="11" borderId="1" xfId="0" applyNumberFormat="1" applyFont="1" applyFill="1" applyBorder="1" applyAlignment="1">
      <alignment horizontal="center"/>
    </xf>
    <xf numFmtId="177" fontId="27" fillId="11" borderId="1" xfId="0" applyNumberFormat="1" applyFont="1" applyFill="1" applyBorder="1" applyAlignment="1">
      <alignment horizontal="center" vertical="center"/>
    </xf>
    <xf numFmtId="180" fontId="27" fillId="11" borderId="1" xfId="0" applyNumberFormat="1" applyFont="1" applyFill="1" applyBorder="1" applyAlignment="1">
      <alignment horizontal="center" vertical="center"/>
    </xf>
    <xf numFmtId="0" fontId="27" fillId="11" borderId="1" xfId="0" applyFont="1" applyFill="1" applyBorder="1" applyAlignment="1">
      <alignment horizontal="center" vertical="center"/>
    </xf>
    <xf numFmtId="195" fontId="27" fillId="11" borderId="1" xfId="0" applyNumberFormat="1" applyFont="1" applyFill="1" applyBorder="1" applyAlignment="1">
      <alignment horizontal="center" wrapText="1"/>
    </xf>
    <xf numFmtId="194" fontId="11" fillId="11" borderId="1" xfId="0" applyNumberFormat="1" applyFont="1" applyFill="1" applyBorder="1" applyAlignment="1">
      <alignment horizontal="center"/>
    </xf>
    <xf numFmtId="178" fontId="27" fillId="11" borderId="1" xfId="0" applyNumberFormat="1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left"/>
    </xf>
    <xf numFmtId="194" fontId="11" fillId="0" borderId="1" xfId="0" applyNumberFormat="1" applyFont="1" applyFill="1" applyBorder="1" applyAlignment="1">
      <alignment horizontal="center"/>
    </xf>
    <xf numFmtId="0" fontId="27" fillId="0" borderId="46" xfId="0" applyFont="1" applyFill="1" applyBorder="1" applyAlignment="1">
      <alignment horizontal="center"/>
    </xf>
    <xf numFmtId="0" fontId="27" fillId="0" borderId="46" xfId="0" applyFont="1" applyFill="1" applyBorder="1" applyAlignment="1">
      <alignment horizontal="center" vertical="center"/>
    </xf>
    <xf numFmtId="14" fontId="27" fillId="0" borderId="46" xfId="0" applyNumberFormat="1" applyFont="1" applyFill="1" applyBorder="1" applyAlignment="1">
      <alignment horizontal="center" vertical="center"/>
    </xf>
    <xf numFmtId="177" fontId="27" fillId="0" borderId="46" xfId="0" applyNumberFormat="1" applyFont="1" applyFill="1" applyBorder="1" applyAlignment="1">
      <alignment horizontal="center"/>
    </xf>
    <xf numFmtId="180" fontId="27" fillId="0" borderId="46" xfId="0" applyNumberFormat="1" applyFont="1" applyFill="1" applyBorder="1" applyAlignment="1">
      <alignment horizontal="center" vertical="center"/>
    </xf>
    <xf numFmtId="0" fontId="11" fillId="0" borderId="46" xfId="0" applyFont="1" applyFill="1" applyBorder="1" applyAlignment="1">
      <alignment horizontal="center"/>
    </xf>
    <xf numFmtId="193" fontId="27" fillId="0" borderId="46" xfId="0" applyNumberFormat="1" applyFont="1" applyFill="1" applyBorder="1" applyAlignment="1">
      <alignment horizontal="center"/>
    </xf>
    <xf numFmtId="0" fontId="47" fillId="0" borderId="0" xfId="0" applyFont="1" applyFill="1" applyBorder="1" applyAlignment="1"/>
    <xf numFmtId="38" fontId="0" fillId="0" borderId="0" xfId="0" applyNumberFormat="1" applyFill="1" applyAlignment="1">
      <alignment horizontal="center"/>
    </xf>
    <xf numFmtId="38" fontId="0" fillId="0" borderId="0" xfId="0" applyNumberFormat="1" applyAlignment="1">
      <alignment horizontal="center"/>
    </xf>
    <xf numFmtId="38" fontId="0" fillId="12" borderId="47" xfId="0" applyNumberFormat="1" applyFill="1" applyBorder="1" applyAlignment="1">
      <alignment horizontal="center"/>
    </xf>
    <xf numFmtId="38" fontId="0" fillId="4" borderId="48" xfId="0" applyNumberFormat="1" applyFill="1" applyBorder="1" applyAlignment="1">
      <alignment horizontal="center"/>
    </xf>
    <xf numFmtId="38" fontId="0" fillId="0" borderId="16" xfId="0" applyNumberFormat="1" applyBorder="1" applyAlignment="1">
      <alignment horizontal="center"/>
    </xf>
    <xf numFmtId="38" fontId="0" fillId="0" borderId="14" xfId="0" applyNumberFormat="1" applyBorder="1" applyAlignment="1">
      <alignment horizontal="center"/>
    </xf>
    <xf numFmtId="38" fontId="0" fillId="0" borderId="38" xfId="0" applyNumberFormat="1" applyBorder="1" applyAlignment="1">
      <alignment horizontal="center"/>
    </xf>
    <xf numFmtId="196" fontId="0" fillId="0" borderId="0" xfId="0" applyNumberFormat="1" applyAlignment="1">
      <alignment horizontal="center"/>
    </xf>
    <xf numFmtId="0" fontId="0" fillId="0" borderId="0" xfId="0" applyFill="1" applyAlignment="1">
      <alignment horizontal="center"/>
    </xf>
    <xf numFmtId="0" fontId="19" fillId="0" borderId="0" xfId="0" applyFont="1" applyFill="1" applyAlignment="1">
      <alignment horizontal="center"/>
    </xf>
    <xf numFmtId="0" fontId="32" fillId="0" borderId="0" xfId="0" applyFont="1" applyFill="1" applyAlignment="1">
      <alignment horizontal="center"/>
    </xf>
    <xf numFmtId="0" fontId="28" fillId="0" borderId="0" xfId="0" applyFont="1" applyFill="1" applyAlignment="1">
      <alignment horizontal="center"/>
    </xf>
    <xf numFmtId="0" fontId="42" fillId="0" borderId="0" xfId="0" applyFont="1" applyFill="1" applyAlignment="1">
      <alignment horizontal="center"/>
    </xf>
    <xf numFmtId="178" fontId="19" fillId="0" borderId="0" xfId="0" applyNumberFormat="1" applyFont="1" applyFill="1" applyAlignment="1">
      <alignment horizontal="center"/>
    </xf>
    <xf numFmtId="178" fontId="28" fillId="0" borderId="0" xfId="0" applyNumberFormat="1" applyFont="1" applyFill="1" applyAlignment="1">
      <alignment horizontal="center"/>
    </xf>
    <xf numFmtId="189" fontId="0" fillId="0" borderId="0" xfId="0" applyNumberFormat="1" applyAlignment="1">
      <alignment horizontal="center"/>
    </xf>
    <xf numFmtId="0" fontId="46" fillId="0" borderId="12" xfId="0" applyFont="1" applyBorder="1" applyAlignment="1">
      <alignment horizontal="center" vertical="center" wrapText="1"/>
    </xf>
    <xf numFmtId="0" fontId="23" fillId="0" borderId="49" xfId="0" applyFont="1" applyBorder="1" applyAlignment="1">
      <alignment horizontal="center" wrapText="1"/>
    </xf>
    <xf numFmtId="0" fontId="23" fillId="0" borderId="50" xfId="0" applyFont="1" applyBorder="1" applyAlignment="1">
      <alignment horizontal="center" wrapText="1"/>
    </xf>
    <xf numFmtId="38" fontId="8" fillId="0" borderId="51" xfId="0" applyNumberFormat="1" applyFont="1" applyBorder="1" applyAlignment="1">
      <alignment horizontal="center" wrapText="1"/>
    </xf>
    <xf numFmtId="38" fontId="8" fillId="0" borderId="52" xfId="0" applyNumberFormat="1" applyFont="1" applyBorder="1" applyAlignment="1">
      <alignment horizontal="center" wrapText="1"/>
    </xf>
    <xf numFmtId="0" fontId="23" fillId="0" borderId="34" xfId="0" applyFont="1" applyBorder="1" applyAlignment="1">
      <alignment horizontal="center" wrapText="1"/>
    </xf>
    <xf numFmtId="0" fontId="23" fillId="0" borderId="35" xfId="0" applyFont="1" applyBorder="1" applyAlignment="1">
      <alignment horizontal="center" wrapText="1"/>
    </xf>
    <xf numFmtId="38" fontId="8" fillId="0" borderId="34" xfId="0" applyNumberFormat="1" applyFont="1" applyBorder="1" applyAlignment="1">
      <alignment horizontal="center" wrapText="1"/>
    </xf>
    <xf numFmtId="38" fontId="8" fillId="0" borderId="35" xfId="0" applyNumberFormat="1" applyFont="1" applyBorder="1" applyAlignment="1">
      <alignment horizontal="center" wrapText="1"/>
    </xf>
    <xf numFmtId="38" fontId="8" fillId="0" borderId="34" xfId="0" applyNumberFormat="1" applyFont="1" applyFill="1" applyBorder="1" applyAlignment="1">
      <alignment horizontal="center" wrapText="1"/>
    </xf>
    <xf numFmtId="38" fontId="8" fillId="0" borderId="30" xfId="0" applyNumberFormat="1" applyFont="1" applyFill="1" applyBorder="1" applyAlignment="1">
      <alignment horizontal="center" wrapText="1"/>
    </xf>
    <xf numFmtId="195" fontId="18" fillId="0" borderId="1" xfId="0" applyNumberFormat="1" applyFont="1" applyFill="1" applyBorder="1" applyAlignment="1">
      <alignment horizontal="center"/>
    </xf>
    <xf numFmtId="0" fontId="0" fillId="0" borderId="53" xfId="0" applyFill="1" applyBorder="1" applyAlignment="1"/>
    <xf numFmtId="0" fontId="49" fillId="0" borderId="0" xfId="0" applyFont="1" applyFill="1" applyAlignment="1">
      <alignment vertical="center"/>
    </xf>
    <xf numFmtId="38" fontId="49" fillId="0" borderId="0" xfId="0" applyNumberFormat="1" applyFont="1" applyFill="1" applyAlignment="1">
      <alignment vertical="center"/>
    </xf>
    <xf numFmtId="0" fontId="50" fillId="0" borderId="0" xfId="0" applyFont="1" applyFill="1" applyAlignment="1"/>
    <xf numFmtId="14" fontId="50" fillId="0" borderId="0" xfId="0" applyNumberFormat="1" applyFont="1" applyFill="1" applyAlignment="1">
      <alignment horizontal="center" vertical="center"/>
    </xf>
    <xf numFmtId="38" fontId="50" fillId="0" borderId="0" xfId="0" applyNumberFormat="1" applyFont="1" applyFill="1" applyAlignment="1">
      <alignment horizontal="center"/>
    </xf>
    <xf numFmtId="0" fontId="51" fillId="0" borderId="0" xfId="0" applyFont="1" applyBorder="1" applyAlignment="1">
      <alignment horizontal="center" wrapText="1"/>
    </xf>
    <xf numFmtId="0" fontId="50" fillId="0" borderId="30" xfId="0" applyFont="1" applyBorder="1" applyAlignment="1">
      <alignment horizontal="center"/>
    </xf>
    <xf numFmtId="0" fontId="50" fillId="0" borderId="48" xfId="0" applyFont="1" applyBorder="1" applyAlignment="1">
      <alignment horizontal="center"/>
    </xf>
    <xf numFmtId="0" fontId="50" fillId="0" borderId="34" xfId="0" applyFont="1" applyBorder="1" applyAlignment="1">
      <alignment horizontal="center"/>
    </xf>
    <xf numFmtId="0" fontId="50" fillId="0" borderId="54" xfId="0" applyFont="1" applyBorder="1" applyAlignment="1">
      <alignment horizontal="center"/>
    </xf>
    <xf numFmtId="0" fontId="50" fillId="0" borderId="0" xfId="0" applyFont="1" applyAlignment="1">
      <alignment horizontal="center"/>
    </xf>
    <xf numFmtId="0" fontId="51" fillId="0" borderId="55" xfId="0" applyFont="1" applyBorder="1" applyAlignment="1">
      <alignment horizontal="center" vertical="center" wrapText="1"/>
    </xf>
    <xf numFmtId="38" fontId="51" fillId="0" borderId="42" xfId="0" applyNumberFormat="1" applyFont="1" applyBorder="1" applyAlignment="1">
      <alignment horizontal="center" vertical="center" wrapText="1"/>
    </xf>
    <xf numFmtId="0" fontId="51" fillId="0" borderId="42" xfId="0" applyFont="1" applyBorder="1" applyAlignment="1">
      <alignment horizontal="center" wrapText="1"/>
    </xf>
    <xf numFmtId="14" fontId="50" fillId="0" borderId="31" xfId="0" applyNumberFormat="1" applyFont="1" applyBorder="1" applyAlignment="1">
      <alignment horizontal="center"/>
    </xf>
    <xf numFmtId="187" fontId="50" fillId="0" borderId="38" xfId="0" applyNumberFormat="1" applyFont="1" applyBorder="1" applyAlignment="1">
      <alignment horizontal="center"/>
    </xf>
    <xf numFmtId="14" fontId="50" fillId="0" borderId="38" xfId="0" applyNumberFormat="1" applyFont="1" applyBorder="1" applyAlignment="1">
      <alignment horizontal="center"/>
    </xf>
    <xf numFmtId="14" fontId="50" fillId="0" borderId="35" xfId="0" applyNumberFormat="1" applyFont="1" applyBorder="1" applyAlignment="1">
      <alignment horizontal="center"/>
    </xf>
    <xf numFmtId="14" fontId="50" fillId="0" borderId="56" xfId="0" applyNumberFormat="1" applyFont="1" applyBorder="1" applyAlignment="1">
      <alignment horizontal="center"/>
    </xf>
    <xf numFmtId="38" fontId="52" fillId="0" borderId="6" xfId="0" applyNumberFormat="1" applyFont="1" applyBorder="1" applyAlignment="1">
      <alignment horizontal="center" vertical="center"/>
    </xf>
    <xf numFmtId="38" fontId="52" fillId="0" borderId="40" xfId="0" applyNumberFormat="1" applyFont="1" applyBorder="1" applyAlignment="1">
      <alignment horizontal="center" vertical="center"/>
    </xf>
    <xf numFmtId="38" fontId="52" fillId="0" borderId="40" xfId="0" applyNumberFormat="1" applyFont="1" applyBorder="1" applyAlignment="1">
      <alignment horizontal="center" vertical="center" wrapText="1"/>
    </xf>
    <xf numFmtId="38" fontId="52" fillId="0" borderId="40" xfId="0" applyNumberFormat="1" applyFont="1" applyFill="1" applyBorder="1" applyAlignment="1">
      <alignment horizontal="center" vertical="center" wrapText="1"/>
    </xf>
    <xf numFmtId="14" fontId="50" fillId="0" borderId="0" xfId="0" applyNumberFormat="1" applyFont="1" applyBorder="1" applyAlignment="1">
      <alignment horizontal="center"/>
    </xf>
    <xf numFmtId="187" fontId="50" fillId="0" borderId="0" xfId="0" applyNumberFormat="1" applyFont="1" applyBorder="1" applyAlignment="1">
      <alignment horizontal="center"/>
    </xf>
    <xf numFmtId="14" fontId="50" fillId="0" borderId="3" xfId="0" applyNumberFormat="1" applyFont="1" applyBorder="1" applyAlignment="1">
      <alignment horizontal="center"/>
    </xf>
    <xf numFmtId="14" fontId="50" fillId="0" borderId="9" xfId="0" applyNumberFormat="1" applyFont="1" applyBorder="1" applyAlignment="1">
      <alignment horizontal="center"/>
    </xf>
    <xf numFmtId="38" fontId="52" fillId="0" borderId="55" xfId="0" applyNumberFormat="1" applyFont="1" applyBorder="1" applyAlignment="1">
      <alignment horizontal="center" vertical="center"/>
    </xf>
    <xf numFmtId="38" fontId="52" fillId="0" borderId="42" xfId="0" applyNumberFormat="1" applyFont="1" applyBorder="1" applyAlignment="1">
      <alignment horizontal="center" vertical="center"/>
    </xf>
    <xf numFmtId="38" fontId="52" fillId="5" borderId="42" xfId="0" applyNumberFormat="1" applyFont="1" applyFill="1" applyBorder="1" applyAlignment="1">
      <alignment horizontal="center" vertical="center" wrapText="1"/>
    </xf>
    <xf numFmtId="38" fontId="52" fillId="0" borderId="0" xfId="0" applyNumberFormat="1" applyFont="1" applyBorder="1" applyAlignment="1">
      <alignment horizontal="center" wrapText="1"/>
    </xf>
    <xf numFmtId="38" fontId="52" fillId="0" borderId="0" xfId="0" applyNumberFormat="1" applyFont="1" applyFill="1" applyBorder="1" applyAlignment="1">
      <alignment horizontal="center" wrapText="1"/>
    </xf>
    <xf numFmtId="38" fontId="50" fillId="0" borderId="3" xfId="0" applyNumberFormat="1" applyFont="1" applyBorder="1" applyAlignment="1"/>
    <xf numFmtId="38" fontId="50" fillId="0" borderId="0" xfId="0" applyNumberFormat="1" applyFont="1" applyAlignment="1"/>
    <xf numFmtId="38" fontId="50" fillId="0" borderId="4" xfId="0" applyNumberFormat="1" applyFont="1" applyBorder="1" applyAlignment="1"/>
    <xf numFmtId="0" fontId="50" fillId="0" borderId="0" xfId="0" applyFont="1" applyAlignment="1"/>
    <xf numFmtId="38" fontId="50" fillId="0" borderId="40" xfId="0" applyNumberFormat="1" applyFont="1" applyBorder="1" applyAlignment="1"/>
    <xf numFmtId="38" fontId="50" fillId="0" borderId="6" xfId="0" applyNumberFormat="1" applyFont="1" applyBorder="1" applyAlignment="1"/>
    <xf numFmtId="0" fontId="50" fillId="0" borderId="6" xfId="0" applyFont="1" applyBorder="1" applyAlignment="1"/>
    <xf numFmtId="0" fontId="50" fillId="0" borderId="42" xfId="0" applyFont="1" applyBorder="1" applyAlignment="1"/>
    <xf numFmtId="0" fontId="50" fillId="0" borderId="55" xfId="0" applyFont="1" applyBorder="1" applyAlignment="1"/>
    <xf numFmtId="38" fontId="50" fillId="0" borderId="55" xfId="0" applyNumberFormat="1" applyFont="1" applyBorder="1" applyAlignment="1"/>
    <xf numFmtId="38" fontId="50" fillId="0" borderId="0" xfId="0" applyNumberFormat="1" applyFont="1" applyBorder="1" applyAlignment="1"/>
    <xf numFmtId="38" fontId="50" fillId="0" borderId="26" xfId="0" applyNumberFormat="1" applyFont="1" applyBorder="1" applyAlignment="1"/>
    <xf numFmtId="38" fontId="50" fillId="0" borderId="57" xfId="0" applyNumberFormat="1" applyFont="1" applyBorder="1" applyAlignment="1"/>
    <xf numFmtId="38" fontId="50" fillId="0" borderId="0" xfId="0" applyNumberFormat="1" applyFont="1" applyAlignment="1">
      <alignment horizontal="center"/>
    </xf>
    <xf numFmtId="0" fontId="50" fillId="0" borderId="0" xfId="0" applyFont="1" applyFill="1" applyAlignment="1">
      <alignment horizontal="center"/>
    </xf>
    <xf numFmtId="182" fontId="0" fillId="0" borderId="0" xfId="0" applyNumberFormat="1" applyAlignment="1">
      <alignment horizontal="center"/>
    </xf>
    <xf numFmtId="38" fontId="52" fillId="0" borderId="0" xfId="0" applyNumberFormat="1" applyFont="1" applyAlignment="1">
      <alignment horizontal="center"/>
    </xf>
    <xf numFmtId="0" fontId="52" fillId="0" borderId="0" xfId="0" applyFont="1" applyAlignment="1">
      <alignment horizontal="center"/>
    </xf>
    <xf numFmtId="0" fontId="51" fillId="0" borderId="27" xfId="0" applyFont="1" applyBorder="1" applyAlignment="1">
      <alignment horizontal="center" vertical="center" wrapText="1"/>
    </xf>
    <xf numFmtId="38" fontId="51" fillId="0" borderId="29" xfId="0" applyNumberFormat="1" applyFont="1" applyBorder="1" applyAlignment="1">
      <alignment horizontal="center" vertical="center" wrapText="1"/>
    </xf>
    <xf numFmtId="0" fontId="51" fillId="0" borderId="29" xfId="0" applyFont="1" applyBorder="1" applyAlignment="1">
      <alignment horizontal="center" wrapText="1"/>
    </xf>
    <xf numFmtId="0" fontId="51" fillId="0" borderId="30" xfId="0" applyFont="1" applyBorder="1" applyAlignment="1">
      <alignment horizontal="center" wrapText="1"/>
    </xf>
    <xf numFmtId="0" fontId="51" fillId="0" borderId="58" xfId="0" applyFont="1" applyBorder="1" applyAlignment="1">
      <alignment horizontal="center" wrapText="1"/>
    </xf>
    <xf numFmtId="0" fontId="48" fillId="0" borderId="59" xfId="0" applyFont="1" applyBorder="1" applyAlignment="1">
      <alignment horizontal="center" vertical="center"/>
    </xf>
    <xf numFmtId="38" fontId="52" fillId="0" borderId="60" xfId="0" applyNumberFormat="1" applyFont="1" applyFill="1" applyBorder="1" applyAlignment="1">
      <alignment horizontal="center" vertical="center" wrapText="1"/>
    </xf>
    <xf numFmtId="0" fontId="50" fillId="0" borderId="61" xfId="0" applyFont="1" applyBorder="1" applyAlignment="1">
      <alignment horizontal="center" vertical="center"/>
    </xf>
    <xf numFmtId="38" fontId="52" fillId="5" borderId="58" xfId="0" applyNumberFormat="1" applyFont="1" applyFill="1" applyBorder="1" applyAlignment="1">
      <alignment horizontal="center" vertical="center" wrapText="1"/>
    </xf>
    <xf numFmtId="0" fontId="51" fillId="0" borderId="22" xfId="0" applyFont="1" applyBorder="1" applyAlignment="1">
      <alignment horizontal="center" wrapText="1"/>
    </xf>
    <xf numFmtId="38" fontId="51" fillId="0" borderId="32" xfId="0" applyNumberFormat="1" applyFont="1" applyBorder="1" applyAlignment="1">
      <alignment horizontal="center" wrapText="1"/>
    </xf>
    <xf numFmtId="38" fontId="51" fillId="0" borderId="20" xfId="0" applyNumberFormat="1" applyFont="1" applyBorder="1" applyAlignment="1">
      <alignment horizontal="center" wrapText="1"/>
    </xf>
    <xf numFmtId="38" fontId="52" fillId="0" borderId="20" xfId="0" applyNumberFormat="1" applyFont="1" applyBorder="1" applyAlignment="1">
      <alignment horizontal="center" wrapText="1"/>
    </xf>
    <xf numFmtId="38" fontId="52" fillId="0" borderId="23" xfId="0" applyNumberFormat="1" applyFont="1" applyBorder="1" applyAlignment="1">
      <alignment horizontal="center" wrapText="1"/>
    </xf>
    <xf numFmtId="38" fontId="8" fillId="0" borderId="56" xfId="0" applyNumberFormat="1" applyFont="1" applyBorder="1" applyAlignment="1">
      <alignment horizontal="center" wrapText="1"/>
    </xf>
    <xf numFmtId="38" fontId="8" fillId="0" borderId="62" xfId="0" applyNumberFormat="1" applyFont="1" applyBorder="1" applyAlignment="1">
      <alignment horizontal="center" wrapText="1"/>
    </xf>
    <xf numFmtId="38" fontId="8" fillId="0" borderId="63" xfId="0" applyNumberFormat="1" applyFont="1" applyBorder="1" applyAlignment="1">
      <alignment horizontal="center" wrapText="1"/>
    </xf>
    <xf numFmtId="38" fontId="8" fillId="0" borderId="64" xfId="0" applyNumberFormat="1" applyFont="1" applyBorder="1" applyAlignment="1">
      <alignment horizontal="center" wrapText="1"/>
    </xf>
    <xf numFmtId="189" fontId="0" fillId="0" borderId="41" xfId="0" applyNumberFormat="1" applyBorder="1" applyAlignment="1">
      <alignment horizontal="center"/>
    </xf>
    <xf numFmtId="196" fontId="0" fillId="0" borderId="63" xfId="0" applyNumberFormat="1" applyBorder="1" applyAlignment="1">
      <alignment horizontal="center"/>
    </xf>
    <xf numFmtId="189" fontId="0" fillId="0" borderId="63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89" fontId="0" fillId="0" borderId="0" xfId="0" applyNumberFormat="1" applyBorder="1" applyAlignment="1">
      <alignment horizontal="center"/>
    </xf>
    <xf numFmtId="197" fontId="0" fillId="0" borderId="0" xfId="3" applyNumberFormat="1" applyFont="1" applyBorder="1" applyAlignment="1">
      <alignment horizontal="center"/>
    </xf>
    <xf numFmtId="192" fontId="0" fillId="0" borderId="0" xfId="0" applyNumberFormat="1" applyAlignment="1">
      <alignment horizontal="center"/>
    </xf>
    <xf numFmtId="14" fontId="0" fillId="0" borderId="0" xfId="0" applyNumberFormat="1" applyBorder="1" applyAlignment="1">
      <alignment horizontal="center"/>
    </xf>
    <xf numFmtId="185" fontId="8" fillId="0" borderId="0" xfId="0" applyNumberFormat="1" applyFont="1" applyAlignment="1">
      <alignment horizontal="left"/>
    </xf>
    <xf numFmtId="185" fontId="18" fillId="0" borderId="1" xfId="0" applyNumberFormat="1" applyFont="1" applyFill="1" applyBorder="1" applyAlignment="1">
      <alignment horizontal="center" vertical="center" wrapText="1"/>
    </xf>
    <xf numFmtId="185" fontId="33" fillId="0" borderId="1" xfId="0" applyNumberFormat="1" applyFont="1" applyFill="1" applyBorder="1" applyAlignment="1">
      <alignment horizontal="center" vertical="center" wrapText="1"/>
    </xf>
    <xf numFmtId="185" fontId="27" fillId="0" borderId="1" xfId="0" applyNumberFormat="1" applyFont="1" applyFill="1" applyBorder="1" applyAlignment="1">
      <alignment horizontal="center" vertical="center" wrapText="1"/>
    </xf>
    <xf numFmtId="185" fontId="11" fillId="0" borderId="1" xfId="0" applyNumberFormat="1" applyFont="1" applyFill="1" applyBorder="1" applyAlignment="1">
      <alignment horizontal="center"/>
    </xf>
    <xf numFmtId="185" fontId="11" fillId="0" borderId="0" xfId="0" applyNumberFormat="1" applyFont="1" applyFill="1" applyBorder="1" applyAlignment="1">
      <alignment horizontal="center"/>
    </xf>
    <xf numFmtId="185" fontId="8" fillId="0" borderId="0" xfId="0" applyNumberFormat="1" applyFont="1" applyFill="1" applyAlignment="1">
      <alignment horizontal="left"/>
    </xf>
    <xf numFmtId="185" fontId="11" fillId="0" borderId="46" xfId="0" applyNumberFormat="1" applyFont="1" applyFill="1" applyBorder="1" applyAlignment="1">
      <alignment horizontal="center"/>
    </xf>
    <xf numFmtId="185" fontId="41" fillId="9" borderId="1" xfId="0" applyNumberFormat="1" applyFont="1" applyFill="1" applyBorder="1" applyAlignment="1">
      <alignment horizontal="center"/>
    </xf>
    <xf numFmtId="185" fontId="31" fillId="5" borderId="1" xfId="0" applyNumberFormat="1" applyFont="1" applyFill="1" applyBorder="1" applyAlignment="1">
      <alignment horizontal="center"/>
    </xf>
    <xf numFmtId="185" fontId="45" fillId="8" borderId="1" xfId="0" applyNumberFormat="1" applyFont="1" applyFill="1" applyBorder="1" applyAlignment="1">
      <alignment horizontal="center"/>
    </xf>
    <xf numFmtId="185" fontId="11" fillId="10" borderId="1" xfId="0" applyNumberFormat="1" applyFont="1" applyFill="1" applyBorder="1" applyAlignment="1">
      <alignment horizontal="center"/>
    </xf>
    <xf numFmtId="185" fontId="11" fillId="11" borderId="1" xfId="0" applyNumberFormat="1" applyFont="1" applyFill="1" applyBorder="1" applyAlignment="1">
      <alignment horizontal="center"/>
    </xf>
    <xf numFmtId="185" fontId="8" fillId="0" borderId="0" xfId="0" applyNumberFormat="1" applyFont="1" applyFill="1" applyBorder="1" applyAlignment="1">
      <alignment horizontal="center"/>
    </xf>
    <xf numFmtId="185" fontId="0" fillId="0" borderId="0" xfId="0" applyNumberFormat="1" applyAlignment="1">
      <alignment horizontal="center" vertical="center"/>
    </xf>
    <xf numFmtId="185" fontId="8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0" fillId="13" borderId="66" xfId="0" applyFill="1" applyBorder="1" applyAlignment="1"/>
    <xf numFmtId="0" fontId="0" fillId="13" borderId="68" xfId="0" applyFill="1" applyBorder="1" applyAlignment="1"/>
    <xf numFmtId="0" fontId="0" fillId="0" borderId="69" xfId="0" applyBorder="1" applyAlignment="1"/>
    <xf numFmtId="0" fontId="0" fillId="0" borderId="70" xfId="0" applyFill="1" applyBorder="1" applyAlignment="1"/>
    <xf numFmtId="0" fontId="0" fillId="3" borderId="68" xfId="0" applyFill="1" applyBorder="1" applyAlignment="1"/>
    <xf numFmtId="0" fontId="0" fillId="0" borderId="69" xfId="0" quotePrefix="1" applyBorder="1" applyAlignment="1"/>
    <xf numFmtId="0" fontId="0" fillId="8" borderId="68" xfId="0" applyFill="1" applyBorder="1" applyAlignment="1"/>
    <xf numFmtId="0" fontId="0" fillId="12" borderId="68" xfId="0" applyFill="1" applyBorder="1" applyAlignment="1"/>
    <xf numFmtId="0" fontId="0" fillId="12" borderId="73" xfId="0" applyFill="1" applyBorder="1" applyAlignment="1"/>
    <xf numFmtId="0" fontId="0" fillId="0" borderId="65" xfId="0" applyFill="1" applyBorder="1" applyAlignment="1"/>
    <xf numFmtId="0" fontId="0" fillId="0" borderId="0" xfId="0" applyFill="1" applyBorder="1" applyAlignment="1"/>
    <xf numFmtId="0" fontId="0" fillId="0" borderId="72" xfId="0" applyFill="1" applyBorder="1" applyAlignment="1"/>
    <xf numFmtId="191" fontId="0" fillId="10" borderId="73" xfId="0" applyNumberFormat="1" applyFill="1" applyBorder="1" applyAlignment="1"/>
    <xf numFmtId="38" fontId="8" fillId="5" borderId="31" xfId="0" applyNumberFormat="1" applyFont="1" applyFill="1" applyBorder="1" applyAlignment="1">
      <alignment horizontal="center" wrapText="1"/>
    </xf>
    <xf numFmtId="38" fontId="8" fillId="5" borderId="74" xfId="0" applyNumberFormat="1" applyFont="1" applyFill="1" applyBorder="1" applyAlignment="1">
      <alignment horizontal="center" wrapText="1"/>
    </xf>
    <xf numFmtId="38" fontId="8" fillId="0" borderId="24" xfId="0" applyNumberFormat="1" applyFont="1" applyFill="1" applyBorder="1" applyAlignment="1">
      <alignment horizontal="center" wrapText="1"/>
    </xf>
    <xf numFmtId="38" fontId="8" fillId="0" borderId="75" xfId="0" applyNumberFormat="1" applyFont="1" applyFill="1" applyBorder="1" applyAlignment="1">
      <alignment horizontal="center" wrapText="1"/>
    </xf>
    <xf numFmtId="0" fontId="2" fillId="0" borderId="0" xfId="0" applyFont="1" applyFill="1" applyAlignment="1">
      <alignment vertical="top"/>
    </xf>
    <xf numFmtId="0" fontId="7" fillId="0" borderId="64" xfId="0" applyFont="1" applyBorder="1" applyAlignment="1">
      <alignment horizontal="center"/>
    </xf>
    <xf numFmtId="0" fontId="23" fillId="0" borderId="51" xfId="0" applyFont="1" applyBorder="1" applyAlignment="1">
      <alignment horizontal="center" wrapText="1"/>
    </xf>
    <xf numFmtId="0" fontId="23" fillId="0" borderId="52" xfId="0" applyFont="1" applyBorder="1" applyAlignment="1">
      <alignment horizontal="center" wrapText="1"/>
    </xf>
    <xf numFmtId="38" fontId="8" fillId="5" borderId="52" xfId="0" applyNumberFormat="1" applyFont="1" applyFill="1" applyBorder="1" applyAlignment="1">
      <alignment horizontal="center" wrapText="1"/>
    </xf>
    <xf numFmtId="38" fontId="8" fillId="0" borderId="50" xfId="0" applyNumberFormat="1" applyFont="1" applyBorder="1" applyAlignment="1">
      <alignment horizontal="center" wrapText="1"/>
    </xf>
    <xf numFmtId="0" fontId="23" fillId="0" borderId="54" xfId="0" applyFont="1" applyBorder="1" applyAlignment="1">
      <alignment horizontal="center" wrapText="1"/>
    </xf>
    <xf numFmtId="0" fontId="23" fillId="0" borderId="56" xfId="0" applyFont="1" applyBorder="1" applyAlignment="1">
      <alignment horizontal="center" wrapText="1"/>
    </xf>
    <xf numFmtId="38" fontId="8" fillId="0" borderId="54" xfId="0" applyNumberFormat="1" applyFont="1" applyBorder="1" applyAlignment="1">
      <alignment horizontal="center" wrapText="1"/>
    </xf>
    <xf numFmtId="38" fontId="8" fillId="5" borderId="56" xfId="0" applyNumberFormat="1" applyFont="1" applyFill="1" applyBorder="1" applyAlignment="1">
      <alignment horizontal="center" wrapText="1"/>
    </xf>
    <xf numFmtId="0" fontId="51" fillId="0" borderId="29" xfId="0" applyFont="1" applyBorder="1" applyAlignment="1">
      <alignment horizontal="center" vertical="center" wrapText="1"/>
    </xf>
    <xf numFmtId="0" fontId="51" fillId="0" borderId="42" xfId="0" applyFont="1" applyBorder="1" applyAlignment="1">
      <alignment horizontal="center" vertical="center" wrapText="1"/>
    </xf>
    <xf numFmtId="0" fontId="51" fillId="0" borderId="54" xfId="0" applyFont="1" applyBorder="1" applyAlignment="1">
      <alignment horizontal="center" vertical="center" wrapText="1"/>
    </xf>
    <xf numFmtId="0" fontId="51" fillId="0" borderId="76" xfId="0" applyFont="1" applyBorder="1" applyAlignment="1">
      <alignment horizontal="center" vertical="center" wrapText="1"/>
    </xf>
    <xf numFmtId="38" fontId="52" fillId="0" borderId="77" xfId="0" applyNumberFormat="1" applyFont="1" applyBorder="1" applyAlignment="1">
      <alignment horizontal="center" vertical="center"/>
    </xf>
    <xf numFmtId="38" fontId="52" fillId="0" borderId="76" xfId="0" applyNumberFormat="1" applyFont="1" applyBorder="1" applyAlignment="1">
      <alignment horizontal="center" vertical="center"/>
    </xf>
    <xf numFmtId="38" fontId="51" fillId="0" borderId="43" xfId="0" applyNumberFormat="1" applyFont="1" applyBorder="1" applyAlignment="1">
      <alignment horizontal="center" wrapText="1"/>
    </xf>
    <xf numFmtId="38" fontId="8" fillId="0" borderId="44" xfId="0" applyNumberFormat="1" applyFont="1" applyBorder="1" applyAlignment="1">
      <alignment horizontal="center" wrapText="1"/>
    </xf>
    <xf numFmtId="38" fontId="8" fillId="0" borderId="78" xfId="0" applyNumberFormat="1" applyFont="1" applyBorder="1" applyAlignment="1">
      <alignment horizontal="center" wrapText="1"/>
    </xf>
    <xf numFmtId="38" fontId="8" fillId="0" borderId="56" xfId="0" applyNumberFormat="1" applyFont="1" applyFill="1" applyBorder="1" applyAlignment="1">
      <alignment horizontal="center" wrapText="1"/>
    </xf>
    <xf numFmtId="38" fontId="8" fillId="0" borderId="54" xfId="0" applyNumberFormat="1" applyFont="1" applyFill="1" applyBorder="1" applyAlignment="1">
      <alignment horizontal="center" wrapText="1"/>
    </xf>
    <xf numFmtId="38" fontId="8" fillId="0" borderId="44" xfId="0" applyNumberFormat="1" applyFont="1" applyFill="1" applyBorder="1" applyAlignment="1">
      <alignment horizontal="center" wrapText="1"/>
    </xf>
    <xf numFmtId="38" fontId="52" fillId="5" borderId="76" xfId="0" applyNumberFormat="1" applyFont="1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/>
    </xf>
    <xf numFmtId="0" fontId="28" fillId="0" borderId="0" xfId="0" applyFont="1" applyFill="1" applyBorder="1" applyAlignment="1"/>
    <xf numFmtId="38" fontId="28" fillId="0" borderId="0" xfId="0" applyNumberFormat="1" applyFont="1" applyFill="1" applyBorder="1" applyAlignment="1"/>
    <xf numFmtId="183" fontId="0" fillId="0" borderId="0" xfId="3" applyNumberFormat="1" applyFont="1" applyAlignment="1">
      <alignment horizontal="center" vertical="center"/>
    </xf>
    <xf numFmtId="183" fontId="4" fillId="9" borderId="1" xfId="3" applyNumberFormat="1" applyFont="1" applyFill="1" applyBorder="1" applyAlignment="1">
      <alignment horizontal="center" vertical="center"/>
    </xf>
    <xf numFmtId="183" fontId="18" fillId="0" borderId="1" xfId="3" applyNumberFormat="1" applyFont="1" applyFill="1" applyBorder="1" applyAlignment="1">
      <alignment horizontal="center" vertical="center"/>
    </xf>
    <xf numFmtId="183" fontId="33" fillId="0" borderId="1" xfId="3" applyNumberFormat="1" applyFont="1" applyFill="1" applyBorder="1" applyAlignment="1">
      <alignment horizontal="center" vertical="center"/>
    </xf>
    <xf numFmtId="183" fontId="27" fillId="0" borderId="1" xfId="3" applyNumberFormat="1" applyFont="1" applyFill="1" applyBorder="1" applyAlignment="1">
      <alignment horizontal="center" vertical="center"/>
    </xf>
    <xf numFmtId="183" fontId="27" fillId="0" borderId="0" xfId="3" applyNumberFormat="1" applyFont="1" applyFill="1" applyBorder="1" applyAlignment="1">
      <alignment horizontal="center" vertical="center"/>
    </xf>
    <xf numFmtId="183" fontId="0" fillId="0" borderId="0" xfId="3" applyNumberFormat="1" applyFont="1" applyFill="1" applyAlignment="1">
      <alignment horizontal="center" vertical="center"/>
    </xf>
    <xf numFmtId="183" fontId="27" fillId="0" borderId="46" xfId="3" applyNumberFormat="1" applyFont="1" applyFill="1" applyBorder="1" applyAlignment="1">
      <alignment horizontal="center" vertical="center"/>
    </xf>
    <xf numFmtId="183" fontId="30" fillId="5" borderId="1" xfId="3" applyNumberFormat="1" applyFont="1" applyFill="1" applyBorder="1" applyAlignment="1">
      <alignment horizontal="center" vertical="center"/>
    </xf>
    <xf numFmtId="183" fontId="44" fillId="8" borderId="1" xfId="3" applyNumberFormat="1" applyFont="1" applyFill="1" applyBorder="1" applyAlignment="1">
      <alignment horizontal="center" vertical="center"/>
    </xf>
    <xf numFmtId="183" fontId="27" fillId="10" borderId="1" xfId="3" applyNumberFormat="1" applyFont="1" applyFill="1" applyBorder="1" applyAlignment="1">
      <alignment horizontal="center" vertical="center"/>
    </xf>
    <xf numFmtId="183" fontId="27" fillId="11" borderId="1" xfId="3" applyNumberFormat="1" applyFont="1" applyFill="1" applyBorder="1" applyAlignment="1">
      <alignment horizontal="center" vertical="center"/>
    </xf>
    <xf numFmtId="183" fontId="4" fillId="0" borderId="0" xfId="3" applyNumberFormat="1" applyFont="1" applyFill="1" applyBorder="1" applyAlignment="1">
      <alignment horizontal="center" vertical="center"/>
    </xf>
    <xf numFmtId="0" fontId="0" fillId="0" borderId="65" xfId="0" applyBorder="1" applyAlignment="1"/>
    <xf numFmtId="0" fontId="0" fillId="0" borderId="53" xfId="0" applyBorder="1" applyAlignment="1"/>
    <xf numFmtId="0" fontId="0" fillId="0" borderId="53" xfId="0" quotePrefix="1" applyBorder="1" applyAlignment="1"/>
    <xf numFmtId="40" fontId="18" fillId="0" borderId="1" xfId="0" applyNumberFormat="1" applyFont="1" applyFill="1" applyBorder="1" applyAlignment="1">
      <alignment horizontal="center"/>
    </xf>
    <xf numFmtId="40" fontId="33" fillId="0" borderId="1" xfId="0" applyNumberFormat="1" applyFont="1" applyFill="1" applyBorder="1" applyAlignment="1">
      <alignment horizontal="center"/>
    </xf>
    <xf numFmtId="40" fontId="27" fillId="0" borderId="1" xfId="0" applyNumberFormat="1" applyFont="1" applyFill="1" applyBorder="1" applyAlignment="1">
      <alignment horizontal="center"/>
    </xf>
    <xf numFmtId="0" fontId="0" fillId="0" borderId="71" xfId="0" applyFill="1" applyBorder="1" applyAlignment="1"/>
    <xf numFmtId="185" fontId="27" fillId="10" borderId="1" xfId="0" applyNumberFormat="1" applyFont="1" applyFill="1" applyBorder="1" applyAlignment="1">
      <alignment horizontal="center"/>
    </xf>
    <xf numFmtId="185" fontId="4" fillId="0" borderId="0" xfId="0" applyNumberFormat="1" applyFont="1" applyAlignment="1">
      <alignment horizontal="left"/>
    </xf>
    <xf numFmtId="185" fontId="53" fillId="9" borderId="1" xfId="0" applyNumberFormat="1" applyFont="1" applyFill="1" applyBorder="1" applyAlignment="1">
      <alignment horizontal="center"/>
    </xf>
    <xf numFmtId="185" fontId="27" fillId="0" borderId="1" xfId="0" applyNumberFormat="1" applyFont="1" applyFill="1" applyBorder="1" applyAlignment="1">
      <alignment horizontal="center"/>
    </xf>
    <xf numFmtId="185" fontId="27" fillId="0" borderId="0" xfId="0" applyNumberFormat="1" applyFont="1" applyFill="1" applyBorder="1" applyAlignment="1">
      <alignment horizontal="center"/>
    </xf>
    <xf numFmtId="185" fontId="4" fillId="0" borderId="0" xfId="0" applyNumberFormat="1" applyFont="1" applyFill="1" applyAlignment="1">
      <alignment horizontal="left"/>
    </xf>
    <xf numFmtId="185" fontId="27" fillId="0" borderId="46" xfId="0" applyNumberFormat="1" applyFont="1" applyFill="1" applyBorder="1" applyAlignment="1">
      <alignment horizontal="center"/>
    </xf>
    <xf numFmtId="185" fontId="30" fillId="5" borderId="1" xfId="0" applyNumberFormat="1" applyFont="1" applyFill="1" applyBorder="1" applyAlignment="1">
      <alignment horizontal="center"/>
    </xf>
    <xf numFmtId="185" fontId="44" fillId="8" borderId="1" xfId="0" applyNumberFormat="1" applyFont="1" applyFill="1" applyBorder="1" applyAlignment="1">
      <alignment horizontal="center"/>
    </xf>
    <xf numFmtId="185" fontId="27" fillId="11" borderId="1" xfId="0" applyNumberFormat="1" applyFont="1" applyFill="1" applyBorder="1" applyAlignment="1">
      <alignment horizontal="center"/>
    </xf>
    <xf numFmtId="185" fontId="4" fillId="0" borderId="0" xfId="0" applyNumberFormat="1" applyFont="1" applyFill="1" applyBorder="1" applyAlignment="1">
      <alignment horizontal="center"/>
    </xf>
    <xf numFmtId="185" fontId="7" fillId="0" borderId="0" xfId="0" applyNumberFormat="1" applyFont="1" applyAlignment="1">
      <alignment horizontal="center" vertical="center"/>
    </xf>
    <xf numFmtId="185" fontId="4" fillId="0" borderId="0" xfId="0" applyNumberFormat="1" applyFont="1" applyAlignment="1">
      <alignment horizontal="center"/>
    </xf>
    <xf numFmtId="185" fontId="6" fillId="9" borderId="1" xfId="0" applyNumberFormat="1" applyFont="1" applyFill="1" applyBorder="1" applyAlignment="1">
      <alignment horizontal="center"/>
    </xf>
    <xf numFmtId="0" fontId="28" fillId="0" borderId="0" xfId="0" applyFont="1" applyAlignment="1">
      <alignment vertical="center"/>
    </xf>
    <xf numFmtId="0" fontId="0" fillId="0" borderId="0" xfId="0" applyAlignment="1">
      <alignment vertical="center"/>
    </xf>
    <xf numFmtId="198" fontId="29" fillId="0" borderId="0" xfId="0" applyNumberFormat="1" applyFont="1" applyAlignment="1">
      <alignment vertical="center"/>
    </xf>
    <xf numFmtId="183" fontId="28" fillId="0" borderId="0" xfId="0" applyNumberFormat="1" applyFont="1" applyAlignment="1">
      <alignment vertical="center"/>
    </xf>
    <xf numFmtId="0" fontId="0" fillId="0" borderId="79" xfId="0" applyBorder="1" applyAlignment="1">
      <alignment horizontal="center" vertical="center"/>
    </xf>
    <xf numFmtId="0" fontId="1" fillId="0" borderId="74" xfId="0" applyFont="1" applyBorder="1" applyAlignment="1">
      <alignment horizontal="center" vertical="center"/>
    </xf>
    <xf numFmtId="198" fontId="29" fillId="0" borderId="80" xfId="0" applyNumberFormat="1" applyFont="1" applyBorder="1" applyAlignment="1">
      <alignment horizontal="center" vertical="center"/>
    </xf>
    <xf numFmtId="198" fontId="29" fillId="0" borderId="38" xfId="0" applyNumberFormat="1" applyFont="1" applyBorder="1" applyAlignment="1">
      <alignment horizontal="center" vertical="center"/>
    </xf>
    <xf numFmtId="198" fontId="29" fillId="0" borderId="81" xfId="0" applyNumberFormat="1" applyFont="1" applyBorder="1" applyAlignment="1">
      <alignment horizontal="center" vertical="center"/>
    </xf>
    <xf numFmtId="198" fontId="29" fillId="14" borderId="82" xfId="0" applyNumberFormat="1" applyFont="1" applyFill="1" applyBorder="1" applyAlignment="1">
      <alignment horizontal="center" vertical="center"/>
    </xf>
    <xf numFmtId="0" fontId="54" fillId="9" borderId="83" xfId="0" applyFont="1" applyFill="1" applyBorder="1" applyAlignment="1">
      <alignment horizontal="center" vertical="center"/>
    </xf>
    <xf numFmtId="0" fontId="54" fillId="0" borderId="0" xfId="0" applyFont="1" applyAlignment="1">
      <alignment horizontal="left" vertical="center" indent="1"/>
    </xf>
    <xf numFmtId="0" fontId="56" fillId="9" borderId="1" xfId="0" applyFont="1" applyFill="1" applyBorder="1" applyAlignment="1">
      <alignment horizontal="center" vertical="center"/>
    </xf>
    <xf numFmtId="14" fontId="56" fillId="0" borderId="1" xfId="0" applyNumberFormat="1" applyFont="1" applyFill="1" applyBorder="1" applyAlignment="1">
      <alignment horizontal="center" vertical="center"/>
    </xf>
    <xf numFmtId="0" fontId="58" fillId="9" borderId="81" xfId="0" applyFont="1" applyFill="1" applyBorder="1" applyAlignment="1">
      <alignment horizontal="center" vertical="center"/>
    </xf>
    <xf numFmtId="14" fontId="59" fillId="9" borderId="81" xfId="0" applyNumberFormat="1" applyFont="1" applyFill="1" applyBorder="1" applyAlignment="1">
      <alignment horizontal="center" vertical="center"/>
    </xf>
    <xf numFmtId="0" fontId="60" fillId="9" borderId="81" xfId="0" applyFont="1" applyFill="1" applyBorder="1" applyAlignment="1">
      <alignment horizontal="center" vertical="center"/>
    </xf>
    <xf numFmtId="0" fontId="60" fillId="0" borderId="84" xfId="0" applyFont="1" applyFill="1" applyBorder="1" applyAlignment="1">
      <alignment horizontal="center" vertical="center"/>
    </xf>
    <xf numFmtId="0" fontId="60" fillId="0" borderId="80" xfId="0" applyFont="1" applyFill="1" applyBorder="1" applyAlignment="1">
      <alignment horizontal="center" vertical="center"/>
    </xf>
    <xf numFmtId="0" fontId="60" fillId="0" borderId="81" xfId="0" applyFont="1" applyFill="1" applyBorder="1" applyAlignment="1">
      <alignment horizontal="center" vertical="center"/>
    </xf>
    <xf numFmtId="0" fontId="60" fillId="14" borderId="82" xfId="0" applyFont="1" applyFill="1" applyBorder="1" applyAlignment="1">
      <alignment horizontal="center" vertical="center"/>
    </xf>
    <xf numFmtId="0" fontId="57" fillId="0" borderId="5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38" fontId="28" fillId="0" borderId="80" xfId="0" applyNumberFormat="1" applyFont="1" applyBorder="1" applyAlignment="1">
      <alignment horizontal="center" vertical="center"/>
    </xf>
    <xf numFmtId="38" fontId="28" fillId="0" borderId="81" xfId="0" applyNumberFormat="1" applyFont="1" applyBorder="1" applyAlignment="1">
      <alignment horizontal="center" vertical="center"/>
    </xf>
    <xf numFmtId="38" fontId="28" fillId="14" borderId="82" xfId="0" applyNumberFormat="1" applyFont="1" applyFill="1" applyBorder="1" applyAlignment="1">
      <alignment horizontal="center" vertical="center"/>
    </xf>
    <xf numFmtId="189" fontId="1" fillId="0" borderId="63" xfId="0" applyNumberFormat="1" applyFont="1" applyFill="1" applyBorder="1" applyAlignment="1">
      <alignment horizontal="center"/>
    </xf>
    <xf numFmtId="197" fontId="1" fillId="0" borderId="63" xfId="3" applyNumberFormat="1" applyFont="1" applyFill="1" applyBorder="1" applyAlignment="1">
      <alignment horizontal="center"/>
    </xf>
    <xf numFmtId="0" fontId="1" fillId="0" borderId="0" xfId="0" applyFont="1" applyFill="1" applyBorder="1" applyAlignment="1"/>
    <xf numFmtId="189" fontId="1" fillId="0" borderId="0" xfId="0" applyNumberFormat="1" applyFont="1" applyFill="1" applyBorder="1" applyAlignment="1">
      <alignment horizontal="center"/>
    </xf>
    <xf numFmtId="197" fontId="1" fillId="0" borderId="0" xfId="3" applyNumberFormat="1" applyFont="1" applyFill="1" applyBorder="1" applyAlignment="1">
      <alignment horizontal="center"/>
    </xf>
    <xf numFmtId="0" fontId="0" fillId="15" borderId="67" xfId="0" applyFill="1" applyBorder="1" applyAlignment="1"/>
    <xf numFmtId="0" fontId="1" fillId="0" borderId="63" xfId="0" applyFont="1" applyFill="1" applyBorder="1" applyAlignment="1"/>
    <xf numFmtId="196" fontId="0" fillId="0" borderId="0" xfId="0" applyNumberFormat="1" applyFill="1" applyBorder="1" applyAlignment="1">
      <alignment horizontal="center"/>
    </xf>
    <xf numFmtId="189" fontId="0" fillId="0" borderId="0" xfId="0" applyNumberFormat="1" applyFill="1" applyBorder="1" applyAlignment="1">
      <alignment horizontal="center"/>
    </xf>
    <xf numFmtId="196" fontId="0" fillId="0" borderId="41" xfId="0" applyNumberFormat="1" applyFill="1" applyBorder="1" applyAlignment="1">
      <alignment horizontal="center"/>
    </xf>
    <xf numFmtId="189" fontId="0" fillId="0" borderId="41" xfId="0" applyNumberFormat="1" applyFill="1" applyBorder="1" applyAlignment="1">
      <alignment horizontal="center"/>
    </xf>
    <xf numFmtId="196" fontId="0" fillId="0" borderId="63" xfId="0" applyNumberFormat="1" applyFill="1" applyBorder="1" applyAlignment="1">
      <alignment horizontal="center"/>
    </xf>
    <xf numFmtId="189" fontId="0" fillId="0" borderId="63" xfId="0" applyNumberFormat="1" applyFill="1" applyBorder="1" applyAlignment="1">
      <alignment horizontal="center"/>
    </xf>
    <xf numFmtId="182" fontId="0" fillId="0" borderId="63" xfId="0" applyNumberFormat="1" applyFill="1" applyBorder="1" applyAlignment="1">
      <alignment horizontal="center"/>
    </xf>
    <xf numFmtId="196" fontId="0" fillId="0" borderId="0" xfId="0" applyNumberFormat="1" applyFill="1" applyAlignment="1">
      <alignment horizontal="center"/>
    </xf>
    <xf numFmtId="189" fontId="0" fillId="0" borderId="0" xfId="0" applyNumberFormat="1" applyFill="1" applyAlignment="1">
      <alignment horizontal="center"/>
    </xf>
    <xf numFmtId="38" fontId="52" fillId="0" borderId="60" xfId="0" applyNumberFormat="1" applyFont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34" fillId="0" borderId="35" xfId="0" applyFont="1" applyBorder="1" applyAlignment="1">
      <alignment horizontal="center" wrapText="1"/>
    </xf>
    <xf numFmtId="38" fontId="8" fillId="5" borderId="75" xfId="0" applyNumberFormat="1" applyFont="1" applyFill="1" applyBorder="1" applyAlignment="1">
      <alignment horizontal="center" wrapText="1"/>
    </xf>
    <xf numFmtId="38" fontId="8" fillId="5" borderId="63" xfId="0" applyNumberFormat="1" applyFont="1" applyFill="1" applyBorder="1" applyAlignment="1">
      <alignment horizontal="center" wrapText="1"/>
    </xf>
    <xf numFmtId="38" fontId="8" fillId="5" borderId="85" xfId="0" applyNumberFormat="1" applyFont="1" applyFill="1" applyBorder="1" applyAlignment="1">
      <alignment horizontal="center" wrapText="1"/>
    </xf>
    <xf numFmtId="43" fontId="0" fillId="0" borderId="0" xfId="0" applyNumberFormat="1" applyAlignment="1">
      <alignment horizontal="center"/>
    </xf>
    <xf numFmtId="199" fontId="0" fillId="0" borderId="0" xfId="0" applyNumberFormat="1" applyAlignment="1">
      <alignment horizontal="center"/>
    </xf>
    <xf numFmtId="177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/>
    </xf>
    <xf numFmtId="0" fontId="29" fillId="0" borderId="0" xfId="0" applyNumberFormat="1" applyFont="1" applyAlignment="1">
      <alignment vertical="center"/>
    </xf>
    <xf numFmtId="0" fontId="0" fillId="15" borderId="86" xfId="0" applyFill="1" applyBorder="1" applyAlignment="1"/>
    <xf numFmtId="38" fontId="8" fillId="0" borderId="48" xfId="0" applyNumberFormat="1" applyFont="1" applyBorder="1" applyAlignment="1">
      <alignment horizontal="center" wrapText="1"/>
    </xf>
    <xf numFmtId="38" fontId="8" fillId="5" borderId="38" xfId="0" applyNumberFormat="1" applyFont="1" applyFill="1" applyBorder="1" applyAlignment="1">
      <alignment horizontal="center" wrapText="1"/>
    </xf>
    <xf numFmtId="38" fontId="8" fillId="5" borderId="87" xfId="0" applyNumberFormat="1" applyFont="1" applyFill="1" applyBorder="1" applyAlignment="1">
      <alignment horizontal="center" wrapText="1"/>
    </xf>
    <xf numFmtId="38" fontId="8" fillId="0" borderId="38" xfId="0" applyNumberFormat="1" applyFont="1" applyBorder="1" applyAlignment="1">
      <alignment horizontal="center" wrapText="1"/>
    </xf>
    <xf numFmtId="38" fontId="8" fillId="0" borderId="80" xfId="0" applyNumberFormat="1" applyFont="1" applyBorder="1" applyAlignment="1">
      <alignment horizontal="center" wrapText="1"/>
    </xf>
    <xf numFmtId="38" fontId="52" fillId="0" borderId="48" xfId="0" applyNumberFormat="1" applyFont="1" applyFill="1" applyBorder="1" applyAlignment="1">
      <alignment horizontal="center" vertical="center" wrapText="1"/>
    </xf>
    <xf numFmtId="38" fontId="52" fillId="5" borderId="88" xfId="0" applyNumberFormat="1" applyFont="1" applyFill="1" applyBorder="1" applyAlignment="1">
      <alignment horizontal="center" vertical="center" wrapText="1"/>
    </xf>
    <xf numFmtId="38" fontId="52" fillId="0" borderId="37" xfId="0" applyNumberFormat="1" applyFont="1" applyFill="1" applyBorder="1" applyAlignment="1">
      <alignment horizontal="center" vertical="center" wrapText="1"/>
    </xf>
    <xf numFmtId="38" fontId="52" fillId="0" borderId="19" xfId="0" applyNumberFormat="1" applyFont="1" applyBorder="1" applyAlignment="1">
      <alignment horizontal="center" wrapText="1"/>
    </xf>
    <xf numFmtId="0" fontId="50" fillId="4" borderId="30" xfId="0" applyFont="1" applyFill="1" applyBorder="1" applyAlignment="1">
      <alignment horizontal="center"/>
    </xf>
    <xf numFmtId="0" fontId="50" fillId="0" borderId="10" xfId="0" applyFont="1" applyBorder="1" applyAlignment="1">
      <alignment horizontal="center"/>
    </xf>
    <xf numFmtId="38" fontId="52" fillId="0" borderId="30" xfId="0" applyNumberFormat="1" applyFont="1" applyBorder="1" applyAlignment="1">
      <alignment horizontal="center"/>
    </xf>
    <xf numFmtId="38" fontId="52" fillId="5" borderId="58" xfId="0" applyNumberFormat="1" applyFont="1" applyFill="1" applyBorder="1" applyAlignment="1">
      <alignment horizontal="center"/>
    </xf>
    <xf numFmtId="38" fontId="52" fillId="0" borderId="31" xfId="0" applyNumberFormat="1" applyFont="1" applyBorder="1" applyAlignment="1">
      <alignment horizontal="center"/>
    </xf>
    <xf numFmtId="38" fontId="50" fillId="12" borderId="48" xfId="0" applyNumberFormat="1" applyFont="1" applyFill="1" applyBorder="1" applyAlignment="1">
      <alignment horizontal="center"/>
    </xf>
    <xf numFmtId="38" fontId="50" fillId="0" borderId="14" xfId="0" applyNumberFormat="1" applyFont="1" applyBorder="1" applyAlignment="1">
      <alignment horizontal="center"/>
    </xf>
    <xf numFmtId="38" fontId="0" fillId="12" borderId="48" xfId="0" applyNumberFormat="1" applyFill="1" applyBorder="1" applyAlignment="1">
      <alignment horizontal="center"/>
    </xf>
    <xf numFmtId="38" fontId="0" fillId="4" borderId="30" xfId="0" applyNumberFormat="1" applyFill="1" applyBorder="1" applyAlignment="1">
      <alignment horizontal="center"/>
    </xf>
    <xf numFmtId="38" fontId="0" fillId="0" borderId="31" xfId="0" applyNumberFormat="1" applyBorder="1" applyAlignment="1">
      <alignment horizontal="center"/>
    </xf>
    <xf numFmtId="38" fontId="8" fillId="0" borderId="89" xfId="0" applyNumberFormat="1" applyFont="1" applyBorder="1" applyAlignment="1">
      <alignment horizontal="center" wrapText="1"/>
    </xf>
    <xf numFmtId="0" fontId="0" fillId="15" borderId="71" xfId="0" applyFill="1" applyBorder="1" applyAlignment="1"/>
    <xf numFmtId="0" fontId="48" fillId="0" borderId="59" xfId="0" quotePrefix="1" applyFont="1" applyBorder="1" applyAlignment="1">
      <alignment horizontal="center" vertical="center"/>
    </xf>
    <xf numFmtId="0" fontId="42" fillId="2" borderId="0" xfId="7" applyAlignment="1"/>
    <xf numFmtId="189" fontId="0" fillId="16" borderId="0" xfId="0" applyNumberFormat="1" applyFill="1" applyBorder="1" applyAlignment="1">
      <alignment horizontal="center"/>
    </xf>
    <xf numFmtId="189" fontId="0" fillId="17" borderId="41" xfId="0" applyNumberFormat="1" applyFill="1" applyBorder="1" applyAlignment="1">
      <alignment horizontal="center"/>
    </xf>
    <xf numFmtId="0" fontId="0" fillId="0" borderId="0" xfId="0" applyBorder="1" applyAlignment="1">
      <alignment horizontal="center" wrapText="1"/>
    </xf>
    <xf numFmtId="198" fontId="29" fillId="0" borderId="41" xfId="0" applyNumberFormat="1" applyFont="1" applyBorder="1" applyAlignment="1">
      <alignment vertical="center"/>
    </xf>
    <xf numFmtId="14" fontId="57" fillId="0" borderId="5" xfId="0" applyNumberFormat="1" applyFont="1" applyBorder="1" applyAlignment="1">
      <alignment horizontal="center" vertical="center"/>
    </xf>
    <xf numFmtId="0" fontId="0" fillId="0" borderId="67" xfId="0" applyFill="1" applyBorder="1" applyAlignment="1"/>
    <xf numFmtId="178" fontId="0" fillId="0" borderId="0" xfId="0" applyNumberFormat="1" applyBorder="1" applyAlignment="1">
      <alignment horizontal="center"/>
    </xf>
    <xf numFmtId="0" fontId="0" fillId="17" borderId="0" xfId="0" applyFill="1" applyAlignment="1">
      <alignment horizontal="center"/>
    </xf>
    <xf numFmtId="178" fontId="0" fillId="17" borderId="0" xfId="0" applyNumberFormat="1" applyFill="1" applyAlignment="1">
      <alignment horizontal="center"/>
    </xf>
    <xf numFmtId="0" fontId="0" fillId="16" borderId="0" xfId="0" applyFill="1" applyAlignment="1">
      <alignment horizontal="center"/>
    </xf>
    <xf numFmtId="14" fontId="0" fillId="0" borderId="0" xfId="0" applyNumberFormat="1" applyFill="1" applyAlignment="1"/>
    <xf numFmtId="193" fontId="0" fillId="0" borderId="0" xfId="0" applyNumberFormat="1" applyFill="1" applyAlignment="1"/>
    <xf numFmtId="0" fontId="18" fillId="17" borderId="1" xfId="0" applyFont="1" applyFill="1" applyBorder="1" applyAlignment="1">
      <alignment horizontal="center"/>
    </xf>
    <xf numFmtId="14" fontId="18" fillId="18" borderId="1" xfId="0" applyNumberFormat="1" applyFont="1" applyFill="1" applyBorder="1" applyAlignment="1">
      <alignment horizontal="center" vertical="center"/>
    </xf>
    <xf numFmtId="183" fontId="33" fillId="18" borderId="1" xfId="3" applyNumberFormat="1" applyFont="1" applyFill="1" applyBorder="1" applyAlignment="1">
      <alignment horizontal="center" vertical="center"/>
    </xf>
    <xf numFmtId="177" fontId="18" fillId="18" borderId="1" xfId="0" applyNumberFormat="1" applyFont="1" applyFill="1" applyBorder="1" applyAlignment="1">
      <alignment horizontal="center"/>
    </xf>
    <xf numFmtId="185" fontId="18" fillId="18" borderId="1" xfId="0" applyNumberFormat="1" applyFont="1" applyFill="1" applyBorder="1" applyAlignment="1">
      <alignment horizontal="center" vertical="center" wrapText="1"/>
    </xf>
    <xf numFmtId="195" fontId="18" fillId="18" borderId="1" xfId="0" applyNumberFormat="1" applyFont="1" applyFill="1" applyBorder="1" applyAlignment="1">
      <alignment horizontal="center"/>
    </xf>
    <xf numFmtId="193" fontId="18" fillId="18" borderId="1" xfId="0" applyNumberFormat="1" applyFont="1" applyFill="1" applyBorder="1" applyAlignment="1">
      <alignment horizontal="center"/>
    </xf>
    <xf numFmtId="0" fontId="0" fillId="18" borderId="0" xfId="0" applyFill="1" applyAlignment="1"/>
    <xf numFmtId="193" fontId="0" fillId="18" borderId="0" xfId="0" applyNumberFormat="1" applyFill="1" applyAlignment="1"/>
    <xf numFmtId="0" fontId="20" fillId="18" borderId="0" xfId="0" applyFont="1" applyFill="1" applyAlignment="1"/>
    <xf numFmtId="185" fontId="20" fillId="18" borderId="0" xfId="0" applyNumberFormat="1" applyFont="1" applyFill="1" applyAlignment="1"/>
    <xf numFmtId="14" fontId="18" fillId="19" borderId="1" xfId="0" applyNumberFormat="1" applyFont="1" applyFill="1" applyBorder="1" applyAlignment="1">
      <alignment horizontal="center" vertical="center"/>
    </xf>
    <xf numFmtId="183" fontId="33" fillId="19" borderId="1" xfId="3" applyNumberFormat="1" applyFont="1" applyFill="1" applyBorder="1" applyAlignment="1">
      <alignment horizontal="center" vertical="center"/>
    </xf>
    <xf numFmtId="177" fontId="18" fillId="19" borderId="1" xfId="0" applyNumberFormat="1" applyFont="1" applyFill="1" applyBorder="1" applyAlignment="1">
      <alignment horizontal="center"/>
    </xf>
    <xf numFmtId="185" fontId="18" fillId="19" borderId="1" xfId="0" applyNumberFormat="1" applyFont="1" applyFill="1" applyBorder="1" applyAlignment="1">
      <alignment horizontal="center" vertical="center" wrapText="1"/>
    </xf>
    <xf numFmtId="195" fontId="18" fillId="19" borderId="1" xfId="0" applyNumberFormat="1" applyFont="1" applyFill="1" applyBorder="1" applyAlignment="1">
      <alignment horizontal="center"/>
    </xf>
    <xf numFmtId="14" fontId="18" fillId="17" borderId="1" xfId="0" applyNumberFormat="1" applyFont="1" applyFill="1" applyBorder="1" applyAlignment="1">
      <alignment horizontal="center" vertical="center"/>
    </xf>
    <xf numFmtId="183" fontId="18" fillId="17" borderId="1" xfId="3" applyNumberFormat="1" applyFont="1" applyFill="1" applyBorder="1" applyAlignment="1">
      <alignment horizontal="center" vertical="center"/>
    </xf>
    <xf numFmtId="177" fontId="18" fillId="17" borderId="1" xfId="0" applyNumberFormat="1" applyFont="1" applyFill="1" applyBorder="1" applyAlignment="1">
      <alignment horizontal="center"/>
    </xf>
    <xf numFmtId="180" fontId="18" fillId="17" borderId="1" xfId="0" applyNumberFormat="1" applyFont="1" applyFill="1" applyBorder="1" applyAlignment="1">
      <alignment horizontal="center" vertical="center"/>
    </xf>
    <xf numFmtId="185" fontId="18" fillId="17" borderId="1" xfId="0" applyNumberFormat="1" applyFont="1" applyFill="1" applyBorder="1" applyAlignment="1">
      <alignment horizontal="center" vertical="center" wrapText="1"/>
    </xf>
    <xf numFmtId="195" fontId="18" fillId="17" borderId="1" xfId="0" applyNumberFormat="1" applyFont="1" applyFill="1" applyBorder="1" applyAlignment="1">
      <alignment horizontal="center"/>
    </xf>
    <xf numFmtId="14" fontId="27" fillId="17" borderId="1" xfId="0" applyNumberFormat="1" applyFont="1" applyFill="1" applyBorder="1" applyAlignment="1">
      <alignment horizontal="center" vertical="center"/>
    </xf>
    <xf numFmtId="183" fontId="27" fillId="17" borderId="1" xfId="3" applyNumberFormat="1" applyFont="1" applyFill="1" applyBorder="1" applyAlignment="1">
      <alignment horizontal="center" vertical="center"/>
    </xf>
    <xf numFmtId="177" fontId="33" fillId="17" borderId="1" xfId="0" applyNumberFormat="1" applyFont="1" applyFill="1" applyBorder="1" applyAlignment="1">
      <alignment horizontal="center"/>
    </xf>
    <xf numFmtId="185" fontId="27" fillId="17" borderId="1" xfId="0" applyNumberFormat="1" applyFont="1" applyFill="1" applyBorder="1" applyAlignment="1">
      <alignment horizontal="center" vertical="center" wrapText="1"/>
    </xf>
    <xf numFmtId="193" fontId="27" fillId="17" borderId="1" xfId="0" applyNumberFormat="1" applyFont="1" applyFill="1" applyBorder="1" applyAlignment="1">
      <alignment horizontal="center"/>
    </xf>
    <xf numFmtId="14" fontId="33" fillId="17" borderId="1" xfId="0" applyNumberFormat="1" applyFont="1" applyFill="1" applyBorder="1" applyAlignment="1">
      <alignment horizontal="center" vertical="center"/>
    </xf>
    <xf numFmtId="183" fontId="33" fillId="17" borderId="1" xfId="3" applyNumberFormat="1" applyFont="1" applyFill="1" applyBorder="1" applyAlignment="1">
      <alignment horizontal="center" vertical="center"/>
    </xf>
    <xf numFmtId="185" fontId="33" fillId="17" borderId="1" xfId="0" applyNumberFormat="1" applyFont="1" applyFill="1" applyBorder="1" applyAlignment="1">
      <alignment horizontal="center" vertical="center" wrapText="1"/>
    </xf>
    <xf numFmtId="193" fontId="33" fillId="17" borderId="1" xfId="0" applyNumberFormat="1" applyFont="1" applyFill="1" applyBorder="1" applyAlignment="1">
      <alignment horizontal="center"/>
    </xf>
    <xf numFmtId="0" fontId="18" fillId="20" borderId="1" xfId="0" applyFont="1" applyFill="1" applyBorder="1" applyAlignment="1">
      <alignment horizontal="center"/>
    </xf>
    <xf numFmtId="14" fontId="18" fillId="20" borderId="1" xfId="0" applyNumberFormat="1" applyFont="1" applyFill="1" applyBorder="1" applyAlignment="1">
      <alignment horizontal="center" vertical="center"/>
    </xf>
    <xf numFmtId="183" fontId="18" fillId="20" borderId="1" xfId="3" applyNumberFormat="1" applyFont="1" applyFill="1" applyBorder="1" applyAlignment="1">
      <alignment horizontal="center" vertical="center"/>
    </xf>
    <xf numFmtId="177" fontId="18" fillId="20" borderId="1" xfId="0" applyNumberFormat="1" applyFont="1" applyFill="1" applyBorder="1" applyAlignment="1">
      <alignment horizontal="center"/>
    </xf>
    <xf numFmtId="180" fontId="18" fillId="20" borderId="1" xfId="0" applyNumberFormat="1" applyFont="1" applyFill="1" applyBorder="1" applyAlignment="1">
      <alignment horizontal="center" vertical="center"/>
    </xf>
    <xf numFmtId="185" fontId="18" fillId="20" borderId="1" xfId="0" applyNumberFormat="1" applyFont="1" applyFill="1" applyBorder="1" applyAlignment="1">
      <alignment horizontal="center" vertical="center" wrapText="1"/>
    </xf>
    <xf numFmtId="195" fontId="18" fillId="20" borderId="1" xfId="0" applyNumberFormat="1" applyFont="1" applyFill="1" applyBorder="1" applyAlignment="1">
      <alignment horizontal="center"/>
    </xf>
    <xf numFmtId="195" fontId="30" fillId="20" borderId="1" xfId="0" applyNumberFormat="1" applyFont="1" applyFill="1" applyBorder="1" applyAlignment="1">
      <alignment horizontal="center" wrapText="1"/>
    </xf>
    <xf numFmtId="178" fontId="18" fillId="20" borderId="1" xfId="0" applyNumberFormat="1" applyFont="1" applyFill="1" applyBorder="1" applyAlignment="1">
      <alignment horizontal="center" vertical="center"/>
    </xf>
    <xf numFmtId="183" fontId="33" fillId="20" borderId="1" xfId="3" applyNumberFormat="1" applyFont="1" applyFill="1" applyBorder="1" applyAlignment="1">
      <alignment horizontal="center" vertical="center"/>
    </xf>
    <xf numFmtId="14" fontId="27" fillId="20" borderId="1" xfId="0" applyNumberFormat="1" applyFont="1" applyFill="1" applyBorder="1" applyAlignment="1">
      <alignment horizontal="center" vertical="center"/>
    </xf>
    <xf numFmtId="183" fontId="27" fillId="20" borderId="1" xfId="3" applyNumberFormat="1" applyFont="1" applyFill="1" applyBorder="1" applyAlignment="1">
      <alignment horizontal="center" vertical="center"/>
    </xf>
    <xf numFmtId="177" fontId="33" fillId="20" borderId="1" xfId="0" applyNumberFormat="1" applyFont="1" applyFill="1" applyBorder="1" applyAlignment="1">
      <alignment horizontal="center"/>
    </xf>
    <xf numFmtId="185" fontId="27" fillId="20" borderId="1" xfId="0" applyNumberFormat="1" applyFont="1" applyFill="1" applyBorder="1" applyAlignment="1">
      <alignment horizontal="center" vertical="center" wrapText="1"/>
    </xf>
    <xf numFmtId="193" fontId="27" fillId="20" borderId="1" xfId="0" applyNumberFormat="1" applyFont="1" applyFill="1" applyBorder="1" applyAlignment="1">
      <alignment horizontal="center"/>
    </xf>
    <xf numFmtId="177" fontId="27" fillId="20" borderId="1" xfId="0" applyNumberFormat="1" applyFont="1" applyFill="1" applyBorder="1" applyAlignment="1">
      <alignment horizontal="center"/>
    </xf>
    <xf numFmtId="185" fontId="11" fillId="20" borderId="1" xfId="0" applyNumberFormat="1" applyFont="1" applyFill="1" applyBorder="1" applyAlignment="1">
      <alignment horizontal="center"/>
    </xf>
    <xf numFmtId="0" fontId="48" fillId="0" borderId="12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38" fontId="52" fillId="0" borderId="44" xfId="0" applyNumberFormat="1" applyFont="1" applyBorder="1" applyAlignment="1">
      <alignment horizontal="center" vertical="center"/>
    </xf>
    <xf numFmtId="38" fontId="52" fillId="0" borderId="3" xfId="0" applyNumberFormat="1" applyFont="1" applyBorder="1" applyAlignment="1">
      <alignment horizontal="center" vertical="center"/>
    </xf>
    <xf numFmtId="38" fontId="52" fillId="0" borderId="3" xfId="0" applyNumberFormat="1" applyFont="1" applyBorder="1" applyAlignment="1">
      <alignment horizontal="center" vertical="center" wrapText="1"/>
    </xf>
    <xf numFmtId="38" fontId="52" fillId="0" borderId="3" xfId="0" applyNumberFormat="1" applyFont="1" applyFill="1" applyBorder="1" applyAlignment="1">
      <alignment horizontal="center" vertical="center" wrapText="1"/>
    </xf>
    <xf numFmtId="38" fontId="52" fillId="0" borderId="10" xfId="0" applyNumberFormat="1" applyFont="1" applyFill="1" applyBorder="1" applyAlignment="1">
      <alignment horizontal="center" vertical="center" wrapText="1"/>
    </xf>
    <xf numFmtId="38" fontId="52" fillId="0" borderId="14" xfId="0" applyNumberFormat="1" applyFont="1" applyFill="1" applyBorder="1" applyAlignment="1">
      <alignment horizontal="center" vertical="center" wrapText="1"/>
    </xf>
    <xf numFmtId="38" fontId="52" fillId="0" borderId="10" xfId="0" applyNumberFormat="1" applyFont="1" applyBorder="1" applyAlignment="1">
      <alignment horizontal="center"/>
    </xf>
    <xf numFmtId="0" fontId="62" fillId="0" borderId="1" xfId="0" applyFont="1" applyFill="1" applyBorder="1" applyAlignment="1">
      <alignment horizontal="left"/>
    </xf>
    <xf numFmtId="0" fontId="0" fillId="0" borderId="47" xfId="0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46" fillId="0" borderId="16" xfId="0" applyFont="1" applyBorder="1" applyAlignment="1">
      <alignment horizontal="center" vertical="center" wrapText="1"/>
    </xf>
    <xf numFmtId="0" fontId="7" fillId="0" borderId="84" xfId="0" applyFont="1" applyBorder="1" applyAlignment="1">
      <alignment horizontal="center"/>
    </xf>
    <xf numFmtId="0" fontId="34" fillId="0" borderId="18" xfId="0" applyFont="1" applyBorder="1" applyAlignment="1">
      <alignment horizontal="center" wrapText="1"/>
    </xf>
    <xf numFmtId="38" fontId="8" fillId="0" borderId="31" xfId="0" applyNumberFormat="1" applyFont="1" applyBorder="1" applyAlignment="1">
      <alignment horizontal="center" wrapText="1"/>
    </xf>
    <xf numFmtId="38" fontId="8" fillId="0" borderId="74" xfId="0" applyNumberFormat="1" applyFont="1" applyBorder="1" applyAlignment="1">
      <alignment horizontal="center" wrapText="1"/>
    </xf>
    <xf numFmtId="0" fontId="48" fillId="0" borderId="90" xfId="0" applyFont="1" applyBorder="1" applyAlignment="1">
      <alignment horizontal="center"/>
    </xf>
    <xf numFmtId="0" fontId="48" fillId="0" borderId="13" xfId="0" applyFont="1" applyBorder="1" applyAlignment="1">
      <alignment horizontal="center"/>
    </xf>
    <xf numFmtId="0" fontId="48" fillId="0" borderId="22" xfId="0" applyFont="1" applyBorder="1" applyAlignment="1">
      <alignment horizontal="center"/>
    </xf>
    <xf numFmtId="178" fontId="18" fillId="20" borderId="1" xfId="0" applyNumberFormat="1" applyFont="1" applyFill="1" applyBorder="1" applyAlignment="1">
      <alignment horizontal="center"/>
    </xf>
    <xf numFmtId="38" fontId="50" fillId="0" borderId="91" xfId="0" applyNumberFormat="1" applyFont="1" applyBorder="1" applyAlignment="1">
      <alignment horizontal="center"/>
    </xf>
    <xf numFmtId="38" fontId="50" fillId="0" borderId="17" xfId="0" applyNumberFormat="1" applyFont="1" applyBorder="1" applyAlignment="1">
      <alignment horizontal="center"/>
    </xf>
    <xf numFmtId="38" fontId="50" fillId="0" borderId="92" xfId="0" applyNumberFormat="1" applyFont="1" applyBorder="1" applyAlignment="1">
      <alignment horizontal="center"/>
    </xf>
    <xf numFmtId="0" fontId="50" fillId="0" borderId="93" xfId="0" applyFont="1" applyBorder="1" applyAlignment="1">
      <alignment horizontal="center"/>
    </xf>
    <xf numFmtId="0" fontId="50" fillId="0" borderId="15" xfId="0" applyFont="1" applyBorder="1" applyAlignment="1">
      <alignment horizontal="center"/>
    </xf>
    <xf numFmtId="0" fontId="50" fillId="0" borderId="19" xfId="0" applyFont="1" applyBorder="1" applyAlignment="1">
      <alignment horizontal="center"/>
    </xf>
    <xf numFmtId="38" fontId="48" fillId="0" borderId="94" xfId="0" applyNumberFormat="1" applyFont="1" applyBorder="1" applyAlignment="1"/>
    <xf numFmtId="0" fontId="48" fillId="0" borderId="90" xfId="0" applyFont="1" applyBorder="1" applyAlignment="1"/>
    <xf numFmtId="38" fontId="48" fillId="0" borderId="8" xfId="0" applyNumberFormat="1" applyFont="1" applyBorder="1" applyAlignment="1"/>
    <xf numFmtId="0" fontId="48" fillId="0" borderId="13" xfId="0" applyFont="1" applyBorder="1" applyAlignment="1"/>
    <xf numFmtId="38" fontId="48" fillId="0" borderId="36" xfId="0" applyNumberFormat="1" applyFont="1" applyBorder="1" applyAlignment="1"/>
    <xf numFmtId="0" fontId="48" fillId="0" borderId="22" xfId="0" applyFont="1" applyBorder="1" applyAlignment="1"/>
    <xf numFmtId="0" fontId="63" fillId="0" borderId="27" xfId="0" applyFont="1" applyBorder="1" applyAlignment="1">
      <alignment horizontal="center" vertical="center" wrapText="1"/>
    </xf>
    <xf numFmtId="0" fontId="63" fillId="0" borderId="54" xfId="0" applyFont="1" applyBorder="1" applyAlignment="1">
      <alignment horizontal="center" vertical="center" wrapText="1"/>
    </xf>
    <xf numFmtId="0" fontId="63" fillId="0" borderId="29" xfId="0" applyFont="1" applyBorder="1" applyAlignment="1">
      <alignment horizontal="center" vertical="center" wrapText="1"/>
    </xf>
    <xf numFmtId="38" fontId="63" fillId="0" borderId="29" xfId="0" applyNumberFormat="1" applyFont="1" applyBorder="1" applyAlignment="1">
      <alignment horizontal="center" vertical="center" wrapText="1"/>
    </xf>
    <xf numFmtId="0" fontId="63" fillId="0" borderId="29" xfId="0" applyFont="1" applyBorder="1" applyAlignment="1">
      <alignment horizontal="center" wrapText="1"/>
    </xf>
    <xf numFmtId="0" fontId="63" fillId="0" borderId="30" xfId="0" applyFont="1" applyBorder="1" applyAlignment="1">
      <alignment horizontal="center" wrapText="1"/>
    </xf>
    <xf numFmtId="0" fontId="63" fillId="0" borderId="0" xfId="0" applyFont="1" applyBorder="1" applyAlignment="1">
      <alignment horizontal="center" wrapText="1"/>
    </xf>
    <xf numFmtId="0" fontId="63" fillId="0" borderId="4" xfId="0" applyFont="1" applyBorder="1" applyAlignment="1">
      <alignment horizontal="center" vertical="center" wrapText="1"/>
    </xf>
    <xf numFmtId="0" fontId="63" fillId="0" borderId="44" xfId="0" applyFont="1" applyBorder="1" applyAlignment="1">
      <alignment horizontal="center" vertical="center" wrapText="1"/>
    </xf>
    <xf numFmtId="0" fontId="63" fillId="0" borderId="3" xfId="0" applyFont="1" applyBorder="1" applyAlignment="1">
      <alignment horizontal="center" vertical="center" wrapText="1"/>
    </xf>
    <xf numFmtId="38" fontId="63" fillId="0" borderId="3" xfId="0" applyNumberFormat="1" applyFont="1" applyBorder="1" applyAlignment="1">
      <alignment horizontal="center" vertical="center" wrapText="1"/>
    </xf>
    <xf numFmtId="0" fontId="63" fillId="0" borderId="3" xfId="0" applyFont="1" applyBorder="1" applyAlignment="1">
      <alignment horizontal="center" wrapText="1"/>
    </xf>
    <xf numFmtId="0" fontId="63" fillId="0" borderId="10" xfId="0" applyFont="1" applyBorder="1" applyAlignment="1">
      <alignment horizontal="center" wrapText="1"/>
    </xf>
    <xf numFmtId="38" fontId="48" fillId="0" borderId="34" xfId="0" applyNumberFormat="1" applyFont="1" applyBorder="1" applyAlignment="1">
      <alignment horizontal="center" vertical="center" wrapText="1"/>
    </xf>
    <xf numFmtId="38" fontId="48" fillId="0" borderId="29" xfId="0" applyNumberFormat="1" applyFont="1" applyFill="1" applyBorder="1" applyAlignment="1">
      <alignment horizontal="center" vertical="center" wrapText="1"/>
    </xf>
    <xf numFmtId="38" fontId="48" fillId="0" borderId="30" xfId="0" applyNumberFormat="1" applyFont="1" applyFill="1" applyBorder="1" applyAlignment="1">
      <alignment horizontal="center" vertical="center" wrapText="1"/>
    </xf>
    <xf numFmtId="38" fontId="48" fillId="0" borderId="59" xfId="0" applyNumberFormat="1" applyFont="1" applyBorder="1" applyAlignment="1">
      <alignment horizontal="center" vertical="center" wrapText="1"/>
    </xf>
    <xf numFmtId="38" fontId="48" fillId="0" borderId="40" xfId="0" applyNumberFormat="1" applyFont="1" applyFill="1" applyBorder="1" applyAlignment="1">
      <alignment horizontal="center" vertical="center" wrapText="1"/>
    </xf>
    <xf numFmtId="38" fontId="48" fillId="0" borderId="60" xfId="0" applyNumberFormat="1" applyFont="1" applyFill="1" applyBorder="1" applyAlignment="1">
      <alignment horizontal="center" vertical="center" wrapText="1"/>
    </xf>
    <xf numFmtId="38" fontId="48" fillId="0" borderId="22" xfId="0" applyNumberFormat="1" applyFont="1" applyBorder="1" applyAlignment="1">
      <alignment horizontal="center" vertical="center" wrapText="1"/>
    </xf>
    <xf numFmtId="38" fontId="48" fillId="0" borderId="20" xfId="0" applyNumberFormat="1" applyFont="1" applyFill="1" applyBorder="1" applyAlignment="1">
      <alignment horizontal="center" vertical="center" wrapText="1"/>
    </xf>
    <xf numFmtId="38" fontId="48" fillId="0" borderId="23" xfId="0" applyNumberFormat="1" applyFont="1" applyFill="1" applyBorder="1" applyAlignment="1">
      <alignment horizontal="center" vertical="center" wrapText="1"/>
    </xf>
    <xf numFmtId="0" fontId="63" fillId="0" borderId="22" xfId="0" applyFont="1" applyBorder="1" applyAlignment="1">
      <alignment horizontal="center" wrapText="1"/>
    </xf>
    <xf numFmtId="38" fontId="64" fillId="0" borderId="32" xfId="0" applyNumberFormat="1" applyFont="1" applyBorder="1" applyAlignment="1">
      <alignment horizontal="center" wrapText="1"/>
    </xf>
    <xf numFmtId="38" fontId="64" fillId="0" borderId="36" xfId="0" applyNumberFormat="1" applyFont="1" applyBorder="1" applyAlignment="1">
      <alignment horizontal="center" wrapText="1"/>
    </xf>
    <xf numFmtId="38" fontId="64" fillId="0" borderId="95" xfId="0" applyNumberFormat="1" applyFont="1" applyBorder="1" applyAlignment="1">
      <alignment horizontal="center" wrapText="1"/>
    </xf>
    <xf numFmtId="38" fontId="64" fillId="0" borderId="96" xfId="0" applyNumberFormat="1" applyFont="1" applyBorder="1" applyAlignment="1">
      <alignment horizontal="center" wrapText="1"/>
    </xf>
    <xf numFmtId="38" fontId="64" fillId="0" borderId="97" xfId="0" applyNumberFormat="1" applyFont="1" applyBorder="1" applyAlignment="1">
      <alignment horizontal="center" wrapText="1"/>
    </xf>
    <xf numFmtId="38" fontId="64" fillId="0" borderId="20" xfId="0" applyNumberFormat="1" applyFont="1" applyBorder="1" applyAlignment="1">
      <alignment horizontal="center" wrapText="1"/>
    </xf>
    <xf numFmtId="38" fontId="50" fillId="0" borderId="0" xfId="0" applyNumberFormat="1" applyFont="1" applyBorder="1" applyAlignment="1">
      <alignment horizontal="center" wrapText="1"/>
    </xf>
    <xf numFmtId="38" fontId="50" fillId="0" borderId="92" xfId="0" applyNumberFormat="1" applyFont="1" applyBorder="1" applyAlignment="1">
      <alignment horizontal="center" wrapText="1"/>
    </xf>
    <xf numFmtId="38" fontId="50" fillId="0" borderId="38" xfId="0" applyNumberFormat="1" applyFont="1" applyBorder="1" applyAlignment="1">
      <alignment horizontal="center"/>
    </xf>
    <xf numFmtId="200" fontId="27" fillId="10" borderId="1" xfId="3" applyNumberFormat="1" applyFont="1" applyFill="1" applyBorder="1" applyAlignment="1">
      <alignment horizontal="center" vertical="center"/>
    </xf>
    <xf numFmtId="0" fontId="4" fillId="20" borderId="1" xfId="0" applyFont="1" applyFill="1" applyBorder="1" applyAlignment="1">
      <alignment horizontal="center"/>
    </xf>
    <xf numFmtId="0" fontId="4" fillId="20" borderId="1" xfId="0" applyFont="1" applyFill="1" applyBorder="1" applyAlignment="1">
      <alignment horizontal="center" vertical="center"/>
    </xf>
    <xf numFmtId="183" fontId="4" fillId="20" borderId="1" xfId="3" applyNumberFormat="1" applyFont="1" applyFill="1" applyBorder="1" applyAlignment="1">
      <alignment horizontal="center" vertical="center"/>
    </xf>
    <xf numFmtId="177" fontId="4" fillId="20" borderId="1" xfId="0" applyNumberFormat="1" applyFont="1" applyFill="1" applyBorder="1" applyAlignment="1">
      <alignment horizontal="center"/>
    </xf>
    <xf numFmtId="180" fontId="6" fillId="20" borderId="1" xfId="0" applyNumberFormat="1" applyFont="1" applyFill="1" applyBorder="1" applyAlignment="1">
      <alignment horizontal="center" vertical="center"/>
    </xf>
    <xf numFmtId="185" fontId="41" fillId="20" borderId="1" xfId="0" applyNumberFormat="1" applyFont="1" applyFill="1" applyBorder="1" applyAlignment="1">
      <alignment horizontal="center"/>
    </xf>
    <xf numFmtId="40" fontId="18" fillId="20" borderId="1" xfId="0" applyNumberFormat="1" applyFont="1" applyFill="1" applyBorder="1" applyAlignment="1">
      <alignment horizontal="center"/>
    </xf>
    <xf numFmtId="40" fontId="27" fillId="0" borderId="0" xfId="0" applyNumberFormat="1" applyFont="1" applyFill="1" applyBorder="1" applyAlignment="1">
      <alignment horizontal="center"/>
    </xf>
    <xf numFmtId="178" fontId="27" fillId="0" borderId="0" xfId="0" applyNumberFormat="1" applyFont="1" applyFill="1" applyBorder="1" applyAlignment="1">
      <alignment horizontal="center" vertical="center"/>
    </xf>
    <xf numFmtId="0" fontId="4" fillId="9" borderId="6" xfId="0" applyFont="1" applyFill="1" applyBorder="1" applyAlignment="1">
      <alignment horizontal="center"/>
    </xf>
    <xf numFmtId="0" fontId="4" fillId="9" borderId="6" xfId="0" applyFont="1" applyFill="1" applyBorder="1" applyAlignment="1">
      <alignment horizontal="center" vertical="center"/>
    </xf>
    <xf numFmtId="183" fontId="4" fillId="9" borderId="6" xfId="3" applyNumberFormat="1" applyFont="1" applyFill="1" applyBorder="1" applyAlignment="1">
      <alignment horizontal="center" vertical="center"/>
    </xf>
    <xf numFmtId="177" fontId="4" fillId="9" borderId="6" xfId="0" applyNumberFormat="1" applyFont="1" applyFill="1" applyBorder="1" applyAlignment="1">
      <alignment horizontal="center"/>
    </xf>
    <xf numFmtId="180" fontId="6" fillId="9" borderId="6" xfId="0" applyNumberFormat="1" applyFont="1" applyFill="1" applyBorder="1" applyAlignment="1">
      <alignment horizontal="center" vertical="center"/>
    </xf>
    <xf numFmtId="185" fontId="41" fillId="9" borderId="6" xfId="0" applyNumberFormat="1" applyFont="1" applyFill="1" applyBorder="1" applyAlignment="1">
      <alignment horizontal="center"/>
    </xf>
    <xf numFmtId="0" fontId="41" fillId="9" borderId="6" xfId="0" applyFont="1" applyFill="1" applyBorder="1" applyAlignment="1">
      <alignment horizontal="center"/>
    </xf>
    <xf numFmtId="0" fontId="27" fillId="11" borderId="55" xfId="0" applyFont="1" applyFill="1" applyBorder="1" applyAlignment="1">
      <alignment horizontal="center"/>
    </xf>
    <xf numFmtId="14" fontId="27" fillId="11" borderId="55" xfId="0" applyNumberFormat="1" applyFont="1" applyFill="1" applyBorder="1" applyAlignment="1">
      <alignment horizontal="center" vertical="center"/>
    </xf>
    <xf numFmtId="0" fontId="27" fillId="11" borderId="55" xfId="0" applyNumberFormat="1" applyFont="1" applyFill="1" applyBorder="1" applyAlignment="1">
      <alignment horizontal="center" vertical="center"/>
    </xf>
    <xf numFmtId="183" fontId="27" fillId="11" borderId="55" xfId="3" applyNumberFormat="1" applyFont="1" applyFill="1" applyBorder="1" applyAlignment="1">
      <alignment horizontal="center" vertical="center"/>
    </xf>
    <xf numFmtId="177" fontId="27" fillId="11" borderId="55" xfId="0" applyNumberFormat="1" applyFont="1" applyFill="1" applyBorder="1" applyAlignment="1">
      <alignment horizontal="center" vertical="center"/>
    </xf>
    <xf numFmtId="180" fontId="27" fillId="11" borderId="55" xfId="0" applyNumberFormat="1" applyFont="1" applyFill="1" applyBorder="1" applyAlignment="1">
      <alignment horizontal="center" vertical="center"/>
    </xf>
    <xf numFmtId="185" fontId="11" fillId="11" borderId="55" xfId="0" applyNumberFormat="1" applyFont="1" applyFill="1" applyBorder="1" applyAlignment="1">
      <alignment horizontal="center"/>
    </xf>
    <xf numFmtId="195" fontId="27" fillId="11" borderId="55" xfId="0" applyNumberFormat="1" applyFont="1" applyFill="1" applyBorder="1" applyAlignment="1">
      <alignment horizontal="center" wrapText="1"/>
    </xf>
    <xf numFmtId="194" fontId="11" fillId="11" borderId="55" xfId="0" applyNumberFormat="1" applyFont="1" applyFill="1" applyBorder="1" applyAlignment="1">
      <alignment horizontal="center"/>
    </xf>
    <xf numFmtId="178" fontId="27" fillId="11" borderId="55" xfId="0" applyNumberFormat="1" applyFont="1" applyFill="1" applyBorder="1" applyAlignment="1">
      <alignment horizontal="center" vertical="center"/>
    </xf>
    <xf numFmtId="0" fontId="0" fillId="21" borderId="65" xfId="0" applyFill="1" applyBorder="1" applyAlignment="1"/>
    <xf numFmtId="0" fontId="0" fillId="21" borderId="0" xfId="0" applyFill="1" applyBorder="1" applyAlignment="1"/>
    <xf numFmtId="0" fontId="0" fillId="21" borderId="72" xfId="0" applyFill="1" applyBorder="1" applyAlignment="1"/>
    <xf numFmtId="187" fontId="4" fillId="20" borderId="1" xfId="0" applyNumberFormat="1" applyFont="1" applyFill="1" applyBorder="1" applyAlignment="1">
      <alignment horizontal="center" vertical="center"/>
    </xf>
    <xf numFmtId="201" fontId="0" fillId="0" borderId="66" xfId="0" applyNumberFormat="1" applyFill="1" applyBorder="1" applyAlignment="1"/>
    <xf numFmtId="201" fontId="0" fillId="0" borderId="68" xfId="0" applyNumberFormat="1" applyFill="1" applyBorder="1" applyAlignment="1"/>
    <xf numFmtId="202" fontId="0" fillId="0" borderId="68" xfId="0" applyNumberFormat="1" applyFill="1" applyBorder="1" applyAlignment="1"/>
    <xf numFmtId="201" fontId="0" fillId="0" borderId="73" xfId="0" applyNumberFormat="1" applyFill="1" applyBorder="1" applyAlignment="1"/>
    <xf numFmtId="0" fontId="63" fillId="16" borderId="54" xfId="0" applyFont="1" applyFill="1" applyBorder="1" applyAlignment="1">
      <alignment horizontal="center" vertical="center" wrapText="1"/>
    </xf>
    <xf numFmtId="0" fontId="63" fillId="16" borderId="44" xfId="0" applyFont="1" applyFill="1" applyBorder="1" applyAlignment="1">
      <alignment horizontal="center" vertical="center" wrapText="1"/>
    </xf>
    <xf numFmtId="38" fontId="48" fillId="0" borderId="39" xfId="0" applyNumberFormat="1" applyFont="1" applyBorder="1" applyAlignment="1"/>
    <xf numFmtId="38" fontId="50" fillId="0" borderId="100" xfId="0" applyNumberFormat="1" applyFont="1" applyBorder="1" applyAlignment="1">
      <alignment horizontal="center"/>
    </xf>
    <xf numFmtId="0" fontId="50" fillId="0" borderId="37" xfId="0" applyFont="1" applyBorder="1" applyAlignment="1">
      <alignment horizontal="center"/>
    </xf>
    <xf numFmtId="38" fontId="48" fillId="0" borderId="59" xfId="0" applyNumberFormat="1" applyFont="1" applyBorder="1" applyAlignment="1"/>
    <xf numFmtId="0" fontId="0" fillId="22" borderId="67" xfId="0" applyFill="1" applyBorder="1" applyAlignment="1"/>
    <xf numFmtId="0" fontId="0" fillId="22" borderId="65" xfId="0" applyFill="1" applyBorder="1" applyAlignment="1"/>
    <xf numFmtId="0" fontId="0" fillId="22" borderId="0" xfId="0" applyFill="1" applyBorder="1" applyAlignment="1"/>
    <xf numFmtId="0" fontId="0" fillId="22" borderId="71" xfId="0" applyFill="1" applyBorder="1" applyAlignment="1"/>
    <xf numFmtId="0" fontId="0" fillId="22" borderId="72" xfId="0" applyFill="1" applyBorder="1" applyAlignment="1"/>
    <xf numFmtId="0" fontId="27" fillId="10" borderId="1" xfId="0" applyFont="1" applyFill="1" applyBorder="1" applyAlignment="1">
      <alignment horizontal="center" wrapText="1"/>
    </xf>
    <xf numFmtId="0" fontId="30" fillId="5" borderId="1" xfId="3" applyNumberFormat="1" applyFont="1" applyFill="1" applyBorder="1" applyAlignment="1">
      <alignment horizontal="center" vertical="center"/>
    </xf>
    <xf numFmtId="0" fontId="30" fillId="5" borderId="1" xfId="0" applyFont="1" applyFill="1" applyBorder="1" applyAlignment="1">
      <alignment horizontal="center" wrapText="1"/>
    </xf>
    <xf numFmtId="0" fontId="72" fillId="0" borderId="1" xfId="0" applyFont="1" applyFill="1" applyBorder="1" applyAlignment="1">
      <alignment horizontal="center"/>
    </xf>
    <xf numFmtId="0" fontId="0" fillId="23" borderId="86" xfId="0" applyFill="1" applyBorder="1" applyAlignment="1"/>
    <xf numFmtId="0" fontId="0" fillId="23" borderId="65" xfId="0" applyFill="1" applyBorder="1" applyAlignment="1"/>
    <xf numFmtId="0" fontId="0" fillId="23" borderId="67" xfId="0" applyFill="1" applyBorder="1" applyAlignment="1"/>
    <xf numFmtId="0" fontId="0" fillId="23" borderId="0" xfId="0" applyFill="1" applyBorder="1" applyAlignment="1"/>
    <xf numFmtId="0" fontId="0" fillId="0" borderId="0" xfId="0" applyFont="1" applyAlignment="1">
      <alignment vertical="center"/>
    </xf>
    <xf numFmtId="186" fontId="52" fillId="0" borderId="0" xfId="8" applyNumberFormat="1" applyFont="1" applyFill="1" applyBorder="1">
      <alignment vertical="center"/>
    </xf>
    <xf numFmtId="38" fontId="0" fillId="0" borderId="0" xfId="0" applyNumberFormat="1" applyFill="1" applyBorder="1" applyAlignment="1"/>
    <xf numFmtId="0" fontId="1" fillId="0" borderId="0" xfId="0" applyFont="1" applyAlignment="1">
      <alignment vertical="center"/>
    </xf>
    <xf numFmtId="186" fontId="0" fillId="0" borderId="0" xfId="0" applyNumberFormat="1" applyFill="1" applyBorder="1" applyAlignment="1"/>
    <xf numFmtId="197" fontId="0" fillId="0" borderId="0" xfId="3" applyNumberFormat="1" applyFont="1" applyFill="1" applyBorder="1" applyAlignment="1"/>
    <xf numFmtId="0" fontId="0" fillId="0" borderId="0" xfId="0" applyFont="1" applyFill="1" applyBorder="1" applyAlignment="1"/>
    <xf numFmtId="0" fontId="71" fillId="0" borderId="0" xfId="0" applyFont="1" applyFill="1" applyAlignment="1"/>
    <xf numFmtId="0" fontId="0" fillId="17" borderId="0" xfId="0" applyFill="1" applyAlignment="1"/>
    <xf numFmtId="203" fontId="6" fillId="20" borderId="1" xfId="0" applyNumberFormat="1" applyFont="1" applyFill="1" applyBorder="1" applyAlignment="1">
      <alignment horizontal="center" vertical="center"/>
    </xf>
    <xf numFmtId="10" fontId="0" fillId="0" borderId="0" xfId="0" applyNumberFormat="1" applyAlignment="1"/>
    <xf numFmtId="14" fontId="30" fillId="5" borderId="55" xfId="0" applyNumberFormat="1" applyFont="1" applyFill="1" applyBorder="1" applyAlignment="1">
      <alignment horizontal="center" vertical="center"/>
    </xf>
    <xf numFmtId="183" fontId="30" fillId="5" borderId="55" xfId="3" applyNumberFormat="1" applyFont="1" applyFill="1" applyBorder="1" applyAlignment="1">
      <alignment horizontal="center" vertical="center"/>
    </xf>
    <xf numFmtId="195" fontId="30" fillId="5" borderId="55" xfId="0" applyNumberFormat="1" applyFont="1" applyFill="1" applyBorder="1" applyAlignment="1">
      <alignment horizontal="center" wrapText="1"/>
    </xf>
    <xf numFmtId="185" fontId="31" fillId="5" borderId="55" xfId="0" applyNumberFormat="1" applyFont="1" applyFill="1" applyBorder="1" applyAlignment="1">
      <alignment horizontal="center"/>
    </xf>
    <xf numFmtId="0" fontId="0" fillId="17" borderId="86" xfId="0" applyFill="1" applyBorder="1" applyAlignment="1"/>
    <xf numFmtId="0" fontId="0" fillId="17" borderId="65" xfId="0" applyFill="1" applyBorder="1" applyAlignment="1"/>
    <xf numFmtId="0" fontId="0" fillId="17" borderId="67" xfId="0" applyFill="1" applyBorder="1" applyAlignment="1"/>
    <xf numFmtId="0" fontId="0" fillId="17" borderId="0" xfId="0" applyFill="1" applyBorder="1" applyAlignment="1"/>
    <xf numFmtId="178" fontId="4" fillId="17" borderId="1" xfId="0" applyNumberFormat="1" applyFont="1" applyFill="1" applyBorder="1" applyAlignment="1">
      <alignment horizontal="center" vertical="center"/>
    </xf>
    <xf numFmtId="183" fontId="30" fillId="5" borderId="1" xfId="0" applyNumberFormat="1" applyFont="1" applyFill="1" applyBorder="1" applyAlignment="1">
      <alignment horizontal="center"/>
    </xf>
    <xf numFmtId="178" fontId="27" fillId="25" borderId="1" xfId="0" applyNumberFormat="1" applyFont="1" applyFill="1" applyBorder="1" applyAlignment="1">
      <alignment horizontal="center" vertical="center"/>
    </xf>
    <xf numFmtId="2" fontId="0" fillId="21" borderId="0" xfId="0" applyNumberFormat="1" applyFill="1" applyBorder="1" applyAlignment="1"/>
    <xf numFmtId="204" fontId="0" fillId="24" borderId="0" xfId="0" applyNumberFormat="1" applyFill="1" applyAlignment="1"/>
    <xf numFmtId="201" fontId="0" fillId="21" borderId="72" xfId="0" applyNumberFormat="1" applyFill="1" applyBorder="1" applyAlignment="1"/>
    <xf numFmtId="38" fontId="0" fillId="0" borderId="0" xfId="0" applyNumberFormat="1" applyFill="1" applyAlignment="1"/>
    <xf numFmtId="0" fontId="75" fillId="17" borderId="66" xfId="0" applyFont="1" applyFill="1" applyBorder="1" applyAlignment="1"/>
    <xf numFmtId="0" fontId="75" fillId="17" borderId="68" xfId="0" applyFont="1" applyFill="1" applyBorder="1" applyAlignment="1"/>
    <xf numFmtId="0" fontId="76" fillId="0" borderId="0" xfId="0" applyFont="1" applyFill="1" applyBorder="1" applyAlignment="1"/>
    <xf numFmtId="0" fontId="30" fillId="26" borderId="1" xfId="0" applyFont="1" applyFill="1" applyBorder="1" applyAlignment="1">
      <alignment horizontal="center"/>
    </xf>
    <xf numFmtId="14" fontId="30" fillId="26" borderId="1" xfId="0" applyNumberFormat="1" applyFont="1" applyFill="1" applyBorder="1" applyAlignment="1">
      <alignment horizontal="center" vertical="center"/>
    </xf>
    <xf numFmtId="183" fontId="30" fillId="26" borderId="1" xfId="3" applyNumberFormat="1" applyFont="1" applyFill="1" applyBorder="1" applyAlignment="1">
      <alignment horizontal="center" vertical="center"/>
    </xf>
    <xf numFmtId="177" fontId="30" fillId="26" borderId="1" xfId="0" applyNumberFormat="1" applyFont="1" applyFill="1" applyBorder="1" applyAlignment="1">
      <alignment horizontal="center"/>
    </xf>
    <xf numFmtId="177" fontId="30" fillId="26" borderId="1" xfId="0" applyNumberFormat="1" applyFont="1" applyFill="1" applyBorder="1" applyAlignment="1">
      <alignment horizontal="center" vertical="center"/>
    </xf>
    <xf numFmtId="180" fontId="30" fillId="26" borderId="1" xfId="0" applyNumberFormat="1" applyFont="1" applyFill="1" applyBorder="1" applyAlignment="1">
      <alignment horizontal="center" vertical="center"/>
    </xf>
    <xf numFmtId="195" fontId="30" fillId="26" borderId="1" xfId="0" applyNumberFormat="1" applyFont="1" applyFill="1" applyBorder="1" applyAlignment="1">
      <alignment horizontal="center" wrapText="1"/>
    </xf>
    <xf numFmtId="185" fontId="31" fillId="26" borderId="1" xfId="0" applyNumberFormat="1" applyFont="1" applyFill="1" applyBorder="1" applyAlignment="1">
      <alignment horizontal="center"/>
    </xf>
    <xf numFmtId="14" fontId="27" fillId="26" borderId="1" xfId="0" applyNumberFormat="1" applyFont="1" applyFill="1" applyBorder="1" applyAlignment="1">
      <alignment horizontal="center" vertical="center"/>
    </xf>
    <xf numFmtId="185" fontId="11" fillId="26" borderId="1" xfId="0" applyNumberFormat="1" applyFont="1" applyFill="1" applyBorder="1" applyAlignment="1">
      <alignment horizontal="center"/>
    </xf>
    <xf numFmtId="195" fontId="27" fillId="26" borderId="1" xfId="0" applyNumberFormat="1" applyFont="1" applyFill="1" applyBorder="1" applyAlignment="1">
      <alignment horizontal="center" wrapText="1"/>
    </xf>
    <xf numFmtId="185" fontId="65" fillId="26" borderId="1" xfId="0" applyNumberFormat="1" applyFont="1" applyFill="1" applyBorder="1" applyAlignment="1">
      <alignment horizontal="center"/>
    </xf>
    <xf numFmtId="0" fontId="27" fillId="26" borderId="1" xfId="0" applyFont="1" applyFill="1" applyBorder="1" applyAlignment="1">
      <alignment horizontal="center"/>
    </xf>
    <xf numFmtId="183" fontId="27" fillId="26" borderId="1" xfId="3" applyNumberFormat="1" applyFont="1" applyFill="1" applyBorder="1" applyAlignment="1">
      <alignment horizontal="center" vertical="center"/>
    </xf>
    <xf numFmtId="177" fontId="27" fillId="26" borderId="1" xfId="0" applyNumberFormat="1" applyFont="1" applyFill="1" applyBorder="1" applyAlignment="1">
      <alignment horizontal="center"/>
    </xf>
    <xf numFmtId="177" fontId="27" fillId="26" borderId="1" xfId="0" applyNumberFormat="1" applyFont="1" applyFill="1" applyBorder="1" applyAlignment="1">
      <alignment horizontal="center" vertical="center"/>
    </xf>
    <xf numFmtId="180" fontId="27" fillId="26" borderId="1" xfId="0" applyNumberFormat="1" applyFont="1" applyFill="1" applyBorder="1" applyAlignment="1">
      <alignment horizontal="center" vertical="center"/>
    </xf>
    <xf numFmtId="177" fontId="77" fillId="5" borderId="1" xfId="0" applyNumberFormat="1" applyFont="1" applyFill="1" applyBorder="1" applyAlignment="1">
      <alignment horizontal="center"/>
    </xf>
    <xf numFmtId="177" fontId="22" fillId="11" borderId="55" xfId="0" applyNumberFormat="1" applyFont="1" applyFill="1" applyBorder="1" applyAlignment="1">
      <alignment horizontal="center"/>
    </xf>
    <xf numFmtId="177" fontId="62" fillId="11" borderId="1" xfId="0" applyNumberFormat="1" applyFont="1" applyFill="1" applyBorder="1" applyAlignment="1">
      <alignment horizontal="center"/>
    </xf>
    <xf numFmtId="177" fontId="22" fillId="11" borderId="1" xfId="0" applyNumberFormat="1" applyFont="1" applyFill="1" applyBorder="1" applyAlignment="1">
      <alignment horizontal="center"/>
    </xf>
    <xf numFmtId="177" fontId="77" fillId="5" borderId="55" xfId="0" applyNumberFormat="1" applyFont="1" applyFill="1" applyBorder="1" applyAlignment="1">
      <alignment horizontal="center"/>
    </xf>
    <xf numFmtId="198" fontId="29" fillId="0" borderId="81" xfId="0" applyNumberFormat="1" applyFont="1" applyBorder="1" applyAlignment="1">
      <alignment horizontal="right" vertical="center"/>
    </xf>
    <xf numFmtId="177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 vertical="center"/>
    </xf>
    <xf numFmtId="177" fontId="78" fillId="5" borderId="1" xfId="0" applyNumberFormat="1" applyFont="1" applyFill="1" applyBorder="1" applyAlignment="1">
      <alignment horizontal="center"/>
    </xf>
    <xf numFmtId="0" fontId="30" fillId="27" borderId="1" xfId="0" applyFont="1" applyFill="1" applyBorder="1" applyAlignment="1">
      <alignment horizontal="center"/>
    </xf>
    <xf numFmtId="14" fontId="30" fillId="27" borderId="1" xfId="0" applyNumberFormat="1" applyFont="1" applyFill="1" applyBorder="1" applyAlignment="1">
      <alignment horizontal="center" vertical="center"/>
    </xf>
    <xf numFmtId="183" fontId="30" fillId="27" borderId="1" xfId="3" applyNumberFormat="1" applyFont="1" applyFill="1" applyBorder="1" applyAlignment="1">
      <alignment horizontal="center" vertical="center"/>
    </xf>
    <xf numFmtId="177" fontId="77" fillId="27" borderId="1" xfId="0" applyNumberFormat="1" applyFont="1" applyFill="1" applyBorder="1" applyAlignment="1">
      <alignment horizontal="center"/>
    </xf>
    <xf numFmtId="177" fontId="30" fillId="27" borderId="1" xfId="0" applyNumberFormat="1" applyFont="1" applyFill="1" applyBorder="1" applyAlignment="1">
      <alignment horizontal="center"/>
    </xf>
    <xf numFmtId="180" fontId="30" fillId="27" borderId="1" xfId="0" applyNumberFormat="1" applyFont="1" applyFill="1" applyBorder="1" applyAlignment="1">
      <alignment horizontal="center" vertical="center"/>
    </xf>
    <xf numFmtId="185" fontId="31" fillId="27" borderId="1" xfId="0" applyNumberFormat="1" applyFont="1" applyFill="1" applyBorder="1" applyAlignment="1">
      <alignment horizontal="center"/>
    </xf>
    <xf numFmtId="195" fontId="30" fillId="27" borderId="1" xfId="0" applyNumberFormat="1" applyFont="1" applyFill="1" applyBorder="1" applyAlignment="1">
      <alignment horizontal="center" wrapText="1"/>
    </xf>
    <xf numFmtId="0" fontId="51" fillId="0" borderId="34" xfId="0" applyFont="1" applyBorder="1" applyAlignment="1">
      <alignment horizontal="center" vertical="center" wrapText="1"/>
    </xf>
    <xf numFmtId="0" fontId="51" fillId="0" borderId="61" xfId="0" applyFont="1" applyBorder="1" applyAlignment="1">
      <alignment horizontal="center" vertical="center" wrapText="1"/>
    </xf>
    <xf numFmtId="0" fontId="63" fillId="0" borderId="34" xfId="0" applyFont="1" applyBorder="1" applyAlignment="1">
      <alignment horizontal="center" vertical="center" wrapText="1"/>
    </xf>
    <xf numFmtId="0" fontId="63" fillId="0" borderId="12" xfId="0" applyFont="1" applyBorder="1" applyAlignment="1">
      <alignment horizontal="center" vertical="center" wrapText="1"/>
    </xf>
    <xf numFmtId="0" fontId="23" fillId="0" borderId="34" xfId="0" applyFont="1" applyBorder="1" applyAlignment="1">
      <alignment horizontal="center" vertical="center" wrapText="1"/>
    </xf>
    <xf numFmtId="0" fontId="35" fillId="0" borderId="35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47" xfId="0" applyFont="1" applyBorder="1" applyAlignment="1">
      <alignment horizontal="center" vertical="center" wrapText="1"/>
    </xf>
    <xf numFmtId="0" fontId="35" fillId="0" borderId="18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2" fillId="0" borderId="2" xfId="0" applyFont="1" applyBorder="1" applyAlignment="1">
      <alignment horizontal="center"/>
    </xf>
    <xf numFmtId="0" fontId="29" fillId="0" borderId="2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0" fontId="36" fillId="0" borderId="98" xfId="0" applyFont="1" applyBorder="1" applyAlignment="1">
      <alignment horizontal="center"/>
    </xf>
    <xf numFmtId="0" fontId="37" fillId="0" borderId="98" xfId="0" applyFont="1" applyBorder="1" applyAlignment="1">
      <alignment horizontal="center"/>
    </xf>
    <xf numFmtId="0" fontId="12" fillId="0" borderId="48" xfId="0" applyFont="1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0" borderId="88" xfId="0" applyBorder="1" applyAlignment="1">
      <alignment vertical="center"/>
    </xf>
    <xf numFmtId="0" fontId="2" fillId="0" borderId="48" xfId="0" applyFont="1" applyBorder="1" applyAlignment="1">
      <alignment horizontal="center" vertical="center"/>
    </xf>
    <xf numFmtId="0" fontId="36" fillId="0" borderId="48" xfId="0" applyFont="1" applyBorder="1" applyAlignment="1">
      <alignment horizontal="center" vertical="center"/>
    </xf>
    <xf numFmtId="0" fontId="38" fillId="0" borderId="88" xfId="0" applyFont="1" applyBorder="1" applyAlignment="1">
      <alignment vertical="center"/>
    </xf>
    <xf numFmtId="0" fontId="36" fillId="0" borderId="47" xfId="0" applyFont="1" applyBorder="1" applyAlignment="1">
      <alignment horizontal="center" vertical="center"/>
    </xf>
    <xf numFmtId="0" fontId="36" fillId="0" borderId="51" xfId="0" applyFont="1" applyBorder="1" applyAlignment="1">
      <alignment horizontal="center" vertical="center"/>
    </xf>
    <xf numFmtId="0" fontId="39" fillId="0" borderId="51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39" fillId="0" borderId="99" xfId="0" applyFont="1" applyBorder="1" applyAlignment="1">
      <alignment horizontal="center" vertical="center"/>
    </xf>
    <xf numFmtId="0" fontId="39" fillId="0" borderId="41" xfId="0" applyFont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77" fillId="5" borderId="1" xfId="0" applyFont="1" applyFill="1" applyBorder="1" applyAlignment="1">
      <alignment horizontal="center"/>
    </xf>
  </cellXfs>
  <cellStyles count="9">
    <cellStyle name="一般" xfId="0" builtinId="0"/>
    <cellStyle name="一般 2" xfId="1"/>
    <cellStyle name="一般 3" xfId="2"/>
    <cellStyle name="千分位" xfId="3" builtinId="3"/>
    <cellStyle name="千分位 2" xfId="4"/>
    <cellStyle name="千分位 3" xfId="5"/>
    <cellStyle name="好_Green-UR" xfId="6"/>
    <cellStyle name="好_Ryan-Real" xfId="7"/>
    <cellStyle name="百分比" xfId="8" builtinId="5"/>
  </cellStyles>
  <dxfs count="45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condense val="0"/>
        <extend val="0"/>
        <color indexed="23"/>
      </font>
    </dxf>
    <dxf>
      <font>
        <b val="0"/>
        <i val="0"/>
        <condense val="0"/>
        <extend val="0"/>
        <color indexed="23"/>
      </font>
    </dxf>
    <dxf>
      <font>
        <b val="0"/>
        <i val="0"/>
        <condense val="0"/>
        <extend val="0"/>
        <color indexed="23"/>
      </font>
    </dxf>
    <dxf>
      <font>
        <b val="0"/>
        <i val="0"/>
        <condense val="0"/>
        <extend val="0"/>
        <color indexed="23"/>
      </font>
    </dxf>
  </dxfs>
  <tableStyles count="0" defaultTableStyle="TableStyleMedium2" defaultPivotStyle="PivotStyleLight16"/>
  <colors>
    <mruColors>
      <color rgb="FFFFFF99"/>
      <color rgb="FFFFCC99"/>
      <color rgb="FFFF66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checked="Checked" noThreeD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561975</xdr:colOff>
      <xdr:row>11</xdr:row>
      <xdr:rowOff>180975</xdr:rowOff>
    </xdr:from>
    <xdr:to>
      <xdr:col>8</xdr:col>
      <xdr:colOff>647700</xdr:colOff>
      <xdr:row>12</xdr:row>
      <xdr:rowOff>190500</xdr:rowOff>
    </xdr:to>
    <xdr:sp macro="" textlink="">
      <xdr:nvSpPr>
        <xdr:cNvPr id="65552" name="Text Box 1"/>
        <xdr:cNvSpPr txBox="1">
          <a:spLocks noChangeArrowheads="1"/>
        </xdr:cNvSpPr>
      </xdr:nvSpPr>
      <xdr:spPr bwMode="auto">
        <a:xfrm>
          <a:off x="8105775" y="2933700"/>
          <a:ext cx="8572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561975</xdr:colOff>
      <xdr:row>7</xdr:row>
      <xdr:rowOff>180975</xdr:rowOff>
    </xdr:from>
    <xdr:to>
      <xdr:col>8</xdr:col>
      <xdr:colOff>647700</xdr:colOff>
      <xdr:row>8</xdr:row>
      <xdr:rowOff>190500</xdr:rowOff>
    </xdr:to>
    <xdr:sp macro="" textlink="">
      <xdr:nvSpPr>
        <xdr:cNvPr id="65553" name="Text Box 1"/>
        <xdr:cNvSpPr txBox="1">
          <a:spLocks noChangeArrowheads="1"/>
        </xdr:cNvSpPr>
      </xdr:nvSpPr>
      <xdr:spPr bwMode="auto">
        <a:xfrm>
          <a:off x="8105775" y="1943100"/>
          <a:ext cx="8572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561975</xdr:colOff>
      <xdr:row>19</xdr:row>
      <xdr:rowOff>180975</xdr:rowOff>
    </xdr:from>
    <xdr:ext cx="85725" cy="252941"/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8107892" y="1916642"/>
          <a:ext cx="85725" cy="2529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3</xdr:row>
          <xdr:rowOff>209550</xdr:rowOff>
        </xdr:from>
        <xdr:to>
          <xdr:col>6</xdr:col>
          <xdr:colOff>971550</xdr:colOff>
          <xdr:row>4</xdr:row>
          <xdr:rowOff>295275</xdr:rowOff>
        </xdr:to>
        <xdr:sp macro="" textlink="">
          <xdr:nvSpPr>
            <xdr:cNvPr id="6146" name="LastMonthChBox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也貼上上月底的 YTD  (月初第一天要打勾)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180975</xdr:rowOff>
        </xdr:from>
        <xdr:to>
          <xdr:col>4</xdr:col>
          <xdr:colOff>619125</xdr:colOff>
          <xdr:row>2</xdr:row>
          <xdr:rowOff>333375</xdr:rowOff>
        </xdr:to>
        <xdr:sp macro="" textlink="">
          <xdr:nvSpPr>
            <xdr:cNvPr id="6147" name="ClearBtn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257175</xdr:colOff>
          <xdr:row>0</xdr:row>
          <xdr:rowOff>152400</xdr:rowOff>
        </xdr:from>
        <xdr:to>
          <xdr:col>11</xdr:col>
          <xdr:colOff>400050</xdr:colOff>
          <xdr:row>2</xdr:row>
          <xdr:rowOff>114300</xdr:rowOff>
        </xdr:to>
        <xdr:sp macro="" textlink="">
          <xdr:nvSpPr>
            <xdr:cNvPr id="7173" name="CalcCarryBtn1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9523</xdr:colOff>
      <xdr:row>2</xdr:row>
      <xdr:rowOff>200024</xdr:rowOff>
    </xdr:from>
    <xdr:to>
      <xdr:col>12</xdr:col>
      <xdr:colOff>164350</xdr:colOff>
      <xdr:row>7</xdr:row>
      <xdr:rowOff>66674</xdr:rowOff>
    </xdr:to>
    <xdr:sp macro="" textlink="">
      <xdr:nvSpPr>
        <xdr:cNvPr id="7174" name="Text Box 6"/>
        <xdr:cNvSpPr txBox="1">
          <a:spLocks noChangeArrowheads="1"/>
        </xdr:cNvSpPr>
      </xdr:nvSpPr>
      <xdr:spPr bwMode="auto">
        <a:xfrm>
          <a:off x="8000998" y="638174"/>
          <a:ext cx="1828801" cy="10001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請填寫AI與Ｆunding前天中台數字，參考台外幣債券及其衍生性交易部位損益報告</a:t>
          </a:r>
          <a:endParaRPr lang="zh-TW" altLang="en-US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GMT-2021.03.03-13.00.00/&#22266;&#23450;&#25910;&#30410;&#37096;/&#21129;&#29790;&#27915;/&#27754;&#24535;&#36960;/&#22806;&#20661;P&amp;L/&#28023;&#22806;&#20661;&#21048;&#19968;&#35261;&#34920;210201%20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 in NTD"/>
      <sheetName val="Report-USD"/>
      <sheetName val="Report-EUR"/>
      <sheetName val="Report-CNY"/>
      <sheetName val="market px"/>
      <sheetName val="對帳"/>
      <sheetName val="total carry-USD"/>
      <sheetName val="Cindy-UR"/>
      <sheetName val="Cindy-Real"/>
      <sheetName val="Roger-UR"/>
      <sheetName val="Roger-Real"/>
      <sheetName val="Aaron-UR"/>
      <sheetName val="Aaron-Real"/>
      <sheetName val="Louie-UR"/>
      <sheetName val="Louie-Real"/>
      <sheetName val="Mark-UR"/>
      <sheetName val="Mark-Real"/>
      <sheetName val="Ryan-UR"/>
      <sheetName val="Ryan-Real"/>
      <sheetName val="Gary-UR"/>
      <sheetName val="Gary-Real"/>
      <sheetName val="Anne-UR"/>
      <sheetName val="Anne-Real"/>
      <sheetName val="Jason-UR"/>
      <sheetName val="Jason-Real"/>
      <sheetName val="John-UR"/>
      <sheetName val="John-Real"/>
      <sheetName val="Realized in USD"/>
      <sheetName val="Accrued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K1" t="str">
            <v>bonds</v>
          </cell>
          <cell r="L1" t="str">
            <v>Coupon</v>
          </cell>
          <cell r="M1" t="str">
            <v>DV01</v>
          </cell>
          <cell r="N1">
            <v>0</v>
          </cell>
          <cell r="P1" t="str">
            <v>百元報價</v>
          </cell>
        </row>
        <row r="2">
          <cell r="K2" t="str">
            <v>CND10000LTH1</v>
          </cell>
          <cell r="L2">
            <v>3.4500000000000003E-2</v>
          </cell>
          <cell r="M2">
            <v>82</v>
          </cell>
          <cell r="N2">
            <v>0</v>
          </cell>
          <cell r="O2">
            <v>0</v>
          </cell>
          <cell r="P2">
            <v>100.32475250568672</v>
          </cell>
        </row>
        <row r="3">
          <cell r="K3" t="str">
            <v>XS22088435203</v>
          </cell>
          <cell r="L3">
            <v>1.125E-2</v>
          </cell>
          <cell r="M3">
            <v>295</v>
          </cell>
          <cell r="N3">
            <v>0</v>
          </cell>
          <cell r="O3">
            <v>0</v>
          </cell>
          <cell r="P3">
            <v>100.41</v>
          </cell>
        </row>
        <row r="4">
          <cell r="K4" t="str">
            <v>CND100036Q75</v>
          </cell>
          <cell r="L4">
            <v>2.6800000000000001E-2</v>
          </cell>
          <cell r="M4">
            <v>862</v>
          </cell>
          <cell r="N4">
            <v>0</v>
          </cell>
          <cell r="O4">
            <v>0</v>
          </cell>
          <cell r="P4">
            <v>95.687952571170726</v>
          </cell>
        </row>
        <row r="5">
          <cell r="K5" t="str">
            <v>XS1432570700</v>
          </cell>
          <cell r="L5">
            <v>2.5000000000000001E-2</v>
          </cell>
          <cell r="M5">
            <v>97</v>
          </cell>
          <cell r="N5">
            <v>0</v>
          </cell>
          <cell r="O5">
            <v>0</v>
          </cell>
          <cell r="P5">
            <v>100.652</v>
          </cell>
        </row>
        <row r="6">
          <cell r="K6" t="str">
            <v>CND100034271</v>
          </cell>
          <cell r="L6">
            <v>2.9600000000000001E-2</v>
          </cell>
          <cell r="M6">
            <v>840</v>
          </cell>
          <cell r="N6">
            <v>0</v>
          </cell>
          <cell r="O6">
            <v>0</v>
          </cell>
          <cell r="P6">
            <v>94.548737380368138</v>
          </cell>
        </row>
        <row r="7">
          <cell r="K7" t="str">
            <v>CND10003BX04</v>
          </cell>
          <cell r="L7">
            <v>3.09E-2</v>
          </cell>
          <cell r="M7">
            <v>823</v>
          </cell>
          <cell r="N7">
            <v>0</v>
          </cell>
          <cell r="O7">
            <v>0</v>
          </cell>
          <cell r="P7">
            <v>95.494469597426189</v>
          </cell>
        </row>
        <row r="8">
          <cell r="K8" t="str">
            <v>XS2225790588</v>
          </cell>
          <cell r="L8">
            <v>0.01</v>
          </cell>
          <cell r="M8">
            <v>294</v>
          </cell>
          <cell r="N8">
            <v>0</v>
          </cell>
          <cell r="O8">
            <v>0</v>
          </cell>
          <cell r="P8">
            <v>100.351</v>
          </cell>
        </row>
        <row r="9">
          <cell r="K9" t="str">
            <v>XS2243171233</v>
          </cell>
          <cell r="L9">
            <v>0.01</v>
          </cell>
          <cell r="M9">
            <v>294</v>
          </cell>
          <cell r="P9">
            <v>100.426</v>
          </cell>
        </row>
        <row r="10">
          <cell r="K10" t="str">
            <v>XS2227193054</v>
          </cell>
          <cell r="L10">
            <v>1.0495000000000001E-2</v>
          </cell>
          <cell r="M10">
            <v>10</v>
          </cell>
          <cell r="P10">
            <v>100.003</v>
          </cell>
        </row>
        <row r="11">
          <cell r="K11" t="str">
            <v>XS1641476657</v>
          </cell>
          <cell r="L11">
            <v>1.10413E-2</v>
          </cell>
          <cell r="M11">
            <v>10</v>
          </cell>
          <cell r="P11">
            <v>100.371</v>
          </cell>
        </row>
        <row r="12">
          <cell r="K12" t="str">
            <v>XS1982691070</v>
          </cell>
          <cell r="L12">
            <v>9.3474999999999999E-3</v>
          </cell>
          <cell r="M12">
            <v>10</v>
          </cell>
          <cell r="P12">
            <v>100.134</v>
          </cell>
        </row>
        <row r="13">
          <cell r="K13" t="str">
            <v>XS1720540134</v>
          </cell>
          <cell r="L13">
            <v>1.1361300000000001E-2</v>
          </cell>
          <cell r="M13">
            <v>10</v>
          </cell>
          <cell r="P13">
            <v>100.254</v>
          </cell>
        </row>
        <row r="14">
          <cell r="K14" t="str">
            <v>XS2027381255</v>
          </cell>
          <cell r="L14">
            <v>8.9438E-3</v>
          </cell>
          <cell r="M14">
            <v>10</v>
          </cell>
          <cell r="P14">
            <v>100.038</v>
          </cell>
        </row>
        <row r="15">
          <cell r="K15" t="str">
            <v>XS1787370235</v>
          </cell>
          <cell r="L15">
            <v>1.098E-2</v>
          </cell>
          <cell r="M15">
            <v>10</v>
          </cell>
          <cell r="P15">
            <v>100.129</v>
          </cell>
        </row>
        <row r="16">
          <cell r="K16" t="str">
            <v xml:space="preserve">XS1832452103 </v>
          </cell>
          <cell r="L16">
            <v>1.078E-2</v>
          </cell>
          <cell r="M16">
            <v>0</v>
          </cell>
          <cell r="N16">
            <v>0</v>
          </cell>
          <cell r="O16">
            <v>0</v>
          </cell>
          <cell r="P16">
            <v>100.252</v>
          </cell>
        </row>
        <row r="17">
          <cell r="K17" t="str">
            <v>XS1982691153</v>
          </cell>
          <cell r="L17">
            <v>1.04475E-2</v>
          </cell>
          <cell r="M17">
            <v>10</v>
          </cell>
          <cell r="P17">
            <v>100.04300000000001</v>
          </cell>
        </row>
        <row r="18">
          <cell r="K18" t="str">
            <v>CND10001WKP8</v>
          </cell>
          <cell r="L18">
            <v>3.0299999999999997E-2</v>
          </cell>
          <cell r="M18">
            <v>104</v>
          </cell>
          <cell r="P18">
            <v>100.23026823331062</v>
          </cell>
        </row>
        <row r="19">
          <cell r="K19" t="str">
            <v>CND10001ZC60</v>
          </cell>
          <cell r="L19">
            <v>2.69E-2</v>
          </cell>
          <cell r="M19">
            <v>115</v>
          </cell>
          <cell r="N19">
            <v>0</v>
          </cell>
          <cell r="O19">
            <v>0</v>
          </cell>
          <cell r="P19">
            <v>100.00767104576849</v>
          </cell>
        </row>
        <row r="20">
          <cell r="K20" t="str">
            <v>CND10003VNW6</v>
          </cell>
          <cell r="L20">
            <v>2.8900000000000002E-2</v>
          </cell>
          <cell r="M20">
            <v>87.13</v>
          </cell>
          <cell r="N20">
            <v>0</v>
          </cell>
          <cell r="O20">
            <v>0</v>
          </cell>
          <cell r="P20">
            <v>100.30798387457703</v>
          </cell>
        </row>
        <row r="21">
          <cell r="K21" t="str">
            <v>CND10001YC04</v>
          </cell>
          <cell r="L21">
            <v>2.9600000000000001E-2</v>
          </cell>
          <cell r="M21">
            <v>109</v>
          </cell>
          <cell r="N21">
            <v>0</v>
          </cell>
          <cell r="O21">
            <v>0</v>
          </cell>
          <cell r="P21">
            <v>100.07863252022244</v>
          </cell>
        </row>
        <row r="22">
          <cell r="K22" t="str">
            <v>CND10003VNX4</v>
          </cell>
          <cell r="L22">
            <v>3.27E-2</v>
          </cell>
          <cell r="M22">
            <v>849</v>
          </cell>
          <cell r="N22">
            <v>0</v>
          </cell>
          <cell r="O22">
            <v>0</v>
          </cell>
          <cell r="P22">
            <v>100.83310601409075</v>
          </cell>
        </row>
        <row r="23">
          <cell r="K23" t="str">
            <v>XS2279820125</v>
          </cell>
          <cell r="L23">
            <v>8.5000000000000006E-3</v>
          </cell>
          <cell r="M23">
            <v>295</v>
          </cell>
          <cell r="P23">
            <v>100.078</v>
          </cell>
        </row>
        <row r="24">
          <cell r="K24" t="str">
            <v>XS2279870575</v>
          </cell>
          <cell r="L24">
            <v>8.7500000000000008E-3</v>
          </cell>
          <cell r="M24">
            <v>294</v>
          </cell>
          <cell r="N24">
            <v>0</v>
          </cell>
          <cell r="O24">
            <v>0</v>
          </cell>
          <cell r="P24">
            <v>100.20699999999999</v>
          </cell>
        </row>
        <row r="25">
          <cell r="K25" t="str">
            <v>XS2227193211</v>
          </cell>
          <cell r="L25">
            <v>1.2E-2</v>
          </cell>
          <cell r="M25">
            <v>446</v>
          </cell>
          <cell r="N25">
            <v>0</v>
          </cell>
          <cell r="O25">
            <v>0</v>
          </cell>
          <cell r="P25">
            <v>99.93</v>
          </cell>
        </row>
        <row r="26">
          <cell r="K26" t="str">
            <v>XS2287744218</v>
          </cell>
          <cell r="L26">
            <v>1.375E-2</v>
          </cell>
          <cell r="M26">
            <v>482</v>
          </cell>
          <cell r="N26">
            <v>0</v>
          </cell>
          <cell r="O26">
            <v>0</v>
          </cell>
          <cell r="P26">
            <v>99.566000000000003</v>
          </cell>
        </row>
        <row r="27">
          <cell r="K27" t="str">
            <v>XS1612095387</v>
          </cell>
          <cell r="L27">
            <v>1.375E-2</v>
          </cell>
          <cell r="M27">
            <v>10</v>
          </cell>
          <cell r="N27">
            <v>0</v>
          </cell>
          <cell r="O27">
            <v>0</v>
          </cell>
          <cell r="P27">
            <v>100.146</v>
          </cell>
        </row>
        <row r="28">
          <cell r="K28" t="str">
            <v>XS1635993097</v>
          </cell>
          <cell r="L28">
            <v>1.375E-2</v>
          </cell>
          <cell r="M28">
            <v>10</v>
          </cell>
          <cell r="N28">
            <v>0</v>
          </cell>
          <cell r="O28">
            <v>0</v>
          </cell>
          <cell r="P28">
            <v>100.321</v>
          </cell>
        </row>
        <row r="29">
          <cell r="K29" t="str">
            <v>XS2057847050</v>
          </cell>
          <cell r="L29">
            <v>9.5999999999999992E-3</v>
          </cell>
          <cell r="M29">
            <v>10</v>
          </cell>
          <cell r="P29">
            <v>100.054</v>
          </cell>
        </row>
        <row r="31">
          <cell r="K31" t="str">
            <v>US91282CAV37</v>
          </cell>
          <cell r="L31">
            <v>8.7500000000000008E-3</v>
          </cell>
          <cell r="M31">
            <v>955</v>
          </cell>
          <cell r="N31">
            <v>97</v>
          </cell>
          <cell r="O31">
            <v>28.5</v>
          </cell>
          <cell r="P31">
            <v>97.890625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E42"/>
  <sheetViews>
    <sheetView zoomScale="80" zoomScaleNormal="80" workbookViewId="0">
      <selection activeCell="M4" sqref="M4:M28"/>
    </sheetView>
  </sheetViews>
  <sheetFormatPr defaultColWidth="8.875" defaultRowHeight="15.75"/>
  <cols>
    <col min="1" max="1" width="2" style="433" customWidth="1"/>
    <col min="2" max="2" width="11.75" style="433" customWidth="1"/>
    <col min="3" max="3" width="13.75" style="433" customWidth="1"/>
    <col min="4" max="4" width="11.75" style="433" customWidth="1"/>
    <col min="5" max="5" width="14.625" style="433" bestFit="1" customWidth="1"/>
    <col min="6" max="6" width="13.5" style="431" customWidth="1"/>
    <col min="7" max="7" width="13.625" style="433" bestFit="1" customWidth="1"/>
    <col min="8" max="10" width="14.75" style="433" customWidth="1"/>
    <col min="11" max="11" width="2" style="433" customWidth="1"/>
    <col min="12" max="12" width="12.625" style="443" customWidth="1"/>
    <col min="13" max="13" width="13.125" style="408" customWidth="1"/>
    <col min="14" max="14" width="12.5" style="433" hidden="1" customWidth="1"/>
    <col min="15" max="15" width="11.375" style="433" hidden="1" customWidth="1"/>
    <col min="16" max="17" width="12.25" style="433" hidden="1" customWidth="1"/>
    <col min="18" max="19" width="11.875" style="433" hidden="1" customWidth="1"/>
    <col min="20" max="20" width="11.5" style="433" hidden="1" customWidth="1"/>
    <col min="21" max="21" width="11.625" style="433" hidden="1" customWidth="1"/>
    <col min="22" max="22" width="11" style="433" hidden="1" customWidth="1"/>
    <col min="23" max="23" width="11.125" style="433" hidden="1" customWidth="1"/>
    <col min="24" max="24" width="12.75" style="433" hidden="1" customWidth="1"/>
    <col min="25" max="25" width="11.75" style="433" hidden="1" customWidth="1"/>
    <col min="26" max="27" width="11.125" style="433" hidden="1" customWidth="1"/>
    <col min="28" max="29" width="11.875" style="433" hidden="1" customWidth="1"/>
    <col min="30" max="30" width="10.75" style="433" bestFit="1" customWidth="1"/>
    <col min="31" max="16384" width="8.875" style="433"/>
  </cols>
  <sheetData>
    <row r="1" spans="2:31" s="400" customFormat="1" ht="24" customHeight="1" thickBot="1">
      <c r="B1" s="398" t="s">
        <v>186</v>
      </c>
      <c r="C1" s="398"/>
      <c r="D1" s="398"/>
      <c r="E1" s="398"/>
      <c r="F1" s="399"/>
      <c r="G1" s="398"/>
      <c r="J1" s="401">
        <f ca="1">TODAY()</f>
        <v>45022</v>
      </c>
      <c r="K1" s="401"/>
      <c r="L1" s="402"/>
      <c r="M1" s="444"/>
    </row>
    <row r="2" spans="2:31" s="408" customFormat="1" ht="20.100000000000001" customHeight="1">
      <c r="B2" s="889" t="s">
        <v>187</v>
      </c>
      <c r="C2" s="448" t="s">
        <v>188</v>
      </c>
      <c r="D2" s="520" t="s">
        <v>188</v>
      </c>
      <c r="E2" s="518" t="s">
        <v>131</v>
      </c>
      <c r="F2" s="449" t="s">
        <v>131</v>
      </c>
      <c r="G2" s="520" t="s">
        <v>131</v>
      </c>
      <c r="H2" s="450" t="s">
        <v>189</v>
      </c>
      <c r="I2" s="450" t="s">
        <v>86</v>
      </c>
      <c r="J2" s="451" t="s">
        <v>87</v>
      </c>
      <c r="K2" s="403"/>
      <c r="L2" s="638" t="s">
        <v>87</v>
      </c>
      <c r="M2" s="633" t="s">
        <v>172</v>
      </c>
      <c r="N2" s="404" t="s">
        <v>131</v>
      </c>
      <c r="O2" s="405"/>
      <c r="P2" s="405" t="s">
        <v>131</v>
      </c>
      <c r="Q2" s="405" t="s">
        <v>131</v>
      </c>
      <c r="R2" s="405" t="s">
        <v>131</v>
      </c>
      <c r="S2" s="406" t="s">
        <v>131</v>
      </c>
      <c r="T2" s="407" t="s">
        <v>131</v>
      </c>
      <c r="U2" s="407" t="s">
        <v>131</v>
      </c>
      <c r="V2" s="407" t="s">
        <v>131</v>
      </c>
      <c r="W2" s="407" t="s">
        <v>131</v>
      </c>
      <c r="X2" s="407" t="s">
        <v>131</v>
      </c>
      <c r="Y2" s="407" t="s">
        <v>131</v>
      </c>
      <c r="Z2" s="407" t="s">
        <v>131</v>
      </c>
      <c r="AA2" s="407" t="s">
        <v>131</v>
      </c>
      <c r="AB2" s="407" t="s">
        <v>131</v>
      </c>
      <c r="AC2" s="407" t="s">
        <v>131</v>
      </c>
    </row>
    <row r="3" spans="2:31" s="408" customFormat="1" ht="20.100000000000001" customHeight="1" thickBot="1">
      <c r="B3" s="890"/>
      <c r="C3" s="409" t="s">
        <v>190</v>
      </c>
      <c r="D3" s="521" t="s">
        <v>9</v>
      </c>
      <c r="E3" s="519" t="s">
        <v>191</v>
      </c>
      <c r="F3" s="410" t="s">
        <v>192</v>
      </c>
      <c r="G3" s="521" t="s">
        <v>193</v>
      </c>
      <c r="H3" s="411" t="s">
        <v>88</v>
      </c>
      <c r="I3" s="411" t="s">
        <v>194</v>
      </c>
      <c r="J3" s="452" t="s">
        <v>88</v>
      </c>
      <c r="K3" s="403"/>
      <c r="L3" s="639" t="s">
        <v>88</v>
      </c>
      <c r="M3" s="634" t="s">
        <v>125</v>
      </c>
      <c r="N3" s="412">
        <v>38595</v>
      </c>
      <c r="O3" s="413">
        <v>38625</v>
      </c>
      <c r="P3" s="414">
        <v>38656</v>
      </c>
      <c r="Q3" s="414">
        <v>38686</v>
      </c>
      <c r="R3" s="414">
        <v>38716</v>
      </c>
      <c r="S3" s="415">
        <v>38748</v>
      </c>
      <c r="T3" s="416">
        <v>38776</v>
      </c>
      <c r="U3" s="416">
        <v>38807</v>
      </c>
      <c r="V3" s="416">
        <v>38837</v>
      </c>
      <c r="W3" s="416">
        <v>38867</v>
      </c>
      <c r="X3" s="416">
        <v>38898</v>
      </c>
      <c r="Y3" s="416">
        <v>38928</v>
      </c>
      <c r="Z3" s="416">
        <v>38959</v>
      </c>
      <c r="AA3" s="416">
        <v>38990</v>
      </c>
      <c r="AB3" s="416">
        <v>39021</v>
      </c>
      <c r="AC3" s="416" t="s">
        <v>195</v>
      </c>
    </row>
    <row r="4" spans="2:31" s="408" customFormat="1" ht="20.100000000000001" customHeight="1">
      <c r="B4" s="453" t="s">
        <v>152</v>
      </c>
      <c r="C4" s="417">
        <f>D4*'market px'!$C$23</f>
        <v>0</v>
      </c>
      <c r="D4" s="522">
        <f>'Report-USD'!D4+'Report-EUR'!D4*'market px'!$C$24</f>
        <v>0</v>
      </c>
      <c r="E4" s="418">
        <f>'Report-USD'!E4*'market px'!$C$23+'Report-EUR'!E4*'market px'!$C$23*'market px'!$C$24</f>
        <v>0</v>
      </c>
      <c r="F4" s="418">
        <f>'Report-USD'!F4*'market px'!$C$23+'Report-EUR'!F4*'market px'!$C$23*'market px'!C$24</f>
        <v>0</v>
      </c>
      <c r="G4" s="522">
        <f>'Report-USD'!G4*'market px'!$C$23</f>
        <v>0</v>
      </c>
      <c r="H4" s="419">
        <f>J4-L4</f>
        <v>0</v>
      </c>
      <c r="I4" s="420">
        <f>J4-M4</f>
        <v>0</v>
      </c>
      <c r="J4" s="454">
        <f>SUM(E4:G4)</f>
        <v>0</v>
      </c>
      <c r="K4" s="428"/>
      <c r="L4" s="629">
        <v>0</v>
      </c>
      <c r="M4" s="635">
        <v>0</v>
      </c>
      <c r="N4" s="421"/>
      <c r="O4" s="422"/>
      <c r="P4" s="421"/>
      <c r="Q4" s="421"/>
      <c r="R4" s="421"/>
      <c r="S4" s="423"/>
      <c r="T4" s="424"/>
      <c r="U4" s="424"/>
      <c r="V4" s="424"/>
      <c r="W4" s="424"/>
      <c r="X4" s="424"/>
      <c r="Y4" s="424"/>
      <c r="Z4" s="424"/>
      <c r="AA4" s="424"/>
      <c r="AB4" s="424"/>
      <c r="AC4" s="424"/>
      <c r="AE4" s="408">
        <v>0</v>
      </c>
    </row>
    <row r="5" spans="2:31" s="408" customFormat="1" ht="20.100000000000001" customHeight="1">
      <c r="B5" s="455" t="s">
        <v>22</v>
      </c>
      <c r="C5" s="425">
        <v>0</v>
      </c>
      <c r="D5" s="523">
        <v>0</v>
      </c>
      <c r="E5" s="426">
        <v>0</v>
      </c>
      <c r="F5" s="426">
        <v>0</v>
      </c>
      <c r="G5" s="530"/>
      <c r="H5" s="427">
        <f>J5-L5</f>
        <v>0</v>
      </c>
      <c r="I5" s="427">
        <f>J5-M5</f>
        <v>0</v>
      </c>
      <c r="J5" s="456">
        <f>SUM(E5:G5)</f>
        <v>0</v>
      </c>
      <c r="K5" s="429"/>
      <c r="L5" s="630">
        <v>0</v>
      </c>
      <c r="M5" s="636">
        <v>0</v>
      </c>
      <c r="N5" s="421"/>
      <c r="O5" s="422"/>
      <c r="P5" s="421"/>
      <c r="Q5" s="421"/>
      <c r="R5" s="421"/>
      <c r="S5" s="423"/>
      <c r="T5" s="424"/>
      <c r="U5" s="424"/>
      <c r="V5" s="424"/>
      <c r="W5" s="424"/>
      <c r="X5" s="424"/>
      <c r="Y5" s="424"/>
      <c r="Z5" s="424"/>
      <c r="AA5" s="424"/>
      <c r="AB5" s="424"/>
      <c r="AC5" s="424"/>
      <c r="AE5" s="408">
        <v>0</v>
      </c>
    </row>
    <row r="6" spans="2:31" ht="20.100000000000001" customHeight="1">
      <c r="B6" s="453" t="s">
        <v>185</v>
      </c>
      <c r="C6" s="417">
        <f>D6*'market px'!$C$23</f>
        <v>0</v>
      </c>
      <c r="D6" s="522">
        <f>'Report-USD'!D6+'Report-EUR'!D6*'market px'!$C$24</f>
        <v>0</v>
      </c>
      <c r="E6" s="418">
        <f>'Report-USD'!E6*'market px'!$C$23+'Report-EUR'!E6*'market px'!$C$23*'market px'!$C$24+J33</f>
        <v>-720633.9144215635</v>
      </c>
      <c r="F6" s="418">
        <f>'Report-USD'!F6*'market px'!C23+'Report-EUR'!F6*'market px'!$C$23*'market px'!$C$24</f>
        <v>0</v>
      </c>
      <c r="G6" s="522">
        <f>'Report-USD'!G6*'market px'!$C$23</f>
        <v>0</v>
      </c>
      <c r="H6" s="419">
        <f>J6-L6</f>
        <v>-1192.2758785528131</v>
      </c>
      <c r="I6" s="420">
        <f>J6-M6</f>
        <v>-1192.2758785528131</v>
      </c>
      <c r="J6" s="454">
        <f>SUM(E6:G6)</f>
        <v>-720633.9144215635</v>
      </c>
      <c r="K6" s="429"/>
      <c r="L6" s="631">
        <v>-719441.63854301069</v>
      </c>
      <c r="M6" s="631">
        <v>-719441.63854301069</v>
      </c>
      <c r="N6" s="430"/>
      <c r="O6" s="431"/>
      <c r="P6" s="432"/>
      <c r="Q6" s="432"/>
      <c r="R6" s="432"/>
      <c r="S6" s="432"/>
      <c r="T6" s="432"/>
      <c r="U6" s="432"/>
      <c r="V6" s="432"/>
      <c r="W6" s="432"/>
      <c r="X6" s="432"/>
      <c r="Y6" s="432"/>
      <c r="Z6" s="432"/>
      <c r="AA6" s="432"/>
      <c r="AB6" s="432"/>
      <c r="AC6" s="432"/>
      <c r="AE6" s="408">
        <v>0</v>
      </c>
    </row>
    <row r="7" spans="2:31" ht="20.100000000000001" customHeight="1">
      <c r="B7" s="707" t="s">
        <v>320</v>
      </c>
      <c r="C7" s="708"/>
      <c r="D7" s="709"/>
      <c r="E7" s="710"/>
      <c r="F7" s="710"/>
      <c r="G7" s="709"/>
      <c r="H7" s="711"/>
      <c r="I7" s="712"/>
      <c r="J7" s="713"/>
      <c r="K7" s="429"/>
      <c r="L7" s="714"/>
      <c r="M7" s="715"/>
      <c r="N7" s="430"/>
      <c r="O7" s="431"/>
      <c r="P7" s="432"/>
      <c r="Q7" s="432"/>
      <c r="R7" s="432"/>
      <c r="S7" s="432"/>
      <c r="T7" s="432"/>
      <c r="U7" s="432"/>
      <c r="V7" s="432"/>
      <c r="W7" s="432"/>
      <c r="X7" s="432"/>
      <c r="Y7" s="432"/>
      <c r="Z7" s="432"/>
      <c r="AA7" s="432"/>
      <c r="AB7" s="432"/>
      <c r="AC7" s="432"/>
      <c r="AE7" s="408">
        <v>0</v>
      </c>
    </row>
    <row r="8" spans="2:31" ht="20.100000000000001" customHeight="1">
      <c r="B8" s="455" t="s">
        <v>22</v>
      </c>
      <c r="C8" s="425">
        <f>D8*'market px'!$C$23</f>
        <v>-65160.2</v>
      </c>
      <c r="D8" s="523">
        <f>'Report-USD'!D7+'Report-EUR'!D7*'market px'!$C$24</f>
        <v>-2135</v>
      </c>
      <c r="E8" s="426">
        <f>'Report-USD'!E7*'market px'!$C$23+'Report-EUR'!E7*'market px'!$C$23*'market px'!$C$24</f>
        <v>-14689895.9375</v>
      </c>
      <c r="F8" s="426">
        <f>'Report-USD'!F7*'market px'!$C$23+'Report-EUR'!F7*'market px'!$C$23*'market px'!$C$24</f>
        <v>2336687.5</v>
      </c>
      <c r="G8" s="530"/>
      <c r="H8" s="427">
        <f>J8-L8</f>
        <v>132693.640625</v>
      </c>
      <c r="I8" s="427">
        <f>J8-M8</f>
        <v>132693.640625</v>
      </c>
      <c r="J8" s="456">
        <f>SUM(E8:G8)</f>
        <v>-12353208.4375</v>
      </c>
      <c r="K8" s="429"/>
      <c r="L8" s="630">
        <v>-12485902.078125</v>
      </c>
      <c r="M8" s="636">
        <v>-12485902.078125</v>
      </c>
      <c r="N8" s="430"/>
      <c r="O8" s="431"/>
      <c r="P8" s="432"/>
      <c r="Q8" s="432"/>
      <c r="R8" s="432"/>
      <c r="S8" s="432"/>
      <c r="T8" s="432"/>
      <c r="U8" s="432"/>
      <c r="V8" s="432"/>
      <c r="W8" s="432"/>
      <c r="X8" s="432"/>
      <c r="Y8" s="432"/>
      <c r="Z8" s="432"/>
      <c r="AA8" s="432"/>
      <c r="AB8" s="432"/>
      <c r="AC8" s="432"/>
      <c r="AE8" s="408">
        <v>0</v>
      </c>
    </row>
    <row r="9" spans="2:31" ht="20.100000000000001" customHeight="1">
      <c r="B9" s="645" t="s">
        <v>338</v>
      </c>
      <c r="C9" s="417">
        <f>D9*'market px'!$C$23</f>
        <v>0</v>
      </c>
      <c r="D9" s="522">
        <f>'Report-USD'!D8+'Report-EUR'!D8*'market px'!$C$24</f>
        <v>0</v>
      </c>
      <c r="E9" s="418">
        <f>'Report-USD'!E8*'market px'!$C$23+'Report-EUR'!E8*'market px'!$C$23*'market px'!$C$24+E36</f>
        <v>0</v>
      </c>
      <c r="F9" s="418">
        <f>'Report-USD'!F8*'market px'!C23+'Report-EUR'!F8*'market px'!$C$23*'market px'!$C$24+F36</f>
        <v>0</v>
      </c>
      <c r="G9" s="522">
        <f>'Report-USD'!G8*'market px'!$C$23+G36</f>
        <v>0</v>
      </c>
      <c r="H9" s="419">
        <f>J9-L9</f>
        <v>0</v>
      </c>
      <c r="I9" s="420">
        <f>J9-M9</f>
        <v>0</v>
      </c>
      <c r="J9" s="454">
        <f>SUM(E9:G9)-AE9</f>
        <v>0</v>
      </c>
      <c r="K9" s="428"/>
      <c r="L9" s="631">
        <v>0</v>
      </c>
      <c r="M9" s="612">
        <v>0</v>
      </c>
      <c r="N9" s="434">
        <v>-15859</v>
      </c>
      <c r="O9" s="435">
        <v>175824</v>
      </c>
      <c r="P9" s="435">
        <v>246053.30421000003</v>
      </c>
      <c r="Q9" s="435">
        <v>-171058.79321999996</v>
      </c>
      <c r="R9" s="435">
        <v>-889333.10324999993</v>
      </c>
      <c r="S9" s="436"/>
      <c r="T9" s="435">
        <v>0</v>
      </c>
      <c r="U9" s="435">
        <v>0</v>
      </c>
      <c r="V9" s="435">
        <v>0</v>
      </c>
      <c r="W9" s="435">
        <v>0</v>
      </c>
      <c r="X9" s="435">
        <v>0</v>
      </c>
      <c r="Y9" s="435">
        <v>0</v>
      </c>
      <c r="Z9" s="435">
        <v>0</v>
      </c>
      <c r="AA9" s="435">
        <v>0</v>
      </c>
      <c r="AB9" s="435">
        <v>0</v>
      </c>
      <c r="AC9" s="435">
        <v>0</v>
      </c>
      <c r="AE9" s="408">
        <v>0</v>
      </c>
    </row>
    <row r="10" spans="2:31" ht="20.100000000000001" customHeight="1">
      <c r="B10" s="455" t="s">
        <v>22</v>
      </c>
      <c r="C10" s="425">
        <f>D10*'market px'!$C$23</f>
        <v>0</v>
      </c>
      <c r="D10" s="523">
        <f>'Report-USD'!D9+'Report-EUR'!D9*'market px'!$C$24</f>
        <v>0</v>
      </c>
      <c r="E10" s="426">
        <f>'Report-USD'!E9*'market px'!$C$23+'Report-EUR'!E9*'market px'!$C$23*'market px'!$C$24</f>
        <v>2005768.5096400331</v>
      </c>
      <c r="F10" s="426">
        <v>0</v>
      </c>
      <c r="G10" s="530"/>
      <c r="H10" s="427">
        <f>J10-L10</f>
        <v>0</v>
      </c>
      <c r="I10" s="427">
        <f t="shared" ref="I10:I23" si="0">J10-M10</f>
        <v>0</v>
      </c>
      <c r="J10" s="456">
        <v>0</v>
      </c>
      <c r="K10" s="429"/>
      <c r="L10" s="630">
        <v>0</v>
      </c>
      <c r="M10" s="636">
        <v>0</v>
      </c>
      <c r="N10" s="437"/>
      <c r="O10" s="438"/>
      <c r="P10" s="438"/>
      <c r="Q10" s="438"/>
      <c r="R10" s="438"/>
      <c r="S10" s="438"/>
      <c r="T10" s="439">
        <v>0</v>
      </c>
      <c r="U10" s="439">
        <v>0</v>
      </c>
      <c r="V10" s="439">
        <v>0</v>
      </c>
      <c r="W10" s="439">
        <v>0</v>
      </c>
      <c r="X10" s="439">
        <v>0</v>
      </c>
      <c r="Y10" s="439">
        <v>0</v>
      </c>
      <c r="Z10" s="439">
        <v>0</v>
      </c>
      <c r="AA10" s="439">
        <v>0</v>
      </c>
      <c r="AB10" s="438">
        <v>0</v>
      </c>
      <c r="AC10" s="439">
        <v>-775327.5</v>
      </c>
      <c r="AE10" s="408">
        <v>0</v>
      </c>
    </row>
    <row r="11" spans="2:31" ht="20.100000000000001" customHeight="1">
      <c r="B11" s="453" t="s">
        <v>146</v>
      </c>
      <c r="C11" s="417">
        <f>D11*'market px'!$C$23</f>
        <v>0</v>
      </c>
      <c r="D11" s="522">
        <f>'Report-USD'!D10+'Report-EUR'!D10*'market px'!$C$24</f>
        <v>0</v>
      </c>
      <c r="E11" s="418">
        <f>'Report-USD'!E10*'market px'!$C$23+'Report-EUR'!E10*'market px'!$C$23*'market px'!$C$24+E34</f>
        <v>0</v>
      </c>
      <c r="F11" s="418">
        <f>'Report-USD'!F10*'market px'!C23+'Report-EUR'!F10*'market px'!$C$23*'market px'!$C$24+F34</f>
        <v>0</v>
      </c>
      <c r="G11" s="522">
        <f>'Report-USD'!G10*'market px'!$C$23+G34</f>
        <v>0</v>
      </c>
      <c r="H11" s="419">
        <f>J11-L11</f>
        <v>0</v>
      </c>
      <c r="I11" s="420">
        <f t="shared" si="0"/>
        <v>0</v>
      </c>
      <c r="J11" s="454">
        <f>SUM(E11:G11)-AE11</f>
        <v>0</v>
      </c>
      <c r="K11" s="428"/>
      <c r="L11" s="631">
        <v>0</v>
      </c>
      <c r="M11" s="612">
        <v>0</v>
      </c>
      <c r="N11" s="430">
        <v>6243079.7228100048</v>
      </c>
      <c r="O11" s="431">
        <v>6517521</v>
      </c>
      <c r="P11" s="432">
        <v>6844415.4073399967</v>
      </c>
      <c r="Q11" s="432">
        <v>6838519.6769399978</v>
      </c>
      <c r="R11" s="432">
        <v>6702311.4232499981</v>
      </c>
      <c r="S11" s="432">
        <v>0</v>
      </c>
      <c r="T11" s="432">
        <v>0</v>
      </c>
      <c r="U11" s="432">
        <v>0</v>
      </c>
      <c r="V11" s="432">
        <v>0</v>
      </c>
      <c r="W11" s="432">
        <v>0</v>
      </c>
      <c r="X11" s="432">
        <v>0</v>
      </c>
      <c r="Y11" s="432">
        <v>0</v>
      </c>
      <c r="Z11" s="432">
        <v>0</v>
      </c>
      <c r="AA11" s="432">
        <v>0</v>
      </c>
      <c r="AB11" s="432">
        <v>0</v>
      </c>
      <c r="AC11" s="432">
        <v>0</v>
      </c>
      <c r="AE11" s="408">
        <v>0</v>
      </c>
    </row>
    <row r="12" spans="2:31" ht="20.100000000000001" customHeight="1">
      <c r="B12" s="707" t="s">
        <v>320</v>
      </c>
      <c r="C12" s="708"/>
      <c r="D12" s="709"/>
      <c r="E12" s="710"/>
      <c r="F12" s="710"/>
      <c r="G12" s="709"/>
      <c r="H12" s="711"/>
      <c r="I12" s="712"/>
      <c r="J12" s="713"/>
      <c r="K12" s="428"/>
      <c r="L12" s="714"/>
      <c r="M12" s="715"/>
      <c r="N12" s="430"/>
      <c r="O12" s="431"/>
      <c r="P12" s="432"/>
      <c r="Q12" s="432"/>
      <c r="R12" s="432"/>
      <c r="S12" s="432"/>
      <c r="T12" s="432"/>
      <c r="U12" s="432"/>
      <c r="V12" s="432"/>
      <c r="W12" s="432"/>
      <c r="X12" s="432"/>
      <c r="Y12" s="432"/>
      <c r="Z12" s="432"/>
      <c r="AA12" s="432"/>
      <c r="AB12" s="432"/>
      <c r="AC12" s="432"/>
      <c r="AE12" s="408">
        <v>0</v>
      </c>
    </row>
    <row r="13" spans="2:31" ht="20.100000000000001" customHeight="1">
      <c r="B13" s="455" t="s">
        <v>22</v>
      </c>
      <c r="C13" s="425">
        <f>D13*'market px'!$C$23</f>
        <v>0</v>
      </c>
      <c r="D13" s="523">
        <f>'Report-USD'!D11+'Report-EUR'!D11*'market px'!$C$24</f>
        <v>0</v>
      </c>
      <c r="E13" s="426">
        <f>'Report-USD'!E11*'market px'!$C$23+'Report-EUR'!E11*'market px'!$C$23*'market px'!$C$24</f>
        <v>0</v>
      </c>
      <c r="F13" s="426">
        <f>'Report-USD'!F11*'market px'!$C$23+'Report-EUR'!F11*'market px'!$C$23*'market px'!$C$24</f>
        <v>0</v>
      </c>
      <c r="G13" s="530"/>
      <c r="H13" s="427">
        <f>J13-L13</f>
        <v>0</v>
      </c>
      <c r="I13" s="427">
        <f t="shared" si="0"/>
        <v>0</v>
      </c>
      <c r="J13" s="456">
        <f>SUM(E13:G13)</f>
        <v>0</v>
      </c>
      <c r="K13" s="429"/>
      <c r="L13" s="630">
        <v>0</v>
      </c>
      <c r="M13" s="636">
        <v>0</v>
      </c>
      <c r="N13" s="430"/>
      <c r="O13" s="440"/>
      <c r="P13" s="432"/>
      <c r="Q13" s="432"/>
      <c r="R13" s="432"/>
      <c r="S13" s="432"/>
      <c r="T13" s="432">
        <v>0</v>
      </c>
      <c r="U13" s="432">
        <v>0</v>
      </c>
      <c r="V13" s="432">
        <v>0</v>
      </c>
      <c r="W13" s="432">
        <v>0</v>
      </c>
      <c r="X13" s="432">
        <v>0</v>
      </c>
      <c r="Y13" s="432">
        <v>0</v>
      </c>
      <c r="Z13" s="432">
        <v>0</v>
      </c>
      <c r="AA13" s="432">
        <v>0</v>
      </c>
      <c r="AB13" s="432">
        <v>0</v>
      </c>
      <c r="AC13" s="432">
        <v>0</v>
      </c>
      <c r="AE13" s="408">
        <v>0</v>
      </c>
    </row>
    <row r="14" spans="2:31" ht="20.100000000000001" customHeight="1">
      <c r="B14" s="453" t="s">
        <v>342</v>
      </c>
      <c r="C14" s="417">
        <f>D14*'market px'!$C$23</f>
        <v>0</v>
      </c>
      <c r="D14" s="522">
        <f>'Report-USD'!D12+'Report-EUR'!D12*'market px'!$C$24</f>
        <v>0</v>
      </c>
      <c r="E14" s="418">
        <f>'Report-USD'!E12*'market px'!$C$23+'Report-EUR'!E12*'market px'!$C$23*'market px'!$C$24+E35</f>
        <v>0</v>
      </c>
      <c r="F14" s="418">
        <f>'Report-USD'!F12*'market px'!C23+'Report-EUR'!F12*'market px'!$C$23*'market px'!$C$24+F35</f>
        <v>0</v>
      </c>
      <c r="G14" s="522">
        <f>'Report-USD'!G12*'market px'!$C$23+G35</f>
        <v>0</v>
      </c>
      <c r="H14" s="419">
        <f>J14-L14</f>
        <v>0</v>
      </c>
      <c r="I14" s="420">
        <f t="shared" si="0"/>
        <v>0</v>
      </c>
      <c r="J14" s="454">
        <f>SUM(E14:G14)-AE14</f>
        <v>0</v>
      </c>
      <c r="K14" s="429"/>
      <c r="L14" s="631">
        <v>0</v>
      </c>
      <c r="M14" s="612">
        <v>0</v>
      </c>
      <c r="N14" s="430"/>
      <c r="O14" s="440"/>
      <c r="P14" s="432"/>
      <c r="Q14" s="432"/>
      <c r="R14" s="432"/>
      <c r="S14" s="432"/>
      <c r="T14" s="432"/>
      <c r="U14" s="432"/>
      <c r="V14" s="432"/>
      <c r="W14" s="432"/>
      <c r="X14" s="432"/>
      <c r="Y14" s="432"/>
      <c r="Z14" s="432"/>
      <c r="AA14" s="432"/>
      <c r="AB14" s="432"/>
      <c r="AC14" s="432"/>
      <c r="AE14" s="408">
        <v>0</v>
      </c>
    </row>
    <row r="15" spans="2:31" ht="20.100000000000001" customHeight="1">
      <c r="B15" s="707" t="s">
        <v>320</v>
      </c>
      <c r="C15" s="708"/>
      <c r="D15" s="709"/>
      <c r="E15" s="710"/>
      <c r="F15" s="710"/>
      <c r="G15" s="709"/>
      <c r="H15" s="711"/>
      <c r="I15" s="712"/>
      <c r="J15" s="713"/>
      <c r="K15" s="429"/>
      <c r="L15" s="714"/>
      <c r="M15" s="715"/>
      <c r="N15" s="430"/>
      <c r="O15" s="440"/>
      <c r="P15" s="432"/>
      <c r="Q15" s="432"/>
      <c r="R15" s="432"/>
      <c r="S15" s="432"/>
      <c r="T15" s="432"/>
      <c r="U15" s="432"/>
      <c r="V15" s="432"/>
      <c r="W15" s="432"/>
      <c r="X15" s="432"/>
      <c r="Y15" s="432"/>
      <c r="Z15" s="432"/>
      <c r="AA15" s="432"/>
      <c r="AB15" s="432"/>
      <c r="AC15" s="432"/>
      <c r="AE15" s="408">
        <v>0</v>
      </c>
    </row>
    <row r="16" spans="2:31" ht="20.100000000000001" customHeight="1">
      <c r="B16" s="455" t="s">
        <v>22</v>
      </c>
      <c r="C16" s="425">
        <f>D16*'market px'!$C$23</f>
        <v>0</v>
      </c>
      <c r="D16" s="523">
        <f>'Report-USD'!D13+'Report-EUR'!D13*'market px'!$C$24</f>
        <v>0</v>
      </c>
      <c r="E16" s="426">
        <f>'Report-USD'!E13*'market px'!$C$23+'Report-EUR'!E13*'market px'!$C$23*'market px'!$C$24</f>
        <v>0</v>
      </c>
      <c r="F16" s="426">
        <f>'Report-USD'!F13*'market px'!$C$23+'Report-EUR'!F13*'market px'!$C$23*'market px'!$C$24</f>
        <v>0</v>
      </c>
      <c r="G16" s="530"/>
      <c r="H16" s="427">
        <f>J16-L16</f>
        <v>0</v>
      </c>
      <c r="I16" s="427">
        <f t="shared" si="0"/>
        <v>0</v>
      </c>
      <c r="J16" s="456">
        <f>SUM(E16:G16)-AE16</f>
        <v>0</v>
      </c>
      <c r="K16" s="429"/>
      <c r="L16" s="630">
        <v>0</v>
      </c>
      <c r="M16" s="636">
        <v>0</v>
      </c>
      <c r="N16" s="430"/>
      <c r="O16" s="440"/>
      <c r="P16" s="432"/>
      <c r="Q16" s="432"/>
      <c r="R16" s="432"/>
      <c r="S16" s="432"/>
      <c r="T16" s="432"/>
      <c r="U16" s="432"/>
      <c r="V16" s="432"/>
      <c r="W16" s="432"/>
      <c r="X16" s="432"/>
      <c r="Y16" s="432"/>
      <c r="Z16" s="432"/>
      <c r="AA16" s="432"/>
      <c r="AB16" s="432"/>
      <c r="AC16" s="432"/>
      <c r="AE16" s="408">
        <v>0</v>
      </c>
    </row>
    <row r="17" spans="2:31" ht="20.100000000000001" customHeight="1">
      <c r="B17" s="453" t="s">
        <v>491</v>
      </c>
      <c r="C17" s="417">
        <f>D17*'market px'!$C$23</f>
        <v>0</v>
      </c>
      <c r="D17" s="522">
        <f>'Report-USD'!D14+'Report-EUR'!D14*'market px'!$C$24</f>
        <v>0</v>
      </c>
      <c r="E17" s="418">
        <f>'Report-USD'!E14*'market px'!$C$23+'Report-EUR'!E14*'market px'!$C$23*'market px'!$C$24+E37</f>
        <v>0</v>
      </c>
      <c r="F17" s="418">
        <f>'Report-USD'!F14*'market px'!C23+'Report-EUR'!F14*'market px'!C23*'market px'!C24+F37</f>
        <v>0</v>
      </c>
      <c r="G17" s="522">
        <f>'Report-USD'!G14*'market px'!$C$23+G37</f>
        <v>0</v>
      </c>
      <c r="H17" s="419">
        <f>J17-L17</f>
        <v>0</v>
      </c>
      <c r="I17" s="420">
        <f t="shared" si="0"/>
        <v>0</v>
      </c>
      <c r="J17" s="454">
        <f>SUM(E17:G17)-AE17</f>
        <v>0</v>
      </c>
      <c r="K17" s="429"/>
      <c r="L17" s="631">
        <v>0</v>
      </c>
      <c r="M17" s="612">
        <v>0</v>
      </c>
      <c r="N17" s="430"/>
      <c r="O17" s="440"/>
      <c r="P17" s="432"/>
      <c r="Q17" s="432"/>
      <c r="R17" s="432"/>
      <c r="S17" s="432"/>
      <c r="T17" s="432"/>
      <c r="U17" s="432"/>
      <c r="V17" s="432"/>
      <c r="W17" s="432"/>
      <c r="X17" s="432"/>
      <c r="Y17" s="432"/>
      <c r="Z17" s="432"/>
      <c r="AA17" s="432"/>
      <c r="AB17" s="432"/>
      <c r="AC17" s="432"/>
      <c r="AE17" s="408">
        <v>0</v>
      </c>
    </row>
    <row r="18" spans="2:31" ht="20.100000000000001" customHeight="1">
      <c r="B18" s="707" t="s">
        <v>320</v>
      </c>
      <c r="C18" s="708"/>
      <c r="D18" s="709"/>
      <c r="E18" s="710"/>
      <c r="F18" s="710"/>
      <c r="G18" s="709"/>
      <c r="H18" s="711"/>
      <c r="I18" s="712"/>
      <c r="J18" s="713"/>
      <c r="K18" s="429"/>
      <c r="L18" s="714"/>
      <c r="M18" s="715"/>
      <c r="N18" s="430"/>
      <c r="O18" s="440"/>
      <c r="P18" s="432"/>
      <c r="Q18" s="432"/>
      <c r="R18" s="432"/>
      <c r="S18" s="432"/>
      <c r="T18" s="432"/>
      <c r="U18" s="432"/>
      <c r="V18" s="432"/>
      <c r="W18" s="432"/>
      <c r="X18" s="432"/>
      <c r="Y18" s="432"/>
      <c r="Z18" s="432"/>
      <c r="AA18" s="432"/>
      <c r="AB18" s="432"/>
      <c r="AC18" s="432"/>
      <c r="AE18" s="408">
        <v>0</v>
      </c>
    </row>
    <row r="19" spans="2:31" ht="20.100000000000001" customHeight="1">
      <c r="B19" s="455" t="s">
        <v>22</v>
      </c>
      <c r="C19" s="425">
        <f>D19*'market px'!$C$23</f>
        <v>164502.79999999999</v>
      </c>
      <c r="D19" s="523">
        <f>'Report-USD'!D15+'Report-EUR'!D15*'market px'!$C$24</f>
        <v>5390</v>
      </c>
      <c r="E19" s="426">
        <f>'Report-USD'!E15*'market px'!$C$23+'Report-EUR'!E15*'market px'!$C$23*'market px'!$C$24</f>
        <v>5084202.8125</v>
      </c>
      <c r="F19" s="426">
        <f>'Report-USD'!F15*'market px'!$C$23+'Report-EUR'!F15*'market px'!C23*'market px'!C24</f>
        <v>-2975700</v>
      </c>
      <c r="G19" s="530"/>
      <c r="H19" s="427">
        <f>J19-L19</f>
        <v>-71575.328125</v>
      </c>
      <c r="I19" s="427">
        <f t="shared" si="0"/>
        <v>-71575.328125</v>
      </c>
      <c r="J19" s="456">
        <f>SUM(E19:G19)-AE19</f>
        <v>2108502.8125</v>
      </c>
      <c r="K19" s="429"/>
      <c r="L19" s="630">
        <v>2180078.140625</v>
      </c>
      <c r="M19" s="636">
        <v>2180078.140625</v>
      </c>
      <c r="N19" s="430"/>
      <c r="O19" s="440"/>
      <c r="P19" s="432"/>
      <c r="Q19" s="432"/>
      <c r="R19" s="432"/>
      <c r="S19" s="432"/>
      <c r="T19" s="432"/>
      <c r="U19" s="432"/>
      <c r="V19" s="432"/>
      <c r="W19" s="432"/>
      <c r="X19" s="432"/>
      <c r="Y19" s="432"/>
      <c r="Z19" s="432"/>
      <c r="AA19" s="432"/>
      <c r="AB19" s="432"/>
      <c r="AC19" s="432"/>
      <c r="AE19" s="408">
        <v>0</v>
      </c>
    </row>
    <row r="20" spans="2:31" ht="20.100000000000001" customHeight="1">
      <c r="B20" s="453" t="s">
        <v>558</v>
      </c>
      <c r="C20" s="417">
        <f>D20*'market px'!$C$23</f>
        <v>0</v>
      </c>
      <c r="D20" s="522">
        <f>'Report-USD'!D16+'Report-EUR'!D16*'market px'!$C$24</f>
        <v>0</v>
      </c>
      <c r="E20" s="418">
        <f>'Report-USD'!E16*'market px'!$C$23+'Report-EUR'!E16*'market px'!$C$23*'market px'!$C$24+E38</f>
        <v>0</v>
      </c>
      <c r="F20" s="418">
        <f>'Report-USD'!F16*'market px'!C23+'Report-EUR'!F16*'market px'!C23*'market px'!C24+F38</f>
        <v>0</v>
      </c>
      <c r="G20" s="522">
        <f>'Report-USD'!G16*'market px'!$C$23</f>
        <v>0</v>
      </c>
      <c r="H20" s="419">
        <f>J20-L20</f>
        <v>0</v>
      </c>
      <c r="I20" s="420">
        <f t="shared" si="0"/>
        <v>0</v>
      </c>
      <c r="J20" s="454">
        <f>SUM(E20:G20)-AE20</f>
        <v>0</v>
      </c>
      <c r="K20" s="429"/>
      <c r="L20" s="631">
        <v>0</v>
      </c>
      <c r="M20" s="612">
        <v>0</v>
      </c>
      <c r="N20" s="430"/>
      <c r="O20" s="440"/>
      <c r="P20" s="432"/>
      <c r="Q20" s="432"/>
      <c r="R20" s="432"/>
      <c r="S20" s="432"/>
      <c r="T20" s="432"/>
      <c r="U20" s="432"/>
      <c r="V20" s="432"/>
      <c r="W20" s="432"/>
      <c r="X20" s="432"/>
      <c r="Y20" s="432"/>
      <c r="Z20" s="432"/>
      <c r="AA20" s="432"/>
      <c r="AB20" s="432"/>
      <c r="AC20" s="432"/>
      <c r="AE20" s="408">
        <v>0</v>
      </c>
    </row>
    <row r="21" spans="2:31" ht="20.100000000000001" customHeight="1">
      <c r="B21" s="455" t="s">
        <v>22</v>
      </c>
      <c r="C21" s="425">
        <f>D21*'market px'!$C$23</f>
        <v>139016.95191999999</v>
      </c>
      <c r="D21" s="523">
        <f>'Report-USD'!D17+'Report-EUR'!D17*'market px'!$C$24</f>
        <v>4554.9459999999999</v>
      </c>
      <c r="E21" s="426">
        <f>'Report-USD'!E17*'market px'!$C$23+'Report-EUR'!E17*'market px'!$C$23*'market px'!$C$24</f>
        <v>0</v>
      </c>
      <c r="F21" s="426">
        <f>'Report-USD'!F17*'market px'!$C$23+'Report-EUR'!F17*'market px'!C23*'market px'!C24</f>
        <v>-6072845.794399987</v>
      </c>
      <c r="G21" s="530"/>
      <c r="H21" s="427">
        <f>J21-L21</f>
        <v>-3813110.2679999704</v>
      </c>
      <c r="I21" s="427">
        <f t="shared" si="0"/>
        <v>-3813110.2679999704</v>
      </c>
      <c r="J21" s="456">
        <f>SUM(E21:G21)</f>
        <v>-6072845.794399987</v>
      </c>
      <c r="K21" s="429"/>
      <c r="L21" s="630">
        <v>-2259735.5264000166</v>
      </c>
      <c r="M21" s="636">
        <v>-2259735.5264000166</v>
      </c>
      <c r="N21" s="430"/>
      <c r="O21" s="440"/>
      <c r="P21" s="432"/>
      <c r="Q21" s="432"/>
      <c r="R21" s="432"/>
      <c r="S21" s="432"/>
      <c r="T21" s="432"/>
      <c r="U21" s="432"/>
      <c r="V21" s="432"/>
      <c r="W21" s="432"/>
      <c r="X21" s="432"/>
      <c r="Y21" s="432"/>
      <c r="Z21" s="432"/>
      <c r="AA21" s="432"/>
      <c r="AB21" s="432"/>
      <c r="AC21" s="432"/>
      <c r="AE21" s="408">
        <v>0</v>
      </c>
    </row>
    <row r="22" spans="2:31" ht="20.100000000000001" customHeight="1">
      <c r="B22" s="453" t="s">
        <v>331</v>
      </c>
      <c r="C22" s="417">
        <f>D22*'market px'!$C$23</f>
        <v>0</v>
      </c>
      <c r="D22" s="522">
        <f>'Report-USD'!D18+'Report-EUR'!D18*'market px'!$C$24</f>
        <v>0</v>
      </c>
      <c r="E22" s="418">
        <f>'Report-USD'!E18*'market px'!$C$23+'Report-EUR'!E18*'market px'!$C$23*'market px'!$C$24+E39</f>
        <v>0</v>
      </c>
      <c r="F22" s="418">
        <f>'Report-USD'!F18*'market px'!C23+'Report-EUR'!F18*'market px'!C23*'market px'!C24+F39</f>
        <v>-450396.19651347713</v>
      </c>
      <c r="G22" s="522">
        <f>'Report-USD'!G18*'market px'!$C$23</f>
        <v>0</v>
      </c>
      <c r="H22" s="419">
        <f t="shared" ref="H22:H27" si="1">J22-L22</f>
        <v>-745.17242409550818</v>
      </c>
      <c r="I22" s="420">
        <f t="shared" si="0"/>
        <v>-745.17242409550818</v>
      </c>
      <c r="J22" s="454">
        <f>SUM(E22:G22)-AE22</f>
        <v>-450396.19651347713</v>
      </c>
      <c r="K22" s="429"/>
      <c r="L22" s="631">
        <v>-449651.02408938162</v>
      </c>
      <c r="M22" s="612">
        <v>-449651.02408938162</v>
      </c>
      <c r="N22" s="430"/>
      <c r="O22" s="440"/>
      <c r="P22" s="432"/>
      <c r="Q22" s="432"/>
      <c r="R22" s="432"/>
      <c r="S22" s="432"/>
      <c r="T22" s="432"/>
      <c r="U22" s="432"/>
      <c r="V22" s="432"/>
      <c r="W22" s="432"/>
      <c r="X22" s="432"/>
      <c r="Y22" s="432"/>
      <c r="Z22" s="432"/>
      <c r="AA22" s="432"/>
      <c r="AB22" s="432"/>
      <c r="AC22" s="432"/>
      <c r="AE22" s="408">
        <v>0</v>
      </c>
    </row>
    <row r="23" spans="2:31" ht="20.100000000000001" customHeight="1">
      <c r="B23" s="455" t="s">
        <v>22</v>
      </c>
      <c r="C23" s="425">
        <f>D23*'market px'!$C$23</f>
        <v>-26064.079999999998</v>
      </c>
      <c r="D23" s="523">
        <f>'Report-USD'!D19+'Report-EUR'!D19*'market px'!$C$24</f>
        <v>-854</v>
      </c>
      <c r="E23" s="426">
        <f>'Report-USD'!E19*'market px'!$C$23+'Report-EUR'!E19*'market px'!$C$23*'market px'!$C$24</f>
        <v>-1047455.9375</v>
      </c>
      <c r="F23" s="426">
        <f>'Report-USD'!F19*'market px'!$C$23+'Report-EUR'!F19*'market px'!C23*'market px'!C24</f>
        <v>932290.625</v>
      </c>
      <c r="G23" s="530"/>
      <c r="H23" s="427">
        <f>J23-L23</f>
        <v>328083.140625</v>
      </c>
      <c r="I23" s="427">
        <f t="shared" si="0"/>
        <v>328083.140625</v>
      </c>
      <c r="J23" s="456">
        <f>SUM(E23:G23)-AE23</f>
        <v>-115165.3125</v>
      </c>
      <c r="K23" s="429"/>
      <c r="L23" s="630">
        <v>-443248.453125</v>
      </c>
      <c r="M23" s="636">
        <v>-443248.453125</v>
      </c>
      <c r="N23" s="430"/>
      <c r="O23" s="440"/>
      <c r="P23" s="432"/>
      <c r="Q23" s="432"/>
      <c r="R23" s="432"/>
      <c r="S23" s="432"/>
      <c r="T23" s="432"/>
      <c r="U23" s="432"/>
      <c r="V23" s="432"/>
      <c r="W23" s="432"/>
      <c r="X23" s="432"/>
      <c r="Y23" s="432"/>
      <c r="Z23" s="432"/>
      <c r="AA23" s="432"/>
      <c r="AB23" s="432"/>
      <c r="AC23" s="432"/>
      <c r="AE23" s="408">
        <v>0</v>
      </c>
    </row>
    <row r="24" spans="2:31" ht="20.100000000000001" customHeight="1">
      <c r="B24" s="645" t="s">
        <v>612</v>
      </c>
      <c r="C24" s="417">
        <f>D24*'market px'!$C$23</f>
        <v>0</v>
      </c>
      <c r="D24" s="522">
        <f>'Report-USD'!D20+'Report-EUR'!D23*'market px'!$C$24</f>
        <v>0</v>
      </c>
      <c r="E24" s="418">
        <f>'Report-USD'!E20*'market px'!$C$23+'Report-EUR'!E20*'market px'!$C$23*'market px'!$C$24+E40</f>
        <v>0</v>
      </c>
      <c r="F24" s="418">
        <f>'Report-USD'!F20*'market px'!C23+'Report-EUR'!F20*'market px'!$C$23*'market px'!$C$24+F40</f>
        <v>0</v>
      </c>
      <c r="G24" s="522">
        <f>'Report-USD'!G23*'market px'!$C$23+G52</f>
        <v>0</v>
      </c>
      <c r="H24" s="419">
        <f t="shared" si="1"/>
        <v>0</v>
      </c>
      <c r="I24" s="420">
        <f>J24-M24</f>
        <v>0</v>
      </c>
      <c r="J24" s="454">
        <f>SUM(E24:G24)-AE24</f>
        <v>0</v>
      </c>
      <c r="K24" s="428"/>
      <c r="L24" s="631">
        <v>0</v>
      </c>
      <c r="M24" s="612">
        <v>0</v>
      </c>
      <c r="N24" s="434">
        <v>-15859</v>
      </c>
      <c r="O24" s="435">
        <v>175824</v>
      </c>
      <c r="P24" s="435">
        <v>246053.30421000003</v>
      </c>
      <c r="Q24" s="435">
        <v>-171058.79321999996</v>
      </c>
      <c r="R24" s="435">
        <v>-889333.10324999993</v>
      </c>
      <c r="S24" s="436"/>
      <c r="T24" s="435">
        <v>0</v>
      </c>
      <c r="U24" s="435">
        <v>0</v>
      </c>
      <c r="V24" s="435">
        <v>0</v>
      </c>
      <c r="W24" s="435">
        <v>0</v>
      </c>
      <c r="X24" s="435">
        <v>0</v>
      </c>
      <c r="Y24" s="435">
        <v>0</v>
      </c>
      <c r="Z24" s="435">
        <v>0</v>
      </c>
      <c r="AA24" s="435">
        <v>0</v>
      </c>
      <c r="AB24" s="435">
        <v>0</v>
      </c>
      <c r="AC24" s="435">
        <v>0</v>
      </c>
      <c r="AE24" s="408">
        <v>0</v>
      </c>
    </row>
    <row r="25" spans="2:31" ht="20.100000000000001" customHeight="1" thickBot="1">
      <c r="B25" s="455" t="s">
        <v>22</v>
      </c>
      <c r="C25" s="425">
        <f>D25*'market px'!$C$23</f>
        <v>-23500.400000000001</v>
      </c>
      <c r="D25" s="523">
        <f>'Report-USD'!D21+'Report-EUR'!D21*'market px'!$C$24</f>
        <v>-770</v>
      </c>
      <c r="E25" s="426">
        <f>'Report-USD'!E21*'market px'!$C$23+'Report-EUR'!E21*'market px'!$C$23*'market px'!$C$24</f>
        <v>-1695052.1875</v>
      </c>
      <c r="F25" s="426">
        <f>'Report-USD'!F21*'market px'!$C$23+'Report-EUR'!F21*'market px'!$C$23*'market px'!$C$24</f>
        <v>-4768.75</v>
      </c>
      <c r="G25" s="530"/>
      <c r="H25" s="427">
        <f>J25-L25</f>
        <v>24874.734375</v>
      </c>
      <c r="I25" s="427">
        <f>J25-M25</f>
        <v>24874.734375</v>
      </c>
      <c r="J25" s="456">
        <f>SUM(E25:G25)-AE25</f>
        <v>-1699820.9375</v>
      </c>
      <c r="K25" s="429"/>
      <c r="L25" s="630">
        <v>-1724695.671875</v>
      </c>
      <c r="M25" s="636">
        <v>-1724695.671875</v>
      </c>
      <c r="N25" s="437"/>
      <c r="O25" s="438"/>
      <c r="P25" s="438"/>
      <c r="Q25" s="438"/>
      <c r="R25" s="438"/>
      <c r="S25" s="438"/>
      <c r="T25" s="439">
        <v>0</v>
      </c>
      <c r="U25" s="439">
        <v>0</v>
      </c>
      <c r="V25" s="439">
        <v>0</v>
      </c>
      <c r="W25" s="439">
        <v>0</v>
      </c>
      <c r="X25" s="439">
        <v>0</v>
      </c>
      <c r="Y25" s="439">
        <v>0</v>
      </c>
      <c r="Z25" s="439">
        <v>0</v>
      </c>
      <c r="AA25" s="439">
        <v>0</v>
      </c>
      <c r="AB25" s="438">
        <v>0</v>
      </c>
      <c r="AC25" s="439">
        <v>-775327.5</v>
      </c>
      <c r="AE25" s="408">
        <v>0</v>
      </c>
    </row>
    <row r="26" spans="2:31" ht="20.100000000000001" customHeight="1" thickTop="1" thickBot="1">
      <c r="B26" s="453" t="s">
        <v>251</v>
      </c>
      <c r="C26" s="417">
        <f>D26*'market px'!$C$23</f>
        <v>0</v>
      </c>
      <c r="D26" s="522">
        <f>'Report-USD'!D22+'Report-EUR'!D22*'market px'!$C$24</f>
        <v>0</v>
      </c>
      <c r="E26" s="418">
        <f>'Report-USD'!E22*'market px'!$C$23+'Report-EUR'!E22*'market px'!$C$23*'market px'!$C$24+J41</f>
        <v>0</v>
      </c>
      <c r="F26" s="418">
        <f ca="1">'Report-USD'!F22*'market px'!C23</f>
        <v>0</v>
      </c>
      <c r="G26" s="522">
        <f>'Report-USD'!G22*'market px'!$C$23</f>
        <v>0</v>
      </c>
      <c r="H26" s="419">
        <f t="shared" ca="1" si="1"/>
        <v>0</v>
      </c>
      <c r="I26" s="420">
        <f ca="1">J26-M26</f>
        <v>0</v>
      </c>
      <c r="J26" s="454">
        <f ca="1">SUM(E26:G26)</f>
        <v>0</v>
      </c>
      <c r="K26" s="429"/>
      <c r="L26" s="631">
        <v>0</v>
      </c>
      <c r="M26" s="612">
        <v>0</v>
      </c>
      <c r="N26" s="441">
        <f>SUM(N6:N13)</f>
        <v>6227220.7228100048</v>
      </c>
      <c r="O26" s="442">
        <v>14383036.572500002</v>
      </c>
      <c r="P26" s="442">
        <v>14921724.68455955</v>
      </c>
      <c r="Q26" s="442">
        <f t="shared" ref="Q26:AC26" si="2">SUM(Q6:Q13)</f>
        <v>6667460.8837199975</v>
      </c>
      <c r="R26" s="442">
        <f t="shared" si="2"/>
        <v>5812978.3199999984</v>
      </c>
      <c r="S26" s="442">
        <f t="shared" si="2"/>
        <v>0</v>
      </c>
      <c r="T26" s="442">
        <f t="shared" si="2"/>
        <v>0</v>
      </c>
      <c r="U26" s="442">
        <f t="shared" si="2"/>
        <v>0</v>
      </c>
      <c r="V26" s="442">
        <f t="shared" si="2"/>
        <v>0</v>
      </c>
      <c r="W26" s="442">
        <f t="shared" si="2"/>
        <v>0</v>
      </c>
      <c r="X26" s="442">
        <f t="shared" si="2"/>
        <v>0</v>
      </c>
      <c r="Y26" s="442">
        <f t="shared" si="2"/>
        <v>0</v>
      </c>
      <c r="Z26" s="442">
        <f t="shared" si="2"/>
        <v>0</v>
      </c>
      <c r="AA26" s="442">
        <f t="shared" si="2"/>
        <v>0</v>
      </c>
      <c r="AB26" s="442">
        <f t="shared" si="2"/>
        <v>0</v>
      </c>
      <c r="AC26" s="442">
        <f t="shared" si="2"/>
        <v>-775327.5</v>
      </c>
      <c r="AE26" s="408">
        <v>0</v>
      </c>
    </row>
    <row r="27" spans="2:31">
      <c r="B27" s="455" t="s">
        <v>22</v>
      </c>
      <c r="C27" s="425">
        <f>D27*'market px'!$C$23</f>
        <v>0</v>
      </c>
      <c r="D27" s="523">
        <f>'Report-USD'!D23+'Report-EUR'!D23*'market px'!$C$24</f>
        <v>0</v>
      </c>
      <c r="E27" s="426">
        <f>'Report-USD'!E23*'market px'!$C$23+'Report-EUR'!E23*'market px'!$C$23*'market px'!$C$24</f>
        <v>-3681475</v>
      </c>
      <c r="F27" s="426">
        <f>'Report-USD'!F23*'market px'!$C$23+'Report-EUR'!F23*'market px'!C26*'market px'!C24</f>
        <v>0</v>
      </c>
      <c r="G27" s="530"/>
      <c r="H27" s="427">
        <f t="shared" si="1"/>
        <v>310854.0625</v>
      </c>
      <c r="I27" s="427">
        <f>J27-M27</f>
        <v>310854.0625</v>
      </c>
      <c r="J27" s="456">
        <f>SUM(E27:G27)-AE27</f>
        <v>-3681475</v>
      </c>
      <c r="K27" s="429"/>
      <c r="L27" s="630">
        <v>-3992329.0625</v>
      </c>
      <c r="M27" s="636">
        <v>-3992329.0625</v>
      </c>
      <c r="AE27" s="408">
        <v>0</v>
      </c>
    </row>
    <row r="28" spans="2:31" ht="16.5" thickBot="1">
      <c r="B28" s="457" t="s">
        <v>89</v>
      </c>
      <c r="C28" s="458">
        <f t="shared" ref="C28:J28" si="3">SUM(C4:C27)</f>
        <v>188795.07192000002</v>
      </c>
      <c r="D28" s="524">
        <f t="shared" si="3"/>
        <v>6185.9459999999999</v>
      </c>
      <c r="E28" s="459">
        <f t="shared" si="3"/>
        <v>-14744541.654781532</v>
      </c>
      <c r="F28" s="459">
        <f t="shared" ca="1" si="3"/>
        <v>-6234732.6159134638</v>
      </c>
      <c r="G28" s="524">
        <f t="shared" si="3"/>
        <v>0</v>
      </c>
      <c r="H28" s="460">
        <f t="shared" ca="1" si="3"/>
        <v>-3090117.4663026189</v>
      </c>
      <c r="I28" s="460">
        <f t="shared" ca="1" si="3"/>
        <v>-3090117.4663026189</v>
      </c>
      <c r="J28" s="461">
        <f t="shared" ca="1" si="3"/>
        <v>-22985042.780335028</v>
      </c>
      <c r="K28" s="428"/>
      <c r="L28" s="632">
        <v>-19894925.314032406</v>
      </c>
      <c r="M28" s="637">
        <v>-19894925.314032406</v>
      </c>
      <c r="AE28" s="408">
        <v>0</v>
      </c>
    </row>
    <row r="29" spans="2:31">
      <c r="L29" s="446"/>
      <c r="M29" s="447"/>
    </row>
    <row r="30" spans="2:31" ht="16.5" thickBot="1">
      <c r="B30" s="398" t="s">
        <v>321</v>
      </c>
    </row>
    <row r="31" spans="2:31">
      <c r="B31" s="891" t="s">
        <v>90</v>
      </c>
      <c r="C31" s="740" t="s">
        <v>188</v>
      </c>
      <c r="D31" s="741" t="s">
        <v>188</v>
      </c>
      <c r="E31" s="742" t="s">
        <v>92</v>
      </c>
      <c r="F31" s="743" t="s">
        <v>92</v>
      </c>
      <c r="G31" s="807" t="s">
        <v>92</v>
      </c>
      <c r="H31" s="744" t="s">
        <v>93</v>
      </c>
      <c r="I31" s="744" t="s">
        <v>86</v>
      </c>
      <c r="J31" s="745" t="s">
        <v>87</v>
      </c>
      <c r="K31" s="746"/>
      <c r="L31" s="638" t="s">
        <v>87</v>
      </c>
      <c r="M31" s="633" t="s">
        <v>172</v>
      </c>
    </row>
    <row r="32" spans="2:31" ht="16.5" thickBot="1">
      <c r="B32" s="892"/>
      <c r="C32" s="747" t="s">
        <v>190</v>
      </c>
      <c r="D32" s="748" t="s">
        <v>327</v>
      </c>
      <c r="E32" s="749" t="s">
        <v>191</v>
      </c>
      <c r="F32" s="750" t="s">
        <v>192</v>
      </c>
      <c r="G32" s="808" t="s">
        <v>193</v>
      </c>
      <c r="H32" s="751" t="s">
        <v>88</v>
      </c>
      <c r="I32" s="751" t="s">
        <v>194</v>
      </c>
      <c r="J32" s="752" t="s">
        <v>88</v>
      </c>
      <c r="K32" s="746"/>
      <c r="L32" s="639" t="s">
        <v>88</v>
      </c>
      <c r="M32" s="634" t="s">
        <v>125</v>
      </c>
    </row>
    <row r="33" spans="2:31" ht="16.5">
      <c r="B33" s="724" t="s">
        <v>322</v>
      </c>
      <c r="C33" s="734">
        <f>D33*'market px'!$C$23/'market px'!$C$25</f>
        <v>-208735.34072900159</v>
      </c>
      <c r="D33" s="734">
        <f>'Report-CNY'!D4</f>
        <v>-47040</v>
      </c>
      <c r="E33" s="735">
        <f>'Report-CNY'!E4*'market px'!$C$23/'market px'!$C$25</f>
        <v>0</v>
      </c>
      <c r="F33" s="734">
        <f>'Report-CNY'!F4*'market px'!$C$23/'market px'!$C$25</f>
        <v>-720633.9144215635</v>
      </c>
      <c r="G33" s="734"/>
      <c r="H33" s="753">
        <f t="shared" ref="H33:H41" si="4">J33-L33</f>
        <v>-720633.9144215635</v>
      </c>
      <c r="I33" s="754">
        <f t="shared" ref="I33:I41" si="5">J33-M33</f>
        <v>-720633.9144215635</v>
      </c>
      <c r="J33" s="755">
        <f>SUM(E33:G33)-AE33</f>
        <v>-720633.9144215635</v>
      </c>
      <c r="L33" s="728">
        <v>0</v>
      </c>
      <c r="M33" s="731">
        <v>0</v>
      </c>
      <c r="AE33" s="433">
        <v>0</v>
      </c>
    </row>
    <row r="34" spans="2:31" ht="16.5">
      <c r="B34" s="725" t="s">
        <v>323</v>
      </c>
      <c r="C34" s="736">
        <f>D34*'market px'!$C$23/'market px'!$C$25</f>
        <v>0</v>
      </c>
      <c r="D34" s="736">
        <f>'Report-CNY'!D6</f>
        <v>0</v>
      </c>
      <c r="E34" s="737">
        <f>'Report-CNY'!E6*'market px'!$C$23/'market px'!$C$25</f>
        <v>0</v>
      </c>
      <c r="F34" s="736">
        <f>'Report-CNY'!F6*'market px'!$C$23/'market px'!$C$25</f>
        <v>0</v>
      </c>
      <c r="G34" s="736">
        <v>0</v>
      </c>
      <c r="H34" s="756">
        <f>J34-L34</f>
        <v>0</v>
      </c>
      <c r="I34" s="757">
        <f>J34-M34</f>
        <v>0</v>
      </c>
      <c r="J34" s="758">
        <f>SUM(E34:G34)-AE34</f>
        <v>0</v>
      </c>
      <c r="L34" s="729">
        <v>0</v>
      </c>
      <c r="M34" s="732">
        <v>0</v>
      </c>
      <c r="AE34" s="433">
        <v>0</v>
      </c>
    </row>
    <row r="35" spans="2:31" ht="16.5">
      <c r="B35" s="725" t="s">
        <v>344</v>
      </c>
      <c r="C35" s="736">
        <f>D35*'market px'!$C$23/'market px'!$C$25+'Report-USD'!D12*'market px'!C23+'Report-EUR'!D12*'market px'!C24*'market px'!C23</f>
        <v>0</v>
      </c>
      <c r="D35" s="736">
        <f>'Report-CNY'!D10</f>
        <v>0</v>
      </c>
      <c r="E35" s="737">
        <f>'Report-CNY'!E10*'market px'!$C$23/'market px'!$C$25</f>
        <v>0</v>
      </c>
      <c r="F35" s="736">
        <f>'Report-CNY'!F10*'market px'!$C$23/'market px'!$C$25</f>
        <v>0</v>
      </c>
      <c r="G35" s="736">
        <v>0</v>
      </c>
      <c r="H35" s="756">
        <f t="shared" si="4"/>
        <v>0</v>
      </c>
      <c r="I35" s="757">
        <f t="shared" si="5"/>
        <v>0</v>
      </c>
      <c r="J35" s="758">
        <f t="shared" ref="J35:J39" si="6">SUM(E35:G35)-AE35</f>
        <v>0</v>
      </c>
      <c r="L35" s="729">
        <v>0</v>
      </c>
      <c r="M35" s="732">
        <v>0</v>
      </c>
      <c r="AE35" s="433">
        <v>0</v>
      </c>
    </row>
    <row r="36" spans="2:31" ht="16.5">
      <c r="B36" s="725" t="s">
        <v>345</v>
      </c>
      <c r="C36" s="736">
        <f>D36*'market px'!$C$23/'market px'!$C$25+'Report-USD'!D8*'market px'!C23+'Report-EUR'!D8*'market px'!C24*'market px'!C23</f>
        <v>0</v>
      </c>
      <c r="D36" s="736">
        <f>'Report-CNY'!D8</f>
        <v>0</v>
      </c>
      <c r="E36" s="737">
        <f>'Report-CNY'!E8*'market px'!$C$23/'market px'!$C$25</f>
        <v>0</v>
      </c>
      <c r="F36" s="736">
        <f>'Report-CNY'!F8*'market px'!$C$23/'market px'!$C$25</f>
        <v>0</v>
      </c>
      <c r="G36" s="736">
        <v>0</v>
      </c>
      <c r="H36" s="756">
        <f t="shared" si="4"/>
        <v>0</v>
      </c>
      <c r="I36" s="757">
        <f t="shared" si="5"/>
        <v>0</v>
      </c>
      <c r="J36" s="758">
        <f t="shared" si="6"/>
        <v>0</v>
      </c>
      <c r="L36" s="729">
        <v>0</v>
      </c>
      <c r="M36" s="732">
        <v>0</v>
      </c>
      <c r="AE36" s="433">
        <v>0</v>
      </c>
    </row>
    <row r="37" spans="2:31" ht="16.5">
      <c r="B37" s="725" t="s">
        <v>490</v>
      </c>
      <c r="C37" s="736">
        <f>D37*'market px'!$C$23/'market px'!$C$25</f>
        <v>0</v>
      </c>
      <c r="D37" s="736">
        <f>'Report-CNY'!D12</f>
        <v>0</v>
      </c>
      <c r="E37" s="737">
        <f>'Report-CNY'!E12*'market px'!$C$23/'market px'!$C$25</f>
        <v>0</v>
      </c>
      <c r="F37" s="736">
        <f>'Report-CNY'!F12*'market px'!$C$23/'market px'!$C$25</f>
        <v>0</v>
      </c>
      <c r="G37" s="736">
        <v>0</v>
      </c>
      <c r="H37" s="756">
        <f>J37-L37</f>
        <v>0</v>
      </c>
      <c r="I37" s="757">
        <f>J37-M37</f>
        <v>0</v>
      </c>
      <c r="J37" s="758">
        <f t="shared" si="6"/>
        <v>0</v>
      </c>
      <c r="L37" s="729">
        <v>0</v>
      </c>
      <c r="M37" s="732">
        <v>0</v>
      </c>
      <c r="AE37" s="433">
        <v>0</v>
      </c>
    </row>
    <row r="38" spans="2:31" ht="16.5">
      <c r="B38" s="725" t="s">
        <v>324</v>
      </c>
      <c r="C38" s="736">
        <f>D38*'market px'!$C$23/'market px'!$C$25</f>
        <v>0</v>
      </c>
      <c r="D38" s="736">
        <f>'Report-CNY'!D14</f>
        <v>0</v>
      </c>
      <c r="E38" s="737">
        <f>'Report-CNY'!E14*'market px'!$C$23/'market px'!$C$25</f>
        <v>0</v>
      </c>
      <c r="F38" s="736">
        <f>'Report-CNY'!F14*'market px'!$C$23/'market px'!$C$25</f>
        <v>0</v>
      </c>
      <c r="G38" s="736">
        <v>0</v>
      </c>
      <c r="H38" s="756">
        <f t="shared" si="4"/>
        <v>0</v>
      </c>
      <c r="I38" s="757">
        <f t="shared" si="5"/>
        <v>0</v>
      </c>
      <c r="J38" s="758">
        <f t="shared" si="6"/>
        <v>0</v>
      </c>
      <c r="L38" s="729">
        <v>0</v>
      </c>
      <c r="M38" s="732">
        <v>0</v>
      </c>
      <c r="AE38" s="433">
        <v>0</v>
      </c>
    </row>
    <row r="39" spans="2:31" ht="16.5">
      <c r="B39" s="453" t="s">
        <v>331</v>
      </c>
      <c r="C39" s="809">
        <f>D39*'market px'!$C$23/'market px'!$C$25</f>
        <v>-130459.58795562599</v>
      </c>
      <c r="D39" s="809">
        <f>'Report-CNY'!D16</f>
        <v>-29400</v>
      </c>
      <c r="E39" s="812">
        <f>'Report-CNY'!E16*'market px'!$C$23/'market px'!$C$25</f>
        <v>0</v>
      </c>
      <c r="F39" s="736">
        <f>'Report-CNY'!F16*'market px'!$C$23/'market px'!$C$25</f>
        <v>-450396.19651347713</v>
      </c>
      <c r="G39" s="809">
        <v>0</v>
      </c>
      <c r="H39" s="756">
        <f>J39-L39</f>
        <v>-450396.19651347713</v>
      </c>
      <c r="I39" s="757">
        <f>J39-M39</f>
        <v>-450396.19651347713</v>
      </c>
      <c r="J39" s="758">
        <f t="shared" si="6"/>
        <v>-450396.19651347713</v>
      </c>
      <c r="L39" s="810"/>
      <c r="M39" s="811"/>
      <c r="AE39" s="433">
        <v>0</v>
      </c>
    </row>
    <row r="40" spans="2:31" ht="16.5">
      <c r="B40" s="725" t="s">
        <v>420</v>
      </c>
      <c r="C40" s="736">
        <f>D40*'market px'!$C$23/'market px'!$C$25</f>
        <v>0</v>
      </c>
      <c r="D40" s="736">
        <f>'Report-CNY'!D18</f>
        <v>0</v>
      </c>
      <c r="E40" s="737">
        <f>'Report-CNY'!E18*'market px'!$C$23/'market px'!$C$25</f>
        <v>0</v>
      </c>
      <c r="F40" s="736">
        <f>'Report-CNY'!F18*'market px'!$C$23/'market px'!$C$25</f>
        <v>0</v>
      </c>
      <c r="G40" s="736">
        <v>0</v>
      </c>
      <c r="H40" s="756">
        <f>J40-L40</f>
        <v>0</v>
      </c>
      <c r="I40" s="757">
        <f>J40-M40</f>
        <v>0</v>
      </c>
      <c r="J40" s="758">
        <f>SUM(E40:G40)-AE40</f>
        <v>0</v>
      </c>
      <c r="L40" s="729">
        <v>0</v>
      </c>
      <c r="M40" s="732">
        <v>0</v>
      </c>
      <c r="AE40" s="433">
        <v>0</v>
      </c>
    </row>
    <row r="41" spans="2:31" ht="17.25" thickBot="1">
      <c r="B41" s="726" t="s">
        <v>325</v>
      </c>
      <c r="C41" s="738">
        <f>D41*'market px'!$C$23/'market px'!$C$25</f>
        <v>0</v>
      </c>
      <c r="D41" s="738">
        <f>'Report-CNY'!D20</f>
        <v>0</v>
      </c>
      <c r="E41" s="739">
        <f>'Report-CNY'!E20*'market px'!$C$23/'market px'!$C$25</f>
        <v>0</v>
      </c>
      <c r="F41" s="738">
        <f>'Report-CNY'!F20*'market px'!$C$23/'market px'!$C$25</f>
        <v>0</v>
      </c>
      <c r="G41" s="738"/>
      <c r="H41" s="759">
        <f t="shared" si="4"/>
        <v>0</v>
      </c>
      <c r="I41" s="760">
        <f t="shared" si="5"/>
        <v>0</v>
      </c>
      <c r="J41" s="761">
        <f>SUM(E41:G41)</f>
        <v>0</v>
      </c>
      <c r="L41" s="730">
        <v>0</v>
      </c>
      <c r="M41" s="733">
        <v>0</v>
      </c>
      <c r="AE41" s="433">
        <v>0</v>
      </c>
    </row>
    <row r="42" spans="2:31" ht="17.25" thickBot="1">
      <c r="B42" s="762" t="s">
        <v>89</v>
      </c>
      <c r="C42" s="763">
        <f>SUM(C33:C41)</f>
        <v>-339194.92868462758</v>
      </c>
      <c r="D42" s="764">
        <f>SUM(D33:D41)</f>
        <v>-76440</v>
      </c>
      <c r="E42" s="765">
        <f t="shared" ref="E42:J42" si="7">SUM(E33:E41)</f>
        <v>0</v>
      </c>
      <c r="F42" s="766">
        <f t="shared" si="7"/>
        <v>-1171030.1109350407</v>
      </c>
      <c r="G42" s="767">
        <f t="shared" si="7"/>
        <v>0</v>
      </c>
      <c r="H42" s="768">
        <f t="shared" si="7"/>
        <v>-1171030.1109350407</v>
      </c>
      <c r="I42" s="763">
        <f t="shared" si="7"/>
        <v>-1171030.1109350407</v>
      </c>
      <c r="J42" s="763">
        <f t="shared" si="7"/>
        <v>-1171030.1109350407</v>
      </c>
      <c r="K42" s="769"/>
      <c r="L42" s="770">
        <v>0</v>
      </c>
      <c r="M42" s="771">
        <v>0</v>
      </c>
      <c r="AE42" s="433">
        <v>0</v>
      </c>
    </row>
  </sheetData>
  <mergeCells count="2">
    <mergeCell ref="B2:B3"/>
    <mergeCell ref="B31:B32"/>
  </mergeCells>
  <phoneticPr fontId="3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M24"/>
  <sheetViews>
    <sheetView zoomScale="90" workbookViewId="0">
      <selection activeCell="M4" sqref="M4:M24"/>
    </sheetView>
  </sheetViews>
  <sheetFormatPr defaultRowHeight="16.5"/>
  <cols>
    <col min="1" max="1" width="1.5" customWidth="1"/>
    <col min="2" max="2" width="11.75" customWidth="1"/>
    <col min="3" max="3" width="14.75" customWidth="1"/>
    <col min="4" max="4" width="9.625" customWidth="1"/>
    <col min="5" max="6" width="14.625" customWidth="1"/>
    <col min="7" max="7" width="10.625" customWidth="1"/>
    <col min="8" max="10" width="11" customWidth="1"/>
    <col min="11" max="11" width="1.5" customWidth="1"/>
    <col min="12" max="12" width="10.125" style="370" customWidth="1"/>
    <col min="13" max="13" width="10.625" style="370" customWidth="1"/>
  </cols>
  <sheetData>
    <row r="1" spans="2:13" s="93" customFormat="1" ht="21.75" customHeight="1" thickBot="1">
      <c r="B1" s="508" t="s">
        <v>134</v>
      </c>
      <c r="H1" s="92"/>
      <c r="J1" s="96">
        <f ca="1">TODAY()</f>
        <v>45022</v>
      </c>
      <c r="L1" s="369"/>
      <c r="M1" s="369"/>
    </row>
    <row r="2" spans="2:13" s="194" customFormat="1" ht="20.100000000000001" customHeight="1">
      <c r="B2" s="893" t="s">
        <v>90</v>
      </c>
      <c r="C2" s="198" t="s">
        <v>91</v>
      </c>
      <c r="D2" s="386" t="s">
        <v>85</v>
      </c>
      <c r="E2" s="390" t="s">
        <v>92</v>
      </c>
      <c r="F2" s="200" t="s">
        <v>92</v>
      </c>
      <c r="G2" s="201" t="s">
        <v>182</v>
      </c>
      <c r="H2" s="200" t="s">
        <v>93</v>
      </c>
      <c r="I2" s="510" t="s">
        <v>86</v>
      </c>
      <c r="J2" s="514" t="s">
        <v>131</v>
      </c>
      <c r="L2" s="371" t="s">
        <v>198</v>
      </c>
      <c r="M2" s="372" t="s">
        <v>172</v>
      </c>
    </row>
    <row r="3" spans="2:13" s="194" customFormat="1" ht="20.100000000000001" customHeight="1" thickBot="1">
      <c r="B3" s="894"/>
      <c r="C3" s="199" t="s">
        <v>9</v>
      </c>
      <c r="D3" s="387" t="s">
        <v>94</v>
      </c>
      <c r="E3" s="391" t="s">
        <v>95</v>
      </c>
      <c r="F3" s="195" t="s">
        <v>96</v>
      </c>
      <c r="G3" s="202" t="s">
        <v>183</v>
      </c>
      <c r="H3" s="195" t="s">
        <v>88</v>
      </c>
      <c r="I3" s="511" t="s">
        <v>88</v>
      </c>
      <c r="J3" s="515" t="s">
        <v>116</v>
      </c>
      <c r="L3" s="373" t="s">
        <v>199</v>
      </c>
      <c r="M3" s="374" t="s">
        <v>125</v>
      </c>
    </row>
    <row r="4" spans="2:13" s="194" customFormat="1" ht="20.100000000000001" customHeight="1">
      <c r="B4" s="312" t="s">
        <v>152</v>
      </c>
      <c r="C4" s="217">
        <f>'John-UR'!G9</f>
        <v>0</v>
      </c>
      <c r="D4" s="388">
        <f>'John-UR'!L9</f>
        <v>0</v>
      </c>
      <c r="E4" s="392">
        <f>'John-Real'!R9</f>
        <v>0</v>
      </c>
      <c r="F4" s="217">
        <f>'John-UR'!R9</f>
        <v>0</v>
      </c>
      <c r="G4" s="218">
        <f>'total carry-USD'!B1</f>
        <v>0</v>
      </c>
      <c r="H4" s="217">
        <f t="shared" ref="H4:H9" si="0">J4-L4</f>
        <v>0</v>
      </c>
      <c r="I4" s="388">
        <f t="shared" ref="I4:I9" si="1">J4-M4</f>
        <v>0</v>
      </c>
      <c r="J4" s="516">
        <f>SUM(E4:G5)</f>
        <v>0</v>
      </c>
      <c r="L4" s="624">
        <v>0</v>
      </c>
      <c r="M4" s="624">
        <v>0</v>
      </c>
    </row>
    <row r="5" spans="2:13" s="194" customFormat="1" ht="20.100000000000001" customHeight="1" thickBot="1">
      <c r="B5" s="216" t="s">
        <v>100</v>
      </c>
      <c r="C5" s="214">
        <f>'John-UR'!G23</f>
        <v>0</v>
      </c>
      <c r="D5" s="389">
        <v>0</v>
      </c>
      <c r="E5" s="393">
        <f>'John-Real'!R27</f>
        <v>0</v>
      </c>
      <c r="F5" s="506">
        <v>0</v>
      </c>
      <c r="G5" s="504"/>
      <c r="H5" s="220">
        <f t="shared" si="0"/>
        <v>0</v>
      </c>
      <c r="I5" s="512">
        <f t="shared" si="1"/>
        <v>0</v>
      </c>
      <c r="J5" s="517">
        <f>SUM(E5:G5)</f>
        <v>0</v>
      </c>
      <c r="L5" s="625">
        <v>0</v>
      </c>
      <c r="M5" s="625">
        <v>0</v>
      </c>
    </row>
    <row r="6" spans="2:13" ht="20.100000000000001" customHeight="1">
      <c r="B6" s="215" t="s">
        <v>175</v>
      </c>
      <c r="C6" s="217">
        <f>'Aaron-UR'!E23</f>
        <v>0</v>
      </c>
      <c r="D6" s="388">
        <f>'Aaron-UR'!G23</f>
        <v>0</v>
      </c>
      <c r="E6" s="392">
        <f>'Aaron-Real'!K10</f>
        <v>0</v>
      </c>
      <c r="F6" s="217">
        <f>'Aaron-UR'!K23</f>
        <v>0</v>
      </c>
      <c r="G6" s="218">
        <f>'total carry-USD'!C1</f>
        <v>0</v>
      </c>
      <c r="H6" s="217">
        <f>J6-L6</f>
        <v>0</v>
      </c>
      <c r="I6" s="388">
        <f t="shared" si="1"/>
        <v>0</v>
      </c>
      <c r="J6" s="516">
        <f>SUM(E6:G6)</f>
        <v>0</v>
      </c>
      <c r="L6" s="624">
        <v>0</v>
      </c>
      <c r="M6" s="624">
        <v>0</v>
      </c>
    </row>
    <row r="7" spans="2:13" ht="20.100000000000001" customHeight="1" thickBot="1">
      <c r="B7" s="216" t="s">
        <v>100</v>
      </c>
      <c r="C7" s="214">
        <f>'Aaron-UR'!E58</f>
        <v>50</v>
      </c>
      <c r="D7" s="389">
        <f>'Aaron-UR'!G58</f>
        <v>-2135</v>
      </c>
      <c r="E7" s="393">
        <f>'Aaron-Real'!K1417</f>
        <v>-481320.3125</v>
      </c>
      <c r="F7" s="506">
        <f>'Aaron-UR'!K58</f>
        <v>76562.5</v>
      </c>
      <c r="G7" s="504"/>
      <c r="H7" s="220">
        <f>J7-L7</f>
        <v>5234.375</v>
      </c>
      <c r="I7" s="512">
        <f t="shared" si="1"/>
        <v>5234.375</v>
      </c>
      <c r="J7" s="517">
        <f>SUM(E7:G7)</f>
        <v>-404757.8125</v>
      </c>
      <c r="L7" s="625">
        <v>-409992.1875</v>
      </c>
      <c r="M7" s="625">
        <v>-409992.1875</v>
      </c>
    </row>
    <row r="8" spans="2:13" ht="20.100000000000001" customHeight="1">
      <c r="B8" s="215" t="s">
        <v>555</v>
      </c>
      <c r="C8" s="217">
        <f>'Jesse-UR'!E56</f>
        <v>0</v>
      </c>
      <c r="D8" s="388">
        <f>'Jesse-UR'!G56</f>
        <v>0</v>
      </c>
      <c r="E8" s="392">
        <f>'Jesse-Real'!K40</f>
        <v>0</v>
      </c>
      <c r="F8" s="217">
        <f>'Jesse-UR'!K56</f>
        <v>0</v>
      </c>
      <c r="G8" s="218">
        <f>'total carry-USD'!F1</f>
        <v>0</v>
      </c>
      <c r="H8" s="217">
        <f t="shared" si="0"/>
        <v>0</v>
      </c>
      <c r="I8" s="388">
        <f t="shared" si="1"/>
        <v>0</v>
      </c>
      <c r="J8" s="516">
        <f>SUM(E8:G8)</f>
        <v>0</v>
      </c>
      <c r="L8" s="624">
        <v>0</v>
      </c>
      <c r="M8" s="624">
        <v>0</v>
      </c>
    </row>
    <row r="9" spans="2:13" ht="20.100000000000001" customHeight="1" thickBot="1">
      <c r="B9" s="216" t="s">
        <v>100</v>
      </c>
      <c r="C9" s="214">
        <v>0</v>
      </c>
      <c r="D9" s="389">
        <v>0</v>
      </c>
      <c r="E9" s="393">
        <v>0</v>
      </c>
      <c r="F9" s="506">
        <v>0</v>
      </c>
      <c r="G9" s="504"/>
      <c r="H9" s="220">
        <f t="shared" si="0"/>
        <v>0</v>
      </c>
      <c r="I9" s="512">
        <f t="shared" si="1"/>
        <v>0</v>
      </c>
      <c r="J9" s="517">
        <f>SUM(E9:G9)</f>
        <v>0</v>
      </c>
      <c r="L9" s="625">
        <v>0</v>
      </c>
      <c r="M9" s="625">
        <v>0</v>
      </c>
    </row>
    <row r="10" spans="2:13" ht="20.100000000000001" customHeight="1">
      <c r="B10" s="215" t="s">
        <v>146</v>
      </c>
      <c r="C10" s="217">
        <f>'Roger-UR'!E27</f>
        <v>0</v>
      </c>
      <c r="D10" s="388">
        <f>'Roger-UR'!G27</f>
        <v>0</v>
      </c>
      <c r="E10" s="394">
        <f>'Roger-Real'!K9</f>
        <v>0</v>
      </c>
      <c r="F10" s="259">
        <f>'Roger-UR'!K27</f>
        <v>0</v>
      </c>
      <c r="G10" s="395">
        <f>'total carry-USD'!E1</f>
        <v>0</v>
      </c>
      <c r="H10" s="217">
        <f t="shared" ref="H10:H23" si="2">J10-L10</f>
        <v>0</v>
      </c>
      <c r="I10" s="388">
        <f t="shared" ref="I10:I23" si="3">J10-M10</f>
        <v>0</v>
      </c>
      <c r="J10" s="516">
        <f t="shared" ref="J10:J22" si="4">SUM(E10:G10)</f>
        <v>0</v>
      </c>
      <c r="L10" s="624">
        <v>0</v>
      </c>
      <c r="M10" s="624">
        <v>0</v>
      </c>
    </row>
    <row r="11" spans="2:13" ht="20.100000000000001" customHeight="1" thickBot="1">
      <c r="B11" s="216" t="s">
        <v>100</v>
      </c>
      <c r="C11" s="214">
        <f>'Roger-UR'!E46</f>
        <v>0</v>
      </c>
      <c r="D11" s="389">
        <f>'Roger-UR'!G46</f>
        <v>0</v>
      </c>
      <c r="E11" s="393">
        <f>'Roger-Real'!K132</f>
        <v>0</v>
      </c>
      <c r="F11" s="506">
        <f>'Roger-UR'!K46</f>
        <v>0</v>
      </c>
      <c r="G11" s="504"/>
      <c r="H11" s="220">
        <f t="shared" si="2"/>
        <v>0</v>
      </c>
      <c r="I11" s="512">
        <f t="shared" si="3"/>
        <v>0</v>
      </c>
      <c r="J11" s="517">
        <f>SUM(E11:G11)</f>
        <v>0</v>
      </c>
      <c r="L11" s="625">
        <v>0</v>
      </c>
      <c r="M11" s="625">
        <v>0</v>
      </c>
    </row>
    <row r="12" spans="2:13" ht="20.100000000000001" customHeight="1">
      <c r="B12" s="385" t="s">
        <v>342</v>
      </c>
      <c r="C12" s="217">
        <f>'Cindy-UR'!E94</f>
        <v>0</v>
      </c>
      <c r="D12" s="388">
        <f>'Cindy-UR'!G94</f>
        <v>0</v>
      </c>
      <c r="E12" s="392">
        <f>'Cindy-Real'!K9</f>
        <v>0</v>
      </c>
      <c r="F12" s="217">
        <f>'Cindy-UR'!K94</f>
        <v>0</v>
      </c>
      <c r="G12" s="218">
        <f>'total carry-USD'!E1</f>
        <v>0</v>
      </c>
      <c r="H12" s="217">
        <f>J12-L12</f>
        <v>0</v>
      </c>
      <c r="I12" s="388">
        <f>J12-M12</f>
        <v>0</v>
      </c>
      <c r="J12" s="516">
        <f>SUM(E12:G12)</f>
        <v>0</v>
      </c>
      <c r="L12" s="624">
        <v>0</v>
      </c>
      <c r="M12" s="624">
        <v>0</v>
      </c>
    </row>
    <row r="13" spans="2:13" ht="20.100000000000001" customHeight="1" thickBot="1">
      <c r="B13" s="216" t="s">
        <v>184</v>
      </c>
      <c r="C13" s="214">
        <f>'Cindy-UR'!E115</f>
        <v>0</v>
      </c>
      <c r="D13" s="389">
        <f>'Cindy-UR'!G115</f>
        <v>0</v>
      </c>
      <c r="E13" s="393">
        <f>'Cindy-Real'!K231</f>
        <v>0</v>
      </c>
      <c r="F13" s="506">
        <f>'Cindy-UR'!K115</f>
        <v>0</v>
      </c>
      <c r="G13" s="504"/>
      <c r="H13" s="220">
        <f>J13-L13</f>
        <v>0</v>
      </c>
      <c r="I13" s="512">
        <f>J13-M13</f>
        <v>0</v>
      </c>
      <c r="J13" s="517">
        <f>SUM(E13:G13)</f>
        <v>0</v>
      </c>
      <c r="L13" s="625">
        <v>0</v>
      </c>
      <c r="M13" s="625">
        <v>0</v>
      </c>
    </row>
    <row r="14" spans="2:13" ht="20.100000000000001" customHeight="1">
      <c r="B14" s="385" t="s">
        <v>490</v>
      </c>
      <c r="C14" s="217">
        <f>'Pete-UR'!E21</f>
        <v>0</v>
      </c>
      <c r="D14" s="388">
        <f>'Pete-UR'!G21</f>
        <v>0</v>
      </c>
      <c r="E14" s="392">
        <f>'Pete-Real'!K11</f>
        <v>0</v>
      </c>
      <c r="F14" s="217">
        <f>'Pete-UR'!K21</f>
        <v>0</v>
      </c>
      <c r="G14" s="218">
        <f>'total carry-USD'!G1</f>
        <v>0</v>
      </c>
      <c r="H14" s="217">
        <f t="shared" si="2"/>
        <v>0</v>
      </c>
      <c r="I14" s="388">
        <f t="shared" si="3"/>
        <v>0</v>
      </c>
      <c r="J14" s="516">
        <f t="shared" si="4"/>
        <v>0</v>
      </c>
      <c r="L14" s="624">
        <v>0</v>
      </c>
      <c r="M14" s="624">
        <v>0</v>
      </c>
    </row>
    <row r="15" spans="2:13" ht="20.100000000000001" customHeight="1" thickBot="1">
      <c r="B15" s="216" t="s">
        <v>184</v>
      </c>
      <c r="C15" s="214">
        <f>'Pete-UR'!E88</f>
        <v>-70</v>
      </c>
      <c r="D15" s="389">
        <f>'Pete-UR'!G88</f>
        <v>5390</v>
      </c>
      <c r="E15" s="393">
        <f>'Pete-Real'!K485</f>
        <v>166585.9375</v>
      </c>
      <c r="F15" s="506">
        <f>'Pete-UR'!K88</f>
        <v>-97500</v>
      </c>
      <c r="G15" s="504"/>
      <c r="H15" s="220">
        <f t="shared" si="2"/>
        <v>-2500</v>
      </c>
      <c r="I15" s="512">
        <f t="shared" si="3"/>
        <v>-2500</v>
      </c>
      <c r="J15" s="517">
        <f>SUM(E15:G15)</f>
        <v>69085.9375</v>
      </c>
      <c r="L15" s="625">
        <v>71585.9375</v>
      </c>
      <c r="M15" s="625">
        <v>71585.9375</v>
      </c>
    </row>
    <row r="16" spans="2:13" ht="20.100000000000001" customHeight="1">
      <c r="B16" s="385" t="s">
        <v>1293</v>
      </c>
      <c r="C16" s="217">
        <f>'Ryan-UR'!E22</f>
        <v>0</v>
      </c>
      <c r="D16" s="388">
        <f>'Ryan-UR'!G22</f>
        <v>0</v>
      </c>
      <c r="E16" s="392">
        <f>'Ryan-Real'!K9</f>
        <v>0</v>
      </c>
      <c r="F16" s="217">
        <f>'Ryan-UR'!K22</f>
        <v>0</v>
      </c>
      <c r="G16" s="218">
        <f>'total carry-USD'!H1</f>
        <v>0</v>
      </c>
      <c r="H16" s="217">
        <f t="shared" si="2"/>
        <v>0</v>
      </c>
      <c r="I16" s="388">
        <f t="shared" si="3"/>
        <v>0</v>
      </c>
      <c r="J16" s="516">
        <f t="shared" si="4"/>
        <v>0</v>
      </c>
      <c r="L16" s="624">
        <v>0</v>
      </c>
      <c r="M16" s="624">
        <v>0</v>
      </c>
    </row>
    <row r="17" spans="2:13" ht="20.100000000000001" customHeight="1" thickBot="1">
      <c r="B17" s="216" t="s">
        <v>250</v>
      </c>
      <c r="C17" s="214">
        <f>'Jesse-UR'!G81</f>
        <v>0</v>
      </c>
      <c r="D17" s="389">
        <f>'Ryan-UR'!G46</f>
        <v>0</v>
      </c>
      <c r="E17" s="393">
        <f>'Ryan-Real'!K328</f>
        <v>0</v>
      </c>
      <c r="F17" s="506">
        <f>'Ryan-UR'!K46</f>
        <v>0</v>
      </c>
      <c r="G17" s="504"/>
      <c r="H17" s="220">
        <f t="shared" si="2"/>
        <v>0</v>
      </c>
      <c r="I17" s="512">
        <f t="shared" si="3"/>
        <v>0</v>
      </c>
      <c r="J17" s="517">
        <f t="shared" si="4"/>
        <v>0</v>
      </c>
      <c r="L17" s="625">
        <v>0</v>
      </c>
      <c r="M17" s="625">
        <v>0</v>
      </c>
    </row>
    <row r="18" spans="2:13" ht="20.100000000000001" customHeight="1">
      <c r="B18" s="385" t="s">
        <v>332</v>
      </c>
      <c r="C18" s="217">
        <f>'Mark1-UR'!E27</f>
        <v>0</v>
      </c>
      <c r="D18" s="388">
        <f>'Mark1-UR'!G27</f>
        <v>0</v>
      </c>
      <c r="E18" s="392">
        <f>'Mark1-Real'!K21</f>
        <v>0</v>
      </c>
      <c r="F18" s="217">
        <f>'Mark1-UR'!K27</f>
        <v>0</v>
      </c>
      <c r="G18" s="218">
        <f>'total carry-USD'!I1</f>
        <v>0</v>
      </c>
      <c r="H18" s="217">
        <f t="shared" si="2"/>
        <v>0</v>
      </c>
      <c r="I18" s="388">
        <f t="shared" si="3"/>
        <v>0</v>
      </c>
      <c r="J18" s="516">
        <f t="shared" si="4"/>
        <v>0</v>
      </c>
      <c r="L18" s="624">
        <v>0</v>
      </c>
      <c r="M18" s="624">
        <v>0</v>
      </c>
    </row>
    <row r="19" spans="2:13" ht="20.100000000000001" customHeight="1" thickBot="1">
      <c r="B19" s="216" t="s">
        <v>22</v>
      </c>
      <c r="C19" s="214">
        <f>'Mark1-UR'!E62</f>
        <v>20</v>
      </c>
      <c r="D19" s="389">
        <f>'Mark1-UR'!G62</f>
        <v>-854</v>
      </c>
      <c r="E19" s="393">
        <f>'Mark1-Real'!K429</f>
        <v>-34320.3125</v>
      </c>
      <c r="F19" s="506">
        <f>'Mark1-UR'!K62</f>
        <v>30546.875</v>
      </c>
      <c r="G19" s="504"/>
      <c r="H19" s="220">
        <f t="shared" si="2"/>
        <v>10781.25</v>
      </c>
      <c r="I19" s="512">
        <f t="shared" si="3"/>
        <v>10781.25</v>
      </c>
      <c r="J19" s="517">
        <f t="shared" si="4"/>
        <v>-3773.4375</v>
      </c>
      <c r="L19" s="625">
        <v>-14554.6875</v>
      </c>
      <c r="M19" s="625">
        <v>-14554.6875</v>
      </c>
    </row>
    <row r="20" spans="2:13" ht="20.100000000000001" customHeight="1">
      <c r="B20" s="215" t="s">
        <v>675</v>
      </c>
      <c r="C20" s="217">
        <f>'Peggy-UR'!E48</f>
        <v>0</v>
      </c>
      <c r="D20" s="388">
        <f>'Peggy-UR'!G48</f>
        <v>0</v>
      </c>
      <c r="E20" s="392">
        <f>'Peggy-Real'!K9</f>
        <v>0</v>
      </c>
      <c r="F20" s="217">
        <f>'Peggy-UR'!K48</f>
        <v>0</v>
      </c>
      <c r="G20" s="218">
        <f>'total carry-USD'!F13</f>
        <v>0</v>
      </c>
      <c r="H20" s="217">
        <f t="shared" si="2"/>
        <v>0</v>
      </c>
      <c r="I20" s="388">
        <f t="shared" si="3"/>
        <v>0</v>
      </c>
      <c r="J20" s="516">
        <f>SUM(E20:G20)</f>
        <v>0</v>
      </c>
      <c r="L20" s="624">
        <v>0</v>
      </c>
      <c r="M20" s="624">
        <v>0</v>
      </c>
    </row>
    <row r="21" spans="2:13" ht="20.100000000000001" customHeight="1" thickBot="1">
      <c r="B21" s="216" t="s">
        <v>22</v>
      </c>
      <c r="C21" s="214">
        <f>'Peggy-UR'!E73</f>
        <v>10</v>
      </c>
      <c r="D21" s="389">
        <f>'Peggy-UR'!G73</f>
        <v>-770</v>
      </c>
      <c r="E21" s="393">
        <f>'Peggy-Real'!K209</f>
        <v>-55539.0625</v>
      </c>
      <c r="F21" s="506">
        <f>'Peggy-UR'!K73</f>
        <v>-156.25</v>
      </c>
      <c r="G21" s="504"/>
      <c r="H21" s="220">
        <f t="shared" si="2"/>
        <v>937.5</v>
      </c>
      <c r="I21" s="512">
        <f t="shared" si="3"/>
        <v>937.5</v>
      </c>
      <c r="J21" s="517">
        <f>SUM(E21:G21)</f>
        <v>-55695.3125</v>
      </c>
      <c r="L21" s="625">
        <v>-56632.8125</v>
      </c>
      <c r="M21" s="625">
        <v>-56632.8125</v>
      </c>
    </row>
    <row r="22" spans="2:13" ht="20.100000000000001" customHeight="1">
      <c r="B22" s="385" t="s">
        <v>251</v>
      </c>
      <c r="C22" s="217">
        <f>'Gary-UR'!E33</f>
        <v>0</v>
      </c>
      <c r="D22" s="388">
        <f>'Gary-UR'!G21</f>
        <v>0</v>
      </c>
      <c r="E22" s="392">
        <f>'Gary-Real'!K8</f>
        <v>0</v>
      </c>
      <c r="F22" s="217">
        <f ca="1">'Gary-UR'!K33</f>
        <v>0</v>
      </c>
      <c r="G22" s="218">
        <f>'total carry-USD'!J1</f>
        <v>0</v>
      </c>
      <c r="H22" s="217">
        <f t="shared" ca="1" si="2"/>
        <v>0</v>
      </c>
      <c r="I22" s="388">
        <f t="shared" ca="1" si="3"/>
        <v>0</v>
      </c>
      <c r="J22" s="516">
        <f t="shared" ca="1" si="4"/>
        <v>0</v>
      </c>
      <c r="L22" s="624">
        <v>0</v>
      </c>
      <c r="M22" s="624">
        <v>0</v>
      </c>
    </row>
    <row r="23" spans="2:13" ht="20.100000000000001" customHeight="1" thickBot="1">
      <c r="B23" s="216" t="s">
        <v>22</v>
      </c>
      <c r="C23" s="463">
        <f>'Gary-UR'!E61</f>
        <v>0</v>
      </c>
      <c r="D23" s="464">
        <f>'Gary-UR'!G61</f>
        <v>0</v>
      </c>
      <c r="E23" s="465">
        <f>'Gary-Real'!K349</f>
        <v>-120625</v>
      </c>
      <c r="F23" s="507">
        <f>'Gary-UR'!K61</f>
        <v>0</v>
      </c>
      <c r="G23" s="505"/>
      <c r="H23" s="615">
        <f t="shared" si="2"/>
        <v>10468.75</v>
      </c>
      <c r="I23" s="616">
        <f t="shared" si="3"/>
        <v>10468.75</v>
      </c>
      <c r="J23" s="617">
        <f>SUM(E23:G23)</f>
        <v>-120625</v>
      </c>
      <c r="L23" s="626">
        <v>-131093.75</v>
      </c>
      <c r="M23" s="626">
        <v>-131093.75</v>
      </c>
    </row>
    <row r="24" spans="2:13" ht="20.100000000000001" customHeight="1" thickBot="1">
      <c r="B24" s="614" t="s">
        <v>89</v>
      </c>
      <c r="C24" s="214">
        <f t="shared" ref="C24:I24" si="5">SUM(C4:C23)</f>
        <v>10</v>
      </c>
      <c r="D24" s="214">
        <f t="shared" si="5"/>
        <v>1631</v>
      </c>
      <c r="E24" s="214">
        <f t="shared" si="5"/>
        <v>-525218.75</v>
      </c>
      <c r="F24" s="214">
        <f t="shared" ca="1" si="5"/>
        <v>9453.125</v>
      </c>
      <c r="G24" s="214">
        <f t="shared" si="5"/>
        <v>0</v>
      </c>
      <c r="H24" s="214">
        <f t="shared" ca="1" si="5"/>
        <v>24921.875</v>
      </c>
      <c r="I24" s="513">
        <f t="shared" ca="1" si="5"/>
        <v>24921.875</v>
      </c>
      <c r="J24" s="462">
        <f ca="1">SUM(J4:J23)</f>
        <v>-515765.625</v>
      </c>
      <c r="L24" s="627">
        <v>-540687.5</v>
      </c>
      <c r="M24" s="627">
        <v>-540687.5</v>
      </c>
    </row>
  </sheetData>
  <mergeCells count="1">
    <mergeCell ref="B2:B3"/>
  </mergeCells>
  <phoneticPr fontId="3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L24"/>
  <sheetViews>
    <sheetView zoomScale="90" workbookViewId="0">
      <selection activeCell="L4" sqref="L4:L24"/>
    </sheetView>
  </sheetViews>
  <sheetFormatPr defaultRowHeight="16.5"/>
  <cols>
    <col min="1" max="1" width="2.25" customWidth="1"/>
    <col min="2" max="2" width="11.75" customWidth="1"/>
    <col min="3" max="3" width="14.875" customWidth="1"/>
    <col min="4" max="4" width="9.625" customWidth="1"/>
    <col min="5" max="6" width="14.625" customWidth="1"/>
    <col min="7" max="8" width="15.625" customWidth="1"/>
    <col min="9" max="9" width="14.625" customWidth="1"/>
    <col min="10" max="10" width="2.25" customWidth="1"/>
    <col min="11" max="11" width="12.375" style="370" customWidth="1"/>
    <col min="12" max="12" width="11.75" style="370" customWidth="1"/>
  </cols>
  <sheetData>
    <row r="1" spans="2:12" s="93" customFormat="1" ht="21.75" customHeight="1" thickBot="1">
      <c r="B1" s="508" t="s">
        <v>222</v>
      </c>
      <c r="G1" s="92"/>
      <c r="I1" s="96">
        <f ca="1">TODAY()</f>
        <v>45022</v>
      </c>
      <c r="K1" s="369"/>
      <c r="L1" s="369"/>
    </row>
    <row r="2" spans="2:12" s="194" customFormat="1" ht="20.100000000000001" customHeight="1">
      <c r="B2" s="893" t="s">
        <v>223</v>
      </c>
      <c r="C2" s="198" t="s">
        <v>224</v>
      </c>
      <c r="D2" s="514" t="s">
        <v>85</v>
      </c>
      <c r="E2" s="200" t="s">
        <v>225</v>
      </c>
      <c r="F2" s="514" t="s">
        <v>225</v>
      </c>
      <c r="G2" s="200" t="s">
        <v>226</v>
      </c>
      <c r="H2" s="201" t="s">
        <v>86</v>
      </c>
      <c r="I2" s="201" t="s">
        <v>225</v>
      </c>
      <c r="K2" s="640" t="s">
        <v>198</v>
      </c>
      <c r="L2" s="641" t="s">
        <v>172</v>
      </c>
    </row>
    <row r="3" spans="2:12" s="194" customFormat="1" ht="20.100000000000001" customHeight="1" thickBot="1">
      <c r="B3" s="895"/>
      <c r="C3" s="199" t="s">
        <v>117</v>
      </c>
      <c r="D3" s="515" t="s">
        <v>117</v>
      </c>
      <c r="E3" s="195" t="s">
        <v>227</v>
      </c>
      <c r="F3" s="515" t="s">
        <v>228</v>
      </c>
      <c r="G3" s="195" t="s">
        <v>88</v>
      </c>
      <c r="H3" s="202" t="s">
        <v>88</v>
      </c>
      <c r="I3" s="202" t="s">
        <v>229</v>
      </c>
      <c r="K3" s="375" t="s">
        <v>199</v>
      </c>
      <c r="L3" s="642" t="s">
        <v>125</v>
      </c>
    </row>
    <row r="4" spans="2:12" s="194" customFormat="1" ht="20.100000000000001" customHeight="1">
      <c r="B4" s="312" t="s">
        <v>230</v>
      </c>
      <c r="C4" s="217">
        <f>'John-UR'!G18</f>
        <v>0</v>
      </c>
      <c r="D4" s="516">
        <f>'John-UR'!L18</f>
        <v>0</v>
      </c>
      <c r="E4" s="217">
        <f>'John-Real'!R18</f>
        <v>0</v>
      </c>
      <c r="F4" s="516">
        <f>'John-UR'!R18</f>
        <v>0</v>
      </c>
      <c r="G4" s="217">
        <f>I4-K4</f>
        <v>0</v>
      </c>
      <c r="H4" s="218">
        <f>+I4-L4</f>
        <v>0</v>
      </c>
      <c r="I4" s="218">
        <f>SUM(E4:F4)</f>
        <v>0</v>
      </c>
      <c r="K4" s="624">
        <v>0</v>
      </c>
      <c r="L4" s="624">
        <v>0</v>
      </c>
    </row>
    <row r="5" spans="2:12" s="194" customFormat="1" ht="20.100000000000001" customHeight="1" thickBot="1">
      <c r="B5" s="216" t="s">
        <v>231</v>
      </c>
      <c r="C5" s="214">
        <f>'John-UR'!G32</f>
        <v>0</v>
      </c>
      <c r="D5" s="462">
        <f>'John-UR'!L32</f>
        <v>0</v>
      </c>
      <c r="E5" s="214">
        <f>'John-Real'!R36</f>
        <v>0</v>
      </c>
      <c r="F5" s="527">
        <f>'John-UR'!R32</f>
        <v>0</v>
      </c>
      <c r="G5" s="219">
        <f>I5-K5</f>
        <v>0</v>
      </c>
      <c r="H5" s="504">
        <f>+I5-L5</f>
        <v>0</v>
      </c>
      <c r="I5" s="504">
        <f>SUM(E5:F5)</f>
        <v>0</v>
      </c>
      <c r="K5" s="625">
        <v>0</v>
      </c>
      <c r="L5" s="625">
        <v>0</v>
      </c>
    </row>
    <row r="6" spans="2:12" ht="20.100000000000001" customHeight="1">
      <c r="B6" s="215" t="s">
        <v>232</v>
      </c>
      <c r="C6" s="217">
        <f>'Aaron-UR'!E32</f>
        <v>0</v>
      </c>
      <c r="D6" s="516">
        <f>'Aaron-UR'!G32</f>
        <v>0</v>
      </c>
      <c r="E6" s="217">
        <f>'Aaron-Real'!K19</f>
        <v>0</v>
      </c>
      <c r="F6" s="528">
        <f>'Aaron-UR'!K32</f>
        <v>0</v>
      </c>
      <c r="G6" s="217">
        <f t="shared" ref="G6:G23" si="0">I6-K6</f>
        <v>0</v>
      </c>
      <c r="H6" s="218">
        <f t="shared" ref="H6:H23" si="1">+I6-L6</f>
        <v>0</v>
      </c>
      <c r="I6" s="218">
        <f t="shared" ref="I6:I23" si="2">SUM(E6:F6)</f>
        <v>0</v>
      </c>
      <c r="K6" s="624">
        <v>0</v>
      </c>
      <c r="L6" s="624">
        <v>0</v>
      </c>
    </row>
    <row r="7" spans="2:12" ht="20.100000000000001" customHeight="1" thickBot="1">
      <c r="B7" s="216" t="s">
        <v>231</v>
      </c>
      <c r="C7" s="214">
        <f>'Aaron-UR'!E67</f>
        <v>0</v>
      </c>
      <c r="D7" s="462">
        <f>'Aaron-UR'!G67</f>
        <v>0</v>
      </c>
      <c r="E7" s="214">
        <f>'Aaron-Real'!K1426</f>
        <v>0</v>
      </c>
      <c r="F7" s="527">
        <f>'Aaron-UR'!K67</f>
        <v>0</v>
      </c>
      <c r="G7" s="219">
        <f t="shared" si="0"/>
        <v>0</v>
      </c>
      <c r="H7" s="504">
        <f t="shared" si="1"/>
        <v>0</v>
      </c>
      <c r="I7" s="504">
        <f t="shared" si="2"/>
        <v>0</v>
      </c>
      <c r="K7" s="625">
        <v>0</v>
      </c>
      <c r="L7" s="625">
        <v>0</v>
      </c>
    </row>
    <row r="8" spans="2:12" ht="20.100000000000001" customHeight="1">
      <c r="B8" s="215" t="s">
        <v>338</v>
      </c>
      <c r="C8" s="211">
        <f>'Jesse-UR'!E65</f>
        <v>0</v>
      </c>
      <c r="D8" s="525">
        <f>'Jesse-UR'!G65</f>
        <v>0</v>
      </c>
      <c r="E8" s="211">
        <f>'Jesse-Real'!K49</f>
        <v>0</v>
      </c>
      <c r="F8" s="529">
        <f>'Jesse-UR'!K65</f>
        <v>0</v>
      </c>
      <c r="G8" s="217">
        <f>I8-K8</f>
        <v>0</v>
      </c>
      <c r="H8" s="218">
        <f>+I8-L8</f>
        <v>0</v>
      </c>
      <c r="I8" s="218">
        <f>SUM(E8:F8)</f>
        <v>0</v>
      </c>
      <c r="K8" s="624">
        <v>0</v>
      </c>
      <c r="L8" s="624">
        <v>0</v>
      </c>
    </row>
    <row r="9" spans="2:12" ht="20.100000000000001" customHeight="1" thickBot="1">
      <c r="B9" s="216" t="s">
        <v>231</v>
      </c>
      <c r="C9" s="214">
        <v>0</v>
      </c>
      <c r="D9" s="462">
        <f>'Roger-UR'!G56</f>
        <v>0</v>
      </c>
      <c r="E9" s="214">
        <f>'Jesse-Real'!K206</f>
        <v>60310.000000001004</v>
      </c>
      <c r="F9" s="527">
        <v>0</v>
      </c>
      <c r="G9" s="219">
        <v>0</v>
      </c>
      <c r="H9" s="504">
        <f>+I9-L9</f>
        <v>0</v>
      </c>
      <c r="I9" s="504">
        <f>SUM(E9:F9)</f>
        <v>60310.000000001004</v>
      </c>
      <c r="K9" s="625">
        <v>60310.000000001004</v>
      </c>
      <c r="L9" s="625">
        <v>60310.000000001004</v>
      </c>
    </row>
    <row r="10" spans="2:12" ht="20.100000000000001" customHeight="1">
      <c r="B10" s="297" t="s">
        <v>558</v>
      </c>
      <c r="C10" s="211">
        <f>'Roger-UR'!E36</f>
        <v>0</v>
      </c>
      <c r="D10" s="525">
        <f>'Roger-UR'!G36</f>
        <v>0</v>
      </c>
      <c r="E10" s="258">
        <f>'Roger-Real'!K18</f>
        <v>0</v>
      </c>
      <c r="F10" s="529">
        <f>'Roger-UR'!K36</f>
        <v>0</v>
      </c>
      <c r="G10" s="217">
        <f t="shared" si="0"/>
        <v>0</v>
      </c>
      <c r="H10" s="218">
        <f t="shared" si="1"/>
        <v>0</v>
      </c>
      <c r="I10" s="218">
        <f t="shared" si="2"/>
        <v>0</v>
      </c>
      <c r="K10" s="624">
        <v>0</v>
      </c>
      <c r="L10" s="624">
        <v>0</v>
      </c>
    </row>
    <row r="11" spans="2:12" ht="20.100000000000001" customHeight="1" thickBot="1">
      <c r="B11" s="216" t="s">
        <v>231</v>
      </c>
      <c r="C11" s="214">
        <f>'Roger-UR'!E55</f>
        <v>0</v>
      </c>
      <c r="D11" s="462">
        <f>'Roger-UR'!G55</f>
        <v>0</v>
      </c>
      <c r="E11" s="214">
        <f>'Roger-Real'!K144</f>
        <v>0</v>
      </c>
      <c r="F11" s="527">
        <f>'Roger-UR'!K55</f>
        <v>0</v>
      </c>
      <c r="G11" s="219">
        <f t="shared" si="0"/>
        <v>0</v>
      </c>
      <c r="H11" s="504">
        <f t="shared" si="1"/>
        <v>0</v>
      </c>
      <c r="I11" s="504">
        <f t="shared" si="2"/>
        <v>0</v>
      </c>
      <c r="K11" s="625">
        <v>0</v>
      </c>
      <c r="L11" s="625">
        <v>0</v>
      </c>
    </row>
    <row r="12" spans="2:12" ht="20.100000000000001" customHeight="1">
      <c r="B12" s="308" t="s">
        <v>342</v>
      </c>
      <c r="C12" s="211">
        <f>'Cindy-UR'!E103</f>
        <v>0</v>
      </c>
      <c r="D12" s="525">
        <f>'Cindy-UR'!G103</f>
        <v>0</v>
      </c>
      <c r="E12" s="258">
        <f>'Cindy-Real'!K18</f>
        <v>0</v>
      </c>
      <c r="F12" s="529">
        <f>'Cindy-UR'!K103</f>
        <v>0</v>
      </c>
      <c r="G12" s="217">
        <f>I12-K12</f>
        <v>0</v>
      </c>
      <c r="H12" s="218">
        <f>+I12-L12</f>
        <v>0</v>
      </c>
      <c r="I12" s="218">
        <f>SUM(E12:F12)</f>
        <v>0</v>
      </c>
      <c r="K12" s="624">
        <v>0</v>
      </c>
      <c r="L12" s="624">
        <v>0</v>
      </c>
    </row>
    <row r="13" spans="2:12" ht="20.100000000000001" customHeight="1" thickBot="1">
      <c r="B13" s="216" t="s">
        <v>231</v>
      </c>
      <c r="C13" s="214">
        <f>'Cindy-UR'!E124</f>
        <v>0</v>
      </c>
      <c r="D13" s="462">
        <f>'Cindy-UR'!G124</f>
        <v>0</v>
      </c>
      <c r="E13" s="214">
        <f>'Cindy-Real'!K243</f>
        <v>0</v>
      </c>
      <c r="F13" s="527">
        <f>'Cindy-UR'!K124</f>
        <v>0</v>
      </c>
      <c r="G13" s="219">
        <f>I13-K13</f>
        <v>0</v>
      </c>
      <c r="H13" s="504">
        <f>+I13-L13</f>
        <v>0</v>
      </c>
      <c r="I13" s="504">
        <f>SUM(E13:F13)</f>
        <v>0</v>
      </c>
      <c r="K13" s="625">
        <v>0</v>
      </c>
      <c r="L13" s="625">
        <v>0</v>
      </c>
    </row>
    <row r="14" spans="2:12" ht="20.100000000000001" customHeight="1">
      <c r="B14" s="215" t="s">
        <v>490</v>
      </c>
      <c r="C14" s="217">
        <f>'Pete-UR'!E30</f>
        <v>0</v>
      </c>
      <c r="D14" s="516">
        <f>'Pete-UR'!G30</f>
        <v>0</v>
      </c>
      <c r="E14" s="217">
        <f>'Pete-Real'!K29</f>
        <v>0</v>
      </c>
      <c r="F14" s="528">
        <f>'Pete-UR'!K30</f>
        <v>0</v>
      </c>
      <c r="G14" s="217">
        <f t="shared" si="0"/>
        <v>0</v>
      </c>
      <c r="H14" s="218">
        <f t="shared" si="1"/>
        <v>0</v>
      </c>
      <c r="I14" s="218">
        <f t="shared" si="2"/>
        <v>0</v>
      </c>
      <c r="K14" s="624">
        <v>0</v>
      </c>
      <c r="L14" s="624">
        <v>0</v>
      </c>
    </row>
    <row r="15" spans="2:12" ht="20.100000000000001" customHeight="1" thickBot="1">
      <c r="B15" s="216" t="s">
        <v>231</v>
      </c>
      <c r="C15" s="214">
        <f>'Pete-UR'!E97</f>
        <v>0</v>
      </c>
      <c r="D15" s="462">
        <f>'Pete-UR'!G97</f>
        <v>0</v>
      </c>
      <c r="E15" s="214">
        <f>'Pete-Real'!K494</f>
        <v>0</v>
      </c>
      <c r="F15" s="527">
        <f>'Pete-UR'!K97</f>
        <v>0</v>
      </c>
      <c r="G15" s="219">
        <f t="shared" si="0"/>
        <v>0</v>
      </c>
      <c r="H15" s="504">
        <f t="shared" si="1"/>
        <v>0</v>
      </c>
      <c r="I15" s="504">
        <f t="shared" si="2"/>
        <v>0</v>
      </c>
      <c r="K15" s="625">
        <v>0</v>
      </c>
      <c r="L15" s="625">
        <v>0</v>
      </c>
    </row>
    <row r="16" spans="2:12" ht="20.100000000000001" customHeight="1">
      <c r="B16" s="385" t="s">
        <v>1294</v>
      </c>
      <c r="C16" s="217">
        <f>'Ryan-UR'!E31</f>
        <v>0</v>
      </c>
      <c r="D16" s="516">
        <f>'Ryan-UR'!G31</f>
        <v>0</v>
      </c>
      <c r="E16" s="217">
        <f>'Ryan-Real'!K18</f>
        <v>0</v>
      </c>
      <c r="F16" s="528">
        <f>'Ryan-UR'!K31</f>
        <v>0</v>
      </c>
      <c r="G16" s="217">
        <f t="shared" si="0"/>
        <v>0</v>
      </c>
      <c r="H16" s="218">
        <f t="shared" si="1"/>
        <v>0</v>
      </c>
      <c r="I16" s="218">
        <f t="shared" si="2"/>
        <v>0</v>
      </c>
      <c r="K16" s="624">
        <v>0</v>
      </c>
      <c r="L16" s="624">
        <v>0</v>
      </c>
    </row>
    <row r="17" spans="2:12" ht="20.100000000000001" customHeight="1" thickBot="1">
      <c r="B17" s="216" t="s">
        <v>231</v>
      </c>
      <c r="C17" s="214">
        <f>'Jesse-UR'!E112</f>
        <v>-220</v>
      </c>
      <c r="D17" s="462">
        <f>'Jesse-UR'!G112</f>
        <v>4180</v>
      </c>
      <c r="E17" s="214">
        <f>'Ryan-Real'!K337</f>
        <v>0</v>
      </c>
      <c r="F17" s="527">
        <f>'Jesse-UR'!K112</f>
        <v>-182599.99999999962</v>
      </c>
      <c r="G17" s="219">
        <f t="shared" si="0"/>
        <v>-114399.99999999913</v>
      </c>
      <c r="H17" s="504">
        <f t="shared" si="1"/>
        <v>-114399.99999999913</v>
      </c>
      <c r="I17" s="504">
        <f t="shared" si="2"/>
        <v>-182599.99999999962</v>
      </c>
      <c r="K17" s="625">
        <v>-68200.000000000495</v>
      </c>
      <c r="L17" s="625">
        <v>-68200.000000000495</v>
      </c>
    </row>
    <row r="18" spans="2:12" ht="20.100000000000001" customHeight="1">
      <c r="B18" s="215" t="s">
        <v>233</v>
      </c>
      <c r="C18" s="217">
        <f>'Mark1-UR'!E36</f>
        <v>0</v>
      </c>
      <c r="D18" s="516">
        <f>'Mark1-UR'!G36</f>
        <v>0</v>
      </c>
      <c r="E18" s="217">
        <f>'Mark1-Real'!K30</f>
        <v>0</v>
      </c>
      <c r="F18" s="528">
        <f>'Mark1-UR'!K36</f>
        <v>0</v>
      </c>
      <c r="G18" s="217">
        <f t="shared" si="0"/>
        <v>0</v>
      </c>
      <c r="H18" s="218">
        <f t="shared" si="1"/>
        <v>0</v>
      </c>
      <c r="I18" s="218">
        <f t="shared" si="2"/>
        <v>0</v>
      </c>
      <c r="K18" s="624">
        <v>0</v>
      </c>
      <c r="L18" s="624">
        <v>0</v>
      </c>
    </row>
    <row r="19" spans="2:12" ht="20.100000000000001" customHeight="1" thickBot="1">
      <c r="B19" s="216" t="s">
        <v>231</v>
      </c>
      <c r="C19" s="214">
        <f>'Mark1-UR'!E76</f>
        <v>0</v>
      </c>
      <c r="D19" s="462">
        <f>'Mark1-UR'!G76</f>
        <v>0</v>
      </c>
      <c r="E19" s="214">
        <f>'Mark1-Real'!K442</f>
        <v>0</v>
      </c>
      <c r="F19" s="527">
        <f>'Mark1-UR'!K76</f>
        <v>0</v>
      </c>
      <c r="G19" s="219">
        <f t="shared" si="0"/>
        <v>0</v>
      </c>
      <c r="H19" s="504">
        <f t="shared" si="1"/>
        <v>0</v>
      </c>
      <c r="I19" s="504">
        <f t="shared" si="2"/>
        <v>0</v>
      </c>
      <c r="K19" s="625">
        <v>0</v>
      </c>
      <c r="L19" s="625">
        <v>0</v>
      </c>
    </row>
    <row r="20" spans="2:12" ht="20.100000000000001" customHeight="1">
      <c r="B20" s="215" t="s">
        <v>675</v>
      </c>
      <c r="C20" s="211">
        <f>'Peggy-UR'!E57</f>
        <v>0</v>
      </c>
      <c r="D20" s="525">
        <f>'Peggy-UR'!G57</f>
        <v>0</v>
      </c>
      <c r="E20" s="211">
        <f>'Peggy-Real'!K18</f>
        <v>0</v>
      </c>
      <c r="F20" s="529">
        <f>'Peggy-UR'!K57</f>
        <v>0</v>
      </c>
      <c r="G20" s="217">
        <f>I20-K20</f>
        <v>0</v>
      </c>
      <c r="H20" s="218">
        <f>+I20-L20</f>
        <v>0</v>
      </c>
      <c r="I20" s="218">
        <f>SUM(E20:F20)</f>
        <v>0</v>
      </c>
      <c r="K20" s="624">
        <v>0</v>
      </c>
      <c r="L20" s="624">
        <v>0</v>
      </c>
    </row>
    <row r="21" spans="2:12" ht="20.100000000000001" customHeight="1" thickBot="1">
      <c r="B21" s="216" t="s">
        <v>22</v>
      </c>
      <c r="C21" s="214">
        <f>'Peggy-UR'!E96</f>
        <v>0</v>
      </c>
      <c r="D21" s="462">
        <f>'Roger-UR'!G68</f>
        <v>0</v>
      </c>
      <c r="E21" s="214">
        <f>'Peggy-Real'!K231</f>
        <v>0</v>
      </c>
      <c r="F21" s="527">
        <f>'Peggy-UR'!K96</f>
        <v>0</v>
      </c>
      <c r="G21" s="219">
        <f>I21-K21</f>
        <v>0</v>
      </c>
      <c r="H21" s="504">
        <f>+I21-L21</f>
        <v>0</v>
      </c>
      <c r="I21" s="504">
        <f>SUM(E21:F21)</f>
        <v>0</v>
      </c>
      <c r="K21" s="625">
        <v>0</v>
      </c>
      <c r="L21" s="625">
        <v>0</v>
      </c>
    </row>
    <row r="22" spans="2:12" ht="20.100000000000001" customHeight="1">
      <c r="B22" s="385" t="s">
        <v>251</v>
      </c>
      <c r="C22" s="217">
        <f>'Gary-UR'!E42</f>
        <v>0</v>
      </c>
      <c r="D22" s="516">
        <f>'Gary-UR'!G42</f>
        <v>0</v>
      </c>
      <c r="E22" s="217">
        <f>'Gary-Real'!K17</f>
        <v>0</v>
      </c>
      <c r="F22" s="528">
        <f>'Gary-UR'!K42</f>
        <v>0</v>
      </c>
      <c r="G22" s="217">
        <f t="shared" si="0"/>
        <v>0</v>
      </c>
      <c r="H22" s="218">
        <f t="shared" si="1"/>
        <v>0</v>
      </c>
      <c r="I22" s="218">
        <f t="shared" si="2"/>
        <v>0</v>
      </c>
      <c r="K22" s="624">
        <v>0</v>
      </c>
      <c r="L22" s="624">
        <v>0</v>
      </c>
    </row>
    <row r="23" spans="2:12" ht="20.100000000000001" customHeight="1" thickBot="1">
      <c r="B23" s="509" t="s">
        <v>231</v>
      </c>
      <c r="C23" s="214">
        <f>'Gary-UR'!E70</f>
        <v>0</v>
      </c>
      <c r="D23" s="462">
        <f>'Gary-UR'!G70</f>
        <v>0</v>
      </c>
      <c r="E23" s="214">
        <f>'Gary-Real'!K358</f>
        <v>0</v>
      </c>
      <c r="F23" s="527">
        <f>'Gary-UR'!K70</f>
        <v>0</v>
      </c>
      <c r="G23" s="219">
        <f t="shared" si="0"/>
        <v>0</v>
      </c>
      <c r="H23" s="504">
        <f t="shared" si="1"/>
        <v>0</v>
      </c>
      <c r="I23" s="504">
        <f t="shared" si="2"/>
        <v>0</v>
      </c>
      <c r="K23" s="625">
        <v>0</v>
      </c>
      <c r="L23" s="625">
        <v>0</v>
      </c>
    </row>
    <row r="24" spans="2:12" ht="20.100000000000001" customHeight="1" thickTop="1" thickBot="1">
      <c r="B24" s="196" t="s">
        <v>89</v>
      </c>
      <c r="C24" s="197">
        <f t="shared" ref="C24:I24" si="3">SUM(C4:C23)</f>
        <v>-220</v>
      </c>
      <c r="D24" s="526">
        <f t="shared" si="3"/>
        <v>4180</v>
      </c>
      <c r="E24" s="197">
        <f t="shared" si="3"/>
        <v>60310.000000001004</v>
      </c>
      <c r="F24" s="526">
        <f t="shared" si="3"/>
        <v>-182599.99999999962</v>
      </c>
      <c r="G24" s="197">
        <f t="shared" si="3"/>
        <v>-114399.99999999913</v>
      </c>
      <c r="H24" s="197">
        <f t="shared" si="3"/>
        <v>-114399.99999999913</v>
      </c>
      <c r="I24" s="643">
        <f t="shared" si="3"/>
        <v>-122289.99999999862</v>
      </c>
      <c r="K24" s="628">
        <v>-7889.9999999994907</v>
      </c>
      <c r="L24" s="628">
        <v>-7889.9999999994907</v>
      </c>
    </row>
  </sheetData>
  <mergeCells count="1">
    <mergeCell ref="B2:B3"/>
  </mergeCells>
  <phoneticPr fontId="3" type="noConversion"/>
  <pageMargins left="0.75" right="0.75" top="1" bottom="1" header="0.5" footer="0.5"/>
  <pageSetup paperSize="9" orientation="portrait" horizontalDpi="1200" verticalDpi="1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B1:M22"/>
  <sheetViews>
    <sheetView topLeftCell="B1" zoomScale="90" workbookViewId="0">
      <selection activeCell="D11" sqref="D11"/>
    </sheetView>
  </sheetViews>
  <sheetFormatPr defaultRowHeight="16.5"/>
  <cols>
    <col min="1" max="1" width="1.5" customWidth="1"/>
    <col min="2" max="2" width="11.75" customWidth="1"/>
    <col min="3" max="3" width="14.75" customWidth="1"/>
    <col min="4" max="4" width="9.625" customWidth="1"/>
    <col min="5" max="6" width="14.625" customWidth="1"/>
    <col min="7" max="7" width="10.625" customWidth="1"/>
    <col min="8" max="10" width="11" customWidth="1"/>
    <col min="11" max="11" width="1.5" customWidth="1"/>
    <col min="12" max="12" width="10.125" style="370" customWidth="1"/>
    <col min="13" max="13" width="10.625" style="370" customWidth="1"/>
  </cols>
  <sheetData>
    <row r="1" spans="2:13" s="93" customFormat="1" ht="21.75" customHeight="1" thickBot="1">
      <c r="B1" s="508" t="s">
        <v>134</v>
      </c>
      <c r="H1" s="92"/>
      <c r="J1" s="96">
        <f ca="1">TODAY()</f>
        <v>45022</v>
      </c>
      <c r="L1" s="369"/>
      <c r="M1" s="369"/>
    </row>
    <row r="2" spans="2:13" s="194" customFormat="1" ht="20.100000000000001" customHeight="1">
      <c r="B2" s="896" t="s">
        <v>90</v>
      </c>
      <c r="C2" s="390" t="s">
        <v>91</v>
      </c>
      <c r="D2" s="514" t="s">
        <v>85</v>
      </c>
      <c r="E2" s="390" t="s">
        <v>92</v>
      </c>
      <c r="F2" s="200" t="s">
        <v>92</v>
      </c>
      <c r="G2" s="201" t="s">
        <v>92</v>
      </c>
      <c r="H2" s="200" t="s">
        <v>93</v>
      </c>
      <c r="I2" s="510" t="s">
        <v>86</v>
      </c>
      <c r="J2" s="514" t="s">
        <v>92</v>
      </c>
      <c r="L2" s="371" t="s">
        <v>198</v>
      </c>
      <c r="M2" s="372" t="s">
        <v>172</v>
      </c>
    </row>
    <row r="3" spans="2:13" s="194" customFormat="1" ht="20.100000000000001" customHeight="1" thickBot="1">
      <c r="B3" s="897"/>
      <c r="C3" s="391" t="s">
        <v>320</v>
      </c>
      <c r="D3" s="515" t="s">
        <v>320</v>
      </c>
      <c r="E3" s="391" t="s">
        <v>95</v>
      </c>
      <c r="F3" s="195" t="s">
        <v>96</v>
      </c>
      <c r="G3" s="202" t="s">
        <v>183</v>
      </c>
      <c r="H3" s="195" t="s">
        <v>88</v>
      </c>
      <c r="I3" s="511" t="s">
        <v>88</v>
      </c>
      <c r="J3" s="515" t="s">
        <v>116</v>
      </c>
      <c r="L3" s="373" t="s">
        <v>199</v>
      </c>
      <c r="M3" s="374" t="s">
        <v>125</v>
      </c>
    </row>
    <row r="4" spans="2:13" ht="20.100000000000001" customHeight="1">
      <c r="B4" s="717" t="s">
        <v>175</v>
      </c>
      <c r="C4" s="392">
        <f>-'Aaron-UR'!E12</f>
        <v>-80000000</v>
      </c>
      <c r="D4" s="218">
        <f>'Aaron-UR'!G12</f>
        <v>-47040</v>
      </c>
      <c r="E4" s="392">
        <f>'Aaron-Real'!K1434</f>
        <v>0</v>
      </c>
      <c r="F4" s="217">
        <f>'Aaron-UR'!K12</f>
        <v>-162400.00000000236</v>
      </c>
      <c r="G4" s="218">
        <f>'total carry-USD'!C1</f>
        <v>0</v>
      </c>
      <c r="H4" s="217">
        <f>J4-L4</f>
        <v>-162400.00000000236</v>
      </c>
      <c r="I4" s="388">
        <f>J4-M4</f>
        <v>-162400.00000000236</v>
      </c>
      <c r="J4" s="516">
        <f>SUM(E4:G4)</f>
        <v>-162400.00000000236</v>
      </c>
      <c r="L4" s="624">
        <v>0</v>
      </c>
      <c r="M4" s="624">
        <v>0</v>
      </c>
    </row>
    <row r="5" spans="2:13" ht="20.100000000000001" customHeight="1" thickBot="1">
      <c r="B5" s="718" t="s">
        <v>22</v>
      </c>
      <c r="C5" s="393"/>
      <c r="D5" s="722"/>
      <c r="E5" s="393"/>
      <c r="F5" s="506"/>
      <c r="G5" s="504"/>
      <c r="H5" s="220"/>
      <c r="I5" s="512"/>
      <c r="J5" s="517"/>
      <c r="L5" s="625"/>
      <c r="M5" s="625"/>
    </row>
    <row r="6" spans="2:13" ht="20.100000000000001" customHeight="1">
      <c r="B6" s="717" t="s">
        <v>558</v>
      </c>
      <c r="C6" s="392">
        <f>'Roger-UR'!E17</f>
        <v>0</v>
      </c>
      <c r="D6" s="218">
        <f>'Roger-UR'!G17</f>
        <v>0</v>
      </c>
      <c r="E6" s="394">
        <f>'Roger-Real'!K154</f>
        <v>0</v>
      </c>
      <c r="F6" s="217">
        <f>'Roger-UR'!K17</f>
        <v>0</v>
      </c>
      <c r="G6" s="395">
        <f>'total carry-USD'!E1</f>
        <v>0</v>
      </c>
      <c r="H6" s="217">
        <f>J6-L6</f>
        <v>0</v>
      </c>
      <c r="I6" s="388">
        <f>J6-M6</f>
        <v>0</v>
      </c>
      <c r="J6" s="516">
        <f>SUM(E6:G6)</f>
        <v>0</v>
      </c>
      <c r="L6" s="624">
        <v>0</v>
      </c>
      <c r="M6" s="624">
        <v>0</v>
      </c>
    </row>
    <row r="7" spans="2:13" ht="20.100000000000001" customHeight="1" thickBot="1">
      <c r="B7" s="718" t="s">
        <v>22</v>
      </c>
      <c r="C7" s="393"/>
      <c r="D7" s="722"/>
      <c r="E7" s="393"/>
      <c r="F7" s="506"/>
      <c r="G7" s="504"/>
      <c r="H7" s="220"/>
      <c r="I7" s="512"/>
      <c r="J7" s="517"/>
      <c r="L7" s="625"/>
      <c r="M7" s="625"/>
    </row>
    <row r="8" spans="2:13" ht="20.100000000000001" customHeight="1">
      <c r="B8" s="719" t="s">
        <v>338</v>
      </c>
      <c r="C8" s="392">
        <f>'Jesse-UR'!E21</f>
        <v>0</v>
      </c>
      <c r="D8" s="218">
        <f>'Jesse-UR'!G21</f>
        <v>0</v>
      </c>
      <c r="E8" s="392">
        <f>'Jesse-Real'!K236</f>
        <v>0</v>
      </c>
      <c r="F8" s="217">
        <f>'Jesse-UR'!K21</f>
        <v>0</v>
      </c>
      <c r="G8" s="218">
        <f>'total carry-USD'!F1</f>
        <v>0</v>
      </c>
      <c r="H8" s="217">
        <f>J8-L8</f>
        <v>0</v>
      </c>
      <c r="I8" s="388">
        <f>J8-M8</f>
        <v>0</v>
      </c>
      <c r="J8" s="516">
        <f>SUM(E8:G8)</f>
        <v>0</v>
      </c>
      <c r="L8" s="624">
        <v>0</v>
      </c>
      <c r="M8" s="624">
        <v>0</v>
      </c>
    </row>
    <row r="9" spans="2:13" ht="20.100000000000001" customHeight="1" thickBot="1">
      <c r="B9" s="718" t="s">
        <v>22</v>
      </c>
      <c r="C9" s="393"/>
      <c r="D9" s="722"/>
      <c r="E9" s="393"/>
      <c r="F9" s="506"/>
      <c r="G9" s="504"/>
      <c r="H9" s="220"/>
      <c r="I9" s="512"/>
      <c r="J9" s="517"/>
      <c r="L9" s="625"/>
      <c r="M9" s="625"/>
    </row>
    <row r="10" spans="2:13" ht="20.100000000000001" customHeight="1">
      <c r="B10" s="719" t="s">
        <v>306</v>
      </c>
      <c r="C10" s="392">
        <f>'Cindy-UR'!E31</f>
        <v>0</v>
      </c>
      <c r="D10" s="218">
        <f>'Cindy-UR'!G31</f>
        <v>0</v>
      </c>
      <c r="E10" s="394">
        <f>'Cindy-Real'!K274</f>
        <v>0</v>
      </c>
      <c r="F10" s="217">
        <f>'Cindy-UR'!K31</f>
        <v>0</v>
      </c>
      <c r="G10" s="395">
        <f>'total carry-USD'!E1</f>
        <v>0</v>
      </c>
      <c r="H10" s="217">
        <f>J10-L10</f>
        <v>0</v>
      </c>
      <c r="I10" s="388">
        <f>J10-M10</f>
        <v>0</v>
      </c>
      <c r="J10" s="516">
        <f>SUM(E10:G10)</f>
        <v>0</v>
      </c>
      <c r="L10" s="624">
        <v>0</v>
      </c>
      <c r="M10" s="624">
        <v>0</v>
      </c>
    </row>
    <row r="11" spans="2:13" ht="20.100000000000001" customHeight="1" thickBot="1">
      <c r="B11" s="718" t="s">
        <v>22</v>
      </c>
      <c r="C11" s="393"/>
      <c r="D11" s="722"/>
      <c r="E11" s="393"/>
      <c r="F11" s="506"/>
      <c r="G11" s="504"/>
      <c r="H11" s="220"/>
      <c r="I11" s="512"/>
      <c r="J11" s="517"/>
      <c r="L11" s="625"/>
      <c r="M11" s="625"/>
    </row>
    <row r="12" spans="2:13" ht="20.100000000000001" customHeight="1">
      <c r="B12" s="719" t="s">
        <v>490</v>
      </c>
      <c r="C12" s="392">
        <f>'Pete-UR'!E12</f>
        <v>0</v>
      </c>
      <c r="D12" s="218">
        <f>'Pete-UR'!G12</f>
        <v>0</v>
      </c>
      <c r="E12" s="394">
        <f>'Pete-Real'!K502</f>
        <v>0</v>
      </c>
      <c r="F12" s="217">
        <f>'Pete-UR'!K12</f>
        <v>0</v>
      </c>
      <c r="G12" s="395">
        <f>'total carry-USD'!E3</f>
        <v>0</v>
      </c>
      <c r="H12" s="217">
        <f>J12-L12</f>
        <v>0</v>
      </c>
      <c r="I12" s="388">
        <f>J12-M12</f>
        <v>0</v>
      </c>
      <c r="J12" s="516">
        <f>SUM(E12:G12)</f>
        <v>0</v>
      </c>
      <c r="L12" s="624">
        <v>0</v>
      </c>
      <c r="M12" s="624">
        <v>0</v>
      </c>
    </row>
    <row r="13" spans="2:13" ht="20.100000000000001" customHeight="1" thickBot="1">
      <c r="B13" s="718" t="s">
        <v>22</v>
      </c>
      <c r="C13" s="393"/>
      <c r="D13" s="722"/>
      <c r="E13" s="393"/>
      <c r="F13" s="506"/>
      <c r="G13" s="504"/>
      <c r="H13" s="220"/>
      <c r="I13" s="512"/>
      <c r="J13" s="517"/>
      <c r="L13" s="625"/>
      <c r="M13" s="625"/>
    </row>
    <row r="14" spans="2:13" ht="20.100000000000001" customHeight="1">
      <c r="B14" s="719" t="s">
        <v>558</v>
      </c>
      <c r="C14" s="392">
        <f>'Ryan-UR'!E13</f>
        <v>0</v>
      </c>
      <c r="D14" s="218">
        <f>'Ryan-UR'!G13</f>
        <v>0</v>
      </c>
      <c r="E14" s="392">
        <f>'Ryan-Real'!K352</f>
        <v>0</v>
      </c>
      <c r="F14" s="217">
        <f>'Ryan-UR'!K13</f>
        <v>0</v>
      </c>
      <c r="G14" s="218">
        <f>'total carry-USD'!H1</f>
        <v>0</v>
      </c>
      <c r="H14" s="217">
        <f>J14-L14</f>
        <v>0</v>
      </c>
      <c r="I14" s="388">
        <f>J14-M14</f>
        <v>0</v>
      </c>
      <c r="J14" s="516">
        <f>SUM(E14:G14)</f>
        <v>0</v>
      </c>
      <c r="L14" s="624">
        <v>0</v>
      </c>
      <c r="M14" s="624">
        <v>0</v>
      </c>
    </row>
    <row r="15" spans="2:13" ht="20.100000000000001" customHeight="1" thickBot="1">
      <c r="B15" s="718" t="s">
        <v>22</v>
      </c>
      <c r="C15" s="393"/>
      <c r="D15" s="722"/>
      <c r="E15" s="393"/>
      <c r="F15" s="506"/>
      <c r="G15" s="504"/>
      <c r="H15" s="220"/>
      <c r="I15" s="512"/>
      <c r="J15" s="517"/>
      <c r="L15" s="625"/>
      <c r="M15" s="625"/>
    </row>
    <row r="16" spans="2:13" ht="20.100000000000001" customHeight="1">
      <c r="B16" s="719" t="s">
        <v>369</v>
      </c>
      <c r="C16" s="392">
        <f>'Mark1-UR'!E15</f>
        <v>50000000</v>
      </c>
      <c r="D16" s="218">
        <f>'Mark1-UR'!G15</f>
        <v>-29400</v>
      </c>
      <c r="E16" s="392">
        <f>'Mark1-Real'!K464</f>
        <v>0</v>
      </c>
      <c r="F16" s="217">
        <f>'Mark1-UR'!K15</f>
        <v>-101500.00000000147</v>
      </c>
      <c r="G16" s="218">
        <f>'total carry-USD'!F9</f>
        <v>0</v>
      </c>
      <c r="H16" s="217">
        <f>J16-L16</f>
        <v>-101500.00000000147</v>
      </c>
      <c r="I16" s="388">
        <f>J16-M16</f>
        <v>-101500.00000000147</v>
      </c>
      <c r="J16" s="516">
        <f>SUM(E16:G16)</f>
        <v>-101500.00000000147</v>
      </c>
      <c r="L16" s="624">
        <v>0</v>
      </c>
      <c r="M16" s="624">
        <v>0</v>
      </c>
    </row>
    <row r="17" spans="2:13" ht="20.100000000000001" customHeight="1" thickBot="1">
      <c r="B17" s="718" t="s">
        <v>22</v>
      </c>
      <c r="C17" s="393"/>
      <c r="D17" s="722"/>
      <c r="E17" s="393"/>
      <c r="F17" s="506"/>
      <c r="G17" s="504"/>
      <c r="H17" s="220"/>
      <c r="I17" s="512"/>
      <c r="J17" s="517"/>
      <c r="L17" s="625"/>
      <c r="M17" s="625"/>
    </row>
    <row r="18" spans="2:13" ht="20.100000000000001" customHeight="1">
      <c r="B18" s="719" t="s">
        <v>419</v>
      </c>
      <c r="C18" s="392">
        <f>'Peggy-UR'!E17</f>
        <v>0</v>
      </c>
      <c r="D18" s="218">
        <f>'Peggy-UR'!G17</f>
        <v>0</v>
      </c>
      <c r="E18" s="392">
        <f>'Peggy-Real'!K248</f>
        <v>0</v>
      </c>
      <c r="F18" s="217">
        <f>'Peggy-UR'!K17</f>
        <v>0</v>
      </c>
      <c r="G18" s="218">
        <f>'total carry-USD'!F1</f>
        <v>0</v>
      </c>
      <c r="H18" s="217">
        <f>J18-L18</f>
        <v>0</v>
      </c>
      <c r="I18" s="388">
        <f>J18-M18</f>
        <v>0</v>
      </c>
      <c r="J18" s="516">
        <f>SUM(E18:G18)</f>
        <v>0</v>
      </c>
      <c r="L18" s="624">
        <v>0</v>
      </c>
      <c r="M18" s="624">
        <v>0</v>
      </c>
    </row>
    <row r="19" spans="2:13" ht="20.100000000000001" customHeight="1" thickBot="1">
      <c r="B19" s="718" t="s">
        <v>22</v>
      </c>
      <c r="C19" s="393"/>
      <c r="D19" s="722"/>
      <c r="E19" s="393"/>
      <c r="F19" s="506"/>
      <c r="G19" s="504"/>
      <c r="H19" s="220"/>
      <c r="I19" s="512"/>
      <c r="J19" s="517"/>
      <c r="L19" s="625"/>
      <c r="M19" s="625"/>
    </row>
    <row r="20" spans="2:13" ht="20.100000000000001" customHeight="1">
      <c r="B20" s="719" t="s">
        <v>251</v>
      </c>
      <c r="C20" s="392">
        <f>'Gary-UR'!E13</f>
        <v>0</v>
      </c>
      <c r="D20" s="218">
        <f>'Gary-UR'!G21</f>
        <v>0</v>
      </c>
      <c r="E20" s="392">
        <f>'Gary-Real'!K367</f>
        <v>0</v>
      </c>
      <c r="F20" s="217">
        <f>'Gary-UR'!K13</f>
        <v>0</v>
      </c>
      <c r="G20" s="218">
        <f>'total carry-USD'!J1</f>
        <v>0</v>
      </c>
      <c r="H20" s="217">
        <f>J20-L20</f>
        <v>0</v>
      </c>
      <c r="I20" s="388">
        <f>J20-M20</f>
        <v>0</v>
      </c>
      <c r="J20" s="516">
        <f>SUM(E20:G20)</f>
        <v>0</v>
      </c>
      <c r="L20" s="624">
        <v>0</v>
      </c>
      <c r="M20" s="624">
        <v>0</v>
      </c>
    </row>
    <row r="21" spans="2:13" ht="20.100000000000001" customHeight="1" thickBot="1">
      <c r="B21" s="720" t="s">
        <v>22</v>
      </c>
      <c r="C21" s="465"/>
      <c r="D21" s="723"/>
      <c r="E21" s="465"/>
      <c r="F21" s="507"/>
      <c r="G21" s="505"/>
      <c r="H21" s="615"/>
      <c r="I21" s="616"/>
      <c r="J21" s="617"/>
      <c r="L21" s="626"/>
      <c r="M21" s="626"/>
    </row>
    <row r="22" spans="2:13" ht="20.100000000000001" customHeight="1" thickTop="1" thickBot="1">
      <c r="B22" s="721" t="s">
        <v>89</v>
      </c>
      <c r="C22" s="393">
        <f t="shared" ref="C22:J22" si="0">SUM(C4:C21)</f>
        <v>-30000000</v>
      </c>
      <c r="D22" s="722">
        <f t="shared" si="0"/>
        <v>-76440</v>
      </c>
      <c r="E22" s="393">
        <f t="shared" si="0"/>
        <v>0</v>
      </c>
      <c r="F22" s="214">
        <f t="shared" si="0"/>
        <v>-263900.00000000384</v>
      </c>
      <c r="G22" s="722">
        <f t="shared" si="0"/>
        <v>0</v>
      </c>
      <c r="H22" s="214">
        <f t="shared" si="0"/>
        <v>-263900.00000000384</v>
      </c>
      <c r="I22" s="513">
        <f t="shared" si="0"/>
        <v>-263900.00000000384</v>
      </c>
      <c r="J22" s="462">
        <f t="shared" si="0"/>
        <v>-263900.00000000384</v>
      </c>
      <c r="L22" s="627">
        <v>0</v>
      </c>
      <c r="M22" s="627">
        <v>0</v>
      </c>
    </row>
  </sheetData>
  <mergeCells count="1">
    <mergeCell ref="B2:B3"/>
  </mergeCells>
  <phoneticPr fontId="3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indexed="31"/>
  </sheetPr>
  <dimension ref="B1:Q37"/>
  <sheetViews>
    <sheetView zoomScaleNormal="100" workbookViewId="0">
      <selection activeCell="E23" sqref="E23"/>
    </sheetView>
  </sheetViews>
  <sheetFormatPr defaultRowHeight="16.5"/>
  <cols>
    <col min="1" max="1" width="2.75" customWidth="1"/>
    <col min="2" max="2" width="10.5" customWidth="1"/>
    <col min="3" max="3" width="8.875" style="93" bestFit="1" customWidth="1"/>
    <col min="4" max="4" width="8" style="93" customWidth="1"/>
    <col min="5" max="5" width="9.5" style="93" customWidth="1"/>
    <col min="6" max="6" width="8.5" style="93" bestFit="1" customWidth="1"/>
    <col min="7" max="7" width="8.625" style="93" customWidth="1"/>
    <col min="8" max="8" width="10.25" customWidth="1"/>
    <col min="9" max="9" width="11.625" bestFit="1" customWidth="1"/>
    <col min="10" max="10" width="21.625" bestFit="1" customWidth="1"/>
    <col min="11" max="11" width="15.625" bestFit="1" customWidth="1"/>
    <col min="12" max="12" width="9.875" bestFit="1" customWidth="1"/>
    <col min="13" max="13" width="7.5" customWidth="1"/>
    <col min="16" max="16" width="11.625" bestFit="1" customWidth="1"/>
  </cols>
  <sheetData>
    <row r="1" spans="2:17" ht="21.75" thickBot="1">
      <c r="B1" s="368" t="s">
        <v>174</v>
      </c>
      <c r="C1" s="93" t="s">
        <v>235</v>
      </c>
      <c r="H1" t="s">
        <v>235</v>
      </c>
      <c r="J1" t="s">
        <v>358</v>
      </c>
      <c r="K1" s="368" t="s">
        <v>209</v>
      </c>
      <c r="L1" s="377" t="s">
        <v>179</v>
      </c>
      <c r="M1" s="377" t="s">
        <v>204</v>
      </c>
      <c r="N1" s="93"/>
      <c r="P1" t="s">
        <v>355</v>
      </c>
    </row>
    <row r="2" spans="2:17">
      <c r="B2" s="822" t="s">
        <v>640</v>
      </c>
      <c r="C2" s="823">
        <v>1500</v>
      </c>
      <c r="D2" s="799">
        <v>124</v>
      </c>
      <c r="E2" s="799">
        <v>22</v>
      </c>
      <c r="F2" s="803">
        <f>D2+E2/32</f>
        <v>124.6875</v>
      </c>
      <c r="G2" s="500" t="s">
        <v>1308</v>
      </c>
      <c r="H2" s="547">
        <v>190</v>
      </c>
      <c r="I2" s="491">
        <v>98.79</v>
      </c>
      <c r="J2" t="s">
        <v>442</v>
      </c>
      <c r="K2" s="501" t="s">
        <v>365</v>
      </c>
      <c r="L2" s="830">
        <v>3.4500000000000003E-2</v>
      </c>
      <c r="M2" s="831">
        <v>82</v>
      </c>
      <c r="N2" s="501"/>
      <c r="O2" s="501"/>
      <c r="Q2" s="569"/>
    </row>
    <row r="3" spans="2:17">
      <c r="B3" s="824" t="s">
        <v>641</v>
      </c>
      <c r="C3" s="825">
        <v>900</v>
      </c>
      <c r="D3" s="800">
        <v>111</v>
      </c>
      <c r="E3" s="800">
        <v>9</v>
      </c>
      <c r="F3" s="804">
        <f>D3+E3/32</f>
        <v>111.28125</v>
      </c>
      <c r="G3" s="501" t="s">
        <v>372</v>
      </c>
      <c r="H3" s="169">
        <v>83</v>
      </c>
      <c r="I3" s="492">
        <v>160.49</v>
      </c>
      <c r="J3" t="s">
        <v>443</v>
      </c>
      <c r="K3" s="501" t="s">
        <v>367</v>
      </c>
      <c r="L3" s="830">
        <v>1.125E-2</v>
      </c>
      <c r="M3" s="831">
        <v>295</v>
      </c>
      <c r="N3" s="501"/>
      <c r="O3" s="501"/>
      <c r="P3">
        <v>100.42700000000001</v>
      </c>
      <c r="Q3" s="569">
        <v>100.464</v>
      </c>
    </row>
    <row r="4" spans="2:17">
      <c r="B4" s="824" t="s">
        <v>634</v>
      </c>
      <c r="C4" s="825">
        <v>300</v>
      </c>
      <c r="D4" s="800">
        <v>106</v>
      </c>
      <c r="E4" s="800">
        <v>26.5</v>
      </c>
      <c r="F4" s="804">
        <f>D4+E4/32</f>
        <v>106.828125</v>
      </c>
      <c r="G4" s="501" t="s">
        <v>285</v>
      </c>
      <c r="H4" s="169">
        <v>44</v>
      </c>
      <c r="I4" s="492">
        <v>117.91</v>
      </c>
      <c r="J4" t="s">
        <v>444</v>
      </c>
      <c r="K4" s="832" t="s">
        <v>363</v>
      </c>
      <c r="L4" s="830">
        <v>2.6800000000000001E-2</v>
      </c>
      <c r="M4" s="831">
        <v>862</v>
      </c>
      <c r="N4" s="501"/>
      <c r="O4" s="501"/>
      <c r="P4" s="834">
        <v>97.667400000000001</v>
      </c>
      <c r="Q4" s="569">
        <v>97.283840379801759</v>
      </c>
    </row>
    <row r="5" spans="2:17" ht="17.25" thickBot="1">
      <c r="B5" s="824" t="s">
        <v>642</v>
      </c>
      <c r="C5" s="825">
        <v>200</v>
      </c>
      <c r="D5" s="800">
        <v>101</v>
      </c>
      <c r="E5" s="800">
        <v>24.625</v>
      </c>
      <c r="F5" s="804">
        <f>D5+E5/32</f>
        <v>101.76953125</v>
      </c>
      <c r="G5" s="501" t="s">
        <v>286</v>
      </c>
      <c r="H5" s="501">
        <v>19</v>
      </c>
      <c r="I5" s="492">
        <v>108.84</v>
      </c>
      <c r="J5" t="s">
        <v>445</v>
      </c>
      <c r="K5" s="832" t="s">
        <v>364</v>
      </c>
      <c r="L5" s="830">
        <v>2.5000000000000001E-2</v>
      </c>
      <c r="M5" s="831">
        <v>97</v>
      </c>
      <c r="N5" s="501"/>
      <c r="O5" s="501"/>
      <c r="P5">
        <v>100.425</v>
      </c>
      <c r="Q5" s="569" t="s">
        <v>502</v>
      </c>
    </row>
    <row r="6" spans="2:17" ht="17.25" thickBot="1">
      <c r="B6" s="493"/>
      <c r="C6" s="548"/>
      <c r="D6" s="397"/>
      <c r="E6" s="397"/>
      <c r="F6" s="494"/>
      <c r="G6" s="397"/>
      <c r="H6" s="397"/>
      <c r="I6" s="494"/>
      <c r="J6" t="s">
        <v>446</v>
      </c>
      <c r="K6" s="501" t="s">
        <v>366</v>
      </c>
      <c r="L6" s="830">
        <v>2.9600000000000001E-2</v>
      </c>
      <c r="M6" s="831">
        <v>840</v>
      </c>
      <c r="N6" s="501"/>
      <c r="O6" s="501"/>
      <c r="P6" s="834">
        <v>97.118600000000001</v>
      </c>
      <c r="Q6" s="569">
        <v>96.747894738967034</v>
      </c>
    </row>
    <row r="7" spans="2:17">
      <c r="B7" s="652" t="s">
        <v>646</v>
      </c>
      <c r="C7" s="501">
        <v>1500</v>
      </c>
      <c r="D7" s="800">
        <v>134</v>
      </c>
      <c r="E7" s="800">
        <v>3</v>
      </c>
      <c r="F7" s="804">
        <f>D7+E7/32</f>
        <v>134.09375</v>
      </c>
      <c r="G7" s="500" t="s">
        <v>1569</v>
      </c>
      <c r="H7" s="547">
        <v>190</v>
      </c>
      <c r="I7" s="495">
        <v>144.84</v>
      </c>
      <c r="J7" t="s">
        <v>447</v>
      </c>
      <c r="K7" s="501" t="s">
        <v>368</v>
      </c>
      <c r="L7" s="830">
        <v>3.09E-2</v>
      </c>
      <c r="M7" s="831">
        <v>823</v>
      </c>
      <c r="N7" s="501"/>
      <c r="O7" s="501"/>
      <c r="P7" s="834">
        <v>98.219200000000001</v>
      </c>
      <c r="Q7" s="569">
        <v>97.702958402197083</v>
      </c>
    </row>
    <row r="8" spans="2:17">
      <c r="B8" s="652" t="s">
        <v>644</v>
      </c>
      <c r="C8" s="501">
        <v>900</v>
      </c>
      <c r="D8" s="800">
        <v>116</v>
      </c>
      <c r="E8" s="800">
        <v>21</v>
      </c>
      <c r="F8" s="804">
        <f>D8+E8/32</f>
        <v>116.65625</v>
      </c>
      <c r="G8" s="652" t="s">
        <v>1570</v>
      </c>
      <c r="H8" s="501">
        <v>83</v>
      </c>
      <c r="I8" s="495">
        <v>137.80000000000001</v>
      </c>
      <c r="J8" t="s">
        <v>448</v>
      </c>
      <c r="K8" s="93" t="s">
        <v>373</v>
      </c>
      <c r="L8" s="830">
        <v>0.01</v>
      </c>
      <c r="M8" s="831">
        <v>294</v>
      </c>
      <c r="N8" s="93"/>
      <c r="O8" s="93"/>
      <c r="P8">
        <v>100.2</v>
      </c>
      <c r="Q8" s="569">
        <v>100.596</v>
      </c>
    </row>
    <row r="9" spans="2:17">
      <c r="B9" s="652" t="s">
        <v>648</v>
      </c>
      <c r="C9" s="501">
        <v>300</v>
      </c>
      <c r="D9" s="800">
        <v>110</v>
      </c>
      <c r="E9" s="800">
        <v>27.25</v>
      </c>
      <c r="F9" s="804">
        <f>D9+E9/32</f>
        <v>110.8515625</v>
      </c>
      <c r="G9" s="501" t="s">
        <v>253</v>
      </c>
      <c r="H9" s="169">
        <v>44</v>
      </c>
      <c r="I9" s="495">
        <v>119.06</v>
      </c>
      <c r="J9" t="s">
        <v>449</v>
      </c>
      <c r="K9" s="93" t="s">
        <v>376</v>
      </c>
      <c r="L9" s="830">
        <v>0.01</v>
      </c>
      <c r="M9" s="831">
        <v>294</v>
      </c>
      <c r="N9" s="93"/>
      <c r="O9" s="93"/>
      <c r="P9">
        <v>100.529</v>
      </c>
      <c r="Q9" s="569">
        <v>100.55200000000001</v>
      </c>
    </row>
    <row r="10" spans="2:17" ht="17.25" thickBot="1">
      <c r="B10" s="652" t="s">
        <v>649</v>
      </c>
      <c r="C10" s="501">
        <v>200</v>
      </c>
      <c r="D10" s="800">
        <v>103</v>
      </c>
      <c r="E10" s="800">
        <v>27.75</v>
      </c>
      <c r="F10" s="804">
        <f>D10+E10/32</f>
        <v>103.8671875</v>
      </c>
      <c r="G10" s="501" t="s">
        <v>254</v>
      </c>
      <c r="H10" s="501">
        <v>19</v>
      </c>
      <c r="I10" s="495">
        <v>106.14</v>
      </c>
      <c r="J10" t="s">
        <v>450</v>
      </c>
      <c r="K10" s="833" t="s">
        <v>377</v>
      </c>
      <c r="L10" s="830">
        <v>1.0495000000000001E-2</v>
      </c>
      <c r="M10" s="831">
        <v>10</v>
      </c>
      <c r="N10" s="93"/>
      <c r="O10" s="93"/>
      <c r="P10">
        <v>100.127</v>
      </c>
      <c r="Q10" s="569">
        <v>100.655</v>
      </c>
    </row>
    <row r="11" spans="2:17" ht="17.25" thickBot="1">
      <c r="B11" s="496"/>
      <c r="C11" s="549"/>
      <c r="D11" s="397"/>
      <c r="E11" s="397"/>
      <c r="F11" s="494"/>
      <c r="G11" s="397"/>
      <c r="H11" s="397"/>
      <c r="I11" s="494"/>
      <c r="J11" t="s">
        <v>451</v>
      </c>
      <c r="K11" s="93" t="s">
        <v>378</v>
      </c>
      <c r="L11" s="830">
        <v>1.10413E-2</v>
      </c>
      <c r="M11" s="831">
        <v>10</v>
      </c>
      <c r="N11" s="93"/>
      <c r="O11" s="93"/>
      <c r="P11">
        <v>100.26</v>
      </c>
      <c r="Q11" s="569">
        <v>100.416</v>
      </c>
    </row>
    <row r="12" spans="2:17">
      <c r="B12" s="841" t="s">
        <v>650</v>
      </c>
      <c r="C12" s="842">
        <v>1500</v>
      </c>
      <c r="D12" s="800">
        <v>139</v>
      </c>
      <c r="E12" s="800">
        <v>24</v>
      </c>
      <c r="F12" s="805">
        <f>D12+E12/32</f>
        <v>139.75</v>
      </c>
      <c r="G12" s="500" t="s">
        <v>252</v>
      </c>
      <c r="H12" s="547">
        <v>190</v>
      </c>
      <c r="I12" s="497">
        <v>134.94999999999999</v>
      </c>
      <c r="J12" t="s">
        <v>452</v>
      </c>
      <c r="K12" s="93" t="s">
        <v>453</v>
      </c>
      <c r="L12" s="830">
        <v>9.3474999999999999E-3</v>
      </c>
      <c r="M12" s="831">
        <v>10</v>
      </c>
      <c r="N12" s="93"/>
      <c r="O12" s="93"/>
      <c r="P12">
        <v>100.075</v>
      </c>
      <c r="Q12" s="569">
        <v>100.242</v>
      </c>
    </row>
    <row r="13" spans="2:17">
      <c r="B13" s="843" t="s">
        <v>651</v>
      </c>
      <c r="C13" s="844">
        <v>900</v>
      </c>
      <c r="D13" s="800">
        <v>118</v>
      </c>
      <c r="E13" s="800">
        <v>18</v>
      </c>
      <c r="F13" s="805">
        <f>D13+E13/32</f>
        <v>118.5625</v>
      </c>
      <c r="G13" s="501" t="s">
        <v>337</v>
      </c>
      <c r="H13" s="501">
        <v>83</v>
      </c>
      <c r="I13" s="497">
        <v>177.66</v>
      </c>
      <c r="J13" s="93" t="s">
        <v>451</v>
      </c>
      <c r="K13" s="93" t="s">
        <v>454</v>
      </c>
      <c r="L13" s="830">
        <v>1.1361300000000001E-2</v>
      </c>
      <c r="M13" s="831">
        <v>10</v>
      </c>
      <c r="N13" s="93"/>
      <c r="O13" s="93"/>
      <c r="P13">
        <v>100.376</v>
      </c>
      <c r="Q13" s="569">
        <v>100.512</v>
      </c>
    </row>
    <row r="14" spans="2:17">
      <c r="B14" s="843" t="s">
        <v>652</v>
      </c>
      <c r="C14" s="844">
        <v>300</v>
      </c>
      <c r="D14" s="800">
        <v>111</v>
      </c>
      <c r="E14" s="800">
        <v>28.5</v>
      </c>
      <c r="F14" s="805">
        <f>D14+E14/32</f>
        <v>111.890625</v>
      </c>
      <c r="G14" s="501" t="s">
        <v>255</v>
      </c>
      <c r="H14" s="169">
        <v>44</v>
      </c>
      <c r="I14" s="497">
        <v>116.34</v>
      </c>
      <c r="J14" s="501" t="s">
        <v>455</v>
      </c>
      <c r="K14" s="93" t="s">
        <v>456</v>
      </c>
      <c r="L14" s="830">
        <v>8.9438E-3</v>
      </c>
      <c r="M14" s="831">
        <v>10</v>
      </c>
      <c r="N14" s="93"/>
      <c r="O14" s="93"/>
      <c r="P14">
        <v>99.960999999999999</v>
      </c>
      <c r="Q14" s="569">
        <v>100.298</v>
      </c>
    </row>
    <row r="15" spans="2:17" ht="17.25" thickBot="1">
      <c r="B15" s="843" t="s">
        <v>653</v>
      </c>
      <c r="C15" s="844">
        <v>200</v>
      </c>
      <c r="D15" s="800">
        <v>104</v>
      </c>
      <c r="E15" s="800">
        <v>19.875</v>
      </c>
      <c r="F15" s="805">
        <f>D15+E15/32</f>
        <v>104.62109375</v>
      </c>
      <c r="G15" s="501" t="s">
        <v>256</v>
      </c>
      <c r="H15" s="501">
        <v>19</v>
      </c>
      <c r="I15" s="497">
        <v>108.35</v>
      </c>
      <c r="J15" s="501" t="s">
        <v>457</v>
      </c>
      <c r="K15" s="93" t="s">
        <v>458</v>
      </c>
      <c r="L15" s="830">
        <v>1.098E-2</v>
      </c>
      <c r="M15" s="831">
        <v>10</v>
      </c>
      <c r="N15" s="93"/>
      <c r="O15" s="93"/>
      <c r="P15">
        <v>100.294</v>
      </c>
      <c r="Q15" s="569">
        <v>100.607</v>
      </c>
    </row>
    <row r="16" spans="2:17" ht="17.25" thickBot="1">
      <c r="B16" s="493"/>
      <c r="C16" s="548"/>
      <c r="D16" s="397"/>
      <c r="E16" s="397"/>
      <c r="F16" s="494"/>
      <c r="G16" s="397"/>
      <c r="H16" s="397"/>
      <c r="I16" s="494"/>
      <c r="J16" t="s">
        <v>451</v>
      </c>
      <c r="K16" s="93" t="s">
        <v>393</v>
      </c>
      <c r="L16" s="830">
        <v>1.078E-2</v>
      </c>
      <c r="M16" s="831"/>
      <c r="N16" s="501"/>
      <c r="O16" s="501"/>
      <c r="P16">
        <v>100.336</v>
      </c>
      <c r="Q16" s="569">
        <v>100.69499999999999</v>
      </c>
    </row>
    <row r="17" spans="2:17">
      <c r="B17" s="813" t="s">
        <v>654</v>
      </c>
      <c r="C17" s="814">
        <v>1500</v>
      </c>
      <c r="D17" s="800">
        <v>129</v>
      </c>
      <c r="E17" s="848">
        <v>15</v>
      </c>
      <c r="F17" s="804">
        <f>D17+E17/32</f>
        <v>129.46875</v>
      </c>
      <c r="G17" s="500" t="s">
        <v>252</v>
      </c>
      <c r="H17" s="547">
        <v>190</v>
      </c>
      <c r="I17" s="498">
        <v>134.53</v>
      </c>
      <c r="J17" t="s">
        <v>452</v>
      </c>
      <c r="K17" s="93" t="s">
        <v>394</v>
      </c>
      <c r="L17" s="830">
        <v>1.04475E-2</v>
      </c>
      <c r="M17" s="831">
        <v>10</v>
      </c>
      <c r="N17" s="93"/>
      <c r="O17" s="93"/>
      <c r="P17">
        <v>100.071</v>
      </c>
      <c r="Q17" s="569">
        <v>100.867</v>
      </c>
    </row>
    <row r="18" spans="2:17">
      <c r="B18" s="813" t="s">
        <v>655</v>
      </c>
      <c r="C18" s="815">
        <v>900</v>
      </c>
      <c r="D18" s="800">
        <v>114</v>
      </c>
      <c r="E18" s="848">
        <v>11.5</v>
      </c>
      <c r="F18" s="804">
        <f>D18+E18/32</f>
        <v>114.359375</v>
      </c>
      <c r="G18" s="501" t="s">
        <v>310</v>
      </c>
      <c r="H18" s="501">
        <v>83</v>
      </c>
      <c r="I18" s="498">
        <v>163.16999999999999</v>
      </c>
      <c r="J18" t="s">
        <v>459</v>
      </c>
      <c r="K18" s="93" t="s">
        <v>460</v>
      </c>
      <c r="L18" s="830">
        <v>3.0299999999999997E-2</v>
      </c>
      <c r="M18" s="831">
        <v>104</v>
      </c>
      <c r="N18" s="93"/>
      <c r="O18" s="93"/>
      <c r="P18" s="834">
        <v>100.42570000000001</v>
      </c>
      <c r="Q18" s="569">
        <v>100.38566395791116</v>
      </c>
    </row>
    <row r="19" spans="2:17" s="169" customFormat="1">
      <c r="B19" s="813" t="s">
        <v>656</v>
      </c>
      <c r="C19" s="815">
        <v>300</v>
      </c>
      <c r="D19" s="800">
        <v>109</v>
      </c>
      <c r="E19" s="848">
        <v>1.25</v>
      </c>
      <c r="F19" s="804">
        <f>D19+E19/32</f>
        <v>109.0390625</v>
      </c>
      <c r="G19" s="501" t="s">
        <v>257</v>
      </c>
      <c r="H19" s="169">
        <v>44</v>
      </c>
      <c r="I19" s="498">
        <v>119.84</v>
      </c>
      <c r="J19" t="s">
        <v>461</v>
      </c>
      <c r="K19" s="93" t="s">
        <v>462</v>
      </c>
      <c r="L19" s="830">
        <v>2.69E-2</v>
      </c>
      <c r="M19" s="831">
        <v>115</v>
      </c>
      <c r="N19" s="828"/>
      <c r="O19" s="828"/>
      <c r="P19" s="834">
        <v>100.35039999999999</v>
      </c>
      <c r="Q19" s="569">
        <v>100.3711491303935</v>
      </c>
    </row>
    <row r="20" spans="2:17" ht="17.25" thickBot="1">
      <c r="B20" s="816" t="s">
        <v>657</v>
      </c>
      <c r="C20" s="817">
        <v>200</v>
      </c>
      <c r="D20" s="801">
        <v>102</v>
      </c>
      <c r="E20" s="850">
        <v>24.625</v>
      </c>
      <c r="F20" s="806">
        <f>D20+E20/32</f>
        <v>102.76953125</v>
      </c>
      <c r="G20" s="553" t="s">
        <v>258</v>
      </c>
      <c r="H20" s="502">
        <v>19</v>
      </c>
      <c r="I20" s="499">
        <v>109.25</v>
      </c>
      <c r="J20" t="s">
        <v>463</v>
      </c>
      <c r="K20" s="93" t="s">
        <v>402</v>
      </c>
      <c r="L20" s="830">
        <v>2.8900000000000002E-2</v>
      </c>
      <c r="M20" s="831">
        <v>87.13</v>
      </c>
      <c r="N20" s="828"/>
      <c r="O20" s="828"/>
      <c r="P20" s="834">
        <v>100.33669999999999</v>
      </c>
      <c r="Q20" s="569">
        <v>100.32415104388103</v>
      </c>
    </row>
    <row r="21" spans="2:17">
      <c r="J21" t="s">
        <v>464</v>
      </c>
      <c r="K21" s="93" t="s">
        <v>509</v>
      </c>
      <c r="L21" s="830">
        <v>2.9600000000000001E-2</v>
      </c>
      <c r="M21" s="831">
        <v>109</v>
      </c>
      <c r="N21" s="828"/>
      <c r="O21" s="828"/>
      <c r="P21" s="834">
        <v>100.4131</v>
      </c>
      <c r="Q21" s="569">
        <v>100.4058026049307</v>
      </c>
    </row>
    <row r="22" spans="2:17" ht="21.75" thickBot="1">
      <c r="B22" s="854" t="s">
        <v>709</v>
      </c>
      <c r="J22" t="s">
        <v>465</v>
      </c>
      <c r="K22" s="93" t="s">
        <v>415</v>
      </c>
      <c r="L22" s="830">
        <v>3.27E-2</v>
      </c>
      <c r="M22" s="831">
        <v>849</v>
      </c>
      <c r="N22" s="828"/>
      <c r="O22" s="828"/>
      <c r="P22" s="834">
        <v>102.9756</v>
      </c>
      <c r="Q22" s="569">
        <v>102.52874753232855</v>
      </c>
    </row>
    <row r="23" spans="2:17">
      <c r="B23" s="623" t="s">
        <v>173</v>
      </c>
      <c r="C23" s="852">
        <v>30.52</v>
      </c>
      <c r="D23" s="169"/>
      <c r="E23" s="169"/>
      <c r="H23" t="s">
        <v>622</v>
      </c>
      <c r="I23" s="51">
        <f>'Report in NTD'!H4</f>
        <v>0</v>
      </c>
      <c r="J23" t="s">
        <v>466</v>
      </c>
      <c r="K23" s="93" t="s">
        <v>403</v>
      </c>
      <c r="L23" s="830">
        <v>8.5000000000000006E-3</v>
      </c>
      <c r="M23" s="831">
        <v>295</v>
      </c>
      <c r="N23" s="93"/>
      <c r="O23" s="93"/>
      <c r="P23">
        <v>100.12</v>
      </c>
      <c r="Q23" s="569">
        <v>100.208</v>
      </c>
    </row>
    <row r="24" spans="2:17">
      <c r="B24" s="601" t="s">
        <v>674</v>
      </c>
      <c r="C24" s="853">
        <v>1.0896999999999999</v>
      </c>
      <c r="G24"/>
      <c r="H24" t="s">
        <v>623</v>
      </c>
      <c r="I24" s="51">
        <f>'Report in NTD'!H10</f>
        <v>0</v>
      </c>
      <c r="J24" t="s">
        <v>467</v>
      </c>
      <c r="K24" s="93" t="s">
        <v>468</v>
      </c>
      <c r="L24" s="830">
        <v>8.7500000000000008E-3</v>
      </c>
      <c r="M24" s="831">
        <v>294</v>
      </c>
      <c r="N24" s="828"/>
      <c r="O24" s="828"/>
      <c r="P24">
        <v>99.17</v>
      </c>
      <c r="Q24" s="569">
        <v>100.291</v>
      </c>
    </row>
    <row r="25" spans="2:17">
      <c r="B25" s="601" t="s">
        <v>328</v>
      </c>
      <c r="C25" s="853">
        <v>6.8779000000000003</v>
      </c>
      <c r="G25"/>
      <c r="H25" t="s">
        <v>624</v>
      </c>
      <c r="I25" s="51">
        <f>'Report in NTD'!H16</f>
        <v>0</v>
      </c>
      <c r="J25" t="s">
        <v>469</v>
      </c>
      <c r="K25" s="93" t="s">
        <v>470</v>
      </c>
      <c r="L25" s="830">
        <v>1.2E-2</v>
      </c>
      <c r="M25" s="831">
        <v>446</v>
      </c>
      <c r="N25" s="828"/>
      <c r="O25" s="828"/>
      <c r="P25" s="93">
        <v>98.3</v>
      </c>
      <c r="Q25" s="569">
        <v>99.956999999999994</v>
      </c>
    </row>
    <row r="26" spans="2:17" ht="17.25" thickBot="1">
      <c r="B26" s="644" t="s">
        <v>178</v>
      </c>
      <c r="C26" s="503">
        <v>4.2250000000000003E-2</v>
      </c>
      <c r="G26"/>
      <c r="H26" t="s">
        <v>1292</v>
      </c>
      <c r="I26" s="51">
        <f>'Report in NTD'!H21</f>
        <v>-3813110.2679999704</v>
      </c>
      <c r="J26" t="s">
        <v>471</v>
      </c>
      <c r="K26" s="93" t="s">
        <v>421</v>
      </c>
      <c r="L26" s="830">
        <v>1.375E-2</v>
      </c>
      <c r="M26" s="831">
        <v>482</v>
      </c>
      <c r="N26" s="828"/>
      <c r="O26" s="828"/>
      <c r="P26" s="93">
        <v>97</v>
      </c>
      <c r="Q26" s="569">
        <v>99.381</v>
      </c>
    </row>
    <row r="27" spans="2:17">
      <c r="G27" s="51"/>
      <c r="H27" t="s">
        <v>625</v>
      </c>
      <c r="I27" s="51">
        <f>'Report in NTD'!H23+'Report in NTD'!H22</f>
        <v>327337.96820090449</v>
      </c>
      <c r="J27" t="s">
        <v>450</v>
      </c>
      <c r="K27" s="93" t="s">
        <v>416</v>
      </c>
      <c r="L27" s="830">
        <v>1.375E-2</v>
      </c>
      <c r="M27" s="831">
        <v>10</v>
      </c>
      <c r="N27" s="828"/>
      <c r="O27" s="828"/>
      <c r="P27">
        <v>100.256</v>
      </c>
      <c r="Q27" s="569">
        <v>100.42400000000001</v>
      </c>
    </row>
    <row r="28" spans="2:17">
      <c r="G28" s="851"/>
      <c r="H28" t="s">
        <v>626</v>
      </c>
      <c r="I28" s="51">
        <f>'Report in NTD'!H6+'Report in NTD'!H8</f>
        <v>131501.36474644719</v>
      </c>
      <c r="J28" t="s">
        <v>452</v>
      </c>
      <c r="K28" s="93" t="s">
        <v>472</v>
      </c>
      <c r="L28" s="830">
        <v>1.375E-2</v>
      </c>
      <c r="M28" s="831">
        <v>10</v>
      </c>
      <c r="N28" s="501"/>
      <c r="O28" s="501"/>
      <c r="P28">
        <v>100.319</v>
      </c>
      <c r="Q28" s="569">
        <v>100.38500000000001</v>
      </c>
    </row>
    <row r="29" spans="2:17">
      <c r="G29"/>
      <c r="H29" t="s">
        <v>627</v>
      </c>
      <c r="I29" s="51">
        <f>'Report in NTD'!H13</f>
        <v>0</v>
      </c>
      <c r="J29" s="826" t="s">
        <v>473</v>
      </c>
      <c r="K29" s="93" t="s">
        <v>474</v>
      </c>
      <c r="L29" s="830">
        <v>9.5999999999999992E-3</v>
      </c>
      <c r="M29" s="831">
        <v>10</v>
      </c>
      <c r="N29" s="93"/>
      <c r="O29" s="93"/>
      <c r="P29">
        <v>100.193</v>
      </c>
      <c r="Q29" s="569">
        <v>100.5</v>
      </c>
    </row>
    <row r="30" spans="2:17">
      <c r="H30" t="s">
        <v>489</v>
      </c>
      <c r="I30" s="51">
        <f>'Report in NTD'!H19</f>
        <v>-71575.328125</v>
      </c>
      <c r="J30" s="826" t="s">
        <v>663</v>
      </c>
      <c r="K30" s="93" t="s">
        <v>428</v>
      </c>
      <c r="L30" s="830">
        <v>5.0000000000000001E-3</v>
      </c>
      <c r="M30" s="831">
        <v>10</v>
      </c>
      <c r="N30" s="93"/>
      <c r="O30" s="93"/>
      <c r="P30">
        <v>99.626000000000005</v>
      </c>
      <c r="Q30" s="569">
        <v>99.772000000000006</v>
      </c>
    </row>
    <row r="31" spans="2:17">
      <c r="H31" t="s">
        <v>628</v>
      </c>
      <c r="I31" s="51">
        <f ca="1">'Report in NTD'!H27+'Report in NTD'!H26</f>
        <v>310854.0625</v>
      </c>
      <c r="J31" t="s">
        <v>475</v>
      </c>
      <c r="K31" s="829" t="s">
        <v>432</v>
      </c>
      <c r="L31" s="827"/>
      <c r="M31" s="831">
        <v>428</v>
      </c>
      <c r="N31" s="828"/>
      <c r="O31" s="828"/>
      <c r="P31" s="834">
        <v>101.30629999999999</v>
      </c>
      <c r="Q31" s="569">
        <v>101.10247633520262</v>
      </c>
    </row>
    <row r="32" spans="2:17">
      <c r="H32" t="s">
        <v>679</v>
      </c>
      <c r="I32" s="51">
        <f>'Report in NTD'!H25+'Report in NTD'!H24</f>
        <v>24874.734375</v>
      </c>
      <c r="K32" s="501" t="s">
        <v>494</v>
      </c>
      <c r="L32" s="501"/>
      <c r="M32" s="831">
        <v>296</v>
      </c>
      <c r="N32" s="501"/>
      <c r="O32" s="501"/>
      <c r="P32">
        <v>99.95</v>
      </c>
      <c r="Q32" s="569">
        <v>100.265</v>
      </c>
    </row>
    <row r="33" spans="10:17">
      <c r="K33" s="829" t="s">
        <v>495</v>
      </c>
      <c r="M33" s="831">
        <v>100</v>
      </c>
      <c r="P33">
        <v>102.062</v>
      </c>
      <c r="Q33" s="569">
        <v>101.601</v>
      </c>
    </row>
    <row r="34" spans="10:17">
      <c r="J34" t="s">
        <v>506</v>
      </c>
      <c r="K34" t="s">
        <v>496</v>
      </c>
      <c r="M34" s="831">
        <v>809</v>
      </c>
      <c r="P34" s="93">
        <v>102.4503</v>
      </c>
      <c r="Q34">
        <v>102.43474923735606</v>
      </c>
    </row>
    <row r="35" spans="10:17">
      <c r="J35" t="s">
        <v>519</v>
      </c>
      <c r="K35" s="826" t="s">
        <v>508</v>
      </c>
      <c r="L35" s="836">
        <v>3.6600000000000001E-2</v>
      </c>
      <c r="M35" s="831">
        <v>845</v>
      </c>
      <c r="P35" s="93">
        <v>104.7786</v>
      </c>
    </row>
    <row r="36" spans="10:17">
      <c r="J36" t="s">
        <v>513</v>
      </c>
      <c r="K36" t="s">
        <v>515</v>
      </c>
      <c r="L36" s="836">
        <v>3.4799999999999998E-2</v>
      </c>
      <c r="M36" s="831">
        <v>651</v>
      </c>
      <c r="P36" s="93">
        <v>102.6726</v>
      </c>
    </row>
    <row r="37" spans="10:17">
      <c r="J37" t="s">
        <v>616</v>
      </c>
      <c r="K37" t="s">
        <v>556</v>
      </c>
      <c r="L37" s="836">
        <v>3.6499999999999998E-2</v>
      </c>
      <c r="M37" s="831">
        <v>588</v>
      </c>
      <c r="P37" s="849">
        <v>103.646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indexed="10"/>
  </sheetPr>
  <dimension ref="B2:K33"/>
  <sheetViews>
    <sheetView showGridLines="0" tabSelected="1" zoomScale="85" zoomScaleNormal="85" workbookViewId="0">
      <selection activeCell="K12" sqref="K12"/>
    </sheetView>
  </sheetViews>
  <sheetFormatPr defaultColWidth="8.875" defaultRowHeight="16.5"/>
  <cols>
    <col min="1" max="1" width="8.875" style="569" customWidth="1"/>
    <col min="2" max="2" width="13.5" style="569" customWidth="1"/>
    <col min="3" max="7" width="14.5" style="570" customWidth="1"/>
    <col min="8" max="8" width="13" style="571" customWidth="1"/>
    <col min="9" max="9" width="11.625" style="568" customWidth="1"/>
    <col min="10" max="10" width="9.625" style="569" customWidth="1"/>
    <col min="11" max="11" width="10.875" style="569" bestFit="1" customWidth="1"/>
    <col min="12" max="16384" width="8.875" style="569"/>
  </cols>
  <sheetData>
    <row r="2" spans="2:11" ht="27.6" customHeight="1">
      <c r="B2" s="580" t="s">
        <v>241</v>
      </c>
      <c r="C2" s="581">
        <f ca="1">TODAY()</f>
        <v>45022</v>
      </c>
    </row>
    <row r="3" spans="2:11" ht="27.6" customHeight="1">
      <c r="B3" s="580" t="s">
        <v>505</v>
      </c>
      <c r="C3" s="651" t="s">
        <v>1535</v>
      </c>
      <c r="G3" s="650"/>
    </row>
    <row r="4" spans="2:11" ht="17.25" thickBot="1">
      <c r="B4" s="14"/>
      <c r="C4" s="14"/>
      <c r="D4" s="14"/>
      <c r="E4" s="14"/>
      <c r="F4" s="14"/>
      <c r="G4" s="14"/>
      <c r="H4" s="14"/>
    </row>
    <row r="5" spans="2:11" ht="27.6" customHeight="1" thickTop="1" thickBot="1">
      <c r="B5" s="578" t="s">
        <v>1536</v>
      </c>
      <c r="C5" s="589" t="s">
        <v>1535</v>
      </c>
      <c r="D5" s="579" t="s">
        <v>242</v>
      </c>
    </row>
    <row r="6" spans="2:11" ht="27.6" customHeight="1" thickTop="1" thickBot="1">
      <c r="B6" s="578" t="s">
        <v>1571</v>
      </c>
      <c r="C6" s="589" t="s">
        <v>1535</v>
      </c>
      <c r="D6" s="579" t="s">
        <v>239</v>
      </c>
    </row>
    <row r="7" spans="2:11" ht="27.6" customHeight="1" thickTop="1" thickBot="1">
      <c r="B7" s="578" t="s">
        <v>609</v>
      </c>
      <c r="C7" s="589" t="s">
        <v>1535</v>
      </c>
      <c r="D7" s="579" t="s">
        <v>708</v>
      </c>
    </row>
    <row r="8" spans="2:11" ht="27.6" customHeight="1" thickTop="1" thickBot="1">
      <c r="B8" s="578" t="s">
        <v>552</v>
      </c>
      <c r="C8" s="589" t="s">
        <v>1535</v>
      </c>
      <c r="D8" s="579" t="s">
        <v>240</v>
      </c>
    </row>
    <row r="9" spans="2:11" ht="27.6" customHeight="1" thickTop="1" thickBot="1">
      <c r="B9" s="578" t="s">
        <v>1572</v>
      </c>
      <c r="C9" s="589" t="s">
        <v>1535</v>
      </c>
      <c r="D9" s="579" t="s">
        <v>243</v>
      </c>
    </row>
    <row r="10" spans="2:11" ht="17.25" thickTop="1">
      <c r="C10" s="622"/>
    </row>
    <row r="11" spans="2:11" ht="17.25" thickBot="1"/>
    <row r="12" spans="2:11" ht="24" customHeight="1" thickBot="1">
      <c r="B12" s="583"/>
      <c r="C12" s="584" t="s">
        <v>635</v>
      </c>
      <c r="D12" s="584" t="s">
        <v>633</v>
      </c>
      <c r="E12" s="584" t="s">
        <v>636</v>
      </c>
      <c r="F12" s="584" t="s">
        <v>1295</v>
      </c>
      <c r="G12" s="584" t="s">
        <v>637</v>
      </c>
      <c r="H12" s="582" t="s">
        <v>196</v>
      </c>
      <c r="J12" s="590" t="s">
        <v>246</v>
      </c>
      <c r="K12" s="591" t="s">
        <v>247</v>
      </c>
    </row>
    <row r="13" spans="2:11" ht="24" customHeight="1" thickBot="1">
      <c r="B13" s="585" t="s">
        <v>244</v>
      </c>
      <c r="C13" s="572" t="str">
        <f>VLOOKUP($C$12,'market px'!$B$2:$E$20,3,0) &amp; "-" &amp; VLOOKUP($C$12,'market px'!$B$2:$E$20,4,0)</f>
        <v>111-9</v>
      </c>
      <c r="D13" s="572" t="str">
        <f>VLOOKUP($D$12,'market px'!$B$2:$E$20,3,0) &amp; "-" &amp; VLOOKUP($D$12,'market px'!$B$2:$E$20,4,0)</f>
        <v>124-22</v>
      </c>
      <c r="E13" s="572" t="str">
        <f>VLOOKUP($E$12,'market px'!$B$2:$E$20,3,0) &amp; "-" &amp; VLOOKUP($E$12,'market px'!$B$2:$E$20,4,0)</f>
        <v>106-26.5</v>
      </c>
      <c r="F13" s="572"/>
      <c r="G13" s="572" t="str">
        <f>VLOOKUP($G$12,'market px'!$B$2:$E$20,3,0) &amp; "-" &amp; VLOOKUP($G$12,'market px'!$B$2:$E$20,4,0)</f>
        <v>101-24.625</v>
      </c>
      <c r="H13" s="573"/>
      <c r="J13" s="592">
        <v>962847</v>
      </c>
      <c r="K13" s="14">
        <v>962406</v>
      </c>
    </row>
    <row r="14" spans="2:11" ht="23.25" customHeight="1" thickTop="1" thickBot="1">
      <c r="B14" s="586" t="s">
        <v>151</v>
      </c>
      <c r="C14" s="574">
        <f>-'Report-USD'!D5/90</f>
        <v>0</v>
      </c>
      <c r="D14" s="574">
        <v>0</v>
      </c>
      <c r="E14" s="574">
        <v>0</v>
      </c>
      <c r="F14" s="574">
        <v>0</v>
      </c>
      <c r="G14" s="574">
        <v>0</v>
      </c>
      <c r="H14" s="593">
        <v>0</v>
      </c>
      <c r="J14" s="592" t="s">
        <v>551</v>
      </c>
      <c r="K14" s="14" t="s">
        <v>488</v>
      </c>
    </row>
    <row r="15" spans="2:11" ht="24" hidden="1" customHeight="1" thickBot="1">
      <c r="B15" s="587" t="s">
        <v>554</v>
      </c>
      <c r="C15" s="575">
        <f>'Report-USD'!C11</f>
        <v>0</v>
      </c>
      <c r="D15" s="576">
        <v>0</v>
      </c>
      <c r="E15" s="576">
        <v>0</v>
      </c>
      <c r="F15" s="576">
        <f>'Roger-UR'!E27/1000000</f>
        <v>0</v>
      </c>
      <c r="G15" s="576">
        <v>0</v>
      </c>
      <c r="H15" s="594">
        <f>'Report in NTD'!D13+'Report in NTD'!D11</f>
        <v>0</v>
      </c>
      <c r="J15" s="592"/>
      <c r="K15" s="14">
        <v>1000017</v>
      </c>
    </row>
    <row r="16" spans="2:11" ht="24" customHeight="1" thickBot="1">
      <c r="B16" s="587" t="s">
        <v>245</v>
      </c>
      <c r="C16" s="575">
        <f>'Report-USD'!C7</f>
        <v>50</v>
      </c>
      <c r="D16" s="576">
        <v>0</v>
      </c>
      <c r="E16" s="576">
        <v>0</v>
      </c>
      <c r="F16" s="576">
        <v>0</v>
      </c>
      <c r="G16" s="576">
        <v>0</v>
      </c>
      <c r="H16" s="594">
        <f>'Report in NTD'!D8+'Report in NTD'!D6</f>
        <v>-2135</v>
      </c>
      <c r="J16" s="592"/>
      <c r="K16" s="14">
        <v>1080131</v>
      </c>
    </row>
    <row r="17" spans="2:11" ht="21.75" customHeight="1" thickBot="1">
      <c r="B17" s="587" t="s">
        <v>553</v>
      </c>
      <c r="C17" s="576">
        <f>'Report-USD'!C17</f>
        <v>0</v>
      </c>
      <c r="D17" s="576">
        <v>0</v>
      </c>
      <c r="E17" s="576">
        <v>0</v>
      </c>
      <c r="F17" s="576">
        <f>'Report-EUR'!C17</f>
        <v>-220</v>
      </c>
      <c r="G17" s="576">
        <v>0</v>
      </c>
      <c r="H17" s="594">
        <f>'Report in NTD'!D21</f>
        <v>4554.9459999999999</v>
      </c>
      <c r="J17" s="592"/>
      <c r="K17" s="14" t="s">
        <v>613</v>
      </c>
    </row>
    <row r="18" spans="2:11" ht="24" hidden="1" customHeight="1" thickBot="1">
      <c r="B18" s="587" t="s">
        <v>341</v>
      </c>
      <c r="C18" s="576">
        <f>'Report-USD'!C13</f>
        <v>0</v>
      </c>
      <c r="D18" s="576">
        <v>0</v>
      </c>
      <c r="E18" s="576">
        <f>-'Report-EUR'!D13/90</f>
        <v>0</v>
      </c>
      <c r="F18" s="576">
        <v>0</v>
      </c>
      <c r="G18" s="576">
        <v>0</v>
      </c>
      <c r="H18" s="594">
        <f>'Report in NTD'!D16</f>
        <v>0</v>
      </c>
      <c r="J18" s="592"/>
      <c r="K18" s="14"/>
    </row>
    <row r="19" spans="2:11" ht="22.5" customHeight="1" thickBot="1">
      <c r="B19" s="587" t="s">
        <v>489</v>
      </c>
      <c r="C19" s="576">
        <f>'Report-USD'!C15</f>
        <v>-70</v>
      </c>
      <c r="D19" s="576">
        <v>0</v>
      </c>
      <c r="E19" s="575">
        <v>0</v>
      </c>
      <c r="F19" s="576">
        <v>0</v>
      </c>
      <c r="G19" s="576">
        <v>0</v>
      </c>
      <c r="H19" s="594">
        <f>'Report in NTD'!D19</f>
        <v>5390</v>
      </c>
      <c r="J19" s="592"/>
      <c r="K19" s="613"/>
    </row>
    <row r="20" spans="2:11" ht="24" hidden="1" customHeight="1" thickBot="1">
      <c r="B20" s="587" t="s">
        <v>220</v>
      </c>
      <c r="C20" s="576">
        <f>'Report-USD'!C17</f>
        <v>0</v>
      </c>
      <c r="D20" s="576">
        <v>0</v>
      </c>
      <c r="E20" s="576">
        <v>0</v>
      </c>
      <c r="F20" s="576">
        <v>0</v>
      </c>
      <c r="G20" s="576">
        <v>0</v>
      </c>
      <c r="H20" s="594">
        <v>0</v>
      </c>
      <c r="K20" s="613"/>
    </row>
    <row r="21" spans="2:11" ht="24" customHeight="1" thickBot="1">
      <c r="B21" s="587" t="s">
        <v>330</v>
      </c>
      <c r="C21" s="576">
        <f>'Report-USD'!C19</f>
        <v>20</v>
      </c>
      <c r="D21" s="576">
        <v>0</v>
      </c>
      <c r="E21" s="575">
        <f>-'Report-EUR'!D19/90</f>
        <v>0</v>
      </c>
      <c r="F21" s="576">
        <f>'Report-USD'!C18/100000</f>
        <v>0</v>
      </c>
      <c r="G21" s="576">
        <v>0</v>
      </c>
      <c r="H21" s="594">
        <f>'Report-USD'!D19</f>
        <v>-854</v>
      </c>
    </row>
    <row r="22" spans="2:11" ht="24" customHeight="1" thickBot="1">
      <c r="B22" s="587" t="s">
        <v>676</v>
      </c>
      <c r="C22" s="576">
        <f>'Report-USD'!C21</f>
        <v>10</v>
      </c>
      <c r="D22" s="877">
        <v>0</v>
      </c>
      <c r="E22" s="877">
        <v>0</v>
      </c>
      <c r="F22" s="877">
        <v>0</v>
      </c>
      <c r="G22" s="877">
        <v>0</v>
      </c>
      <c r="H22" s="594">
        <f>'Report in NTD'!D25</f>
        <v>-770</v>
      </c>
    </row>
    <row r="23" spans="2:11" ht="24" customHeight="1" thickBot="1">
      <c r="B23" s="587" t="s">
        <v>309</v>
      </c>
      <c r="C23" s="576">
        <f>'Report-USD'!C23</f>
        <v>0</v>
      </c>
      <c r="D23" s="576">
        <v>0</v>
      </c>
      <c r="E23" s="575">
        <v>0</v>
      </c>
      <c r="F23" s="576">
        <f>'Report-USD'!C22/1000000</f>
        <v>0</v>
      </c>
      <c r="G23" s="576">
        <v>0</v>
      </c>
      <c r="H23" s="594">
        <f>'Report in NTD'!D27</f>
        <v>0</v>
      </c>
    </row>
    <row r="24" spans="2:11" ht="24" customHeight="1" thickBot="1">
      <c r="B24" s="588" t="s">
        <v>197</v>
      </c>
      <c r="C24" s="577">
        <f t="shared" ref="C24:H24" si="0">SUM(C14:C23)</f>
        <v>10</v>
      </c>
      <c r="D24" s="577">
        <f t="shared" si="0"/>
        <v>0</v>
      </c>
      <c r="E24" s="577">
        <f>SUM(E14:E23)</f>
        <v>0</v>
      </c>
      <c r="F24" s="577">
        <f t="shared" si="0"/>
        <v>-220</v>
      </c>
      <c r="G24" s="577">
        <f t="shared" si="0"/>
        <v>0</v>
      </c>
      <c r="H24" s="595">
        <f t="shared" si="0"/>
        <v>6185.9459999999999</v>
      </c>
    </row>
    <row r="25" spans="2:11" ht="17.25" thickTop="1"/>
    <row r="31" spans="2:11">
      <c r="G31" s="570" t="s">
        <v>21</v>
      </c>
    </row>
    <row r="32" spans="2:11">
      <c r="F32" s="570" t="s">
        <v>283</v>
      </c>
    </row>
    <row r="33" spans="7:7">
      <c r="G33" s="570" t="s">
        <v>21</v>
      </c>
    </row>
  </sheetData>
  <dataConsolidate function="stdDev"/>
  <phoneticPr fontId="3" type="noConversion"/>
  <conditionalFormatting sqref="C26:H65537 C24:H24 C14:H21">
    <cfRule type="cellIs" dxfId="44" priority="7" stopIfTrue="1" operator="equal">
      <formula>0</formula>
    </cfRule>
  </conditionalFormatting>
  <conditionalFormatting sqref="D22:H22">
    <cfRule type="cellIs" dxfId="43" priority="3" stopIfTrue="1" operator="equal">
      <formula>0</formula>
    </cfRule>
  </conditionalFormatting>
  <conditionalFormatting sqref="C22">
    <cfRule type="cellIs" dxfId="42" priority="2" stopIfTrue="1" operator="equal">
      <formula>0</formula>
    </cfRule>
  </conditionalFormatting>
  <conditionalFormatting sqref="C23:H23">
    <cfRule type="cellIs" dxfId="41" priority="1" stopIfTrue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7" r:id="rId4" name="ClearBtn">
          <controlPr defaultSize="0" autoLine="0" r:id="rId5">
            <anchor moveWithCells="1">
              <from>
                <xdr:col>3</xdr:col>
                <xdr:colOff>581025</xdr:colOff>
                <xdr:row>1</xdr:row>
                <xdr:rowOff>180975</xdr:rowOff>
              </from>
              <to>
                <xdr:col>4</xdr:col>
                <xdr:colOff>619125</xdr:colOff>
                <xdr:row>2</xdr:row>
                <xdr:rowOff>333375</xdr:rowOff>
              </to>
            </anchor>
          </controlPr>
        </control>
      </mc:Choice>
      <mc:Fallback>
        <control shapeId="6147" r:id="rId4" name="ClearBtn"/>
      </mc:Fallback>
    </mc:AlternateContent>
    <mc:AlternateContent xmlns:mc="http://schemas.openxmlformats.org/markup-compatibility/2006">
      <mc:Choice Requires="x14">
        <control shapeId="6146" r:id="rId6" name="LastMonthChBox">
          <controlPr locked="0" defaultSize="0" autoFill="0" autoLine="0" autoPict="0">
            <anchor moveWithCells="1">
              <from>
                <xdr:col>4</xdr:col>
                <xdr:colOff>466725</xdr:colOff>
                <xdr:row>3</xdr:row>
                <xdr:rowOff>209550</xdr:rowOff>
              </from>
              <to>
                <xdr:col>6</xdr:col>
                <xdr:colOff>971550</xdr:colOff>
                <xdr:row>4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indexed="47"/>
  </sheetPr>
  <dimension ref="A1:U250"/>
  <sheetViews>
    <sheetView workbookViewId="0">
      <selection activeCell="A9" sqref="A9"/>
    </sheetView>
  </sheetViews>
  <sheetFormatPr defaultRowHeight="16.5"/>
  <cols>
    <col min="1" max="1" width="13.625" style="376" bestFit="1" customWidth="1"/>
    <col min="2" max="2" width="12.875" style="384" bestFit="1" customWidth="1"/>
    <col min="3" max="5" width="11.125" style="384" bestFit="1" customWidth="1"/>
    <col min="6" max="8" width="9" style="384"/>
    <col min="9" max="9" width="9.625" style="384" bestFit="1" customWidth="1"/>
    <col min="10" max="10" width="9" style="384"/>
    <col min="11" max="11" width="10.625" style="194" customWidth="1"/>
    <col min="12" max="12" width="11.5" style="194" bestFit="1" customWidth="1"/>
    <col min="13" max="14" width="9" style="194"/>
    <col min="15" max="15" width="14.875" style="194" bestFit="1" customWidth="1"/>
    <col min="16" max="16" width="11.25" style="194" bestFit="1" customWidth="1"/>
    <col min="17" max="18" width="9" style="194"/>
    <col min="19" max="19" width="11.25" style="194" bestFit="1" customWidth="1"/>
    <col min="20" max="16384" width="9" style="194"/>
  </cols>
  <sheetData>
    <row r="1" spans="1:21" s="469" customFormat="1" ht="17.25" thickBot="1">
      <c r="A1" s="467" t="s">
        <v>207</v>
      </c>
      <c r="B1" s="468">
        <f>B6</f>
        <v>0</v>
      </c>
      <c r="C1" s="468">
        <f>C6</f>
        <v>0</v>
      </c>
      <c r="D1" s="468">
        <f>SUM(D8:D500)</f>
        <v>0</v>
      </c>
      <c r="E1" s="468">
        <f t="shared" ref="E1:J1" si="0">SUM(E8:E500)</f>
        <v>0</v>
      </c>
      <c r="F1" s="468">
        <f t="shared" si="0"/>
        <v>0</v>
      </c>
      <c r="G1" s="468">
        <f t="shared" si="0"/>
        <v>0</v>
      </c>
      <c r="H1" s="468">
        <f t="shared" si="0"/>
        <v>0</v>
      </c>
      <c r="I1" s="468">
        <f>I6</f>
        <v>0</v>
      </c>
      <c r="J1" s="468">
        <f t="shared" si="0"/>
        <v>0</v>
      </c>
    </row>
    <row r="2" spans="1:21" s="469" customFormat="1" ht="17.25" thickTop="1">
      <c r="A2" s="598" t="s">
        <v>288</v>
      </c>
      <c r="B2" s="599">
        <f>'John-UR'!G3</f>
        <v>0</v>
      </c>
      <c r="C2" s="600" t="e">
        <f>+'Aaron-UR'!#REF!</f>
        <v>#REF!</v>
      </c>
      <c r="D2" s="599"/>
      <c r="E2" s="471"/>
      <c r="F2" s="470"/>
      <c r="G2" s="470"/>
      <c r="H2" s="470"/>
      <c r="I2" s="470"/>
      <c r="J2" s="470"/>
    </row>
    <row r="3" spans="1:21" s="469" customFormat="1" ht="17.25" thickBot="1">
      <c r="A3" s="602" t="str">
        <f>'market px'!K4</f>
        <v>CND100036Q75</v>
      </c>
      <c r="B3" s="596"/>
      <c r="C3" s="597">
        <v>0</v>
      </c>
      <c r="D3" s="596"/>
      <c r="E3" s="597"/>
      <c r="F3" s="596"/>
      <c r="G3" s="596"/>
      <c r="H3" s="596"/>
      <c r="I3" s="596"/>
      <c r="J3" s="596"/>
      <c r="O3" s="87" t="s">
        <v>299</v>
      </c>
      <c r="P3" s="122">
        <v>41919</v>
      </c>
      <c r="Q3" s="122"/>
      <c r="R3" s="536"/>
      <c r="S3" s="88">
        <f>1000000*1</f>
        <v>1000000</v>
      </c>
      <c r="U3" s="653"/>
    </row>
    <row r="4" spans="1:21" s="469" customFormat="1" ht="20.25" customHeight="1" thickTop="1">
      <c r="A4" s="603" t="s">
        <v>205</v>
      </c>
      <c r="B4" s="647"/>
      <c r="C4" s="604">
        <v>0</v>
      </c>
      <c r="D4" s="604"/>
      <c r="E4" s="470"/>
      <c r="F4" s="470"/>
      <c r="G4" s="470"/>
      <c r="H4" s="470"/>
      <c r="I4" s="470">
        <v>0</v>
      </c>
      <c r="J4" s="470"/>
      <c r="K4" s="649"/>
      <c r="M4" s="469">
        <f ca="1">COUPDAYS(TODAY(),"2024/2/15",2,1)</f>
        <v>181</v>
      </c>
      <c r="O4" s="87" t="s">
        <v>290</v>
      </c>
      <c r="P4" s="122">
        <v>41921</v>
      </c>
      <c r="Q4" s="122"/>
      <c r="R4" s="536"/>
      <c r="S4" s="88">
        <f>1000000*1</f>
        <v>1000000</v>
      </c>
      <c r="U4" s="653"/>
    </row>
    <row r="5" spans="1:21" s="469" customFormat="1">
      <c r="A5" s="605" t="s">
        <v>206</v>
      </c>
      <c r="B5" s="648"/>
      <c r="C5" s="606">
        <v>0</v>
      </c>
      <c r="D5" s="606"/>
      <c r="E5" s="466"/>
      <c r="F5" s="466"/>
      <c r="G5" s="466"/>
      <c r="H5" s="466"/>
      <c r="I5" s="466">
        <v>0</v>
      </c>
      <c r="J5" s="466"/>
      <c r="L5" s="473"/>
      <c r="O5" s="87" t="s">
        <v>291</v>
      </c>
      <c r="P5" s="122">
        <v>41929</v>
      </c>
      <c r="Q5" s="122"/>
      <c r="R5" s="536"/>
      <c r="S5" s="88">
        <v>1000000</v>
      </c>
      <c r="U5" s="653"/>
    </row>
    <row r="6" spans="1:21" s="469" customFormat="1" ht="17.25" thickBot="1">
      <c r="A6" s="607" t="s">
        <v>208</v>
      </c>
      <c r="B6" s="608">
        <f>B4-B5</f>
        <v>0</v>
      </c>
      <c r="C6" s="608">
        <f>C4-C5</f>
        <v>0</v>
      </c>
      <c r="D6" s="608"/>
      <c r="E6" s="468"/>
      <c r="F6" s="468"/>
      <c r="G6" s="468"/>
      <c r="H6" s="468"/>
      <c r="I6" s="468">
        <f>I4-I5</f>
        <v>0</v>
      </c>
      <c r="J6" s="468"/>
      <c r="O6" s="87" t="s">
        <v>290</v>
      </c>
      <c r="P6" s="122">
        <v>41943</v>
      </c>
      <c r="Q6" s="122"/>
      <c r="R6" s="536"/>
      <c r="S6" s="88">
        <v>1000000</v>
      </c>
      <c r="U6" s="653"/>
    </row>
    <row r="7" spans="1:21" ht="18" thickTop="1" thickBot="1">
      <c r="A7" s="607" t="s">
        <v>177</v>
      </c>
      <c r="B7" s="608" t="s">
        <v>151</v>
      </c>
      <c r="C7" s="609" t="s">
        <v>181</v>
      </c>
      <c r="D7" s="608" t="s">
        <v>217</v>
      </c>
      <c r="E7" s="468" t="s">
        <v>180</v>
      </c>
      <c r="F7" s="468" t="s">
        <v>218</v>
      </c>
      <c r="G7" s="468" t="s">
        <v>219</v>
      </c>
      <c r="H7" s="468" t="s">
        <v>220</v>
      </c>
      <c r="I7" s="468" t="s">
        <v>221</v>
      </c>
      <c r="J7" s="468" t="s">
        <v>249</v>
      </c>
      <c r="L7" s="620"/>
      <c r="O7" s="87" t="s">
        <v>296</v>
      </c>
    </row>
    <row r="8" spans="1:21" ht="17.25" thickTop="1">
      <c r="A8" s="610">
        <v>41640</v>
      </c>
      <c r="B8" s="611"/>
      <c r="C8" s="611">
        <v>0</v>
      </c>
      <c r="D8" s="611"/>
      <c r="M8" s="384"/>
      <c r="N8" s="445"/>
      <c r="O8" s="87" t="s">
        <v>297</v>
      </c>
    </row>
    <row r="9" spans="1:21">
      <c r="A9" s="610">
        <v>41641</v>
      </c>
      <c r="B9" s="611"/>
      <c r="C9" s="611">
        <v>0</v>
      </c>
      <c r="D9" s="611"/>
      <c r="L9" s="621"/>
      <c r="M9" s="384"/>
      <c r="N9" s="445"/>
      <c r="O9" s="87" t="s">
        <v>298</v>
      </c>
      <c r="P9" s="122">
        <v>42521</v>
      </c>
      <c r="S9" s="88">
        <v>1000000</v>
      </c>
    </row>
    <row r="10" spans="1:21">
      <c r="A10" s="610">
        <v>41642</v>
      </c>
      <c r="C10" s="384">
        <v>0</v>
      </c>
      <c r="M10" s="384"/>
      <c r="N10" s="445"/>
    </row>
    <row r="11" spans="1:21">
      <c r="A11" s="610">
        <v>41643</v>
      </c>
      <c r="C11" s="384">
        <v>0</v>
      </c>
      <c r="L11" s="384"/>
      <c r="M11" s="384"/>
      <c r="N11" s="445"/>
      <c r="O11" s="654" t="s">
        <v>292</v>
      </c>
      <c r="P11" s="194" t="s">
        <v>293</v>
      </c>
      <c r="R11" s="194" t="s">
        <v>294</v>
      </c>
      <c r="S11" s="194" t="s">
        <v>295</v>
      </c>
    </row>
    <row r="12" spans="1:21">
      <c r="A12" s="610">
        <v>41644</v>
      </c>
      <c r="C12" s="384">
        <v>0</v>
      </c>
      <c r="L12" s="621"/>
      <c r="M12" s="384"/>
      <c r="N12" s="445"/>
      <c r="O12" s="655"/>
      <c r="P12" s="621"/>
      <c r="R12" s="656"/>
    </row>
    <row r="13" spans="1:21">
      <c r="A13" s="610">
        <v>41645</v>
      </c>
      <c r="C13" s="384">
        <v>0</v>
      </c>
      <c r="M13" s="384"/>
      <c r="N13" s="445"/>
      <c r="O13" s="655"/>
    </row>
    <row r="14" spans="1:21" ht="16.899999999999999" customHeight="1">
      <c r="A14" s="610">
        <v>41646</v>
      </c>
      <c r="C14" s="384">
        <v>0</v>
      </c>
      <c r="M14" s="384"/>
      <c r="N14" s="445"/>
      <c r="O14" s="654"/>
      <c r="P14" s="472"/>
    </row>
    <row r="15" spans="1:21">
      <c r="A15" s="610">
        <v>41647</v>
      </c>
      <c r="C15" s="384">
        <v>0</v>
      </c>
      <c r="K15" s="621"/>
      <c r="M15" s="384"/>
      <c r="N15" s="445"/>
      <c r="O15" s="654"/>
    </row>
    <row r="16" spans="1:21">
      <c r="A16" s="610">
        <v>41648</v>
      </c>
      <c r="C16" s="384">
        <v>0</v>
      </c>
      <c r="O16" s="654"/>
    </row>
    <row r="17" spans="1:15">
      <c r="A17" s="610">
        <v>41649</v>
      </c>
      <c r="C17" s="384">
        <v>0</v>
      </c>
      <c r="O17" s="654"/>
    </row>
    <row r="18" spans="1:15">
      <c r="A18" s="610">
        <v>41650</v>
      </c>
      <c r="C18" s="384">
        <v>0</v>
      </c>
      <c r="O18" s="654"/>
    </row>
    <row r="19" spans="1:15">
      <c r="A19" s="610">
        <v>41651</v>
      </c>
      <c r="C19" s="384">
        <v>0</v>
      </c>
      <c r="L19" s="384"/>
      <c r="O19" s="654"/>
    </row>
    <row r="20" spans="1:15">
      <c r="A20" s="610">
        <v>41652</v>
      </c>
      <c r="C20" s="384">
        <v>0</v>
      </c>
      <c r="O20" s="654"/>
    </row>
    <row r="21" spans="1:15">
      <c r="A21" s="610">
        <v>41653</v>
      </c>
      <c r="C21" s="384">
        <v>0</v>
      </c>
      <c r="O21" s="654"/>
    </row>
    <row r="22" spans="1:15">
      <c r="A22" s="610">
        <v>41654</v>
      </c>
      <c r="C22" s="384">
        <v>0</v>
      </c>
      <c r="O22" s="654"/>
    </row>
    <row r="23" spans="1:15">
      <c r="A23" s="610">
        <v>41655</v>
      </c>
      <c r="C23" s="384">
        <v>0</v>
      </c>
      <c r="K23" s="490"/>
      <c r="O23" s="654"/>
    </row>
    <row r="24" spans="1:15">
      <c r="A24" s="610">
        <v>41656</v>
      </c>
      <c r="C24" s="384">
        <v>0</v>
      </c>
      <c r="O24" s="654"/>
    </row>
    <row r="25" spans="1:15">
      <c r="A25" s="610">
        <v>41657</v>
      </c>
      <c r="C25" s="384">
        <v>0</v>
      </c>
      <c r="K25" s="621"/>
      <c r="O25" s="655"/>
    </row>
    <row r="26" spans="1:15">
      <c r="A26" s="610">
        <v>41658</v>
      </c>
      <c r="C26" s="384">
        <v>0</v>
      </c>
      <c r="O26" s="654"/>
    </row>
    <row r="27" spans="1:15">
      <c r="A27" s="610">
        <v>41659</v>
      </c>
      <c r="C27" s="384">
        <v>0</v>
      </c>
      <c r="O27" s="654"/>
    </row>
    <row r="28" spans="1:15">
      <c r="A28" s="610">
        <v>41660</v>
      </c>
      <c r="C28" s="384">
        <v>0</v>
      </c>
      <c r="O28" s="654"/>
    </row>
    <row r="29" spans="1:15">
      <c r="A29" s="610">
        <v>41661</v>
      </c>
      <c r="C29" s="384">
        <v>0</v>
      </c>
      <c r="O29" s="654"/>
    </row>
    <row r="30" spans="1:15">
      <c r="A30" s="610">
        <v>41662</v>
      </c>
      <c r="C30" s="384">
        <v>0</v>
      </c>
      <c r="O30" s="654"/>
    </row>
    <row r="31" spans="1:15">
      <c r="A31" s="610">
        <v>41663</v>
      </c>
      <c r="C31" s="384">
        <v>0</v>
      </c>
      <c r="O31" s="654"/>
    </row>
    <row r="32" spans="1:15">
      <c r="A32" s="610">
        <v>41664</v>
      </c>
      <c r="C32" s="384">
        <v>0</v>
      </c>
      <c r="O32" s="654"/>
    </row>
    <row r="33" spans="1:15">
      <c r="A33" s="610">
        <v>41665</v>
      </c>
      <c r="C33" s="384">
        <v>0</v>
      </c>
      <c r="O33" s="654"/>
    </row>
    <row r="34" spans="1:15">
      <c r="A34" s="610">
        <v>41666</v>
      </c>
      <c r="C34" s="384">
        <v>0</v>
      </c>
      <c r="O34" s="654"/>
    </row>
    <row r="35" spans="1:15">
      <c r="A35" s="610">
        <v>41667</v>
      </c>
      <c r="C35" s="384">
        <v>0</v>
      </c>
      <c r="O35" s="654"/>
    </row>
    <row r="36" spans="1:15">
      <c r="A36" s="610">
        <v>41668</v>
      </c>
      <c r="C36" s="384">
        <v>0</v>
      </c>
      <c r="O36" s="654"/>
    </row>
    <row r="37" spans="1:15">
      <c r="A37" s="610">
        <v>41669</v>
      </c>
      <c r="C37" s="384">
        <v>0</v>
      </c>
      <c r="O37" s="654"/>
    </row>
    <row r="38" spans="1:15">
      <c r="A38" s="610">
        <v>41670</v>
      </c>
      <c r="C38" s="384">
        <v>0</v>
      </c>
      <c r="O38" s="654"/>
    </row>
    <row r="39" spans="1:15">
      <c r="A39" s="610">
        <v>41671</v>
      </c>
      <c r="C39" s="384">
        <v>0</v>
      </c>
      <c r="O39" s="654"/>
    </row>
    <row r="40" spans="1:15">
      <c r="A40" s="610">
        <v>41672</v>
      </c>
      <c r="C40" s="384">
        <v>0</v>
      </c>
      <c r="O40" s="654"/>
    </row>
    <row r="41" spans="1:15">
      <c r="A41" s="610">
        <v>41673</v>
      </c>
      <c r="C41" s="384">
        <v>0</v>
      </c>
      <c r="O41" s="654"/>
    </row>
    <row r="42" spans="1:15">
      <c r="A42" s="610">
        <v>41674</v>
      </c>
      <c r="C42" s="384">
        <v>0</v>
      </c>
      <c r="O42" s="654"/>
    </row>
    <row r="43" spans="1:15">
      <c r="A43" s="610">
        <v>41675</v>
      </c>
      <c r="C43" s="384">
        <v>0</v>
      </c>
      <c r="O43" s="654"/>
    </row>
    <row r="44" spans="1:15">
      <c r="A44" s="610">
        <v>41676</v>
      </c>
      <c r="C44" s="384">
        <v>0</v>
      </c>
      <c r="O44" s="654"/>
    </row>
    <row r="45" spans="1:15">
      <c r="A45" s="610">
        <v>41677</v>
      </c>
      <c r="C45" s="384">
        <v>0</v>
      </c>
      <c r="O45" s="654"/>
    </row>
    <row r="46" spans="1:15">
      <c r="A46" s="610">
        <v>41678</v>
      </c>
      <c r="C46" s="384">
        <v>0</v>
      </c>
      <c r="O46" s="654"/>
    </row>
    <row r="47" spans="1:15">
      <c r="A47" s="610">
        <v>41679</v>
      </c>
      <c r="C47" s="384">
        <v>0</v>
      </c>
      <c r="O47" s="654"/>
    </row>
    <row r="48" spans="1:15">
      <c r="A48" s="610">
        <v>41680</v>
      </c>
      <c r="C48" s="384">
        <v>0</v>
      </c>
    </row>
    <row r="49" spans="1:3">
      <c r="A49" s="610">
        <v>41681</v>
      </c>
      <c r="C49" s="384">
        <v>0</v>
      </c>
    </row>
    <row r="50" spans="1:3">
      <c r="A50" s="610">
        <v>41682</v>
      </c>
      <c r="C50" s="384">
        <v>0</v>
      </c>
    </row>
    <row r="51" spans="1:3">
      <c r="A51" s="610">
        <v>41683</v>
      </c>
      <c r="C51" s="384">
        <v>0</v>
      </c>
    </row>
    <row r="52" spans="1:3">
      <c r="A52" s="610">
        <v>41684</v>
      </c>
      <c r="C52" s="384">
        <v>0</v>
      </c>
    </row>
    <row r="53" spans="1:3">
      <c r="A53" s="610">
        <v>41685</v>
      </c>
      <c r="C53" s="384">
        <v>0</v>
      </c>
    </row>
    <row r="54" spans="1:3">
      <c r="A54" s="610">
        <v>41686</v>
      </c>
      <c r="C54" s="384">
        <v>0</v>
      </c>
    </row>
    <row r="55" spans="1:3">
      <c r="A55" s="610">
        <v>41687</v>
      </c>
      <c r="C55" s="384">
        <v>0</v>
      </c>
    </row>
    <row r="56" spans="1:3">
      <c r="A56" s="610">
        <v>41688</v>
      </c>
      <c r="C56" s="384">
        <v>0</v>
      </c>
    </row>
    <row r="57" spans="1:3">
      <c r="A57" s="610">
        <v>41689</v>
      </c>
      <c r="C57" s="384">
        <v>0</v>
      </c>
    </row>
    <row r="58" spans="1:3">
      <c r="A58" s="610">
        <v>41690</v>
      </c>
      <c r="C58" s="384">
        <v>0</v>
      </c>
    </row>
    <row r="59" spans="1:3">
      <c r="A59" s="610">
        <v>41691</v>
      </c>
      <c r="C59" s="384">
        <v>0</v>
      </c>
    </row>
    <row r="60" spans="1:3">
      <c r="A60" s="610">
        <v>41692</v>
      </c>
      <c r="C60" s="384">
        <v>0</v>
      </c>
    </row>
    <row r="61" spans="1:3">
      <c r="A61" s="610">
        <v>41693</v>
      </c>
      <c r="C61" s="384">
        <v>0</v>
      </c>
    </row>
    <row r="62" spans="1:3">
      <c r="A62" s="610">
        <v>41694</v>
      </c>
      <c r="C62" s="384">
        <v>0</v>
      </c>
    </row>
    <row r="63" spans="1:3">
      <c r="A63" s="610">
        <v>41695</v>
      </c>
      <c r="C63" s="384">
        <v>0</v>
      </c>
    </row>
    <row r="64" spans="1:3">
      <c r="A64" s="610">
        <v>41696</v>
      </c>
      <c r="C64" s="384">
        <v>0</v>
      </c>
    </row>
    <row r="65" spans="1:12">
      <c r="A65" s="610">
        <v>41697</v>
      </c>
      <c r="C65" s="384">
        <v>0</v>
      </c>
    </row>
    <row r="66" spans="1:12">
      <c r="A66" s="610">
        <v>41698</v>
      </c>
      <c r="C66" s="384">
        <v>0</v>
      </c>
    </row>
    <row r="67" spans="1:12">
      <c r="A67" s="610">
        <v>41699</v>
      </c>
      <c r="C67" s="384">
        <v>0</v>
      </c>
    </row>
    <row r="68" spans="1:12">
      <c r="A68" s="610">
        <v>41700</v>
      </c>
      <c r="C68" s="384">
        <v>0</v>
      </c>
    </row>
    <row r="69" spans="1:12">
      <c r="A69" s="610">
        <v>41701</v>
      </c>
      <c r="C69" s="384">
        <v>0</v>
      </c>
    </row>
    <row r="70" spans="1:12">
      <c r="A70" s="610">
        <v>41702</v>
      </c>
      <c r="C70" s="384">
        <v>0</v>
      </c>
    </row>
    <row r="71" spans="1:12">
      <c r="A71" s="610">
        <v>41703</v>
      </c>
      <c r="C71" s="384">
        <v>0</v>
      </c>
    </row>
    <row r="72" spans="1:12">
      <c r="A72" s="610">
        <v>41704</v>
      </c>
      <c r="C72" s="384">
        <v>0</v>
      </c>
      <c r="K72" s="384"/>
      <c r="L72" s="384"/>
    </row>
    <row r="73" spans="1:12">
      <c r="A73" s="610">
        <v>41705</v>
      </c>
      <c r="C73" s="384">
        <v>0</v>
      </c>
    </row>
    <row r="74" spans="1:12">
      <c r="A74" s="610">
        <v>41706</v>
      </c>
      <c r="C74" s="384">
        <v>0</v>
      </c>
    </row>
    <row r="75" spans="1:12">
      <c r="A75" s="610">
        <v>41707</v>
      </c>
      <c r="C75" s="384">
        <v>0</v>
      </c>
    </row>
    <row r="76" spans="1:12">
      <c r="A76" s="610">
        <v>41708</v>
      </c>
      <c r="C76" s="384">
        <v>0</v>
      </c>
    </row>
    <row r="77" spans="1:12">
      <c r="A77" s="610">
        <v>41709</v>
      </c>
      <c r="C77" s="384">
        <v>0</v>
      </c>
    </row>
    <row r="78" spans="1:12">
      <c r="A78" s="610">
        <v>41710</v>
      </c>
      <c r="C78" s="384">
        <v>0</v>
      </c>
    </row>
    <row r="79" spans="1:12">
      <c r="A79" s="610">
        <v>41711</v>
      </c>
      <c r="C79" s="384">
        <v>0</v>
      </c>
    </row>
    <row r="80" spans="1:12">
      <c r="A80" s="610">
        <v>41712</v>
      </c>
      <c r="C80" s="384">
        <v>0</v>
      </c>
    </row>
    <row r="81" spans="1:3">
      <c r="A81" s="610">
        <v>41713</v>
      </c>
      <c r="C81" s="384">
        <v>0</v>
      </c>
    </row>
    <row r="82" spans="1:3">
      <c r="A82" s="610">
        <v>41714</v>
      </c>
      <c r="C82" s="384">
        <v>0</v>
      </c>
    </row>
    <row r="83" spans="1:3">
      <c r="A83" s="610">
        <v>41715</v>
      </c>
      <c r="C83" s="384">
        <v>0</v>
      </c>
    </row>
    <row r="84" spans="1:3">
      <c r="A84" s="610">
        <v>41716</v>
      </c>
      <c r="C84" s="384">
        <v>0</v>
      </c>
    </row>
    <row r="85" spans="1:3">
      <c r="A85" s="610">
        <v>41717</v>
      </c>
      <c r="C85" s="384">
        <v>0</v>
      </c>
    </row>
    <row r="86" spans="1:3">
      <c r="A86" s="610">
        <v>41718</v>
      </c>
      <c r="C86" s="384">
        <v>0</v>
      </c>
    </row>
    <row r="87" spans="1:3">
      <c r="A87" s="610">
        <v>41719</v>
      </c>
      <c r="C87" s="384">
        <v>0</v>
      </c>
    </row>
    <row r="88" spans="1:3">
      <c r="A88" s="610">
        <v>41720</v>
      </c>
      <c r="C88" s="384">
        <v>0</v>
      </c>
    </row>
    <row r="89" spans="1:3">
      <c r="A89" s="610">
        <v>41721</v>
      </c>
      <c r="C89" s="384">
        <v>0</v>
      </c>
    </row>
    <row r="90" spans="1:3">
      <c r="A90" s="610">
        <v>41722</v>
      </c>
      <c r="C90" s="384">
        <v>0</v>
      </c>
    </row>
    <row r="91" spans="1:3">
      <c r="A91" s="610">
        <v>41723</v>
      </c>
      <c r="C91" s="384">
        <v>0</v>
      </c>
    </row>
    <row r="92" spans="1:3">
      <c r="A92" s="610">
        <v>41724</v>
      </c>
      <c r="C92" s="384">
        <v>0</v>
      </c>
    </row>
    <row r="93" spans="1:3">
      <c r="A93" s="610">
        <v>41725</v>
      </c>
      <c r="C93" s="384">
        <v>0</v>
      </c>
    </row>
    <row r="94" spans="1:3">
      <c r="A94" s="610">
        <v>41726</v>
      </c>
      <c r="C94" s="384">
        <v>0</v>
      </c>
    </row>
    <row r="95" spans="1:3">
      <c r="A95" s="610">
        <v>41727</v>
      </c>
      <c r="C95" s="384">
        <v>0</v>
      </c>
    </row>
    <row r="96" spans="1:3">
      <c r="A96" s="610">
        <v>41728</v>
      </c>
      <c r="C96" s="384">
        <v>0</v>
      </c>
    </row>
    <row r="97" spans="1:3">
      <c r="A97" s="610">
        <v>41729</v>
      </c>
      <c r="C97" s="384">
        <v>0</v>
      </c>
    </row>
    <row r="98" spans="1:3">
      <c r="A98" s="610">
        <v>41730</v>
      </c>
      <c r="C98" s="384">
        <v>0</v>
      </c>
    </row>
    <row r="99" spans="1:3">
      <c r="A99" s="610">
        <v>41731</v>
      </c>
      <c r="C99" s="384">
        <v>0</v>
      </c>
    </row>
    <row r="100" spans="1:3">
      <c r="A100" s="610">
        <v>41732</v>
      </c>
      <c r="C100" s="384">
        <v>0</v>
      </c>
    </row>
    <row r="101" spans="1:3">
      <c r="A101" s="610">
        <v>41733</v>
      </c>
      <c r="C101" s="384">
        <v>0</v>
      </c>
    </row>
    <row r="102" spans="1:3">
      <c r="A102" s="610">
        <v>41734</v>
      </c>
      <c r="C102" s="384">
        <v>0</v>
      </c>
    </row>
    <row r="103" spans="1:3">
      <c r="A103" s="610">
        <v>41735</v>
      </c>
      <c r="C103" s="384">
        <v>0</v>
      </c>
    </row>
    <row r="104" spans="1:3">
      <c r="A104" s="610">
        <v>41736</v>
      </c>
      <c r="C104" s="384">
        <v>0</v>
      </c>
    </row>
    <row r="105" spans="1:3">
      <c r="A105" s="610">
        <v>41737</v>
      </c>
      <c r="C105" s="384">
        <v>0</v>
      </c>
    </row>
    <row r="106" spans="1:3">
      <c r="A106" s="610">
        <v>41738</v>
      </c>
      <c r="C106" s="384">
        <v>0</v>
      </c>
    </row>
    <row r="107" spans="1:3">
      <c r="A107" s="610">
        <v>41739</v>
      </c>
      <c r="C107" s="384">
        <v>0</v>
      </c>
    </row>
    <row r="108" spans="1:3">
      <c r="A108" s="610">
        <v>41740</v>
      </c>
      <c r="C108" s="384">
        <v>0</v>
      </c>
    </row>
    <row r="109" spans="1:3">
      <c r="A109" s="610">
        <v>41741</v>
      </c>
      <c r="C109" s="384">
        <v>0</v>
      </c>
    </row>
    <row r="110" spans="1:3">
      <c r="A110" s="610">
        <v>41742</v>
      </c>
      <c r="C110" s="384">
        <v>0</v>
      </c>
    </row>
    <row r="111" spans="1:3">
      <c r="A111" s="610">
        <v>41743</v>
      </c>
      <c r="C111" s="384">
        <v>0</v>
      </c>
    </row>
    <row r="112" spans="1:3">
      <c r="A112" s="610">
        <v>41744</v>
      </c>
      <c r="C112" s="384">
        <v>0</v>
      </c>
    </row>
    <row r="113" spans="1:3">
      <c r="A113" s="610">
        <v>41745</v>
      </c>
      <c r="C113" s="384">
        <v>0</v>
      </c>
    </row>
    <row r="114" spans="1:3">
      <c r="A114" s="610">
        <v>41746</v>
      </c>
      <c r="C114" s="384">
        <v>0</v>
      </c>
    </row>
    <row r="115" spans="1:3">
      <c r="A115" s="610">
        <v>41747</v>
      </c>
      <c r="C115" s="384">
        <v>0</v>
      </c>
    </row>
    <row r="116" spans="1:3">
      <c r="A116" s="610">
        <v>41748</v>
      </c>
      <c r="C116" s="384">
        <v>0</v>
      </c>
    </row>
    <row r="117" spans="1:3">
      <c r="A117" s="610">
        <v>41749</v>
      </c>
      <c r="C117" s="384">
        <v>0</v>
      </c>
    </row>
    <row r="118" spans="1:3">
      <c r="A118" s="610">
        <v>41750</v>
      </c>
      <c r="C118" s="384">
        <v>0</v>
      </c>
    </row>
    <row r="119" spans="1:3">
      <c r="A119" s="610">
        <v>41751</v>
      </c>
      <c r="C119" s="384">
        <v>0</v>
      </c>
    </row>
    <row r="120" spans="1:3">
      <c r="A120" s="610">
        <v>41752</v>
      </c>
      <c r="C120" s="384">
        <v>0</v>
      </c>
    </row>
    <row r="121" spans="1:3">
      <c r="A121" s="610">
        <v>41753</v>
      </c>
      <c r="C121" s="384">
        <v>0</v>
      </c>
    </row>
    <row r="122" spans="1:3">
      <c r="A122" s="610">
        <v>41754</v>
      </c>
      <c r="C122" s="384">
        <v>0</v>
      </c>
    </row>
    <row r="123" spans="1:3">
      <c r="A123" s="610">
        <v>41755</v>
      </c>
      <c r="C123" s="384">
        <v>0</v>
      </c>
    </row>
    <row r="124" spans="1:3">
      <c r="A124" s="610">
        <v>41756</v>
      </c>
      <c r="C124" s="384">
        <v>0</v>
      </c>
    </row>
    <row r="125" spans="1:3">
      <c r="A125" s="610">
        <v>41757</v>
      </c>
      <c r="C125" s="384">
        <v>0</v>
      </c>
    </row>
    <row r="126" spans="1:3">
      <c r="A126" s="610">
        <v>41758</v>
      </c>
      <c r="C126" s="384">
        <v>0</v>
      </c>
    </row>
    <row r="127" spans="1:3">
      <c r="A127" s="610">
        <v>41759</v>
      </c>
      <c r="C127" s="384">
        <v>0</v>
      </c>
    </row>
    <row r="128" spans="1:3">
      <c r="A128" s="610">
        <v>41760</v>
      </c>
      <c r="C128" s="384">
        <v>0</v>
      </c>
    </row>
    <row r="129" spans="1:13">
      <c r="A129" s="610">
        <v>41761</v>
      </c>
      <c r="C129" s="384">
        <v>0</v>
      </c>
    </row>
    <row r="130" spans="1:13">
      <c r="A130" s="610">
        <v>41762</v>
      </c>
      <c r="C130" s="384">
        <v>0</v>
      </c>
    </row>
    <row r="131" spans="1:13">
      <c r="A131" s="610">
        <v>41763</v>
      </c>
      <c r="C131" s="384">
        <v>0</v>
      </c>
    </row>
    <row r="132" spans="1:13">
      <c r="A132" s="610">
        <v>41764</v>
      </c>
      <c r="C132" s="384">
        <v>0</v>
      </c>
    </row>
    <row r="133" spans="1:13">
      <c r="A133" s="610">
        <v>41765</v>
      </c>
      <c r="C133" s="384">
        <v>0</v>
      </c>
    </row>
    <row r="134" spans="1:13">
      <c r="A134" s="610">
        <v>41766</v>
      </c>
      <c r="C134" s="384">
        <v>0</v>
      </c>
    </row>
    <row r="135" spans="1:13">
      <c r="A135" s="610">
        <v>41767</v>
      </c>
      <c r="C135" s="384">
        <v>0</v>
      </c>
    </row>
    <row r="136" spans="1:13">
      <c r="A136" s="610">
        <v>41768</v>
      </c>
      <c r="C136" s="384">
        <v>0</v>
      </c>
    </row>
    <row r="137" spans="1:13">
      <c r="A137" s="610">
        <v>41769</v>
      </c>
      <c r="C137" s="384">
        <v>0</v>
      </c>
    </row>
    <row r="138" spans="1:13">
      <c r="A138" s="610">
        <v>41770</v>
      </c>
      <c r="C138" s="384">
        <v>0</v>
      </c>
    </row>
    <row r="139" spans="1:13">
      <c r="A139" s="610">
        <v>41771</v>
      </c>
      <c r="C139" s="384">
        <v>0</v>
      </c>
    </row>
    <row r="140" spans="1:13">
      <c r="A140" s="610">
        <v>41772</v>
      </c>
      <c r="C140" s="384">
        <v>0</v>
      </c>
      <c r="L140" s="618"/>
      <c r="M140" s="618"/>
    </row>
    <row r="141" spans="1:13">
      <c r="A141" s="610">
        <v>41773</v>
      </c>
      <c r="C141" s="384">
        <v>0</v>
      </c>
      <c r="L141" s="619"/>
    </row>
    <row r="142" spans="1:13">
      <c r="A142" s="610">
        <v>41774</v>
      </c>
      <c r="C142" s="384">
        <v>0</v>
      </c>
      <c r="L142" s="618"/>
    </row>
    <row r="143" spans="1:13">
      <c r="A143" s="610">
        <v>41775</v>
      </c>
      <c r="C143" s="384">
        <v>0</v>
      </c>
      <c r="L143" s="618"/>
    </row>
    <row r="144" spans="1:13">
      <c r="A144" s="610">
        <v>41776</v>
      </c>
      <c r="C144" s="384">
        <v>0</v>
      </c>
    </row>
    <row r="145" spans="1:3">
      <c r="A145" s="610">
        <v>41777</v>
      </c>
      <c r="C145" s="384">
        <v>0</v>
      </c>
    </row>
    <row r="146" spans="1:3">
      <c r="A146" s="610">
        <v>41778</v>
      </c>
      <c r="C146" s="384">
        <v>0</v>
      </c>
    </row>
    <row r="147" spans="1:3">
      <c r="A147" s="610">
        <v>41779</v>
      </c>
      <c r="C147" s="384">
        <v>0</v>
      </c>
    </row>
    <row r="148" spans="1:3">
      <c r="A148" s="610">
        <v>41780</v>
      </c>
      <c r="C148" s="384">
        <v>0</v>
      </c>
    </row>
    <row r="149" spans="1:3">
      <c r="A149" s="610">
        <v>41781</v>
      </c>
      <c r="C149" s="384">
        <v>0</v>
      </c>
    </row>
    <row r="150" spans="1:3">
      <c r="A150" s="610">
        <v>41782</v>
      </c>
      <c r="C150" s="384">
        <v>0</v>
      </c>
    </row>
    <row r="151" spans="1:3">
      <c r="A151" s="610">
        <v>41783</v>
      </c>
      <c r="C151" s="384">
        <v>0</v>
      </c>
    </row>
    <row r="152" spans="1:3">
      <c r="A152" s="610">
        <v>41784</v>
      </c>
      <c r="C152" s="384">
        <v>0</v>
      </c>
    </row>
    <row r="153" spans="1:3">
      <c r="A153" s="610">
        <v>41785</v>
      </c>
      <c r="C153" s="384">
        <v>0</v>
      </c>
    </row>
    <row r="154" spans="1:3">
      <c r="A154" s="610">
        <v>41786</v>
      </c>
      <c r="C154" s="384">
        <v>0</v>
      </c>
    </row>
    <row r="155" spans="1:3">
      <c r="A155" s="610">
        <v>41787</v>
      </c>
      <c r="C155" s="384">
        <v>0</v>
      </c>
    </row>
    <row r="156" spans="1:3">
      <c r="A156" s="610">
        <v>41788</v>
      </c>
      <c r="C156" s="384">
        <v>0</v>
      </c>
    </row>
    <row r="157" spans="1:3">
      <c r="A157" s="610">
        <v>41789</v>
      </c>
      <c r="C157" s="384">
        <v>0</v>
      </c>
    </row>
    <row r="158" spans="1:3">
      <c r="A158" s="610">
        <v>41790</v>
      </c>
      <c r="C158" s="384">
        <v>0</v>
      </c>
    </row>
    <row r="159" spans="1:3">
      <c r="A159" s="610">
        <v>41791</v>
      </c>
      <c r="C159" s="384">
        <v>0</v>
      </c>
    </row>
    <row r="160" spans="1:3">
      <c r="A160" s="610">
        <v>41792</v>
      </c>
      <c r="C160" s="384">
        <v>0</v>
      </c>
    </row>
    <row r="161" spans="1:11">
      <c r="A161" s="610">
        <v>41793</v>
      </c>
      <c r="C161" s="384">
        <v>0</v>
      </c>
    </row>
    <row r="162" spans="1:11">
      <c r="A162" s="610">
        <v>41794</v>
      </c>
      <c r="C162" s="384">
        <v>0</v>
      </c>
    </row>
    <row r="163" spans="1:11">
      <c r="A163" s="610">
        <v>41795</v>
      </c>
      <c r="C163" s="384">
        <v>0</v>
      </c>
    </row>
    <row r="164" spans="1:11">
      <c r="A164" s="610">
        <v>41796</v>
      </c>
      <c r="C164" s="384">
        <v>0</v>
      </c>
    </row>
    <row r="165" spans="1:11">
      <c r="A165" s="610">
        <v>41797</v>
      </c>
      <c r="C165" s="384">
        <v>0</v>
      </c>
    </row>
    <row r="166" spans="1:11">
      <c r="A166" s="610">
        <v>41798</v>
      </c>
      <c r="C166" s="384">
        <v>0</v>
      </c>
    </row>
    <row r="167" spans="1:11">
      <c r="A167" s="610">
        <v>41799</v>
      </c>
      <c r="C167" s="384">
        <v>0</v>
      </c>
    </row>
    <row r="168" spans="1:11">
      <c r="A168" s="610">
        <v>41800</v>
      </c>
      <c r="C168" s="384">
        <v>0</v>
      </c>
    </row>
    <row r="169" spans="1:11">
      <c r="A169" s="610">
        <v>41801</v>
      </c>
      <c r="C169" s="384">
        <v>0</v>
      </c>
    </row>
    <row r="170" spans="1:11">
      <c r="A170" s="610">
        <v>41802</v>
      </c>
      <c r="C170" s="384">
        <v>0</v>
      </c>
      <c r="K170" s="384">
        <v>40.074275362318836</v>
      </c>
    </row>
    <row r="171" spans="1:11">
      <c r="A171" s="610">
        <v>41803</v>
      </c>
      <c r="C171" s="384">
        <v>0</v>
      </c>
    </row>
    <row r="172" spans="1:11">
      <c r="A172" s="610">
        <v>41804</v>
      </c>
      <c r="C172" s="384">
        <v>0</v>
      </c>
    </row>
    <row r="173" spans="1:11">
      <c r="A173" s="610">
        <v>41805</v>
      </c>
      <c r="C173" s="384">
        <v>0</v>
      </c>
    </row>
    <row r="174" spans="1:11">
      <c r="A174" s="610">
        <v>41806</v>
      </c>
      <c r="C174" s="384">
        <v>0</v>
      </c>
    </row>
    <row r="175" spans="1:11">
      <c r="A175" s="610">
        <v>41807</v>
      </c>
      <c r="C175" s="384">
        <v>0</v>
      </c>
    </row>
    <row r="176" spans="1:11">
      <c r="A176" s="610">
        <v>41808</v>
      </c>
      <c r="C176" s="384">
        <v>0</v>
      </c>
    </row>
    <row r="177" spans="1:3">
      <c r="A177" s="610">
        <v>41809</v>
      </c>
      <c r="C177" s="384">
        <v>0</v>
      </c>
    </row>
    <row r="178" spans="1:3">
      <c r="A178" s="610">
        <v>41810</v>
      </c>
      <c r="C178" s="384">
        <v>0</v>
      </c>
    </row>
    <row r="179" spans="1:3">
      <c r="A179" s="610">
        <v>41811</v>
      </c>
      <c r="C179" s="384">
        <v>0</v>
      </c>
    </row>
    <row r="180" spans="1:3">
      <c r="A180" s="610">
        <v>41812</v>
      </c>
      <c r="C180" s="384">
        <v>0</v>
      </c>
    </row>
    <row r="181" spans="1:3">
      <c r="A181" s="610">
        <v>41813</v>
      </c>
      <c r="C181" s="384">
        <v>0</v>
      </c>
    </row>
    <row r="182" spans="1:3">
      <c r="A182" s="610">
        <v>41814</v>
      </c>
      <c r="C182" s="384">
        <v>0</v>
      </c>
    </row>
    <row r="183" spans="1:3">
      <c r="A183" s="610">
        <v>41815</v>
      </c>
      <c r="C183" s="384">
        <v>0</v>
      </c>
    </row>
    <row r="184" spans="1:3">
      <c r="A184" s="610">
        <v>41816</v>
      </c>
      <c r="C184" s="384">
        <v>0</v>
      </c>
    </row>
    <row r="185" spans="1:3">
      <c r="A185" s="610">
        <v>41817</v>
      </c>
      <c r="C185" s="384">
        <v>0</v>
      </c>
    </row>
    <row r="186" spans="1:3">
      <c r="A186" s="610">
        <v>41818</v>
      </c>
      <c r="C186" s="384">
        <v>0</v>
      </c>
    </row>
    <row r="187" spans="1:3">
      <c r="A187" s="610">
        <v>41819</v>
      </c>
      <c r="C187" s="384">
        <v>0</v>
      </c>
    </row>
    <row r="188" spans="1:3">
      <c r="A188" s="610">
        <v>41820</v>
      </c>
      <c r="C188" s="384">
        <v>0</v>
      </c>
    </row>
    <row r="189" spans="1:3">
      <c r="A189" s="610">
        <v>41821</v>
      </c>
      <c r="C189" s="384">
        <v>0</v>
      </c>
    </row>
    <row r="190" spans="1:3">
      <c r="A190" s="610">
        <v>41822</v>
      </c>
      <c r="C190" s="384">
        <v>0</v>
      </c>
    </row>
    <row r="191" spans="1:3">
      <c r="A191" s="610">
        <v>41823</v>
      </c>
      <c r="C191" s="384">
        <v>0</v>
      </c>
    </row>
    <row r="192" spans="1:3">
      <c r="A192" s="610">
        <v>41824</v>
      </c>
      <c r="C192" s="384">
        <v>0</v>
      </c>
    </row>
    <row r="193" spans="1:3">
      <c r="A193" s="610">
        <v>41825</v>
      </c>
      <c r="C193" s="384">
        <v>0</v>
      </c>
    </row>
    <row r="194" spans="1:3">
      <c r="A194" s="610">
        <v>41826</v>
      </c>
      <c r="C194" s="384">
        <v>0</v>
      </c>
    </row>
    <row r="195" spans="1:3">
      <c r="A195" s="610">
        <v>41827</v>
      </c>
      <c r="C195" s="384">
        <v>0</v>
      </c>
    </row>
    <row r="196" spans="1:3">
      <c r="A196" s="610">
        <v>41828</v>
      </c>
      <c r="C196" s="384">
        <v>0</v>
      </c>
    </row>
    <row r="197" spans="1:3">
      <c r="A197" s="610">
        <v>41829</v>
      </c>
      <c r="C197" s="384">
        <v>0</v>
      </c>
    </row>
    <row r="198" spans="1:3">
      <c r="A198" s="610">
        <v>41830</v>
      </c>
      <c r="C198" s="384">
        <v>0</v>
      </c>
    </row>
    <row r="199" spans="1:3">
      <c r="A199" s="610">
        <v>41831</v>
      </c>
      <c r="C199" s="384">
        <v>0</v>
      </c>
    </row>
    <row r="200" spans="1:3">
      <c r="A200" s="610">
        <v>41832</v>
      </c>
      <c r="C200" s="384">
        <v>0</v>
      </c>
    </row>
    <row r="201" spans="1:3">
      <c r="A201" s="610">
        <v>41833</v>
      </c>
      <c r="C201" s="384">
        <v>0</v>
      </c>
    </row>
    <row r="202" spans="1:3">
      <c r="A202" s="610">
        <v>41834</v>
      </c>
      <c r="C202" s="384">
        <v>0</v>
      </c>
    </row>
    <row r="203" spans="1:3">
      <c r="A203" s="610">
        <v>41835</v>
      </c>
      <c r="C203" s="384">
        <v>0</v>
      </c>
    </row>
    <row r="204" spans="1:3">
      <c r="A204" s="610">
        <v>41836</v>
      </c>
      <c r="C204" s="384">
        <v>0</v>
      </c>
    </row>
    <row r="205" spans="1:3">
      <c r="A205" s="610">
        <v>41837</v>
      </c>
      <c r="C205" s="384">
        <v>0</v>
      </c>
    </row>
    <row r="206" spans="1:3">
      <c r="A206" s="610">
        <v>41838</v>
      </c>
      <c r="C206" s="384">
        <v>0</v>
      </c>
    </row>
    <row r="207" spans="1:3">
      <c r="A207" s="610">
        <v>41839</v>
      </c>
      <c r="C207" s="384">
        <v>0</v>
      </c>
    </row>
    <row r="208" spans="1:3">
      <c r="A208" s="610">
        <v>41840</v>
      </c>
      <c r="C208" s="384">
        <v>0</v>
      </c>
    </row>
    <row r="209" spans="1:3">
      <c r="A209" s="610">
        <v>41841</v>
      </c>
      <c r="C209" s="384">
        <v>0</v>
      </c>
    </row>
    <row r="210" spans="1:3">
      <c r="A210" s="610">
        <v>41842</v>
      </c>
      <c r="C210" s="384">
        <v>0</v>
      </c>
    </row>
    <row r="211" spans="1:3">
      <c r="A211" s="610">
        <v>41843</v>
      </c>
      <c r="C211" s="384">
        <v>0</v>
      </c>
    </row>
    <row r="212" spans="1:3">
      <c r="A212" s="610">
        <v>41844</v>
      </c>
      <c r="C212" s="384">
        <v>0</v>
      </c>
    </row>
    <row r="213" spans="1:3">
      <c r="A213" s="610">
        <v>41845</v>
      </c>
      <c r="C213" s="384">
        <v>0</v>
      </c>
    </row>
    <row r="214" spans="1:3">
      <c r="A214" s="610">
        <v>41846</v>
      </c>
      <c r="C214" s="384">
        <v>0</v>
      </c>
    </row>
    <row r="215" spans="1:3">
      <c r="A215" s="610">
        <v>41847</v>
      </c>
      <c r="C215" s="384">
        <v>0</v>
      </c>
    </row>
    <row r="216" spans="1:3">
      <c r="A216" s="610">
        <v>41848</v>
      </c>
      <c r="C216" s="384">
        <v>0</v>
      </c>
    </row>
    <row r="217" spans="1:3">
      <c r="A217" s="610">
        <v>41849</v>
      </c>
      <c r="C217" s="384">
        <v>0</v>
      </c>
    </row>
    <row r="218" spans="1:3">
      <c r="A218" s="610">
        <v>41850</v>
      </c>
      <c r="C218" s="384">
        <v>0</v>
      </c>
    </row>
    <row r="219" spans="1:3">
      <c r="A219" s="610">
        <v>41851</v>
      </c>
      <c r="C219" s="384">
        <v>0</v>
      </c>
    </row>
    <row r="220" spans="1:3">
      <c r="A220" s="610">
        <v>41852</v>
      </c>
      <c r="C220" s="384">
        <v>0</v>
      </c>
    </row>
    <row r="221" spans="1:3">
      <c r="A221" s="610">
        <v>41853</v>
      </c>
      <c r="C221" s="384">
        <v>0</v>
      </c>
    </row>
    <row r="222" spans="1:3">
      <c r="A222" s="610">
        <v>41854</v>
      </c>
      <c r="C222" s="384">
        <v>0</v>
      </c>
    </row>
    <row r="223" spans="1:3">
      <c r="A223" s="610">
        <v>41855</v>
      </c>
      <c r="C223" s="384">
        <v>0</v>
      </c>
    </row>
    <row r="224" spans="1:3">
      <c r="A224" s="610">
        <v>41856</v>
      </c>
      <c r="C224" s="384">
        <v>0</v>
      </c>
    </row>
    <row r="225" spans="1:3">
      <c r="A225" s="610">
        <v>41857</v>
      </c>
      <c r="C225" s="384">
        <v>0</v>
      </c>
    </row>
    <row r="226" spans="1:3">
      <c r="A226" s="610">
        <v>41858</v>
      </c>
      <c r="C226" s="384">
        <v>0</v>
      </c>
    </row>
    <row r="227" spans="1:3">
      <c r="A227" s="610">
        <v>41859</v>
      </c>
      <c r="C227" s="384">
        <v>0</v>
      </c>
    </row>
    <row r="228" spans="1:3">
      <c r="A228" s="610">
        <v>41860</v>
      </c>
      <c r="C228" s="384">
        <v>0</v>
      </c>
    </row>
    <row r="229" spans="1:3">
      <c r="A229" s="610">
        <v>41861</v>
      </c>
      <c r="C229" s="384">
        <v>0</v>
      </c>
    </row>
    <row r="230" spans="1:3">
      <c r="A230" s="610">
        <v>41862</v>
      </c>
      <c r="C230" s="384">
        <v>0</v>
      </c>
    </row>
    <row r="231" spans="1:3">
      <c r="A231" s="610">
        <v>41863</v>
      </c>
      <c r="C231" s="384">
        <v>0</v>
      </c>
    </row>
    <row r="232" spans="1:3">
      <c r="A232" s="610">
        <v>41864</v>
      </c>
      <c r="C232" s="384">
        <v>0</v>
      </c>
    </row>
    <row r="233" spans="1:3">
      <c r="A233" s="610">
        <v>41865</v>
      </c>
      <c r="C233" s="384">
        <v>0</v>
      </c>
    </row>
    <row r="234" spans="1:3">
      <c r="A234" s="610">
        <v>41866</v>
      </c>
      <c r="C234" s="384">
        <v>0</v>
      </c>
    </row>
    <row r="235" spans="1:3">
      <c r="A235" s="610">
        <v>41867</v>
      </c>
      <c r="C235" s="384">
        <v>0</v>
      </c>
    </row>
    <row r="236" spans="1:3">
      <c r="A236" s="610">
        <v>41868</v>
      </c>
      <c r="C236" s="384">
        <v>0</v>
      </c>
    </row>
    <row r="237" spans="1:3">
      <c r="A237" s="610">
        <v>41869</v>
      </c>
      <c r="C237" s="384">
        <v>0</v>
      </c>
    </row>
    <row r="238" spans="1:3">
      <c r="A238" s="610">
        <v>41870</v>
      </c>
      <c r="C238" s="384">
        <v>0</v>
      </c>
    </row>
    <row r="239" spans="1:3">
      <c r="A239" s="610">
        <v>41871</v>
      </c>
      <c r="C239" s="384">
        <v>0</v>
      </c>
    </row>
    <row r="240" spans="1:3">
      <c r="A240" s="610">
        <v>41872</v>
      </c>
      <c r="C240" s="384">
        <v>0</v>
      </c>
    </row>
    <row r="241" spans="1:9">
      <c r="A241" s="376">
        <v>41884</v>
      </c>
      <c r="B241" s="384">
        <v>139800</v>
      </c>
      <c r="C241" s="384">
        <v>48848.399999999994</v>
      </c>
    </row>
    <row r="242" spans="1:9">
      <c r="A242" s="376">
        <v>41898</v>
      </c>
      <c r="B242" s="384">
        <v>163100</v>
      </c>
      <c r="C242" s="384">
        <v>56989.799999999996</v>
      </c>
    </row>
    <row r="243" spans="1:9">
      <c r="A243" s="376">
        <v>41920</v>
      </c>
      <c r="B243" s="384">
        <v>256300</v>
      </c>
      <c r="C243" s="384">
        <v>1738</v>
      </c>
    </row>
    <row r="244" spans="1:9">
      <c r="A244" s="376">
        <v>41983</v>
      </c>
      <c r="B244" s="384">
        <v>733950</v>
      </c>
      <c r="C244" s="384">
        <v>1061165.7000000002</v>
      </c>
    </row>
    <row r="245" spans="1:9">
      <c r="A245" s="376">
        <v>42031</v>
      </c>
      <c r="B245" s="384">
        <v>0</v>
      </c>
      <c r="C245" s="384">
        <v>48830.879999999997</v>
      </c>
    </row>
    <row r="246" spans="1:9">
      <c r="A246" s="376">
        <v>42037</v>
      </c>
      <c r="B246" s="384">
        <v>0</v>
      </c>
      <c r="C246" s="384">
        <v>15045.54</v>
      </c>
    </row>
    <row r="247" spans="1:9">
      <c r="A247" s="376">
        <v>42076</v>
      </c>
      <c r="B247" s="384">
        <v>0</v>
      </c>
      <c r="C247" s="384">
        <v>1028011.9199999999</v>
      </c>
    </row>
    <row r="248" spans="1:9">
      <c r="A248" s="376">
        <v>42117</v>
      </c>
      <c r="B248" s="384">
        <v>0</v>
      </c>
      <c r="C248" s="384">
        <v>1369340.1400000001</v>
      </c>
      <c r="I248" s="384">
        <v>79860.62000000001</v>
      </c>
    </row>
    <row r="249" spans="1:9">
      <c r="A249" s="376">
        <v>42118</v>
      </c>
      <c r="B249" s="384">
        <v>0</v>
      </c>
      <c r="C249" s="384">
        <v>33518.620000000003</v>
      </c>
      <c r="I249" s="384">
        <v>2007.3600000000001</v>
      </c>
    </row>
    <row r="250" spans="1:9">
      <c r="A250" s="376">
        <v>42121</v>
      </c>
      <c r="B250" s="384">
        <v>0</v>
      </c>
      <c r="C250" s="384">
        <v>101627.57999999999</v>
      </c>
      <c r="I250" s="384">
        <v>6557.9400000000005</v>
      </c>
    </row>
  </sheetData>
  <phoneticPr fontId="3" type="noConversion"/>
  <pageMargins left="0.75" right="0.75" top="1" bottom="1" header="0.5" footer="0.5"/>
  <pageSetup paperSize="9" orientation="portrait" horizontalDpi="1200" vertic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73" r:id="rId4" name="CalcCarryBtn1">
          <controlPr defaultSize="0" autoLine="0" autoPict="0" r:id="rId5">
            <anchor moveWithCells="1" sizeWithCells="1">
              <from>
                <xdr:col>10</xdr:col>
                <xdr:colOff>257175</xdr:colOff>
                <xdr:row>0</xdr:row>
                <xdr:rowOff>152400</xdr:rowOff>
              </from>
              <to>
                <xdr:col>11</xdr:col>
                <xdr:colOff>400050</xdr:colOff>
                <xdr:row>2</xdr:row>
                <xdr:rowOff>114300</xdr:rowOff>
              </to>
            </anchor>
          </controlPr>
        </control>
      </mc:Choice>
      <mc:Fallback>
        <control shapeId="7173" r:id="rId4" name="CalcCarryBt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00B050"/>
  </sheetPr>
  <dimension ref="A1:S720"/>
  <sheetViews>
    <sheetView topLeftCell="A82" zoomScale="90" zoomScaleNormal="90" workbookViewId="0">
      <selection activeCell="E110" sqref="E110:E111"/>
    </sheetView>
  </sheetViews>
  <sheetFormatPr defaultRowHeight="16.5"/>
  <cols>
    <col min="1" max="1" width="24.25" customWidth="1"/>
    <col min="2" max="2" width="17.125" style="14" bestFit="1" customWidth="1"/>
    <col min="3" max="3" width="9.25" style="14" customWidth="1"/>
    <col min="4" max="4" width="12.25" style="534" customWidth="1"/>
    <col min="5" max="5" width="15.625" style="2" customWidth="1"/>
    <col min="6" max="6" width="12.375" style="14" customWidth="1"/>
    <col min="7" max="7" width="10" customWidth="1"/>
    <col min="8" max="8" width="15.875" style="555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343</v>
      </c>
      <c r="F1" s="2"/>
      <c r="H1" s="474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307</v>
      </c>
      <c r="S2" s="131" t="s">
        <v>21</v>
      </c>
    </row>
    <row r="3" spans="1:19" s="102" customFormat="1">
      <c r="A3" s="690" t="s">
        <v>399</v>
      </c>
      <c r="B3" s="691">
        <v>44187</v>
      </c>
      <c r="C3" s="691"/>
      <c r="D3" s="692"/>
      <c r="E3" s="693">
        <v>0</v>
      </c>
      <c r="F3" s="693"/>
      <c r="G3" s="779">
        <f>-VLOOKUP(A3,'market px'!K$2:P$25,3,FALSE)*E3/1000000</f>
        <v>0</v>
      </c>
      <c r="H3" s="695"/>
      <c r="I3" s="696">
        <v>100.25700000000001</v>
      </c>
      <c r="J3" s="696">
        <f>VLOOKUP(A3,'market px'!K$2:P$80,6,FALSE)</f>
        <v>100.42570000000001</v>
      </c>
      <c r="K3" s="698">
        <f t="shared" ref="K3:K20" si="0"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690" t="s">
        <v>368</v>
      </c>
      <c r="B4" s="691">
        <v>44060</v>
      </c>
      <c r="C4" s="691"/>
      <c r="D4" s="699"/>
      <c r="E4" s="693">
        <v>0</v>
      </c>
      <c r="F4" s="693"/>
      <c r="G4" s="779">
        <f>-VLOOKUP(A4,'market px'!K$2:P$25,3,FALSE)*E4/1000000</f>
        <v>0</v>
      </c>
      <c r="H4" s="695"/>
      <c r="I4" s="696">
        <v>97.235600000000005</v>
      </c>
      <c r="J4" s="696">
        <f>VLOOKUP(A4,'market px'!K$2:P$15,6,FALSE)</f>
        <v>98.219200000000001</v>
      </c>
      <c r="K4" s="698">
        <f t="shared" si="0"/>
        <v>0</v>
      </c>
      <c r="L4" s="693"/>
      <c r="M4" s="93"/>
      <c r="N4" s="93"/>
      <c r="O4" s="93"/>
      <c r="P4" s="93"/>
      <c r="Q4" s="93"/>
      <c r="S4" s="103"/>
    </row>
    <row r="5" spans="1:19" s="116" customFormat="1">
      <c r="A5" s="690" t="s">
        <v>368</v>
      </c>
      <c r="B5" s="700">
        <v>44063</v>
      </c>
      <c r="C5" s="691"/>
      <c r="D5" s="701"/>
      <c r="E5" s="702">
        <v>0</v>
      </c>
      <c r="F5" s="693"/>
      <c r="G5" s="779">
        <f>-VLOOKUP(A5,'market px'!K$2:P$25,3,FALSE)*E5/1000000</f>
        <v>0</v>
      </c>
      <c r="H5" s="703"/>
      <c r="I5" s="704">
        <v>96.494600000000005</v>
      </c>
      <c r="J5" s="696">
        <f>VLOOKUP(A5,'market px'!K$2:P$15,6,FALSE)</f>
        <v>98.219200000000001</v>
      </c>
      <c r="K5" s="698">
        <f t="shared" si="0"/>
        <v>0</v>
      </c>
      <c r="L5" s="693"/>
      <c r="S5" s="320"/>
    </row>
    <row r="6" spans="1:19" s="116" customFormat="1">
      <c r="A6" s="690" t="s">
        <v>368</v>
      </c>
      <c r="B6" s="700">
        <v>44140</v>
      </c>
      <c r="C6" s="691"/>
      <c r="D6" s="701"/>
      <c r="E6" s="693">
        <v>0</v>
      </c>
      <c r="F6" s="693"/>
      <c r="G6" s="779">
        <f>-VLOOKUP(A6,'market px'!K$2:P$25,3,FALSE)*E6/1000000</f>
        <v>0</v>
      </c>
      <c r="H6" s="703"/>
      <c r="I6" s="704">
        <v>95.1297</v>
      </c>
      <c r="J6" s="696">
        <f>VLOOKUP(A6,'market px'!K$2:P$15,6,FALSE)</f>
        <v>98.219200000000001</v>
      </c>
      <c r="K6" s="698">
        <f t="shared" si="0"/>
        <v>0</v>
      </c>
      <c r="L6" s="693"/>
      <c r="S6" s="117"/>
    </row>
    <row r="7" spans="1:19" s="116" customFormat="1">
      <c r="A7" s="690" t="s">
        <v>400</v>
      </c>
      <c r="B7" s="700">
        <v>44195</v>
      </c>
      <c r="C7" s="691"/>
      <c r="D7" s="701"/>
      <c r="E7" s="693">
        <v>0</v>
      </c>
      <c r="F7" s="693"/>
      <c r="G7" s="779">
        <f>-VLOOKUP(A7,'market px'!K$2:P$25,3,FALSE)*E7/1000000</f>
        <v>0</v>
      </c>
      <c r="H7" s="703"/>
      <c r="I7" s="704">
        <v>100.2431</v>
      </c>
      <c r="J7" s="696">
        <f>VLOOKUP(A7,'market px'!K$2:P$50,6,FALSE)</f>
        <v>100.4131</v>
      </c>
      <c r="K7" s="698">
        <f t="shared" si="0"/>
        <v>0</v>
      </c>
      <c r="L7" s="693"/>
      <c r="S7" s="117"/>
    </row>
    <row r="8" spans="1:19" s="93" customFormat="1">
      <c r="A8" s="690" t="s">
        <v>496</v>
      </c>
      <c r="B8" s="691">
        <v>44315</v>
      </c>
      <c r="C8" s="774"/>
      <c r="D8" s="775"/>
      <c r="E8" s="776">
        <v>0</v>
      </c>
      <c r="F8" s="774"/>
      <c r="G8" s="779">
        <f>-VLOOKUP(A8,'market px'!K$1:P$80,3,FALSE)*E8/1000000</f>
        <v>0</v>
      </c>
      <c r="H8" s="778"/>
      <c r="I8" s="835">
        <v>100.7139</v>
      </c>
      <c r="J8" s="774">
        <f>VLOOKUP(A8,'market px'!K$2:P$80,6,FALSE)</f>
        <v>102.4503</v>
      </c>
      <c r="K8" s="698">
        <f t="shared" si="0"/>
        <v>0</v>
      </c>
      <c r="L8" s="693"/>
    </row>
    <row r="9" spans="1:19" s="93" customFormat="1">
      <c r="A9" s="690" t="s">
        <v>363</v>
      </c>
      <c r="B9" s="700">
        <v>44064</v>
      </c>
      <c r="C9" s="691"/>
      <c r="D9" s="701"/>
      <c r="E9" s="702">
        <v>0</v>
      </c>
      <c r="F9" s="693"/>
      <c r="G9" s="779">
        <f>-VLOOKUP(A9,'market px'!K$2:P$25,3,FALSE)*E9/1000000</f>
        <v>0</v>
      </c>
      <c r="H9" s="703"/>
      <c r="I9" s="704">
        <v>97.344700000000003</v>
      </c>
      <c r="J9" s="696">
        <f>VLOOKUP(A9,'market px'!K$2:P$15,6,FALSE)</f>
        <v>97.667400000000001</v>
      </c>
      <c r="K9" s="698">
        <f t="shared" si="0"/>
        <v>0</v>
      </c>
      <c r="L9" s="693"/>
      <c r="S9" s="131" t="s">
        <v>21</v>
      </c>
    </row>
    <row r="10" spans="1:19" s="93" customFormat="1">
      <c r="A10" s="690" t="s">
        <v>373</v>
      </c>
      <c r="B10" s="700">
        <v>44076</v>
      </c>
      <c r="C10" s="691"/>
      <c r="D10" s="701"/>
      <c r="E10" s="702">
        <v>0</v>
      </c>
      <c r="F10" s="693"/>
      <c r="G10" s="779">
        <f>-VLOOKUP(A10,'market px'!K$2:P$25,3,FALSE)*E10/1000000</f>
        <v>0</v>
      </c>
      <c r="H10" s="703"/>
      <c r="I10" s="704">
        <v>99.855999999999995</v>
      </c>
      <c r="J10" s="696">
        <f>VLOOKUP(A10,'market px'!K$2:P$15,6,FALSE)</f>
        <v>100.2</v>
      </c>
      <c r="K10" s="698">
        <f t="shared" si="0"/>
        <v>0</v>
      </c>
      <c r="L10" s="693"/>
      <c r="S10" s="131"/>
    </row>
    <row r="11" spans="1:19" s="93" customFormat="1">
      <c r="A11" s="690" t="s">
        <v>373</v>
      </c>
      <c r="B11" s="700">
        <v>44076</v>
      </c>
      <c r="C11" s="691"/>
      <c r="D11" s="701"/>
      <c r="E11" s="702">
        <v>0</v>
      </c>
      <c r="F11" s="693"/>
      <c r="G11" s="779">
        <f>-VLOOKUP(A11,'market px'!K$2:P$25,3,FALSE)*E11/1000000</f>
        <v>0</v>
      </c>
      <c r="H11" s="703"/>
      <c r="I11" s="704">
        <v>99.91</v>
      </c>
      <c r="J11" s="696">
        <f>VLOOKUP(A11,'market px'!K$2:P$15,6,FALSE)</f>
        <v>100.2</v>
      </c>
      <c r="K11" s="698">
        <f t="shared" si="0"/>
        <v>0</v>
      </c>
      <c r="L11" s="693"/>
      <c r="S11" s="131"/>
    </row>
    <row r="12" spans="1:19" s="93" customFormat="1">
      <c r="A12" s="690" t="s">
        <v>368</v>
      </c>
      <c r="B12" s="700">
        <v>44140</v>
      </c>
      <c r="C12" s="691"/>
      <c r="D12" s="701"/>
      <c r="E12" s="693">
        <v>0</v>
      </c>
      <c r="F12" s="693"/>
      <c r="G12" s="779">
        <f>-VLOOKUP(A12,'market px'!K$2:P$25,3,FALSE)*E12/1000000</f>
        <v>0</v>
      </c>
      <c r="H12" s="703"/>
      <c r="I12" s="704">
        <v>95.1297</v>
      </c>
      <c r="J12" s="696">
        <f>VLOOKUP(A12,'market px'!K$2:P$15,6,FALSE)</f>
        <v>98.219200000000001</v>
      </c>
      <c r="K12" s="698">
        <f t="shared" si="0"/>
        <v>0</v>
      </c>
      <c r="L12" s="693"/>
      <c r="S12" s="131"/>
    </row>
    <row r="13" spans="1:19" s="93" customFormat="1">
      <c r="A13" s="690" t="s">
        <v>393</v>
      </c>
      <c r="B13" s="700">
        <v>44169</v>
      </c>
      <c r="C13" s="691"/>
      <c r="D13" s="701"/>
      <c r="E13" s="693">
        <v>0</v>
      </c>
      <c r="F13" s="693"/>
      <c r="G13" s="779">
        <f>-VLOOKUP(A13,'market px'!K$2:P$25,3,FALSE)*E13/1000000</f>
        <v>0</v>
      </c>
      <c r="H13" s="703"/>
      <c r="I13" s="704">
        <v>99.998999999999995</v>
      </c>
      <c r="J13" s="696">
        <f>VLOOKUP(A13,'market px'!K$2:P$17,6,FALSE)</f>
        <v>100.336</v>
      </c>
      <c r="K13" s="698">
        <f t="shared" si="0"/>
        <v>0</v>
      </c>
      <c r="L13" s="693"/>
      <c r="S13" s="131"/>
    </row>
    <row r="14" spans="1:19" s="93" customFormat="1">
      <c r="A14" s="690" t="s">
        <v>400</v>
      </c>
      <c r="B14" s="700">
        <v>44195</v>
      </c>
      <c r="C14" s="691"/>
      <c r="D14" s="701"/>
      <c r="E14" s="693">
        <v>0</v>
      </c>
      <c r="F14" s="693"/>
      <c r="G14" s="779">
        <f>-VLOOKUP(A14,'market px'!K$2:P$25,3,FALSE)*E14/1000000</f>
        <v>0</v>
      </c>
      <c r="H14" s="703"/>
      <c r="I14" s="704">
        <v>100.2431</v>
      </c>
      <c r="J14" s="696">
        <f>VLOOKUP(A14,'market px'!K$2:P$50,6,FALSE)</f>
        <v>100.4131</v>
      </c>
      <c r="K14" s="698">
        <f t="shared" si="0"/>
        <v>0</v>
      </c>
      <c r="L14" s="693"/>
      <c r="S14" s="131"/>
    </row>
    <row r="15" spans="1:19" s="93" customFormat="1">
      <c r="A15" s="690" t="s">
        <v>415</v>
      </c>
      <c r="B15" s="700">
        <v>44216</v>
      </c>
      <c r="C15" s="691"/>
      <c r="D15" s="701"/>
      <c r="E15" s="693">
        <v>0</v>
      </c>
      <c r="F15" s="693"/>
      <c r="G15" s="779">
        <f>-VLOOKUP(A15,'market px'!K$2:P$25,3,FALSE)*E15/1000000</f>
        <v>0</v>
      </c>
      <c r="H15" s="703"/>
      <c r="I15" s="704">
        <v>100.9622</v>
      </c>
      <c r="J15" s="696">
        <f>VLOOKUP(A15,'market px'!K$2:P$50,6,FALSE)</f>
        <v>102.9756</v>
      </c>
      <c r="K15" s="698">
        <f t="shared" si="0"/>
        <v>0</v>
      </c>
      <c r="L15" s="693"/>
      <c r="S15" s="131"/>
    </row>
    <row r="16" spans="1:19" s="93" customFormat="1">
      <c r="A16" s="690" t="s">
        <v>368</v>
      </c>
      <c r="B16" s="700">
        <v>44231</v>
      </c>
      <c r="C16" s="691"/>
      <c r="D16" s="701"/>
      <c r="E16" s="693">
        <v>0</v>
      </c>
      <c r="F16" s="693"/>
      <c r="G16" s="779">
        <f>-VLOOKUP(A16,'market px'!K$1:P$80,3,FALSE)*E16/1000000</f>
        <v>0</v>
      </c>
      <c r="H16" s="703"/>
      <c r="I16" s="704">
        <v>95.273600000000002</v>
      </c>
      <c r="J16" s="696">
        <f>VLOOKUP(A16,'market px'!K$2:P$80,6,FALSE)</f>
        <v>98.219200000000001</v>
      </c>
      <c r="K16" s="698">
        <f t="shared" si="0"/>
        <v>0</v>
      </c>
      <c r="L16" s="693"/>
      <c r="S16" s="131"/>
    </row>
    <row r="17" spans="1:19" s="93" customFormat="1">
      <c r="A17" s="690" t="s">
        <v>415</v>
      </c>
      <c r="B17" s="691">
        <v>44313</v>
      </c>
      <c r="C17" s="774"/>
      <c r="D17" s="775"/>
      <c r="E17" s="776">
        <v>0</v>
      </c>
      <c r="F17" s="774"/>
      <c r="G17" s="779">
        <f>-VLOOKUP(A17,'market px'!K$1:P$80,3,FALSE)*E17/1000000</f>
        <v>0</v>
      </c>
      <c r="H17" s="778"/>
      <c r="I17" s="835">
        <v>100.5916</v>
      </c>
      <c r="J17" s="774">
        <f>VLOOKUP(A17,'market px'!K$2:P$80,6,FALSE)</f>
        <v>102.9756</v>
      </c>
      <c r="K17" s="698">
        <f t="shared" si="0"/>
        <v>0</v>
      </c>
      <c r="L17" s="693"/>
      <c r="S17" s="131"/>
    </row>
    <row r="18" spans="1:19" s="93" customFormat="1">
      <c r="A18" s="690" t="s">
        <v>496</v>
      </c>
      <c r="B18" s="691">
        <v>44315</v>
      </c>
      <c r="C18" s="774"/>
      <c r="D18" s="775"/>
      <c r="E18" s="776">
        <v>0</v>
      </c>
      <c r="F18" s="774"/>
      <c r="G18" s="779">
        <f>-VLOOKUP(A18,'market px'!K$1:P$80,3,FALSE)*E18/1000000</f>
        <v>0</v>
      </c>
      <c r="H18" s="778"/>
      <c r="I18" s="835">
        <v>100.7139</v>
      </c>
      <c r="J18" s="774">
        <f>VLOOKUP(A18,'market px'!K$2:P$80,6,FALSE)</f>
        <v>102.4503</v>
      </c>
      <c r="K18" s="698">
        <f t="shared" si="0"/>
        <v>0</v>
      </c>
      <c r="L18" s="693"/>
      <c r="S18" s="131"/>
    </row>
    <row r="19" spans="1:19" s="93" customFormat="1">
      <c r="A19" s="690" t="s">
        <v>415</v>
      </c>
      <c r="B19" s="691">
        <v>44351</v>
      </c>
      <c r="C19" s="774"/>
      <c r="D19" s="775"/>
      <c r="E19" s="776">
        <v>0</v>
      </c>
      <c r="F19" s="774"/>
      <c r="G19" s="779">
        <f>-VLOOKUP(A19,'market px'!K$1:P$80,3,FALSE)*E19/1000000</f>
        <v>0</v>
      </c>
      <c r="H19" s="778"/>
      <c r="I19" s="835">
        <v>101.2915</v>
      </c>
      <c r="J19" s="774">
        <f>VLOOKUP(A19,'market px'!K$2:P$80,6,FALSE)</f>
        <v>102.9756</v>
      </c>
      <c r="K19" s="698">
        <f t="shared" si="0"/>
        <v>0</v>
      </c>
      <c r="L19" s="693"/>
      <c r="S19" s="131"/>
    </row>
    <row r="20" spans="1:19" s="102" customFormat="1">
      <c r="A20" s="690" t="s">
        <v>415</v>
      </c>
      <c r="B20" s="691">
        <v>44363</v>
      </c>
      <c r="C20" s="691"/>
      <c r="D20" s="692"/>
      <c r="E20" s="693">
        <v>0</v>
      </c>
      <c r="F20" s="693"/>
      <c r="G20" s="779">
        <f>-VLOOKUP(A20,'market px'!K$1:P$80,3,FALSE)*E20/1000000</f>
        <v>0</v>
      </c>
      <c r="H20" s="695"/>
      <c r="I20" s="696">
        <v>100.9697</v>
      </c>
      <c r="J20" s="774">
        <f>VLOOKUP(A20,'market px'!K$2:P$80,6,FALSE)</f>
        <v>102.9756</v>
      </c>
      <c r="K20" s="698">
        <f t="shared" si="0"/>
        <v>0</v>
      </c>
      <c r="L20" s="693"/>
      <c r="M20" s="93"/>
      <c r="N20" s="93"/>
      <c r="O20" s="93"/>
      <c r="P20" s="93"/>
      <c r="Q20" s="93"/>
      <c r="S20" s="103"/>
    </row>
    <row r="21" spans="1:19">
      <c r="A21" s="111" t="s">
        <v>166</v>
      </c>
      <c r="B21" s="313"/>
      <c r="C21" s="313"/>
      <c r="D21" s="539"/>
      <c r="E21" s="314">
        <f>SUM(E3:E20)</f>
        <v>0</v>
      </c>
      <c r="F21" s="314"/>
      <c r="G21" s="316">
        <f>SUM(G3:G20)</f>
        <v>0</v>
      </c>
      <c r="H21" s="479"/>
      <c r="I21" s="323"/>
      <c r="J21" s="318"/>
      <c r="K21" s="316">
        <f>SUM(K3:K20)</f>
        <v>0</v>
      </c>
      <c r="L21" s="316"/>
    </row>
    <row r="22" spans="1:19">
      <c r="A22" t="s">
        <v>162</v>
      </c>
    </row>
    <row r="23" spans="1:19" s="93" customFormat="1">
      <c r="A23" s="206" t="s">
        <v>234</v>
      </c>
      <c r="B23" s="207" t="s">
        <v>176</v>
      </c>
      <c r="C23" s="207" t="s">
        <v>171</v>
      </c>
      <c r="D23" s="535" t="s">
        <v>170</v>
      </c>
      <c r="E23" s="208" t="s">
        <v>11</v>
      </c>
      <c r="F23" s="207" t="s">
        <v>2</v>
      </c>
      <c r="G23" s="209" t="s">
        <v>12</v>
      </c>
      <c r="H23" s="567" t="s">
        <v>236</v>
      </c>
      <c r="I23" s="209" t="s">
        <v>210</v>
      </c>
      <c r="J23" s="207" t="s">
        <v>211</v>
      </c>
      <c r="K23" s="260" t="s">
        <v>212</v>
      </c>
      <c r="L23" s="377"/>
      <c r="S23" s="131" t="s">
        <v>21</v>
      </c>
    </row>
    <row r="24" spans="1:19" s="102" customFormat="1">
      <c r="A24" s="87" t="s">
        <v>364</v>
      </c>
      <c r="B24" s="122">
        <v>44001</v>
      </c>
      <c r="C24" s="122"/>
      <c r="D24" s="536"/>
      <c r="E24" s="88">
        <v>0</v>
      </c>
      <c r="F24" s="122">
        <v>43235</v>
      </c>
      <c r="G24" s="550">
        <f>-VLOOKUP(A24,'market px'!K$2:P$25,3,FALSE)*E24/1000000</f>
        <v>0</v>
      </c>
      <c r="H24" s="475" t="s">
        <v>23</v>
      </c>
      <c r="I24" s="396">
        <v>101.42</v>
      </c>
      <c r="J24" s="129">
        <f>VLOOKUP(A24,'market px'!K$2:P$15,6,FALSE)</f>
        <v>100.425</v>
      </c>
      <c r="K24" s="104">
        <f t="shared" ref="K24:K52" si="1">(J24-I24)*E24/100</f>
        <v>0</v>
      </c>
      <c r="L24" s="382"/>
      <c r="N24" s="93"/>
      <c r="O24" s="93"/>
      <c r="P24" s="93"/>
      <c r="Q24" s="93"/>
      <c r="S24" s="103"/>
    </row>
    <row r="25" spans="1:19" s="102" customFormat="1">
      <c r="A25" s="87" t="s">
        <v>367</v>
      </c>
      <c r="B25" s="122">
        <v>44041</v>
      </c>
      <c r="C25" s="122"/>
      <c r="D25" s="536"/>
      <c r="E25" s="88">
        <v>0</v>
      </c>
      <c r="F25" s="122">
        <v>42505</v>
      </c>
      <c r="G25" s="550">
        <f>-VLOOKUP(A25,'market px'!K$2:P$25,3,FALSE)*E25/1000000</f>
        <v>0</v>
      </c>
      <c r="H25" s="475" t="s">
        <v>23</v>
      </c>
      <c r="I25" s="129">
        <v>99.728999999999999</v>
      </c>
      <c r="J25" s="129">
        <f>VLOOKUP(A25,'market px'!K$2:P$15,6,FALSE)</f>
        <v>100.42700000000001</v>
      </c>
      <c r="K25" s="104">
        <f t="shared" si="1"/>
        <v>0</v>
      </c>
      <c r="L25" s="382"/>
      <c r="M25" s="93"/>
      <c r="N25" s="93"/>
      <c r="O25" s="93"/>
      <c r="P25" s="93"/>
      <c r="Q25" s="93"/>
      <c r="S25" s="103"/>
    </row>
    <row r="26" spans="1:19" s="102" customFormat="1">
      <c r="A26" s="262" t="s">
        <v>367</v>
      </c>
      <c r="B26" s="265">
        <v>44041</v>
      </c>
      <c r="C26" s="265"/>
      <c r="D26" s="537"/>
      <c r="E26" s="266">
        <v>0</v>
      </c>
      <c r="F26" s="265">
        <v>39568</v>
      </c>
      <c r="G26" s="550">
        <f>-VLOOKUP(A26,'market px'!K$2:P$25,3,FALSE)*E26/1000000</f>
        <v>0</v>
      </c>
      <c r="H26" s="476"/>
      <c r="I26" s="268">
        <v>100.03</v>
      </c>
      <c r="J26" s="129">
        <f>VLOOKUP(A26,'market px'!K$2:P$15,6,FALSE)</f>
        <v>100.42700000000001</v>
      </c>
      <c r="K26" s="269">
        <f t="shared" si="1"/>
        <v>0</v>
      </c>
      <c r="L26" s="382"/>
      <c r="M26" s="93"/>
      <c r="N26" s="93"/>
      <c r="O26" s="93"/>
      <c r="P26" s="93"/>
      <c r="Q26" s="93"/>
      <c r="S26" s="103"/>
    </row>
    <row r="27" spans="1:19" s="102" customFormat="1">
      <c r="A27" s="262" t="s">
        <v>376</v>
      </c>
      <c r="B27" s="265">
        <v>44120</v>
      </c>
      <c r="C27" s="265"/>
      <c r="D27" s="537"/>
      <c r="E27" s="266">
        <v>0</v>
      </c>
      <c r="F27" s="265">
        <v>39568</v>
      </c>
      <c r="G27" s="550">
        <f>-VLOOKUP(A27,'market px'!K$2:P$25,3,FALSE)*E27/1000000</f>
        <v>0</v>
      </c>
      <c r="H27" s="476" t="s">
        <v>23</v>
      </c>
      <c r="I27" s="268">
        <v>99.784999999999997</v>
      </c>
      <c r="J27" s="129">
        <f>VLOOKUP(A27,'market px'!K$2:P$15,6,FALSE)</f>
        <v>100.529</v>
      </c>
      <c r="K27" s="269">
        <f t="shared" si="1"/>
        <v>0</v>
      </c>
      <c r="L27" s="382"/>
      <c r="M27" s="93"/>
      <c r="N27" s="93"/>
      <c r="O27" s="93"/>
      <c r="P27" s="93"/>
      <c r="Q27" s="93"/>
      <c r="S27" s="103"/>
    </row>
    <row r="28" spans="1:19" s="116" customFormat="1">
      <c r="A28" s="110" t="s">
        <v>373</v>
      </c>
      <c r="B28" s="113">
        <v>44076</v>
      </c>
      <c r="C28" s="113"/>
      <c r="D28" s="538"/>
      <c r="E28" s="114">
        <v>0</v>
      </c>
      <c r="F28" s="113"/>
      <c r="G28" s="550">
        <f>-VLOOKUP(A28,'market px'!K$2:P$25,3,FALSE)*E28/1000000</f>
        <v>0</v>
      </c>
      <c r="H28" s="477"/>
      <c r="I28" s="319">
        <v>99.855999999999995</v>
      </c>
      <c r="J28" s="129">
        <f>VLOOKUP(A28,'market px'!K$2:P$15,6,FALSE)</f>
        <v>100.2</v>
      </c>
      <c r="K28" s="261">
        <f t="shared" si="1"/>
        <v>0</v>
      </c>
      <c r="L28" s="382"/>
      <c r="S28" s="320"/>
    </row>
    <row r="29" spans="1:19" s="116" customFormat="1">
      <c r="A29" s="110" t="s">
        <v>377</v>
      </c>
      <c r="B29" s="113">
        <v>44134</v>
      </c>
      <c r="C29" s="113"/>
      <c r="D29" s="538"/>
      <c r="E29" s="114">
        <v>0</v>
      </c>
      <c r="F29" s="113">
        <v>45179</v>
      </c>
      <c r="G29" s="550">
        <f>-VLOOKUP(A29,'market px'!K$2:P$25,3,FALSE)*E29/1000000</f>
        <v>0</v>
      </c>
      <c r="H29" s="477"/>
      <c r="I29" s="319">
        <v>99.952651099999997</v>
      </c>
      <c r="J29" s="129">
        <f>VLOOKUP(A29,'market px'!K$2:P$15,6,FALSE)</f>
        <v>100.127</v>
      </c>
      <c r="K29" s="261">
        <f t="shared" si="1"/>
        <v>0</v>
      </c>
      <c r="L29" s="382"/>
      <c r="S29" s="320"/>
    </row>
    <row r="30" spans="1:19" s="116" customFormat="1">
      <c r="A30" s="110" t="s">
        <v>378</v>
      </c>
      <c r="B30" s="113">
        <v>44134</v>
      </c>
      <c r="C30" s="113"/>
      <c r="D30" s="538"/>
      <c r="E30" s="114">
        <v>0</v>
      </c>
      <c r="F30" s="113">
        <v>44753</v>
      </c>
      <c r="G30" s="550">
        <f>-VLOOKUP(A30,'market px'!K$2:P$25,3,FALSE)*E30/1000000</f>
        <v>0</v>
      </c>
      <c r="H30" s="477"/>
      <c r="I30" s="319">
        <v>100.313</v>
      </c>
      <c r="J30" s="129">
        <f>VLOOKUP(A30,'market px'!K$2:P$15,6,FALSE)</f>
        <v>100.26</v>
      </c>
      <c r="K30" s="261">
        <f t="shared" si="1"/>
        <v>0</v>
      </c>
      <c r="L30" s="382"/>
      <c r="S30" s="320"/>
    </row>
    <row r="31" spans="1:19" s="116" customFormat="1">
      <c r="A31" s="110" t="s">
        <v>383</v>
      </c>
      <c r="B31" s="113">
        <v>44141</v>
      </c>
      <c r="C31" s="113"/>
      <c r="D31" s="538"/>
      <c r="E31" s="114">
        <v>0</v>
      </c>
      <c r="F31" s="113">
        <v>44676</v>
      </c>
      <c r="G31" s="550">
        <f>-VLOOKUP(A31,'market px'!K$2:P$25,3,FALSE)*E31/1000000</f>
        <v>0</v>
      </c>
      <c r="H31" s="477"/>
      <c r="I31" s="319">
        <v>99.83</v>
      </c>
      <c r="J31" s="129">
        <f>VLOOKUP(A31,'market px'!K$2:P$15,6,FALSE)</f>
        <v>100.075</v>
      </c>
      <c r="K31" s="261">
        <f t="shared" si="1"/>
        <v>0</v>
      </c>
      <c r="L31" s="382"/>
      <c r="S31" s="320"/>
    </row>
    <row r="32" spans="1:19" s="116" customFormat="1">
      <c r="A32" s="821" t="s">
        <v>385</v>
      </c>
      <c r="B32" s="113">
        <v>44145</v>
      </c>
      <c r="C32" s="113"/>
      <c r="D32" s="538"/>
      <c r="E32" s="114">
        <v>0</v>
      </c>
      <c r="F32" s="113"/>
      <c r="G32" s="550">
        <f>-VLOOKUP(A32,'market px'!K$2:P$25,3,FALSE)*E32/1000000</f>
        <v>0</v>
      </c>
      <c r="H32" s="477"/>
      <c r="I32" s="319">
        <v>100.26900000000001</v>
      </c>
      <c r="J32" s="129">
        <f>VLOOKUP(A32,'market px'!K$2:P$15,6,FALSE)</f>
        <v>100.376</v>
      </c>
      <c r="K32" s="261">
        <f t="shared" si="1"/>
        <v>0</v>
      </c>
      <c r="L32" s="382"/>
      <c r="S32" s="320"/>
    </row>
    <row r="33" spans="1:19" s="116" customFormat="1">
      <c r="A33" s="821" t="s">
        <v>387</v>
      </c>
      <c r="B33" s="113">
        <v>44146</v>
      </c>
      <c r="C33" s="113"/>
      <c r="D33" s="538"/>
      <c r="E33" s="114">
        <v>0</v>
      </c>
      <c r="F33" s="113"/>
      <c r="G33" s="550">
        <f>-VLOOKUP(A33,'market px'!K$2:P$25,3,FALSE)*E33/1000000</f>
        <v>0</v>
      </c>
      <c r="H33" s="477"/>
      <c r="I33" s="319">
        <v>99.89</v>
      </c>
      <c r="J33" s="129">
        <f>VLOOKUP(A33,'market px'!K$2:P$15,6,FALSE)</f>
        <v>99.960999999999999</v>
      </c>
      <c r="K33" s="261">
        <f t="shared" si="1"/>
        <v>0</v>
      </c>
      <c r="L33" s="382"/>
      <c r="S33" s="320"/>
    </row>
    <row r="34" spans="1:19" s="116" customFormat="1">
      <c r="A34" s="110" t="s">
        <v>389</v>
      </c>
      <c r="B34" s="113">
        <v>44152</v>
      </c>
      <c r="C34" s="113"/>
      <c r="D34" s="538"/>
      <c r="E34" s="114">
        <v>0</v>
      </c>
      <c r="F34" s="113"/>
      <c r="G34" s="550">
        <f>-VLOOKUP(A34,'market px'!K$2:P$25,3,FALSE)*E34/1000000</f>
        <v>0</v>
      </c>
      <c r="H34" s="477"/>
      <c r="I34" s="319">
        <v>99.86</v>
      </c>
      <c r="J34" s="129">
        <f>VLOOKUP(A34,'market px'!K$2:P$15,6,FALSE)</f>
        <v>99.960999999999999</v>
      </c>
      <c r="K34" s="261">
        <f t="shared" si="1"/>
        <v>0</v>
      </c>
      <c r="L34" s="382"/>
      <c r="S34" s="320"/>
    </row>
    <row r="35" spans="1:19" s="116" customFormat="1">
      <c r="A35" s="110" t="s">
        <v>390</v>
      </c>
      <c r="B35" s="113">
        <v>44153</v>
      </c>
      <c r="C35" s="113"/>
      <c r="D35" s="538"/>
      <c r="E35" s="114">
        <v>0</v>
      </c>
      <c r="F35" s="113"/>
      <c r="G35" s="550">
        <f>-VLOOKUP(A35,'market px'!K$1:P$15,3,FALSE)*E35/1000000</f>
        <v>0</v>
      </c>
      <c r="H35" s="477"/>
      <c r="I35" s="319">
        <v>99.86</v>
      </c>
      <c r="J35" s="129">
        <f>VLOOKUP(A35,'market px'!K$2:P$15,6,FALSE)</f>
        <v>99.960999999999999</v>
      </c>
      <c r="K35" s="261">
        <f t="shared" si="1"/>
        <v>0</v>
      </c>
      <c r="L35" s="382"/>
      <c r="S35" s="320"/>
    </row>
    <row r="36" spans="1:19" s="116" customFormat="1">
      <c r="A36" s="821" t="s">
        <v>392</v>
      </c>
      <c r="B36" s="113">
        <v>44165</v>
      </c>
      <c r="C36" s="113"/>
      <c r="D36" s="538"/>
      <c r="E36" s="114">
        <v>0</v>
      </c>
      <c r="F36" s="113"/>
      <c r="G36" s="550">
        <f>-VLOOKUP(A36,'market px'!K$1:P$15,3,FALSE)*E36/1000000</f>
        <v>0</v>
      </c>
      <c r="H36" s="477"/>
      <c r="I36" s="319">
        <v>100.047</v>
      </c>
      <c r="J36" s="129">
        <f>VLOOKUP(A36,'market px'!K$2:P$15,6,FALSE)</f>
        <v>100.294</v>
      </c>
      <c r="K36" s="261">
        <f t="shared" si="1"/>
        <v>0</v>
      </c>
      <c r="L36" s="382"/>
      <c r="S36" s="320"/>
    </row>
    <row r="37" spans="1:19" s="116" customFormat="1">
      <c r="A37" s="821" t="s">
        <v>395</v>
      </c>
      <c r="B37" s="113">
        <v>44174</v>
      </c>
      <c r="C37" s="113"/>
      <c r="D37" s="538"/>
      <c r="E37" s="114">
        <v>0</v>
      </c>
      <c r="F37" s="113"/>
      <c r="G37" s="550">
        <f>-VLOOKUP(A37,'market px'!K$1:P$100,3,FALSE)*E37/1000000</f>
        <v>0</v>
      </c>
      <c r="H37" s="477"/>
      <c r="I37" s="319">
        <v>99.846999999999994</v>
      </c>
      <c r="J37" s="129">
        <f>VLOOKUP(A37,'market px'!K$2:P$150,6,FALSE)</f>
        <v>100.071</v>
      </c>
      <c r="K37" s="261">
        <f t="shared" si="1"/>
        <v>0</v>
      </c>
      <c r="L37" s="382"/>
      <c r="S37" s="320"/>
    </row>
    <row r="38" spans="1:19" s="116" customFormat="1">
      <c r="A38" s="110" t="s">
        <v>377</v>
      </c>
      <c r="B38" s="113">
        <v>44203</v>
      </c>
      <c r="C38" s="113"/>
      <c r="D38" s="538"/>
      <c r="E38" s="114">
        <v>0</v>
      </c>
      <c r="F38" s="113"/>
      <c r="G38" s="550">
        <f>-VLOOKUP(A38,'market px'!K$1:P$100,3,FALSE)*E38/1000000</f>
        <v>0</v>
      </c>
      <c r="H38" s="477"/>
      <c r="I38" s="319">
        <v>100.06</v>
      </c>
      <c r="J38" s="129">
        <f>VLOOKUP(A38,'market px'!K$2:P$150,6,FALSE)</f>
        <v>100.127</v>
      </c>
      <c r="K38" s="261">
        <f t="shared" si="1"/>
        <v>0</v>
      </c>
      <c r="L38" s="382"/>
      <c r="S38" s="320"/>
    </row>
    <row r="39" spans="1:19" s="116" customFormat="1">
      <c r="A39" s="110" t="s">
        <v>373</v>
      </c>
      <c r="B39" s="113">
        <v>44203</v>
      </c>
      <c r="C39" s="113"/>
      <c r="D39" s="538"/>
      <c r="E39" s="114">
        <v>0</v>
      </c>
      <c r="F39" s="113"/>
      <c r="G39" s="550">
        <f>-VLOOKUP(A39,'market px'!K$1:P$100,3,FALSE)*E39/1000000</f>
        <v>0</v>
      </c>
      <c r="H39" s="477"/>
      <c r="I39" s="319">
        <v>100.081</v>
      </c>
      <c r="J39" s="129">
        <f>VLOOKUP(A39,'market px'!K$2:P$150,6,FALSE)</f>
        <v>100.2</v>
      </c>
      <c r="K39" s="261">
        <f t="shared" si="1"/>
        <v>0</v>
      </c>
      <c r="L39" s="382"/>
      <c r="S39" s="320"/>
    </row>
    <row r="40" spans="1:19" s="116" customFormat="1">
      <c r="A40" s="110" t="s">
        <v>373</v>
      </c>
      <c r="B40" s="113">
        <v>44203</v>
      </c>
      <c r="C40" s="113"/>
      <c r="D40" s="538"/>
      <c r="E40" s="114">
        <v>0</v>
      </c>
      <c r="F40" s="113"/>
      <c r="G40" s="550">
        <f>-VLOOKUP(A40,'market px'!K$1:P$100,3,FALSE)*E40/1000000</f>
        <v>0</v>
      </c>
      <c r="H40" s="477"/>
      <c r="I40" s="319">
        <v>100.05500000000001</v>
      </c>
      <c r="J40" s="129">
        <f>VLOOKUP(A40,'market px'!K$2:P$150,6,FALSE)</f>
        <v>100.2</v>
      </c>
      <c r="K40" s="261">
        <f t="shared" si="1"/>
        <v>0</v>
      </c>
      <c r="L40" s="382"/>
      <c r="S40" s="320"/>
    </row>
    <row r="41" spans="1:19" s="116" customFormat="1">
      <c r="A41" s="110" t="s">
        <v>404</v>
      </c>
      <c r="B41" s="113">
        <v>44208</v>
      </c>
      <c r="C41" s="113"/>
      <c r="D41" s="538"/>
      <c r="E41" s="114">
        <v>0</v>
      </c>
      <c r="F41" s="113"/>
      <c r="G41" s="550">
        <f>-VLOOKUP(A41,'market px'!K$1:P$100,3,FALSE)*E41/1000000</f>
        <v>0</v>
      </c>
      <c r="H41" s="477"/>
      <c r="I41" s="319">
        <v>99.855000000000004</v>
      </c>
      <c r="J41" s="129">
        <f>VLOOKUP(A41,'market px'!K$2:P$150,6,FALSE)</f>
        <v>100.12</v>
      </c>
      <c r="K41" s="261">
        <f t="shared" si="1"/>
        <v>0</v>
      </c>
      <c r="L41" s="382"/>
      <c r="S41" s="320"/>
    </row>
    <row r="42" spans="1:19" s="116" customFormat="1">
      <c r="A42" s="110" t="s">
        <v>408</v>
      </c>
      <c r="B42" s="113">
        <v>44214</v>
      </c>
      <c r="C42" s="113"/>
      <c r="D42" s="538"/>
      <c r="E42" s="114">
        <v>0</v>
      </c>
      <c r="F42" s="113"/>
      <c r="G42" s="550">
        <f>-VLOOKUP(A42,'market px'!K$1:P$100,3,FALSE)*E42/1000000</f>
        <v>0</v>
      </c>
      <c r="H42" s="477"/>
      <c r="I42" s="319">
        <v>99.953000000000003</v>
      </c>
      <c r="J42" s="129">
        <f>VLOOKUP(A42,'market px'!K$2:P$150,6,FALSE)</f>
        <v>99.17</v>
      </c>
      <c r="K42" s="261">
        <f t="shared" si="1"/>
        <v>0</v>
      </c>
      <c r="L42" s="382"/>
      <c r="S42" s="320"/>
    </row>
    <row r="43" spans="1:19" s="116" customFormat="1">
      <c r="A43" s="110" t="s">
        <v>410</v>
      </c>
      <c r="B43" s="113">
        <v>44214</v>
      </c>
      <c r="C43" s="113"/>
      <c r="D43" s="538"/>
      <c r="E43" s="114">
        <v>0</v>
      </c>
      <c r="F43" s="113"/>
      <c r="G43" s="550">
        <f>-VLOOKUP(A43,'market px'!K$1:P$100,3,FALSE)*E43/1000000</f>
        <v>0</v>
      </c>
      <c r="H43" s="477"/>
      <c r="I43" s="319">
        <v>99.344999999999999</v>
      </c>
      <c r="J43" s="129">
        <f>VLOOKUP(A43,'market px'!K$2:P$150,6,FALSE)</f>
        <v>98.3</v>
      </c>
      <c r="K43" s="261">
        <f t="shared" si="1"/>
        <v>0</v>
      </c>
      <c r="L43" s="382"/>
      <c r="S43" s="320"/>
    </row>
    <row r="44" spans="1:19" s="116" customFormat="1">
      <c r="A44" s="110" t="s">
        <v>373</v>
      </c>
      <c r="B44" s="113">
        <v>44076</v>
      </c>
      <c r="C44" s="113"/>
      <c r="D44" s="538"/>
      <c r="E44" s="114">
        <v>0</v>
      </c>
      <c r="F44" s="113"/>
      <c r="G44" s="550">
        <f>-VLOOKUP(A44,'market px'!K$1:P$100,3,FALSE)*E44/1000000</f>
        <v>0</v>
      </c>
      <c r="H44" s="477"/>
      <c r="I44" s="319">
        <v>99.91</v>
      </c>
      <c r="J44" s="129">
        <f>VLOOKUP(A44,'market px'!K$2:P$150,6,FALSE)</f>
        <v>100.2</v>
      </c>
      <c r="K44" s="261">
        <f t="shared" si="1"/>
        <v>0</v>
      </c>
      <c r="L44" s="382"/>
      <c r="S44" s="320"/>
    </row>
    <row r="45" spans="1:19" s="116" customFormat="1">
      <c r="A45" s="110" t="s">
        <v>393</v>
      </c>
      <c r="B45" s="113">
        <v>44169</v>
      </c>
      <c r="C45" s="113"/>
      <c r="D45" s="538"/>
      <c r="E45" s="114">
        <v>0</v>
      </c>
      <c r="F45" s="113"/>
      <c r="G45" s="550">
        <f>-VLOOKUP(A45,'market px'!K$1:P$100,3,FALSE)*E45/1000000</f>
        <v>0</v>
      </c>
      <c r="H45" s="477"/>
      <c r="I45" s="319">
        <v>99.998999999999995</v>
      </c>
      <c r="J45" s="129">
        <f>VLOOKUP(A45,'market px'!K$2:P$150,6,FALSE)</f>
        <v>100.336</v>
      </c>
      <c r="K45" s="261">
        <f t="shared" si="1"/>
        <v>0</v>
      </c>
      <c r="L45" s="382"/>
      <c r="S45" s="320"/>
    </row>
    <row r="46" spans="1:19" s="116" customFormat="1">
      <c r="A46" s="110" t="s">
        <v>412</v>
      </c>
      <c r="B46" s="113">
        <v>44216</v>
      </c>
      <c r="C46" s="113"/>
      <c r="D46" s="538"/>
      <c r="E46" s="114">
        <v>0</v>
      </c>
      <c r="F46" s="113"/>
      <c r="G46" s="550">
        <f>-VLOOKUP(A46,'market px'!K$1:P$100,3,FALSE)*E46/1000000</f>
        <v>0</v>
      </c>
      <c r="H46" s="477"/>
      <c r="I46" s="319">
        <v>99.501000000000005</v>
      </c>
      <c r="J46" s="129">
        <f>VLOOKUP(A46,'market px'!K$2:P$150,6,FALSE)</f>
        <v>97</v>
      </c>
      <c r="K46" s="261">
        <f t="shared" si="1"/>
        <v>0</v>
      </c>
      <c r="L46" s="382"/>
      <c r="S46" s="320"/>
    </row>
    <row r="47" spans="1:19" s="116" customFormat="1">
      <c r="A47" s="110" t="s">
        <v>416</v>
      </c>
      <c r="B47" s="113">
        <v>44218</v>
      </c>
      <c r="C47" s="113"/>
      <c r="D47" s="538"/>
      <c r="E47" s="114">
        <v>0</v>
      </c>
      <c r="F47" s="113"/>
      <c r="G47" s="550">
        <f>-VLOOKUP(A47,'market px'!K$1:P$100,3,FALSE)*E47/1000000</f>
        <v>0</v>
      </c>
      <c r="H47" s="477"/>
      <c r="I47" s="319">
        <v>100.313</v>
      </c>
      <c r="J47" s="129">
        <f>VLOOKUP(A47,'market px'!K$2:P$150,6,FALSE)</f>
        <v>100.256</v>
      </c>
      <c r="K47" s="261">
        <f t="shared" si="1"/>
        <v>0</v>
      </c>
      <c r="L47" s="382"/>
      <c r="S47" s="320"/>
    </row>
    <row r="48" spans="1:19" s="116" customFormat="1">
      <c r="A48" s="110" t="s">
        <v>417</v>
      </c>
      <c r="B48" s="113">
        <v>44218</v>
      </c>
      <c r="C48" s="113"/>
      <c r="D48" s="538"/>
      <c r="E48" s="114">
        <v>0</v>
      </c>
      <c r="F48" s="113"/>
      <c r="G48" s="550">
        <f>-VLOOKUP(A48,'market px'!K$1:P$100,3,FALSE)*E48/1000000</f>
        <v>0</v>
      </c>
      <c r="H48" s="477"/>
      <c r="I48" s="319">
        <v>100.35899999999999</v>
      </c>
      <c r="J48" s="129">
        <f>VLOOKUP(A48,'market px'!K$2:P$150,6,FALSE)</f>
        <v>100.319</v>
      </c>
      <c r="K48" s="261">
        <f t="shared" si="1"/>
        <v>0</v>
      </c>
      <c r="L48" s="382"/>
      <c r="S48" s="320"/>
    </row>
    <row r="49" spans="1:19" s="116" customFormat="1">
      <c r="A49" s="110" t="s">
        <v>421</v>
      </c>
      <c r="B49" s="113">
        <v>44228</v>
      </c>
      <c r="C49" s="113"/>
      <c r="D49" s="538"/>
      <c r="E49" s="114">
        <v>0</v>
      </c>
      <c r="F49" s="113"/>
      <c r="G49" s="550">
        <f>-VLOOKUP(A49,'[1]market px'!K$1:P$100,3,FALSE)*E49/1000000</f>
        <v>0</v>
      </c>
      <c r="H49" s="477"/>
      <c r="I49" s="319">
        <v>99.570999999999998</v>
      </c>
      <c r="J49" s="129">
        <f>VLOOKUP(A49,'market px'!K$2:P$150,6,FALSE)</f>
        <v>97</v>
      </c>
      <c r="K49" s="261">
        <f t="shared" si="1"/>
        <v>0</v>
      </c>
      <c r="L49" s="382"/>
      <c r="S49" s="320"/>
    </row>
    <row r="50" spans="1:19" s="116" customFormat="1">
      <c r="A50" s="110" t="s">
        <v>423</v>
      </c>
      <c r="B50" s="113">
        <v>44228</v>
      </c>
      <c r="C50" s="113"/>
      <c r="D50" s="538"/>
      <c r="E50" s="114">
        <v>0</v>
      </c>
      <c r="F50" s="113"/>
      <c r="G50" s="550">
        <f>-VLOOKUP(A50,'[1]market px'!K$1:P$100,3,FALSE)*E50/1000000</f>
        <v>0</v>
      </c>
      <c r="H50" s="477"/>
      <c r="I50" s="319">
        <v>100.04</v>
      </c>
      <c r="J50" s="129">
        <f>VLOOKUP(A50,'market px'!K$2:P$150,6,FALSE)</f>
        <v>100.193</v>
      </c>
      <c r="K50" s="261">
        <f t="shared" si="1"/>
        <v>0</v>
      </c>
      <c r="L50" s="382"/>
      <c r="S50" s="320"/>
    </row>
    <row r="51" spans="1:19" s="116" customFormat="1">
      <c r="A51" s="110" t="s">
        <v>494</v>
      </c>
      <c r="B51" s="113">
        <v>44302</v>
      </c>
      <c r="C51" s="113"/>
      <c r="D51" s="538"/>
      <c r="E51" s="114">
        <v>0</v>
      </c>
      <c r="F51" s="113"/>
      <c r="G51" s="550">
        <f>-VLOOKUP(A51,'market px'!K$1:P$100,3,FALSE)*E51/1000000</f>
        <v>0</v>
      </c>
      <c r="H51" s="477"/>
      <c r="I51" s="319">
        <v>99.95</v>
      </c>
      <c r="J51" s="129">
        <f>VLOOKUP(A51,'market px'!K$2:P$150,6,FALSE)</f>
        <v>99.95</v>
      </c>
      <c r="K51" s="261">
        <f t="shared" si="1"/>
        <v>0</v>
      </c>
      <c r="L51" s="382"/>
      <c r="S51" s="117"/>
    </row>
    <row r="52" spans="1:19" s="116" customFormat="1">
      <c r="A52" s="110" t="s">
        <v>495</v>
      </c>
      <c r="B52" s="113">
        <v>44302</v>
      </c>
      <c r="C52" s="113"/>
      <c r="D52" s="538"/>
      <c r="E52" s="114">
        <v>0</v>
      </c>
      <c r="F52" s="113"/>
      <c r="G52" s="550">
        <f>-VLOOKUP(A52,'market px'!K$1:P$100,3,FALSE)*E52/1000000</f>
        <v>0</v>
      </c>
      <c r="H52" s="477"/>
      <c r="I52" s="319">
        <v>102.062</v>
      </c>
      <c r="J52" s="129">
        <f>VLOOKUP(A52,'market px'!K$2:P$150,6,FALSE)</f>
        <v>102.062</v>
      </c>
      <c r="K52" s="261">
        <f t="shared" si="1"/>
        <v>0</v>
      </c>
      <c r="L52" s="382"/>
      <c r="S52" s="117"/>
    </row>
    <row r="53" spans="1:19" s="116" customFormat="1">
      <c r="A53" s="110"/>
      <c r="B53" s="113"/>
      <c r="C53" s="113"/>
      <c r="D53" s="538"/>
      <c r="E53" s="114"/>
      <c r="F53" s="113"/>
      <c r="G53" s="550"/>
      <c r="H53" s="477"/>
      <c r="I53" s="319"/>
      <c r="J53" s="129"/>
      <c r="K53" s="261"/>
      <c r="L53" s="382"/>
      <c r="S53" s="117"/>
    </row>
    <row r="54" spans="1:19" s="116" customFormat="1">
      <c r="A54" s="110"/>
      <c r="B54" s="113"/>
      <c r="C54" s="113"/>
      <c r="D54" s="538"/>
      <c r="E54" s="114"/>
      <c r="F54" s="113"/>
      <c r="G54" s="550"/>
      <c r="H54" s="477"/>
      <c r="I54" s="319"/>
      <c r="J54" s="129"/>
      <c r="K54" s="261"/>
      <c r="L54" s="383"/>
      <c r="S54" s="117"/>
    </row>
    <row r="55" spans="1:19" s="93" customFormat="1">
      <c r="A55" s="110"/>
      <c r="B55" s="113"/>
      <c r="C55" s="113"/>
      <c r="D55" s="538"/>
      <c r="E55" s="114"/>
      <c r="F55" s="113"/>
      <c r="G55" s="550"/>
      <c r="H55" s="477"/>
      <c r="I55" s="319"/>
      <c r="J55" s="129"/>
      <c r="K55" s="261">
        <f>(J55-I55)*E55/100</f>
        <v>0</v>
      </c>
      <c r="L55" s="377"/>
    </row>
    <row r="56" spans="1:19" s="93" customFormat="1">
      <c r="A56" s="111" t="s">
        <v>166</v>
      </c>
      <c r="B56" s="313"/>
      <c r="C56" s="313"/>
      <c r="D56" s="539"/>
      <c r="E56" s="314">
        <f>SUM(E24:E55)</f>
        <v>0</v>
      </c>
      <c r="F56" s="313"/>
      <c r="G56" s="316">
        <f>SUM(G24:G55)</f>
        <v>0</v>
      </c>
      <c r="H56" s="558"/>
      <c r="I56" s="323"/>
      <c r="J56" s="318"/>
      <c r="K56" s="316">
        <f>SUM(K24:K55)</f>
        <v>0</v>
      </c>
      <c r="L56" s="377"/>
      <c r="S56" s="131" t="s">
        <v>21</v>
      </c>
    </row>
    <row r="57" spans="1:19" s="102" customFormat="1">
      <c r="A57" s="93" t="s">
        <v>427</v>
      </c>
      <c r="B57" s="97"/>
      <c r="C57" s="97"/>
      <c r="D57" s="540"/>
      <c r="E57" s="100"/>
      <c r="F57" s="97"/>
      <c r="G57" s="93"/>
      <c r="H57" s="559"/>
      <c r="I57" s="99"/>
      <c r="J57" s="99"/>
      <c r="K57" s="93"/>
      <c r="L57" s="378"/>
      <c r="M57" s="93"/>
      <c r="N57" s="93"/>
      <c r="O57" s="93"/>
      <c r="P57" s="93"/>
      <c r="Q57" s="93"/>
      <c r="S57" s="103"/>
    </row>
    <row r="58" spans="1:19" s="102" customFormat="1">
      <c r="A58" s="206" t="s">
        <v>234</v>
      </c>
      <c r="B58" s="207" t="s">
        <v>7</v>
      </c>
      <c r="C58" s="207" t="s">
        <v>171</v>
      </c>
      <c r="D58" s="535" t="s">
        <v>170</v>
      </c>
      <c r="E58" s="208" t="s">
        <v>11</v>
      </c>
      <c r="F58" s="207" t="s">
        <v>2</v>
      </c>
      <c r="G58" s="209" t="s">
        <v>12</v>
      </c>
      <c r="H58" s="567" t="s">
        <v>237</v>
      </c>
      <c r="I58" s="209" t="s">
        <v>213</v>
      </c>
      <c r="J58" s="207" t="s">
        <v>214</v>
      </c>
      <c r="K58" s="260" t="s">
        <v>215</v>
      </c>
      <c r="L58" s="378"/>
      <c r="M58" s="93"/>
      <c r="N58" s="93"/>
      <c r="O58" s="93"/>
      <c r="P58" s="93"/>
      <c r="Q58" s="93"/>
      <c r="S58" s="103"/>
    </row>
    <row r="59" spans="1:19" s="102" customFormat="1">
      <c r="A59" s="87" t="s">
        <v>429</v>
      </c>
      <c r="B59" s="122">
        <v>44232</v>
      </c>
      <c r="C59" s="122"/>
      <c r="D59" s="536"/>
      <c r="E59" s="88">
        <v>0</v>
      </c>
      <c r="F59" s="122">
        <v>42505</v>
      </c>
      <c r="G59" s="550">
        <f>-VLOOKUP(A59,'market px'!K$1:P$100,3,FALSE)*E59/1000000</f>
        <v>0</v>
      </c>
      <c r="H59" s="475" t="s">
        <v>23</v>
      </c>
      <c r="I59" s="129">
        <v>99.953000000000003</v>
      </c>
      <c r="J59" s="129">
        <f>VLOOKUP(A59,'market px'!K$1:P$150,6,FALSE)</f>
        <v>99.626000000000005</v>
      </c>
      <c r="K59" s="261">
        <f>(J59-I59)*E59/100</f>
        <v>0</v>
      </c>
      <c r="L59" s="378"/>
      <c r="M59" s="93"/>
      <c r="N59" s="93"/>
      <c r="O59" s="93"/>
      <c r="P59" s="93"/>
      <c r="Q59" s="93"/>
      <c r="S59" s="103"/>
    </row>
    <row r="60" spans="1:19" s="102" customFormat="1">
      <c r="A60" s="87" t="s">
        <v>428</v>
      </c>
      <c r="B60" s="122">
        <v>44300</v>
      </c>
      <c r="C60" s="122"/>
      <c r="D60" s="536"/>
      <c r="E60" s="88">
        <v>0</v>
      </c>
      <c r="F60" s="122"/>
      <c r="G60" s="550">
        <f>-VLOOKUP(A60,'market px'!K$1:P$100,3,FALSE)*E60/1000000</f>
        <v>0</v>
      </c>
      <c r="H60" s="475"/>
      <c r="I60" s="129">
        <v>99.641999999999996</v>
      </c>
      <c r="J60" s="129">
        <f>VLOOKUP(A60,'market px'!K$1:P$150,6,FALSE)</f>
        <v>99.626000000000005</v>
      </c>
      <c r="K60" s="261">
        <f>(J60-I60)*E60/100</f>
        <v>0</v>
      </c>
      <c r="L60" s="378"/>
      <c r="M60" s="93"/>
      <c r="N60" s="93"/>
      <c r="O60" s="93"/>
      <c r="P60" s="93"/>
      <c r="Q60" s="93"/>
      <c r="S60" s="103"/>
    </row>
    <row r="61" spans="1:19" s="116" customFormat="1">
      <c r="A61" s="262"/>
      <c r="B61" s="265"/>
      <c r="C61" s="265"/>
      <c r="D61" s="537"/>
      <c r="E61" s="266"/>
      <c r="F61" s="265"/>
      <c r="G61" s="550"/>
      <c r="H61" s="476"/>
      <c r="I61" s="268"/>
      <c r="J61" s="268"/>
      <c r="K61" s="269"/>
      <c r="L61" s="379"/>
      <c r="S61" s="320"/>
    </row>
    <row r="62" spans="1:19" s="116" customFormat="1">
      <c r="A62" s="262"/>
      <c r="B62" s="265"/>
      <c r="C62" s="265"/>
      <c r="D62" s="537"/>
      <c r="E62" s="266"/>
      <c r="F62" s="265"/>
      <c r="G62" s="550"/>
      <c r="H62" s="476"/>
      <c r="I62" s="268"/>
      <c r="J62" s="268"/>
      <c r="K62" s="269"/>
      <c r="L62" s="380"/>
      <c r="S62" s="117"/>
    </row>
    <row r="63" spans="1:19" s="532" customFormat="1">
      <c r="A63" s="110"/>
      <c r="B63" s="113"/>
      <c r="C63" s="113"/>
      <c r="D63" s="538"/>
      <c r="E63" s="114"/>
      <c r="F63" s="113"/>
      <c r="G63" s="550"/>
      <c r="H63" s="477"/>
      <c r="I63" s="319"/>
      <c r="J63" s="319"/>
      <c r="K63" s="261"/>
      <c r="L63" s="531"/>
      <c r="S63" s="533"/>
    </row>
    <row r="64" spans="1:19" s="116" customFormat="1">
      <c r="A64" s="110"/>
      <c r="B64" s="113"/>
      <c r="C64" s="113"/>
      <c r="D64" s="538"/>
      <c r="E64" s="114"/>
      <c r="F64" s="113"/>
      <c r="G64" s="550"/>
      <c r="H64" s="557"/>
      <c r="I64" s="319"/>
      <c r="J64" s="319"/>
      <c r="K64" s="261"/>
      <c r="L64" s="380"/>
      <c r="S64" s="117"/>
    </row>
    <row r="65" spans="1:19" s="93" customFormat="1" ht="17.25" thickBot="1">
      <c r="A65" s="361" t="s">
        <v>166</v>
      </c>
      <c r="B65" s="363"/>
      <c r="C65" s="363"/>
      <c r="D65" s="541"/>
      <c r="E65" s="364">
        <f>SUM(E59:E64)</f>
        <v>0</v>
      </c>
      <c r="F65" s="363"/>
      <c r="G65" s="365">
        <f>SUM(G59:G64)</f>
        <v>0</v>
      </c>
      <c r="H65" s="560"/>
      <c r="I65" s="367"/>
      <c r="J65" s="366"/>
      <c r="K65" s="365">
        <f>SUM(K59:K64)</f>
        <v>0</v>
      </c>
      <c r="L65" s="377"/>
      <c r="M65"/>
      <c r="N65"/>
      <c r="O65"/>
      <c r="P65"/>
      <c r="Q65"/>
      <c r="S65" s="131" t="s">
        <v>21</v>
      </c>
    </row>
    <row r="66" spans="1:19" s="270" customFormat="1" ht="17.25" thickTop="1">
      <c r="A66" s="324" t="s">
        <v>164</v>
      </c>
      <c r="B66" s="313"/>
      <c r="C66" s="313"/>
      <c r="D66" s="539"/>
      <c r="E66" s="314"/>
      <c r="F66" s="313"/>
      <c r="G66" s="316"/>
      <c r="H66" s="558"/>
      <c r="I66" s="323"/>
      <c r="J66" s="318"/>
      <c r="K66" s="316"/>
      <c r="L66" s="381"/>
    </row>
    <row r="67" spans="1:19" s="270" customFormat="1">
      <c r="A67" s="206" t="s">
        <v>99</v>
      </c>
      <c r="B67" s="207" t="s">
        <v>1288</v>
      </c>
      <c r="C67" s="207" t="s">
        <v>1289</v>
      </c>
      <c r="D67" s="535" t="s">
        <v>170</v>
      </c>
      <c r="E67" s="208" t="s">
        <v>11</v>
      </c>
      <c r="F67" s="207" t="s">
        <v>2</v>
      </c>
      <c r="G67" s="209" t="s">
        <v>12</v>
      </c>
      <c r="H67" s="482" t="s">
        <v>18</v>
      </c>
      <c r="I67" s="209" t="s">
        <v>1290</v>
      </c>
      <c r="J67" s="207" t="s">
        <v>1291</v>
      </c>
      <c r="K67" s="260" t="s">
        <v>1283</v>
      </c>
      <c r="L67" s="381"/>
    </row>
    <row r="68" spans="1:19" s="270" customFormat="1">
      <c r="A68" s="325" t="s">
        <v>643</v>
      </c>
      <c r="B68" s="333" t="s">
        <v>1148</v>
      </c>
      <c r="C68" s="333" t="s">
        <v>339</v>
      </c>
      <c r="D68" s="819" t="s">
        <v>339</v>
      </c>
      <c r="E68" s="872">
        <v>0</v>
      </c>
      <c r="F68" s="331" t="s">
        <v>304</v>
      </c>
      <c r="G68" s="332">
        <f t="shared" ref="G68:G72" si="2">-77*E68</f>
        <v>0</v>
      </c>
      <c r="H68" s="334" t="s">
        <v>1151</v>
      </c>
      <c r="I68" s="820">
        <v>110.859375</v>
      </c>
      <c r="J68" s="335">
        <v>110.875</v>
      </c>
      <c r="K68" s="845">
        <f>IF(LEFT(A68,2)="TU",(J68-I68)*E68/100*100000*2,(J68-I68)*E68/100*100000)</f>
        <v>0</v>
      </c>
      <c r="L68" s="381"/>
    </row>
    <row r="69" spans="1:19" s="270" customFormat="1">
      <c r="A69" s="325" t="s">
        <v>643</v>
      </c>
      <c r="B69" s="328" t="s">
        <v>1174</v>
      </c>
      <c r="C69" s="328" t="s">
        <v>339</v>
      </c>
      <c r="D69" s="542" t="s">
        <v>339</v>
      </c>
      <c r="E69" s="872">
        <v>0</v>
      </c>
      <c r="F69" s="331" t="s">
        <v>304</v>
      </c>
      <c r="G69" s="332">
        <f t="shared" si="2"/>
        <v>0</v>
      </c>
      <c r="H69" s="483" t="s">
        <v>1175</v>
      </c>
      <c r="I69" s="335">
        <v>112.328125</v>
      </c>
      <c r="J69" s="335">
        <f>_xlfn.IFNA(VLOOKUP(A69,'market px'!$B$2:$F$20,5,FALSE),0)</f>
        <v>116.65625</v>
      </c>
      <c r="K69" s="845">
        <f>IF(LEFT(A69,2)="TU",(J69-I69)*E69/100*100000*2,(J69-I69)*E69/100*100000)</f>
        <v>0</v>
      </c>
      <c r="L69" s="381"/>
    </row>
    <row r="70" spans="1:19" s="270" customFormat="1">
      <c r="A70" s="325" t="s">
        <v>643</v>
      </c>
      <c r="B70" s="328" t="s">
        <v>1115</v>
      </c>
      <c r="C70" s="328" t="s">
        <v>339</v>
      </c>
      <c r="D70" s="542" t="s">
        <v>339</v>
      </c>
      <c r="E70" s="872">
        <v>0</v>
      </c>
      <c r="F70" s="331" t="s">
        <v>304</v>
      </c>
      <c r="G70" s="332">
        <f t="shared" si="2"/>
        <v>0</v>
      </c>
      <c r="H70" s="483" t="s">
        <v>1129</v>
      </c>
      <c r="I70" s="335">
        <v>110.796875</v>
      </c>
      <c r="J70" s="335">
        <f>_xlfn.IFNA(VLOOKUP(A70,'market px'!$B$2:$F$20,5,FALSE),0)</f>
        <v>116.65625</v>
      </c>
      <c r="K70" s="845">
        <f t="shared" ref="K70:K72" si="3">IF(LEFT(A70,2)="TU",(J70-I70)*E70/100*100000*2,(J70-I70)*E70/100*100000)</f>
        <v>0</v>
      </c>
      <c r="L70" s="381"/>
    </row>
    <row r="71" spans="1:19" s="270" customFormat="1">
      <c r="A71" s="325" t="s">
        <v>643</v>
      </c>
      <c r="B71" s="328" t="s">
        <v>1148</v>
      </c>
      <c r="C71" s="328" t="s">
        <v>339</v>
      </c>
      <c r="D71" s="542" t="s">
        <v>339</v>
      </c>
      <c r="E71" s="872">
        <v>0</v>
      </c>
      <c r="F71" s="331" t="s">
        <v>304</v>
      </c>
      <c r="G71" s="332">
        <f t="shared" si="2"/>
        <v>0</v>
      </c>
      <c r="H71" s="483" t="s">
        <v>1160</v>
      </c>
      <c r="I71" s="335">
        <v>111.234375</v>
      </c>
      <c r="J71" s="335">
        <f>_xlfn.IFNA(VLOOKUP(A71,'market px'!$B$2:$F$20,5,FALSE),0)</f>
        <v>116.65625</v>
      </c>
      <c r="K71" s="845">
        <f t="shared" si="3"/>
        <v>0</v>
      </c>
      <c r="L71" s="381"/>
    </row>
    <row r="72" spans="1:19" s="270" customFormat="1">
      <c r="A72" s="325" t="s">
        <v>643</v>
      </c>
      <c r="B72" s="328" t="s">
        <v>1174</v>
      </c>
      <c r="C72" s="328" t="s">
        <v>339</v>
      </c>
      <c r="D72" s="542" t="s">
        <v>339</v>
      </c>
      <c r="E72" s="872">
        <v>0</v>
      </c>
      <c r="F72" s="331" t="s">
        <v>304</v>
      </c>
      <c r="G72" s="332">
        <f t="shared" si="2"/>
        <v>0</v>
      </c>
      <c r="H72" s="483" t="s">
        <v>1186</v>
      </c>
      <c r="I72" s="335">
        <v>112.578125</v>
      </c>
      <c r="J72" s="335">
        <f>_xlfn.IFNA(VLOOKUP(A72,'market px'!$B$2:$F$20,5,FALSE),0)</f>
        <v>116.65625</v>
      </c>
      <c r="K72" s="845">
        <f t="shared" si="3"/>
        <v>0</v>
      </c>
      <c r="L72" s="381"/>
    </row>
    <row r="73" spans="1:19" s="270" customFormat="1">
      <c r="A73" s="325" t="s">
        <v>629</v>
      </c>
      <c r="B73" s="328" t="s">
        <v>351</v>
      </c>
      <c r="C73" s="328" t="s">
        <v>339</v>
      </c>
      <c r="D73" s="542" t="s">
        <v>339</v>
      </c>
      <c r="E73" s="872">
        <v>0</v>
      </c>
      <c r="F73" s="331" t="s">
        <v>304</v>
      </c>
      <c r="G73" s="332">
        <f t="shared" ref="G73:G78" si="4">-77*E73</f>
        <v>0</v>
      </c>
      <c r="H73" s="483" t="s">
        <v>352</v>
      </c>
      <c r="I73" s="335">
        <v>138.875</v>
      </c>
      <c r="J73" s="335">
        <f>VLOOKUP(A73,'market px'!$B$2:$F$20,5,FALSE)</f>
        <v>111.28125</v>
      </c>
      <c r="K73" s="845">
        <f t="shared" ref="K73:K78" si="5">(J73-I73)*E73/100*100000</f>
        <v>0</v>
      </c>
      <c r="L73" s="381"/>
    </row>
    <row r="74" spans="1:19" s="270" customFormat="1">
      <c r="A74" s="325" t="s">
        <v>629</v>
      </c>
      <c r="B74" s="328" t="s">
        <v>351</v>
      </c>
      <c r="C74" s="328" t="s">
        <v>339</v>
      </c>
      <c r="D74" s="542" t="s">
        <v>339</v>
      </c>
      <c r="E74" s="872">
        <v>0</v>
      </c>
      <c r="F74" s="331" t="s">
        <v>304</v>
      </c>
      <c r="G74" s="332">
        <f t="shared" si="4"/>
        <v>0</v>
      </c>
      <c r="H74" s="483" t="s">
        <v>353</v>
      </c>
      <c r="I74" s="335">
        <v>139.0625</v>
      </c>
      <c r="J74" s="335">
        <f>VLOOKUP(A74,'market px'!$B$2:$F$20,5,FALSE)</f>
        <v>111.28125</v>
      </c>
      <c r="K74" s="845">
        <f t="shared" si="5"/>
        <v>0</v>
      </c>
      <c r="L74" s="381"/>
    </row>
    <row r="75" spans="1:19" s="270" customFormat="1">
      <c r="A75" s="325" t="s">
        <v>629</v>
      </c>
      <c r="B75" s="328" t="s">
        <v>360</v>
      </c>
      <c r="C75" s="328" t="s">
        <v>339</v>
      </c>
      <c r="D75" s="542" t="s">
        <v>339</v>
      </c>
      <c r="E75" s="872">
        <v>0</v>
      </c>
      <c r="F75" s="331" t="s">
        <v>304</v>
      </c>
      <c r="G75" s="332">
        <f t="shared" si="4"/>
        <v>0</v>
      </c>
      <c r="H75" s="483" t="s">
        <v>362</v>
      </c>
      <c r="I75" s="335">
        <v>139.5</v>
      </c>
      <c r="J75" s="335">
        <f>VLOOKUP(A75,'market px'!$B$2:$F$20,5,FALSE)</f>
        <v>111.28125</v>
      </c>
      <c r="K75" s="845">
        <f t="shared" si="5"/>
        <v>0</v>
      </c>
      <c r="L75" s="381"/>
    </row>
    <row r="76" spans="1:19" s="270" customFormat="1">
      <c r="A76" s="325" t="s">
        <v>629</v>
      </c>
      <c r="B76" s="328" t="s">
        <v>359</v>
      </c>
      <c r="C76" s="328" t="s">
        <v>339</v>
      </c>
      <c r="D76" s="542" t="s">
        <v>339</v>
      </c>
      <c r="E76" s="872">
        <v>0</v>
      </c>
      <c r="F76" s="331" t="s">
        <v>304</v>
      </c>
      <c r="G76" s="332">
        <f t="shared" si="4"/>
        <v>0</v>
      </c>
      <c r="H76" s="483" t="s">
        <v>361</v>
      </c>
      <c r="I76" s="335">
        <v>139.3125</v>
      </c>
      <c r="J76" s="335">
        <f>VLOOKUP(A76,'market px'!$B$2:$F$20,5,FALSE)</f>
        <v>111.28125</v>
      </c>
      <c r="K76" s="845">
        <f t="shared" si="5"/>
        <v>0</v>
      </c>
      <c r="L76" s="381"/>
    </row>
    <row r="77" spans="1:19" s="270" customFormat="1">
      <c r="A77" s="325" t="s">
        <v>629</v>
      </c>
      <c r="B77" s="328" t="s">
        <v>380</v>
      </c>
      <c r="C77" s="328" t="s">
        <v>339</v>
      </c>
      <c r="D77" s="542" t="s">
        <v>339</v>
      </c>
      <c r="E77" s="872">
        <v>0</v>
      </c>
      <c r="F77" s="331" t="s">
        <v>304</v>
      </c>
      <c r="G77" s="332">
        <f t="shared" si="4"/>
        <v>0</v>
      </c>
      <c r="H77" s="483" t="s">
        <v>381</v>
      </c>
      <c r="I77" s="335">
        <v>138.90625</v>
      </c>
      <c r="J77" s="335">
        <f>VLOOKUP(A77,'market px'!$B$2:$F$20,5,FALSE)</f>
        <v>111.28125</v>
      </c>
      <c r="K77" s="845">
        <f t="shared" si="5"/>
        <v>0</v>
      </c>
      <c r="L77" s="381"/>
    </row>
    <row r="78" spans="1:19" s="93" customFormat="1">
      <c r="A78" s="325" t="s">
        <v>629</v>
      </c>
      <c r="B78" s="328" t="s">
        <v>424</v>
      </c>
      <c r="C78" s="328" t="s">
        <v>339</v>
      </c>
      <c r="D78" s="542" t="s">
        <v>339</v>
      </c>
      <c r="E78" s="872">
        <v>0</v>
      </c>
      <c r="F78" s="331" t="s">
        <v>304</v>
      </c>
      <c r="G78" s="332">
        <f t="shared" si="4"/>
        <v>0</v>
      </c>
      <c r="H78" s="483" t="s">
        <v>425</v>
      </c>
      <c r="I78" s="335">
        <v>136.8125</v>
      </c>
      <c r="J78" s="335">
        <f>VLOOKUP(A78,'market px'!$B$2:$F$20,5,FALSE)</f>
        <v>111.28125</v>
      </c>
      <c r="K78" s="845">
        <f t="shared" si="5"/>
        <v>0</v>
      </c>
      <c r="L78" s="377"/>
      <c r="S78" s="131" t="s">
        <v>21</v>
      </c>
    </row>
    <row r="79" spans="1:19" s="93" customFormat="1">
      <c r="A79" s="325" t="s">
        <v>529</v>
      </c>
      <c r="B79" s="328"/>
      <c r="C79" s="328"/>
      <c r="D79" s="542"/>
      <c r="E79" s="872"/>
      <c r="F79" s="331"/>
      <c r="G79" s="332"/>
      <c r="H79" s="483"/>
      <c r="I79" s="335"/>
      <c r="J79" s="335"/>
      <c r="K79" s="845">
        <f>(J79-I79)*E79/100*100000</f>
        <v>0</v>
      </c>
      <c r="L79" s="377"/>
    </row>
    <row r="80" spans="1:19" s="93" customFormat="1">
      <c r="A80" s="325"/>
      <c r="B80" s="328"/>
      <c r="C80" s="328"/>
      <c r="D80" s="542"/>
      <c r="E80" s="872"/>
      <c r="F80" s="331"/>
      <c r="G80" s="332"/>
      <c r="H80" s="483"/>
      <c r="I80" s="335"/>
      <c r="J80" s="335"/>
      <c r="K80" s="845">
        <f>(J80-I80)*E80/100*100000</f>
        <v>0</v>
      </c>
      <c r="L80" s="377"/>
    </row>
    <row r="81" spans="1:12" s="93" customFormat="1">
      <c r="A81" s="349" t="s">
        <v>166</v>
      </c>
      <c r="B81" s="350"/>
      <c r="C81" s="351"/>
      <c r="D81" s="545"/>
      <c r="E81" s="874">
        <f>SUM(E68:E80)</f>
        <v>0</v>
      </c>
      <c r="F81" s="353"/>
      <c r="G81" s="354">
        <f>SUM(G68:G80)</f>
        <v>0</v>
      </c>
      <c r="H81" s="563"/>
      <c r="I81" s="356"/>
      <c r="J81" s="357"/>
      <c r="K81" s="358">
        <f>SUM(K68:K80)</f>
        <v>0</v>
      </c>
      <c r="L81" s="377"/>
    </row>
    <row r="82" spans="1:12" s="93" customFormat="1">
      <c r="A82" s="359" t="s">
        <v>169</v>
      </c>
      <c r="B82" s="113"/>
      <c r="C82" s="274"/>
      <c r="D82" s="538"/>
      <c r="E82" s="114"/>
      <c r="F82" s="192"/>
      <c r="G82" s="118"/>
      <c r="H82" s="557"/>
      <c r="I82" s="125"/>
      <c r="J82" s="360"/>
      <c r="K82" s="261"/>
      <c r="L82" s="377"/>
    </row>
    <row r="83" spans="1:12" s="93" customFormat="1">
      <c r="A83" s="206" t="s">
        <v>99</v>
      </c>
      <c r="B83" s="207" t="s">
        <v>7</v>
      </c>
      <c r="C83" s="207" t="s">
        <v>171</v>
      </c>
      <c r="D83" s="535" t="s">
        <v>170</v>
      </c>
      <c r="E83" s="208" t="s">
        <v>11</v>
      </c>
      <c r="F83" s="207" t="s">
        <v>2</v>
      </c>
      <c r="G83" s="209" t="s">
        <v>12</v>
      </c>
      <c r="H83" s="567" t="s">
        <v>18</v>
      </c>
      <c r="I83" s="209" t="s">
        <v>213</v>
      </c>
      <c r="J83" s="207" t="s">
        <v>214</v>
      </c>
      <c r="K83" s="260" t="s">
        <v>215</v>
      </c>
      <c r="L83" s="377"/>
    </row>
    <row r="84" spans="1:12" s="270" customFormat="1">
      <c r="A84" s="325" t="s">
        <v>1301</v>
      </c>
      <c r="B84" s="328" t="s">
        <v>1263</v>
      </c>
      <c r="C84" s="329" t="s">
        <v>339</v>
      </c>
      <c r="D84" s="542" t="s">
        <v>339</v>
      </c>
      <c r="E84" s="880">
        <v>0</v>
      </c>
      <c r="F84" s="331" t="s">
        <v>638</v>
      </c>
      <c r="G84" s="332">
        <f>-190*E84</f>
        <v>0</v>
      </c>
      <c r="H84" s="561" t="s">
        <v>1312</v>
      </c>
      <c r="I84" s="335">
        <v>140.4</v>
      </c>
      <c r="J84" s="335">
        <f>VLOOKUP(A84,'market px'!$G$2:$I$20,3,FALSE)</f>
        <v>144.84</v>
      </c>
      <c r="K84" s="336">
        <f>(J84-I84)*E84/100*100000</f>
        <v>0</v>
      </c>
      <c r="L84" s="381"/>
    </row>
    <row r="85" spans="1:12" s="270" customFormat="1">
      <c r="A85" s="325" t="s">
        <v>1301</v>
      </c>
      <c r="B85" s="328" t="s">
        <v>1263</v>
      </c>
      <c r="C85" s="329" t="s">
        <v>339</v>
      </c>
      <c r="D85" s="542" t="s">
        <v>339</v>
      </c>
      <c r="E85" s="880">
        <v>0</v>
      </c>
      <c r="F85" s="331" t="s">
        <v>638</v>
      </c>
      <c r="G85" s="332">
        <f t="shared" ref="G85:G89" si="6">-190*E85</f>
        <v>0</v>
      </c>
      <c r="H85" s="561" t="s">
        <v>1313</v>
      </c>
      <c r="I85" s="335">
        <v>140.4</v>
      </c>
      <c r="J85" s="335">
        <f>VLOOKUP(A85,'market px'!$G$2:$I$20,3,FALSE)</f>
        <v>144.84</v>
      </c>
      <c r="K85" s="336">
        <f t="shared" ref="K85:K111" si="7">(J85-I85)*E85/100*100000</f>
        <v>0</v>
      </c>
      <c r="L85" s="381"/>
    </row>
    <row r="86" spans="1:12" s="270" customFormat="1">
      <c r="A86" s="325" t="s">
        <v>1301</v>
      </c>
      <c r="B86" s="328" t="s">
        <v>1263</v>
      </c>
      <c r="C86" s="329" t="s">
        <v>339</v>
      </c>
      <c r="D86" s="542" t="s">
        <v>339</v>
      </c>
      <c r="E86" s="880">
        <v>0</v>
      </c>
      <c r="F86" s="331" t="s">
        <v>638</v>
      </c>
      <c r="G86" s="332">
        <f t="shared" si="6"/>
        <v>0</v>
      </c>
      <c r="H86" s="561" t="s">
        <v>1314</v>
      </c>
      <c r="I86" s="335">
        <v>140.41999999999999</v>
      </c>
      <c r="J86" s="335">
        <f>VLOOKUP(A86,'market px'!$G$2:$I$20,3,FALSE)</f>
        <v>144.84</v>
      </c>
      <c r="K86" s="336">
        <f t="shared" si="7"/>
        <v>0</v>
      </c>
      <c r="L86" s="381"/>
    </row>
    <row r="87" spans="1:12" s="270" customFormat="1">
      <c r="A87" s="325" t="s">
        <v>1301</v>
      </c>
      <c r="B87" s="328"/>
      <c r="C87" s="329"/>
      <c r="D87" s="542"/>
      <c r="E87" s="880">
        <v>0</v>
      </c>
      <c r="F87" s="331"/>
      <c r="G87" s="332">
        <f t="shared" si="6"/>
        <v>0</v>
      </c>
      <c r="H87" s="561"/>
      <c r="I87" s="335"/>
      <c r="J87" s="335">
        <f>VLOOKUP(A87,'market px'!$G$2:$I$20,3,FALSE)</f>
        <v>144.84</v>
      </c>
      <c r="K87" s="336">
        <f t="shared" si="7"/>
        <v>0</v>
      </c>
      <c r="L87" s="381"/>
    </row>
    <row r="88" spans="1:12" s="270" customFormat="1">
      <c r="A88" s="325" t="s">
        <v>1301</v>
      </c>
      <c r="B88" s="328"/>
      <c r="C88" s="329"/>
      <c r="D88" s="542"/>
      <c r="E88" s="880">
        <v>0</v>
      </c>
      <c r="F88" s="331"/>
      <c r="G88" s="332">
        <f t="shared" si="6"/>
        <v>0</v>
      </c>
      <c r="H88" s="561"/>
      <c r="I88" s="335"/>
      <c r="J88" s="335">
        <f>VLOOKUP(A88,'market px'!$G$2:$I$20,3,FALSE)</f>
        <v>144.84</v>
      </c>
      <c r="K88" s="336">
        <f t="shared" si="7"/>
        <v>0</v>
      </c>
      <c r="L88" s="381"/>
    </row>
    <row r="89" spans="1:12" s="270" customFormat="1">
      <c r="A89" s="325" t="s">
        <v>1301</v>
      </c>
      <c r="B89" s="328"/>
      <c r="C89" s="329"/>
      <c r="D89" s="542"/>
      <c r="E89" s="880">
        <v>0</v>
      </c>
      <c r="F89" s="331"/>
      <c r="G89" s="332">
        <f t="shared" si="6"/>
        <v>0</v>
      </c>
      <c r="H89" s="561"/>
      <c r="I89" s="335"/>
      <c r="J89" s="335">
        <f>VLOOKUP(A89,'market px'!$G$2:$I$20,3,FALSE)</f>
        <v>144.84</v>
      </c>
      <c r="K89" s="336">
        <f t="shared" si="7"/>
        <v>0</v>
      </c>
      <c r="L89" s="381"/>
    </row>
    <row r="90" spans="1:12" s="270" customFormat="1">
      <c r="A90" s="325" t="s">
        <v>1298</v>
      </c>
      <c r="B90" s="328">
        <v>40995</v>
      </c>
      <c r="C90" s="329"/>
      <c r="D90" s="542"/>
      <c r="E90" s="880">
        <v>0</v>
      </c>
      <c r="F90" s="331" t="s">
        <v>78</v>
      </c>
      <c r="G90" s="332">
        <f>-44*E90</f>
        <v>0</v>
      </c>
      <c r="H90" s="561"/>
      <c r="I90" s="335">
        <v>136.74</v>
      </c>
      <c r="J90" s="335">
        <f>VLOOKUP(A90,'market px'!$G$2:$I$20,3,FALSE)</f>
        <v>119.06</v>
      </c>
      <c r="K90" s="336">
        <f t="shared" si="7"/>
        <v>0</v>
      </c>
      <c r="L90" s="381"/>
    </row>
    <row r="91" spans="1:12" s="270" customFormat="1">
      <c r="A91" s="325" t="s">
        <v>1298</v>
      </c>
      <c r="B91" s="328"/>
      <c r="C91" s="329"/>
      <c r="D91" s="542"/>
      <c r="E91" s="880"/>
      <c r="F91" s="331"/>
      <c r="G91" s="332"/>
      <c r="H91" s="561"/>
      <c r="I91" s="335"/>
      <c r="J91" s="335">
        <f>VLOOKUP(A91,'market px'!$G$2:$I$20,3,FALSE)</f>
        <v>119.06</v>
      </c>
      <c r="K91" s="336">
        <f t="shared" si="7"/>
        <v>0</v>
      </c>
      <c r="L91" s="381"/>
    </row>
    <row r="92" spans="1:12" s="270" customFormat="1">
      <c r="A92" s="325" t="s">
        <v>1298</v>
      </c>
      <c r="B92" s="328"/>
      <c r="C92" s="329"/>
      <c r="D92" s="542"/>
      <c r="E92" s="880"/>
      <c r="F92" s="331"/>
      <c r="G92" s="332"/>
      <c r="H92" s="561"/>
      <c r="I92" s="335"/>
      <c r="J92" s="335">
        <f>VLOOKUP(A92,'market px'!$G$2:$I$20,3,FALSE)</f>
        <v>119.06</v>
      </c>
      <c r="K92" s="336">
        <f t="shared" si="7"/>
        <v>0</v>
      </c>
      <c r="L92" s="381"/>
    </row>
    <row r="93" spans="1:12" s="270" customFormat="1">
      <c r="A93" s="325" t="s">
        <v>1298</v>
      </c>
      <c r="B93" s="328"/>
      <c r="C93" s="329"/>
      <c r="D93" s="542"/>
      <c r="E93" s="880"/>
      <c r="F93" s="331"/>
      <c r="G93" s="332"/>
      <c r="H93" s="561"/>
      <c r="I93" s="335"/>
      <c r="J93" s="335">
        <f>VLOOKUP(A93,'market px'!$G$2:$I$20,3,FALSE)</f>
        <v>119.06</v>
      </c>
      <c r="K93" s="336">
        <f t="shared" si="7"/>
        <v>0</v>
      </c>
      <c r="L93" s="381"/>
    </row>
    <row r="94" spans="1:12" s="270" customFormat="1">
      <c r="A94" s="325" t="s">
        <v>1298</v>
      </c>
      <c r="B94" s="328"/>
      <c r="C94" s="329"/>
      <c r="D94" s="542"/>
      <c r="E94" s="880"/>
      <c r="F94" s="331"/>
      <c r="G94" s="332"/>
      <c r="H94" s="561"/>
      <c r="I94" s="335"/>
      <c r="J94" s="335">
        <f>VLOOKUP(A94,'market px'!$G$2:$I$20,3,FALSE)</f>
        <v>119.06</v>
      </c>
      <c r="K94" s="336">
        <f t="shared" si="7"/>
        <v>0</v>
      </c>
      <c r="L94" s="381"/>
    </row>
    <row r="95" spans="1:12" s="270" customFormat="1">
      <c r="A95" s="325" t="s">
        <v>1298</v>
      </c>
      <c r="B95" s="328"/>
      <c r="C95" s="329"/>
      <c r="D95" s="542"/>
      <c r="E95" s="880"/>
      <c r="F95" s="331"/>
      <c r="G95" s="332"/>
      <c r="H95" s="561"/>
      <c r="I95" s="335"/>
      <c r="J95" s="335">
        <f>VLOOKUP(A95,'market px'!$G$2:$I$20,3,FALSE)</f>
        <v>119.06</v>
      </c>
      <c r="K95" s="336">
        <f t="shared" si="7"/>
        <v>0</v>
      </c>
      <c r="L95" s="381"/>
    </row>
    <row r="96" spans="1:12" s="270" customFormat="1">
      <c r="A96" s="325" t="s">
        <v>1298</v>
      </c>
      <c r="B96" s="328"/>
      <c r="C96" s="329"/>
      <c r="D96" s="542"/>
      <c r="E96" s="880"/>
      <c r="F96" s="331"/>
      <c r="G96" s="332"/>
      <c r="H96" s="561"/>
      <c r="I96" s="335"/>
      <c r="J96" s="335">
        <f>VLOOKUP(A96,'market px'!$G$2:$I$20,3,FALSE)</f>
        <v>119.06</v>
      </c>
      <c r="K96" s="336">
        <f t="shared" si="7"/>
        <v>0</v>
      </c>
      <c r="L96" s="381"/>
    </row>
    <row r="97" spans="1:17" s="270" customFormat="1">
      <c r="A97" s="325" t="s">
        <v>1298</v>
      </c>
      <c r="B97" s="328"/>
      <c r="C97" s="329"/>
      <c r="D97" s="542"/>
      <c r="E97" s="880"/>
      <c r="F97" s="331"/>
      <c r="G97" s="332"/>
      <c r="H97" s="561"/>
      <c r="I97" s="335"/>
      <c r="J97" s="335">
        <f>VLOOKUP(A97,'market px'!$G$2:$I$20,3,FALSE)</f>
        <v>119.06</v>
      </c>
      <c r="K97" s="336">
        <f t="shared" si="7"/>
        <v>0</v>
      </c>
      <c r="L97" s="381"/>
    </row>
    <row r="98" spans="1:17" s="270" customFormat="1">
      <c r="A98" s="325" t="s">
        <v>1298</v>
      </c>
      <c r="B98" s="328"/>
      <c r="C98" s="329"/>
      <c r="D98" s="542"/>
      <c r="E98" s="880"/>
      <c r="F98" s="331"/>
      <c r="G98" s="332"/>
      <c r="H98" s="561"/>
      <c r="I98" s="335"/>
      <c r="J98" s="335">
        <f>VLOOKUP(A98,'market px'!$G$2:$I$20,3,FALSE)</f>
        <v>119.06</v>
      </c>
      <c r="K98" s="336">
        <f t="shared" si="7"/>
        <v>0</v>
      </c>
      <c r="L98" s="381"/>
    </row>
    <row r="99" spans="1:17" s="270" customFormat="1">
      <c r="A99" s="325" t="s">
        <v>1298</v>
      </c>
      <c r="B99" s="328"/>
      <c r="C99" s="329"/>
      <c r="D99" s="542"/>
      <c r="E99" s="880"/>
      <c r="F99" s="331"/>
      <c r="G99" s="332"/>
      <c r="H99" s="561"/>
      <c r="I99" s="335"/>
      <c r="J99" s="335">
        <f>VLOOKUP(A99,'market px'!$G$2:$I$20,3,FALSE)</f>
        <v>119.06</v>
      </c>
      <c r="K99" s="336">
        <f t="shared" si="7"/>
        <v>0</v>
      </c>
      <c r="L99" s="381"/>
    </row>
    <row r="100" spans="1:17" s="270" customFormat="1">
      <c r="A100" s="325" t="s">
        <v>1298</v>
      </c>
      <c r="B100" s="328"/>
      <c r="C100" s="329"/>
      <c r="D100" s="542"/>
      <c r="E100" s="880"/>
      <c r="F100" s="331"/>
      <c r="G100" s="332"/>
      <c r="H100" s="561"/>
      <c r="I100" s="335"/>
      <c r="J100" s="335">
        <f>VLOOKUP(A100,'market px'!$G$2:$I$20,3,FALSE)</f>
        <v>119.06</v>
      </c>
      <c r="K100" s="336">
        <f t="shared" si="7"/>
        <v>0</v>
      </c>
      <c r="L100" s="381"/>
    </row>
    <row r="101" spans="1:17" s="270" customFormat="1">
      <c r="A101" s="325" t="s">
        <v>1298</v>
      </c>
      <c r="B101" s="328"/>
      <c r="C101" s="329"/>
      <c r="D101" s="542"/>
      <c r="E101" s="880"/>
      <c r="F101" s="331"/>
      <c r="G101" s="332"/>
      <c r="H101" s="561"/>
      <c r="I101" s="335"/>
      <c r="J101" s="335">
        <f>VLOOKUP(A101,'market px'!$G$2:$I$20,3,FALSE)</f>
        <v>119.06</v>
      </c>
      <c r="K101" s="336">
        <f t="shared" si="7"/>
        <v>0</v>
      </c>
      <c r="L101" s="381"/>
    </row>
    <row r="102" spans="1:17" s="270" customFormat="1">
      <c r="A102" s="325" t="s">
        <v>1298</v>
      </c>
      <c r="B102" s="328"/>
      <c r="C102" s="329"/>
      <c r="D102" s="542"/>
      <c r="E102" s="880"/>
      <c r="F102" s="331"/>
      <c r="G102" s="332"/>
      <c r="H102" s="561"/>
      <c r="I102" s="335"/>
      <c r="J102" s="335">
        <f>VLOOKUP(A102,'market px'!$G$2:$I$20,3,FALSE)</f>
        <v>119.06</v>
      </c>
      <c r="K102" s="336">
        <f t="shared" si="7"/>
        <v>0</v>
      </c>
      <c r="L102" s="381"/>
    </row>
    <row r="103" spans="1:17" s="270" customFormat="1">
      <c r="A103" s="325" t="s">
        <v>1298</v>
      </c>
      <c r="B103" s="328"/>
      <c r="C103" s="329"/>
      <c r="D103" s="542"/>
      <c r="E103" s="880"/>
      <c r="F103" s="331"/>
      <c r="G103" s="332"/>
      <c r="H103" s="561"/>
      <c r="I103" s="335"/>
      <c r="J103" s="335">
        <f>VLOOKUP(A103,'market px'!$G$2:$I$20,3,FALSE)</f>
        <v>119.06</v>
      </c>
      <c r="K103" s="336">
        <f t="shared" si="7"/>
        <v>0</v>
      </c>
      <c r="L103" s="381"/>
    </row>
    <row r="104" spans="1:17" s="270" customFormat="1">
      <c r="A104" s="325" t="s">
        <v>1298</v>
      </c>
      <c r="B104" s="328"/>
      <c r="C104" s="329"/>
      <c r="D104" s="542"/>
      <c r="E104" s="880"/>
      <c r="F104" s="331"/>
      <c r="G104" s="332"/>
      <c r="H104" s="561"/>
      <c r="I104" s="335"/>
      <c r="J104" s="335">
        <f>VLOOKUP(A104,'market px'!$G$2:$I$20,3,FALSE)</f>
        <v>119.06</v>
      </c>
      <c r="K104" s="336">
        <f t="shared" si="7"/>
        <v>0</v>
      </c>
      <c r="L104" s="381"/>
    </row>
    <row r="105" spans="1:17" s="270" customFormat="1">
      <c r="A105" s="325" t="s">
        <v>1298</v>
      </c>
      <c r="B105" s="328"/>
      <c r="C105" s="329"/>
      <c r="D105" s="542"/>
      <c r="E105" s="880"/>
      <c r="F105" s="331"/>
      <c r="G105" s="332"/>
      <c r="H105" s="561"/>
      <c r="I105" s="335"/>
      <c r="J105" s="335">
        <f>VLOOKUP(A105,'market px'!$G$2:$I$20,3,FALSE)</f>
        <v>119.06</v>
      </c>
      <c r="K105" s="336">
        <f t="shared" si="7"/>
        <v>0</v>
      </c>
      <c r="L105" s="381"/>
    </row>
    <row r="106" spans="1:17" s="270" customFormat="1">
      <c r="A106" s="325" t="s">
        <v>1298</v>
      </c>
      <c r="B106" s="328"/>
      <c r="C106" s="329"/>
      <c r="D106" s="542"/>
      <c r="E106" s="880"/>
      <c r="F106" s="331"/>
      <c r="G106" s="332"/>
      <c r="H106" s="561"/>
      <c r="I106" s="335"/>
      <c r="J106" s="335">
        <f>VLOOKUP(A106,'market px'!$G$2:$I$20,3,FALSE)</f>
        <v>119.06</v>
      </c>
      <c r="K106" s="336">
        <f t="shared" si="7"/>
        <v>0</v>
      </c>
      <c r="L106" s="381"/>
    </row>
    <row r="107" spans="1:17" s="270" customFormat="1">
      <c r="A107" s="325" t="s">
        <v>1298</v>
      </c>
      <c r="B107" s="328"/>
      <c r="C107" s="329"/>
      <c r="D107" s="542"/>
      <c r="E107" s="880"/>
      <c r="F107" s="331"/>
      <c r="G107" s="332"/>
      <c r="H107" s="561"/>
      <c r="I107" s="335"/>
      <c r="J107" s="335">
        <f>VLOOKUP(A107,'market px'!$G$2:$I$20,3,FALSE)</f>
        <v>119.06</v>
      </c>
      <c r="K107" s="336">
        <f t="shared" si="7"/>
        <v>0</v>
      </c>
      <c r="L107" s="381"/>
    </row>
    <row r="108" spans="1:17" s="93" customFormat="1">
      <c r="A108" s="325" t="s">
        <v>1298</v>
      </c>
      <c r="B108" s="328" t="s">
        <v>1263</v>
      </c>
      <c r="C108" s="329" t="s">
        <v>339</v>
      </c>
      <c r="D108" s="542" t="s">
        <v>339</v>
      </c>
      <c r="E108" s="880">
        <v>0</v>
      </c>
      <c r="F108" s="331" t="s">
        <v>638</v>
      </c>
      <c r="G108" s="332">
        <f>-44*E108</f>
        <v>0</v>
      </c>
      <c r="H108" s="561" t="s">
        <v>1311</v>
      </c>
      <c r="I108" s="335">
        <v>117.6</v>
      </c>
      <c r="J108" s="335">
        <f>VLOOKUP(A108,'market px'!$G$2:$I$20,3,FALSE)</f>
        <v>119.06</v>
      </c>
      <c r="K108" s="336">
        <f t="shared" si="7"/>
        <v>0</v>
      </c>
      <c r="L108" s="377"/>
      <c r="M108"/>
      <c r="N108"/>
      <c r="O108"/>
      <c r="P108"/>
      <c r="Q108"/>
    </row>
    <row r="109" spans="1:17">
      <c r="A109" s="325" t="s">
        <v>285</v>
      </c>
      <c r="B109" s="328">
        <v>38954</v>
      </c>
      <c r="C109" s="329"/>
      <c r="D109" s="542"/>
      <c r="E109" s="880">
        <f>-100000*0</f>
        <v>0</v>
      </c>
      <c r="F109" s="331" t="s">
        <v>135</v>
      </c>
      <c r="G109" s="332">
        <f t="shared" ref="G109" si="8">-44*E109</f>
        <v>0</v>
      </c>
      <c r="H109" s="561"/>
      <c r="I109" s="335">
        <v>109.88</v>
      </c>
      <c r="J109" s="335">
        <f>VLOOKUP(A109,'market px'!$G$2:$I$20,3,FALSE)</f>
        <v>117.91</v>
      </c>
      <c r="K109" s="336">
        <f t="shared" si="7"/>
        <v>0</v>
      </c>
    </row>
    <row r="110" spans="1:17">
      <c r="A110" s="325" t="s">
        <v>1296</v>
      </c>
      <c r="B110" s="328" t="s">
        <v>1263</v>
      </c>
      <c r="C110" s="329" t="s">
        <v>339</v>
      </c>
      <c r="D110" s="542" t="s">
        <v>339</v>
      </c>
      <c r="E110" s="880">
        <v>-200</v>
      </c>
      <c r="F110" s="331" t="s">
        <v>638</v>
      </c>
      <c r="G110" s="332">
        <f>-19*E110</f>
        <v>3800</v>
      </c>
      <c r="H110" s="561" t="s">
        <v>1306</v>
      </c>
      <c r="I110" s="335">
        <v>105.31</v>
      </c>
      <c r="J110" s="335">
        <f>VLOOKUP(A110,'market px'!$G$2:$I$20,3,FALSE)</f>
        <v>106.14</v>
      </c>
      <c r="K110" s="336">
        <f t="shared" si="7"/>
        <v>-165999.99999999965</v>
      </c>
    </row>
    <row r="111" spans="1:17">
      <c r="A111" s="325" t="s">
        <v>1296</v>
      </c>
      <c r="B111" s="328" t="s">
        <v>1263</v>
      </c>
      <c r="C111" s="329" t="s">
        <v>339</v>
      </c>
      <c r="D111" s="542" t="s">
        <v>339</v>
      </c>
      <c r="E111" s="880">
        <v>-20</v>
      </c>
      <c r="F111" s="331" t="s">
        <v>638</v>
      </c>
      <c r="G111" s="332">
        <f>-19*E111</f>
        <v>380</v>
      </c>
      <c r="H111" s="561" t="s">
        <v>1309</v>
      </c>
      <c r="I111" s="335">
        <v>105.31</v>
      </c>
      <c r="J111" s="335">
        <f>VLOOKUP(A111,'market px'!$G$2:$I$20,3,FALSE)</f>
        <v>106.14</v>
      </c>
      <c r="K111" s="336">
        <f t="shared" si="7"/>
        <v>-16599.999999999964</v>
      </c>
    </row>
    <row r="112" spans="1:17">
      <c r="A112" s="349" t="s">
        <v>166</v>
      </c>
      <c r="B112" s="350"/>
      <c r="C112" s="351"/>
      <c r="D112" s="545"/>
      <c r="E112" s="874">
        <f>SUM(E84:E111)</f>
        <v>-220</v>
      </c>
      <c r="F112" s="353"/>
      <c r="G112" s="354">
        <f>SUM(G84:G111)</f>
        <v>4180</v>
      </c>
      <c r="H112" s="563"/>
      <c r="I112" s="356"/>
      <c r="J112" s="357"/>
      <c r="K112" s="358">
        <f>SUM(K84:K111)</f>
        <v>-182599.99999999962</v>
      </c>
    </row>
    <row r="113" spans="1:12">
      <c r="A113" s="65"/>
      <c r="B113" s="108"/>
      <c r="C113" s="275"/>
      <c r="D113" s="546"/>
      <c r="E113" s="70"/>
      <c r="F113" s="203"/>
      <c r="G113" s="105"/>
      <c r="H113" s="564"/>
      <c r="I113" s="204"/>
      <c r="J113" s="205"/>
      <c r="K113" s="106"/>
    </row>
    <row r="114" spans="1:12">
      <c r="F114" s="879" t="s">
        <v>1343</v>
      </c>
      <c r="G114" s="14"/>
      <c r="H114" s="565"/>
      <c r="L114"/>
    </row>
    <row r="115" spans="1:12">
      <c r="E115" s="878" t="s">
        <v>1302</v>
      </c>
      <c r="F115" s="879">
        <v>19</v>
      </c>
      <c r="G115" s="14"/>
      <c r="H115" s="565"/>
      <c r="L115"/>
    </row>
    <row r="116" spans="1:12">
      <c r="E116" s="878" t="s">
        <v>1303</v>
      </c>
      <c r="F116" s="879">
        <v>44</v>
      </c>
      <c r="G116" s="14"/>
      <c r="H116" s="565"/>
      <c r="L116"/>
    </row>
    <row r="117" spans="1:12">
      <c r="B117"/>
      <c r="C117"/>
      <c r="D117"/>
      <c r="E117" s="193" t="s">
        <v>1304</v>
      </c>
      <c r="F117" s="193">
        <v>83</v>
      </c>
      <c r="G117" s="14"/>
      <c r="H117" s="565"/>
      <c r="I117"/>
      <c r="J117"/>
      <c r="L117"/>
    </row>
    <row r="118" spans="1:12">
      <c r="B118"/>
      <c r="C118"/>
      <c r="D118"/>
      <c r="E118" s="878" t="s">
        <v>1305</v>
      </c>
      <c r="F118" s="879">
        <v>190</v>
      </c>
      <c r="G118" s="14"/>
      <c r="H118" s="565"/>
      <c r="I118"/>
      <c r="J118"/>
      <c r="L118"/>
    </row>
    <row r="119" spans="1:12">
      <c r="B119"/>
      <c r="C119"/>
      <c r="D119"/>
      <c r="E119"/>
      <c r="F119"/>
      <c r="G119" s="14"/>
      <c r="H119" s="565"/>
      <c r="I119"/>
      <c r="J119"/>
      <c r="L119"/>
    </row>
    <row r="120" spans="1:12">
      <c r="B120"/>
      <c r="C120"/>
      <c r="D120"/>
      <c r="E120"/>
      <c r="F120"/>
      <c r="G120" s="14"/>
      <c r="H120" s="565"/>
      <c r="I120"/>
      <c r="J120"/>
      <c r="L120"/>
    </row>
    <row r="121" spans="1:12">
      <c r="B121"/>
      <c r="C121"/>
      <c r="D121"/>
      <c r="E121"/>
      <c r="F121"/>
      <c r="G121" s="14"/>
      <c r="H121" s="565"/>
      <c r="I121"/>
      <c r="J121"/>
      <c r="L121"/>
    </row>
    <row r="122" spans="1:12">
      <c r="B122"/>
      <c r="C122"/>
      <c r="D122"/>
      <c r="E122"/>
      <c r="F122"/>
      <c r="G122" s="14"/>
      <c r="H122" s="565"/>
      <c r="I122"/>
      <c r="J122"/>
      <c r="L122"/>
    </row>
    <row r="123" spans="1:12">
      <c r="B123"/>
      <c r="C123"/>
      <c r="D123"/>
      <c r="E123"/>
      <c r="F123"/>
      <c r="G123" s="14"/>
      <c r="H123" s="565"/>
      <c r="I123"/>
      <c r="J123"/>
      <c r="L123"/>
    </row>
    <row r="124" spans="1:12">
      <c r="B124"/>
      <c r="C124"/>
      <c r="D124"/>
      <c r="E124"/>
      <c r="F124"/>
      <c r="G124" s="14"/>
      <c r="H124" s="565"/>
      <c r="I124"/>
      <c r="J124"/>
      <c r="L124"/>
    </row>
    <row r="125" spans="1:12">
      <c r="B125"/>
      <c r="C125"/>
      <c r="D125"/>
      <c r="E125"/>
      <c r="F125"/>
      <c r="G125" s="14"/>
      <c r="H125" s="565"/>
      <c r="I125"/>
      <c r="J125"/>
      <c r="L125"/>
    </row>
    <row r="126" spans="1:12">
      <c r="B126"/>
      <c r="C126"/>
      <c r="D126"/>
      <c r="E126"/>
      <c r="F126"/>
      <c r="G126" s="14"/>
      <c r="H126" s="565"/>
      <c r="I126"/>
      <c r="J126"/>
      <c r="L126"/>
    </row>
    <row r="127" spans="1:12">
      <c r="B127"/>
      <c r="C127"/>
      <c r="D127"/>
      <c r="E127"/>
      <c r="F127"/>
      <c r="G127" s="14"/>
      <c r="H127" s="565"/>
      <c r="I127"/>
      <c r="J127"/>
      <c r="L127"/>
    </row>
    <row r="128" spans="1:12">
      <c r="B128"/>
      <c r="C128"/>
      <c r="D128"/>
      <c r="E128"/>
      <c r="F128"/>
      <c r="G128" s="14"/>
      <c r="H128" s="565"/>
      <c r="I128"/>
      <c r="J128"/>
      <c r="L128"/>
    </row>
    <row r="129" spans="2:12">
      <c r="B129"/>
      <c r="C129"/>
      <c r="D129"/>
      <c r="E129"/>
      <c r="F129"/>
      <c r="G129" s="14"/>
      <c r="H129" s="565"/>
      <c r="I129"/>
      <c r="J129"/>
      <c r="L129"/>
    </row>
    <row r="130" spans="2:12">
      <c r="B130"/>
      <c r="C130"/>
      <c r="D130"/>
      <c r="E130"/>
      <c r="F130"/>
      <c r="G130" s="14"/>
      <c r="H130" s="565"/>
      <c r="I130"/>
      <c r="J130"/>
      <c r="L130"/>
    </row>
    <row r="131" spans="2:12">
      <c r="B131"/>
      <c r="C131"/>
      <c r="D131"/>
      <c r="E131"/>
      <c r="F131"/>
      <c r="G131" s="14"/>
      <c r="H131" s="565"/>
      <c r="I131"/>
      <c r="J131"/>
      <c r="L131"/>
    </row>
    <row r="132" spans="2:12">
      <c r="B132"/>
      <c r="C132"/>
      <c r="D132"/>
      <c r="E132"/>
      <c r="F132"/>
      <c r="G132" s="14"/>
      <c r="H132" s="565"/>
      <c r="I132"/>
      <c r="J132"/>
      <c r="L132"/>
    </row>
    <row r="133" spans="2:12">
      <c r="B133"/>
      <c r="C133"/>
      <c r="D133"/>
      <c r="E133"/>
      <c r="F133"/>
      <c r="G133" s="14"/>
      <c r="H133" s="565"/>
      <c r="I133"/>
      <c r="J133"/>
      <c r="L133"/>
    </row>
    <row r="134" spans="2:12">
      <c r="B134"/>
      <c r="C134"/>
      <c r="D134"/>
      <c r="E134"/>
      <c r="F134"/>
      <c r="G134" s="14"/>
      <c r="H134" s="565"/>
      <c r="I134"/>
      <c r="J134"/>
      <c r="L134"/>
    </row>
    <row r="135" spans="2:12">
      <c r="B135"/>
      <c r="C135"/>
      <c r="D135"/>
      <c r="E135"/>
      <c r="F135"/>
      <c r="G135" s="14"/>
      <c r="H135" s="565"/>
      <c r="I135"/>
      <c r="J135"/>
      <c r="L135"/>
    </row>
    <row r="136" spans="2:12">
      <c r="B136"/>
      <c r="C136"/>
      <c r="D136"/>
      <c r="E136"/>
      <c r="F136"/>
      <c r="G136" s="14"/>
      <c r="H136" s="565"/>
      <c r="I136"/>
      <c r="J136"/>
      <c r="L136"/>
    </row>
    <row r="137" spans="2:12">
      <c r="B137"/>
      <c r="C137"/>
      <c r="D137"/>
      <c r="E137"/>
      <c r="F137"/>
      <c r="G137" s="14"/>
      <c r="H137" s="565"/>
      <c r="I137"/>
      <c r="J137"/>
      <c r="L137"/>
    </row>
    <row r="138" spans="2:12">
      <c r="B138"/>
      <c r="C138"/>
      <c r="D138"/>
      <c r="E138"/>
      <c r="F138"/>
      <c r="G138" s="14"/>
      <c r="H138" s="565"/>
      <c r="I138"/>
      <c r="J138"/>
      <c r="L138"/>
    </row>
    <row r="139" spans="2:12">
      <c r="B139"/>
      <c r="C139"/>
      <c r="D139"/>
      <c r="E139"/>
      <c r="F139"/>
      <c r="G139" s="14"/>
      <c r="H139" s="565"/>
      <c r="I139"/>
      <c r="J139"/>
      <c r="L139"/>
    </row>
    <row r="140" spans="2:12">
      <c r="B140"/>
      <c r="C140"/>
      <c r="D140"/>
      <c r="E140"/>
      <c r="F140"/>
      <c r="G140" s="14"/>
      <c r="H140" s="566"/>
      <c r="I140"/>
      <c r="J140"/>
      <c r="L140"/>
    </row>
    <row r="141" spans="2:12">
      <c r="B141"/>
      <c r="C141"/>
      <c r="D141"/>
      <c r="E141"/>
      <c r="F141"/>
      <c r="G141" s="14"/>
      <c r="H141" s="566"/>
      <c r="I141"/>
      <c r="J141"/>
      <c r="L141"/>
    </row>
    <row r="142" spans="2:12">
      <c r="B142"/>
      <c r="C142"/>
      <c r="D142"/>
      <c r="E142"/>
      <c r="F142"/>
      <c r="G142" s="14"/>
      <c r="H142" s="566"/>
      <c r="I142"/>
      <c r="J142"/>
      <c r="L142"/>
    </row>
    <row r="143" spans="2:12">
      <c r="B143"/>
      <c r="C143"/>
      <c r="D143"/>
      <c r="E143"/>
      <c r="F143"/>
      <c r="G143" s="14"/>
      <c r="H143" s="566"/>
      <c r="I143"/>
      <c r="J143"/>
      <c r="L143"/>
    </row>
    <row r="144" spans="2:12">
      <c r="B144"/>
      <c r="C144"/>
      <c r="D144"/>
      <c r="E144"/>
      <c r="F144"/>
      <c r="G144" s="14"/>
      <c r="H144" s="566"/>
      <c r="I144"/>
      <c r="J144"/>
      <c r="L144"/>
    </row>
    <row r="145" spans="2:12">
      <c r="B145"/>
      <c r="C145"/>
      <c r="D145"/>
      <c r="E145"/>
      <c r="F145"/>
      <c r="G145" s="14"/>
      <c r="H145" s="566"/>
      <c r="I145"/>
      <c r="J145"/>
      <c r="L145"/>
    </row>
    <row r="146" spans="2:12">
      <c r="B146"/>
      <c r="C146"/>
      <c r="D146"/>
      <c r="E146"/>
      <c r="F146"/>
      <c r="G146" s="14"/>
      <c r="H146" s="566"/>
      <c r="I146"/>
      <c r="J146"/>
      <c r="L146"/>
    </row>
    <row r="147" spans="2:12">
      <c r="B147"/>
      <c r="C147"/>
      <c r="D147"/>
      <c r="E147"/>
      <c r="F147"/>
      <c r="G147" s="14"/>
      <c r="H147" s="566"/>
      <c r="I147"/>
      <c r="J147"/>
      <c r="L147"/>
    </row>
    <row r="148" spans="2:12">
      <c r="B148"/>
      <c r="C148"/>
      <c r="D148"/>
      <c r="E148"/>
      <c r="F148"/>
      <c r="G148" s="14"/>
      <c r="H148" s="566"/>
      <c r="I148"/>
      <c r="J148"/>
      <c r="L148"/>
    </row>
    <row r="149" spans="2:12">
      <c r="B149"/>
      <c r="C149"/>
      <c r="D149"/>
      <c r="E149"/>
      <c r="F149"/>
      <c r="G149" s="14"/>
      <c r="H149" s="566"/>
      <c r="I149"/>
      <c r="J149"/>
      <c r="L149"/>
    </row>
    <row r="150" spans="2:12">
      <c r="B150"/>
      <c r="C150"/>
      <c r="D150"/>
      <c r="E150"/>
      <c r="F150"/>
      <c r="G150" s="14"/>
      <c r="H150" s="566"/>
      <c r="I150"/>
      <c r="J150"/>
      <c r="L150"/>
    </row>
    <row r="151" spans="2:12">
      <c r="B151"/>
      <c r="C151"/>
      <c r="D151"/>
      <c r="E151"/>
      <c r="F151"/>
      <c r="G151" s="14"/>
      <c r="H151" s="566"/>
      <c r="I151"/>
      <c r="J151"/>
      <c r="L151"/>
    </row>
    <row r="152" spans="2:12">
      <c r="B152"/>
      <c r="C152"/>
      <c r="D152"/>
      <c r="E152"/>
      <c r="F152"/>
      <c r="G152" s="14"/>
      <c r="H152" s="566"/>
      <c r="I152"/>
      <c r="J152"/>
      <c r="L152"/>
    </row>
    <row r="153" spans="2:12">
      <c r="B153"/>
      <c r="C153"/>
      <c r="D153"/>
      <c r="E153"/>
      <c r="F153"/>
      <c r="G153" s="14"/>
      <c r="H153" s="566"/>
      <c r="I153"/>
      <c r="J153"/>
      <c r="L153"/>
    </row>
    <row r="154" spans="2:12">
      <c r="B154"/>
      <c r="C154"/>
      <c r="D154"/>
      <c r="E154"/>
      <c r="F154"/>
      <c r="G154" s="14"/>
      <c r="H154" s="566"/>
      <c r="I154"/>
      <c r="J154"/>
      <c r="L154"/>
    </row>
    <row r="155" spans="2:12">
      <c r="B155"/>
      <c r="C155"/>
      <c r="D155"/>
      <c r="E155"/>
      <c r="F155"/>
      <c r="G155" s="14"/>
      <c r="H155" s="566"/>
      <c r="I155"/>
      <c r="J155"/>
      <c r="L155"/>
    </row>
    <row r="156" spans="2:12">
      <c r="B156"/>
      <c r="C156"/>
      <c r="D156"/>
      <c r="E156"/>
      <c r="F156"/>
      <c r="G156" s="14"/>
      <c r="H156" s="566"/>
      <c r="I156"/>
      <c r="J156"/>
      <c r="L156"/>
    </row>
    <row r="157" spans="2:12">
      <c r="B157"/>
      <c r="C157"/>
      <c r="D157"/>
      <c r="E157"/>
      <c r="F157"/>
      <c r="G157" s="14"/>
      <c r="H157" s="566"/>
      <c r="I157"/>
      <c r="J157"/>
      <c r="L157"/>
    </row>
    <row r="158" spans="2:12">
      <c r="B158"/>
      <c r="C158"/>
      <c r="D158"/>
      <c r="E158"/>
      <c r="F158"/>
      <c r="G158" s="14"/>
      <c r="H158" s="566"/>
      <c r="I158"/>
      <c r="J158"/>
      <c r="L158"/>
    </row>
    <row r="159" spans="2:12">
      <c r="B159"/>
      <c r="C159"/>
      <c r="D159"/>
      <c r="E159"/>
      <c r="F159"/>
      <c r="G159" s="14"/>
      <c r="H159" s="566"/>
      <c r="I159"/>
      <c r="J159"/>
      <c r="L159"/>
    </row>
    <row r="160" spans="2:12">
      <c r="B160"/>
      <c r="C160"/>
      <c r="D160"/>
      <c r="E160"/>
      <c r="F160"/>
      <c r="G160" s="14"/>
      <c r="H160" s="566"/>
      <c r="I160"/>
      <c r="J160"/>
      <c r="L160"/>
    </row>
    <row r="161" spans="2:12">
      <c r="B161"/>
      <c r="C161"/>
      <c r="D161"/>
      <c r="E161"/>
      <c r="F161"/>
      <c r="G161" s="14"/>
      <c r="H161" s="566"/>
      <c r="I161"/>
      <c r="J161"/>
      <c r="L161"/>
    </row>
    <row r="162" spans="2:12">
      <c r="B162"/>
      <c r="C162"/>
      <c r="D162"/>
      <c r="E162"/>
      <c r="F162"/>
      <c r="G162" s="14"/>
      <c r="H162" s="566"/>
      <c r="I162"/>
      <c r="J162"/>
      <c r="L162"/>
    </row>
    <row r="163" spans="2:12">
      <c r="B163"/>
      <c r="C163"/>
      <c r="D163"/>
      <c r="E163"/>
      <c r="F163"/>
      <c r="G163" s="14"/>
      <c r="H163" s="566"/>
      <c r="I163"/>
      <c r="J163"/>
      <c r="L163"/>
    </row>
    <row r="164" spans="2:12">
      <c r="B164"/>
      <c r="C164"/>
      <c r="D164"/>
      <c r="E164"/>
      <c r="F164"/>
      <c r="G164" s="14"/>
      <c r="H164" s="566"/>
      <c r="I164"/>
      <c r="J164"/>
      <c r="L164"/>
    </row>
    <row r="165" spans="2:12">
      <c r="B165"/>
      <c r="C165"/>
      <c r="D165"/>
      <c r="E165"/>
      <c r="F165"/>
      <c r="G165" s="14"/>
      <c r="H165" s="566"/>
      <c r="I165"/>
      <c r="J165"/>
      <c r="L165"/>
    </row>
    <row r="166" spans="2:12">
      <c r="B166"/>
      <c r="C166"/>
      <c r="D166"/>
      <c r="E166"/>
      <c r="F166"/>
      <c r="G166" s="14"/>
      <c r="H166" s="566"/>
      <c r="I166"/>
      <c r="J166"/>
      <c r="L166"/>
    </row>
    <row r="167" spans="2:12">
      <c r="B167"/>
      <c r="C167"/>
      <c r="D167"/>
      <c r="E167"/>
      <c r="F167"/>
      <c r="G167" s="14"/>
      <c r="H167" s="566"/>
      <c r="I167"/>
      <c r="J167"/>
      <c r="L167"/>
    </row>
    <row r="168" spans="2:12">
      <c r="B168"/>
      <c r="C168"/>
      <c r="D168"/>
      <c r="E168"/>
      <c r="F168"/>
      <c r="G168" s="14"/>
      <c r="H168" s="566"/>
      <c r="I168"/>
      <c r="J168"/>
      <c r="L168"/>
    </row>
    <row r="169" spans="2:12">
      <c r="B169"/>
      <c r="C169"/>
      <c r="D169"/>
      <c r="E169"/>
      <c r="F169"/>
      <c r="G169" s="14"/>
      <c r="H169" s="566"/>
      <c r="I169"/>
      <c r="J169"/>
      <c r="L169"/>
    </row>
    <row r="170" spans="2:12">
      <c r="B170"/>
      <c r="C170"/>
      <c r="D170"/>
      <c r="E170"/>
      <c r="F170"/>
      <c r="G170" s="14"/>
      <c r="H170" s="566"/>
      <c r="I170"/>
      <c r="J170"/>
      <c r="L170"/>
    </row>
    <row r="171" spans="2:12">
      <c r="B171"/>
      <c r="C171"/>
      <c r="D171"/>
      <c r="E171"/>
      <c r="F171"/>
      <c r="G171" s="14"/>
      <c r="H171" s="566"/>
      <c r="I171"/>
      <c r="J171"/>
      <c r="L171"/>
    </row>
    <row r="172" spans="2:12">
      <c r="B172"/>
      <c r="C172"/>
      <c r="D172"/>
      <c r="E172"/>
      <c r="F172"/>
      <c r="G172" s="14"/>
      <c r="H172" s="566"/>
      <c r="I172"/>
      <c r="J172"/>
      <c r="L172"/>
    </row>
    <row r="173" spans="2:12">
      <c r="B173"/>
      <c r="C173"/>
      <c r="D173"/>
      <c r="E173"/>
      <c r="F173"/>
      <c r="G173" s="14"/>
      <c r="H173" s="566"/>
      <c r="I173"/>
      <c r="J173"/>
      <c r="L173"/>
    </row>
    <row r="174" spans="2:12">
      <c r="B174"/>
      <c r="C174"/>
      <c r="D174"/>
      <c r="E174"/>
      <c r="F174"/>
      <c r="G174" s="14"/>
      <c r="H174" s="566"/>
      <c r="I174"/>
      <c r="J174"/>
      <c r="L174"/>
    </row>
    <row r="175" spans="2:12">
      <c r="B175"/>
      <c r="C175"/>
      <c r="D175"/>
      <c r="E175"/>
      <c r="F175"/>
      <c r="G175" s="14"/>
      <c r="H175" s="566"/>
      <c r="I175"/>
      <c r="J175"/>
      <c r="L175"/>
    </row>
    <row r="176" spans="2:12">
      <c r="B176"/>
      <c r="C176"/>
      <c r="D176"/>
      <c r="E176"/>
      <c r="F176"/>
      <c r="G176" s="14"/>
      <c r="H176" s="566"/>
      <c r="I176"/>
      <c r="J176"/>
      <c r="L176"/>
    </row>
    <row r="177" spans="2:12">
      <c r="B177"/>
      <c r="C177"/>
      <c r="D177"/>
      <c r="E177"/>
      <c r="F177"/>
      <c r="G177" s="14"/>
      <c r="H177" s="566"/>
      <c r="I177"/>
      <c r="J177"/>
      <c r="L177"/>
    </row>
    <row r="178" spans="2:12">
      <c r="B178"/>
      <c r="C178"/>
      <c r="D178"/>
      <c r="E178"/>
      <c r="F178"/>
      <c r="G178" s="14"/>
      <c r="H178" s="566"/>
      <c r="I178"/>
      <c r="J178"/>
      <c r="L178"/>
    </row>
    <row r="179" spans="2:12">
      <c r="B179"/>
      <c r="C179"/>
      <c r="D179"/>
      <c r="E179"/>
      <c r="F179"/>
      <c r="G179" s="14"/>
      <c r="H179" s="566"/>
      <c r="I179"/>
      <c r="J179"/>
      <c r="L179"/>
    </row>
    <row r="180" spans="2:12">
      <c r="B180"/>
      <c r="C180"/>
      <c r="D180"/>
      <c r="E180"/>
      <c r="F180"/>
      <c r="G180" s="14"/>
      <c r="H180" s="566"/>
      <c r="I180"/>
      <c r="J180"/>
      <c r="L180"/>
    </row>
    <row r="181" spans="2:12">
      <c r="B181"/>
      <c r="C181"/>
      <c r="D181"/>
      <c r="E181"/>
      <c r="F181"/>
      <c r="G181" s="14"/>
      <c r="H181" s="566"/>
      <c r="I181"/>
      <c r="J181"/>
      <c r="L181"/>
    </row>
    <row r="182" spans="2:12">
      <c r="B182"/>
      <c r="C182"/>
      <c r="D182"/>
      <c r="E182"/>
      <c r="F182"/>
      <c r="G182" s="14"/>
      <c r="H182" s="566"/>
      <c r="I182"/>
      <c r="J182"/>
      <c r="L182"/>
    </row>
    <row r="183" spans="2:12">
      <c r="B183"/>
      <c r="C183"/>
      <c r="D183"/>
      <c r="E183"/>
      <c r="F183"/>
      <c r="G183" s="14"/>
      <c r="H183" s="566"/>
      <c r="I183"/>
      <c r="J183"/>
      <c r="L183"/>
    </row>
    <row r="184" spans="2:12">
      <c r="B184"/>
      <c r="C184"/>
      <c r="D184"/>
      <c r="E184"/>
      <c r="F184"/>
      <c r="G184" s="14"/>
      <c r="H184" s="566"/>
      <c r="I184"/>
      <c r="J184"/>
      <c r="L184"/>
    </row>
    <row r="185" spans="2:12">
      <c r="B185"/>
      <c r="C185"/>
      <c r="D185"/>
      <c r="E185"/>
      <c r="F185"/>
      <c r="G185" s="14"/>
      <c r="H185" s="566"/>
      <c r="I185"/>
      <c r="J185"/>
      <c r="L185"/>
    </row>
    <row r="186" spans="2:12">
      <c r="B186"/>
      <c r="C186"/>
      <c r="D186"/>
      <c r="E186"/>
      <c r="F186"/>
      <c r="G186" s="14"/>
      <c r="H186" s="566"/>
      <c r="I186"/>
      <c r="J186"/>
      <c r="L186"/>
    </row>
    <row r="187" spans="2:12">
      <c r="B187"/>
      <c r="C187"/>
      <c r="D187"/>
      <c r="E187"/>
      <c r="F187"/>
      <c r="G187" s="14"/>
      <c r="H187" s="566"/>
      <c r="I187"/>
      <c r="J187"/>
      <c r="L187"/>
    </row>
    <row r="188" spans="2:12">
      <c r="B188"/>
      <c r="C188"/>
      <c r="D188"/>
      <c r="E188"/>
      <c r="F188"/>
      <c r="G188" s="14"/>
      <c r="H188" s="566"/>
      <c r="I188"/>
      <c r="J188"/>
      <c r="L188"/>
    </row>
    <row r="189" spans="2:12">
      <c r="B189"/>
      <c r="C189"/>
      <c r="D189"/>
      <c r="E189"/>
      <c r="F189"/>
      <c r="G189" s="14"/>
      <c r="H189" s="566"/>
      <c r="I189"/>
      <c r="J189"/>
      <c r="L189"/>
    </row>
    <row r="190" spans="2:12">
      <c r="B190"/>
      <c r="C190"/>
      <c r="D190"/>
      <c r="E190"/>
      <c r="F190"/>
      <c r="G190" s="14"/>
      <c r="H190" s="566"/>
      <c r="I190"/>
      <c r="J190"/>
      <c r="L190"/>
    </row>
    <row r="191" spans="2:12">
      <c r="B191"/>
      <c r="C191"/>
      <c r="D191"/>
      <c r="E191"/>
      <c r="F191"/>
      <c r="G191" s="14"/>
      <c r="H191" s="566"/>
      <c r="I191"/>
      <c r="J191"/>
      <c r="L191"/>
    </row>
    <row r="192" spans="2:12">
      <c r="B192"/>
      <c r="C192"/>
      <c r="D192"/>
      <c r="E192"/>
      <c r="F192"/>
      <c r="G192" s="14"/>
      <c r="H192" s="566"/>
      <c r="I192"/>
      <c r="J192"/>
      <c r="L192"/>
    </row>
    <row r="193" spans="2:12">
      <c r="B193"/>
      <c r="C193"/>
      <c r="D193"/>
      <c r="E193"/>
      <c r="F193"/>
      <c r="G193" s="14"/>
      <c r="H193" s="566"/>
      <c r="I193"/>
      <c r="J193"/>
      <c r="L193"/>
    </row>
    <row r="194" spans="2:12">
      <c r="B194"/>
      <c r="C194"/>
      <c r="D194"/>
      <c r="E194"/>
      <c r="F194"/>
      <c r="G194" s="14"/>
      <c r="H194" s="566"/>
      <c r="I194"/>
      <c r="J194"/>
      <c r="L194"/>
    </row>
    <row r="195" spans="2:12">
      <c r="B195"/>
      <c r="C195"/>
      <c r="D195"/>
      <c r="E195"/>
      <c r="F195"/>
      <c r="G195" s="14"/>
      <c r="H195" s="566"/>
      <c r="I195"/>
      <c r="J195"/>
      <c r="L195"/>
    </row>
    <row r="196" spans="2:12">
      <c r="B196"/>
      <c r="C196"/>
      <c r="D196"/>
      <c r="E196"/>
      <c r="F196"/>
      <c r="G196" s="14"/>
      <c r="H196" s="566"/>
      <c r="I196"/>
      <c r="J196"/>
      <c r="L196"/>
    </row>
    <row r="197" spans="2:12">
      <c r="B197"/>
      <c r="C197"/>
      <c r="D197"/>
      <c r="E197"/>
      <c r="F197"/>
      <c r="G197" s="14"/>
      <c r="H197" s="566"/>
      <c r="I197"/>
      <c r="J197"/>
      <c r="L197"/>
    </row>
    <row r="198" spans="2:12">
      <c r="B198"/>
      <c r="C198"/>
      <c r="D198"/>
      <c r="E198"/>
      <c r="F198"/>
      <c r="G198" s="14"/>
      <c r="H198" s="566"/>
      <c r="I198"/>
      <c r="J198"/>
      <c r="L198"/>
    </row>
    <row r="199" spans="2:12">
      <c r="B199"/>
      <c r="C199"/>
      <c r="D199"/>
      <c r="E199"/>
      <c r="F199"/>
      <c r="G199" s="14"/>
      <c r="H199" s="566"/>
      <c r="I199"/>
      <c r="J199"/>
      <c r="L199"/>
    </row>
    <row r="200" spans="2:12">
      <c r="B200"/>
      <c r="C200"/>
      <c r="D200"/>
      <c r="E200"/>
      <c r="F200"/>
      <c r="G200" s="14"/>
      <c r="H200" s="566"/>
      <c r="I200"/>
      <c r="J200"/>
      <c r="L200"/>
    </row>
    <row r="201" spans="2:12">
      <c r="B201"/>
      <c r="C201"/>
      <c r="D201"/>
      <c r="E201"/>
      <c r="F201"/>
      <c r="G201" s="14"/>
      <c r="H201" s="566"/>
      <c r="I201"/>
      <c r="J201"/>
      <c r="L201"/>
    </row>
    <row r="202" spans="2:12">
      <c r="B202"/>
      <c r="C202"/>
      <c r="D202"/>
      <c r="E202"/>
      <c r="F202"/>
      <c r="G202" s="14"/>
      <c r="H202" s="566"/>
      <c r="I202"/>
      <c r="J202"/>
      <c r="L202"/>
    </row>
    <row r="203" spans="2:12">
      <c r="B203"/>
      <c r="C203"/>
      <c r="D203"/>
      <c r="E203"/>
      <c r="F203"/>
      <c r="G203" s="14"/>
      <c r="H203" s="566"/>
      <c r="I203"/>
      <c r="J203"/>
      <c r="L203"/>
    </row>
    <row r="204" spans="2:12">
      <c r="B204"/>
      <c r="C204"/>
      <c r="D204"/>
      <c r="E204"/>
      <c r="F204"/>
      <c r="G204" s="14"/>
      <c r="H204" s="566"/>
      <c r="I204"/>
      <c r="J204"/>
      <c r="L204"/>
    </row>
    <row r="205" spans="2:12">
      <c r="B205"/>
      <c r="C205"/>
      <c r="D205"/>
      <c r="E205"/>
      <c r="F205"/>
      <c r="G205" s="14"/>
      <c r="H205" s="566"/>
      <c r="I205"/>
      <c r="J205"/>
      <c r="L205"/>
    </row>
    <row r="206" spans="2:12">
      <c r="B206"/>
      <c r="C206"/>
      <c r="D206"/>
      <c r="E206"/>
      <c r="F206"/>
      <c r="G206" s="14"/>
      <c r="H206" s="566"/>
      <c r="I206"/>
      <c r="J206"/>
      <c r="L206"/>
    </row>
    <row r="207" spans="2:12">
      <c r="B207"/>
      <c r="C207"/>
      <c r="D207"/>
      <c r="E207"/>
      <c r="F207"/>
      <c r="G207" s="14"/>
      <c r="H207" s="566"/>
      <c r="I207"/>
      <c r="J207"/>
      <c r="L207"/>
    </row>
    <row r="208" spans="2:12">
      <c r="B208"/>
      <c r="C208"/>
      <c r="D208"/>
      <c r="E208"/>
      <c r="F208"/>
      <c r="G208" s="14"/>
      <c r="H208" s="566"/>
      <c r="I208"/>
      <c r="J208"/>
      <c r="L208"/>
    </row>
    <row r="209" spans="2:12">
      <c r="B209"/>
      <c r="C209"/>
      <c r="D209"/>
      <c r="E209"/>
      <c r="F209"/>
      <c r="G209" s="14"/>
      <c r="H209" s="566"/>
      <c r="I209"/>
      <c r="J209"/>
      <c r="L209"/>
    </row>
    <row r="210" spans="2:12">
      <c r="B210"/>
      <c r="C210"/>
      <c r="D210"/>
      <c r="E210"/>
      <c r="F210"/>
      <c r="G210" s="14"/>
      <c r="H210" s="566"/>
      <c r="I210"/>
      <c r="J210"/>
      <c r="L210"/>
    </row>
    <row r="211" spans="2:12">
      <c r="B211"/>
      <c r="C211"/>
      <c r="D211"/>
      <c r="E211"/>
      <c r="F211"/>
      <c r="G211" s="14"/>
      <c r="H211" s="566"/>
      <c r="I211"/>
      <c r="J211"/>
      <c r="L211"/>
    </row>
    <row r="212" spans="2:12">
      <c r="B212"/>
      <c r="C212"/>
      <c r="D212"/>
      <c r="E212"/>
      <c r="F212"/>
      <c r="G212" s="14"/>
      <c r="H212" s="566"/>
      <c r="I212"/>
      <c r="J212"/>
      <c r="L212"/>
    </row>
    <row r="213" spans="2:12">
      <c r="B213"/>
      <c r="C213"/>
      <c r="D213"/>
      <c r="E213"/>
      <c r="F213"/>
      <c r="G213" s="14"/>
      <c r="H213" s="566"/>
      <c r="I213"/>
      <c r="J213"/>
      <c r="L213"/>
    </row>
    <row r="214" spans="2:12">
      <c r="B214"/>
      <c r="C214"/>
      <c r="D214"/>
      <c r="E214"/>
      <c r="F214"/>
      <c r="G214" s="14"/>
      <c r="H214" s="566"/>
      <c r="I214"/>
      <c r="J214"/>
      <c r="L214"/>
    </row>
    <row r="215" spans="2:12">
      <c r="B215"/>
      <c r="C215"/>
      <c r="D215"/>
      <c r="E215"/>
      <c r="F215"/>
      <c r="G215" s="14"/>
      <c r="H215" s="566"/>
      <c r="I215"/>
      <c r="J215"/>
      <c r="L215"/>
    </row>
    <row r="216" spans="2:12">
      <c r="B216"/>
      <c r="C216"/>
      <c r="D216"/>
      <c r="E216"/>
      <c r="F216"/>
      <c r="G216" s="14"/>
      <c r="H216" s="566"/>
      <c r="I216"/>
      <c r="J216"/>
      <c r="L216"/>
    </row>
    <row r="217" spans="2:12">
      <c r="B217"/>
      <c r="C217"/>
      <c r="D217"/>
      <c r="E217"/>
      <c r="F217"/>
      <c r="G217" s="14"/>
      <c r="H217" s="566"/>
      <c r="I217"/>
      <c r="J217"/>
      <c r="L217"/>
    </row>
    <row r="218" spans="2:12">
      <c r="B218"/>
      <c r="C218"/>
      <c r="D218"/>
      <c r="E218"/>
      <c r="F218"/>
      <c r="G218" s="14"/>
      <c r="H218" s="566"/>
      <c r="I218"/>
      <c r="J218"/>
      <c r="L218"/>
    </row>
    <row r="219" spans="2:12">
      <c r="B219"/>
      <c r="C219"/>
      <c r="D219"/>
      <c r="E219"/>
      <c r="F219"/>
      <c r="G219" s="14"/>
      <c r="H219" s="566"/>
      <c r="I219"/>
      <c r="J219"/>
      <c r="L219"/>
    </row>
    <row r="220" spans="2:12">
      <c r="B220"/>
      <c r="C220"/>
      <c r="D220"/>
      <c r="E220"/>
      <c r="F220"/>
      <c r="G220" s="14"/>
      <c r="H220" s="566"/>
      <c r="I220"/>
      <c r="J220"/>
      <c r="L220"/>
    </row>
    <row r="221" spans="2:12">
      <c r="B221"/>
      <c r="C221"/>
      <c r="D221"/>
      <c r="E221"/>
      <c r="F221"/>
      <c r="G221" s="14"/>
      <c r="H221" s="566"/>
      <c r="I221"/>
      <c r="J221"/>
      <c r="L221"/>
    </row>
    <row r="222" spans="2:12">
      <c r="B222"/>
      <c r="C222"/>
      <c r="D222"/>
      <c r="E222"/>
      <c r="F222"/>
      <c r="G222" s="14"/>
      <c r="H222" s="566"/>
      <c r="I222"/>
      <c r="J222"/>
      <c r="L222"/>
    </row>
    <row r="223" spans="2:12">
      <c r="B223"/>
      <c r="C223"/>
      <c r="D223"/>
      <c r="E223"/>
      <c r="F223"/>
      <c r="G223" s="14"/>
      <c r="H223" s="566"/>
      <c r="I223"/>
      <c r="J223"/>
      <c r="L223"/>
    </row>
    <row r="224" spans="2:12">
      <c r="B224"/>
      <c r="C224"/>
      <c r="D224"/>
      <c r="E224"/>
      <c r="F224"/>
      <c r="G224" s="14"/>
      <c r="H224" s="566"/>
      <c r="I224"/>
      <c r="J224"/>
      <c r="L224"/>
    </row>
    <row r="225" spans="2:12">
      <c r="B225"/>
      <c r="C225"/>
      <c r="D225"/>
      <c r="E225"/>
      <c r="F225"/>
      <c r="G225" s="14"/>
      <c r="H225" s="566"/>
      <c r="I225"/>
      <c r="J225"/>
      <c r="L225"/>
    </row>
    <row r="226" spans="2:12">
      <c r="B226"/>
      <c r="C226"/>
      <c r="D226"/>
      <c r="E226"/>
      <c r="F226"/>
      <c r="G226" s="14"/>
      <c r="H226" s="566"/>
      <c r="I226"/>
      <c r="J226"/>
      <c r="L226"/>
    </row>
    <row r="227" spans="2:12">
      <c r="B227"/>
      <c r="C227"/>
      <c r="D227"/>
      <c r="E227"/>
      <c r="F227"/>
      <c r="G227" s="14"/>
      <c r="H227" s="566"/>
      <c r="I227"/>
      <c r="J227"/>
      <c r="L227"/>
    </row>
    <row r="228" spans="2:12">
      <c r="B228"/>
      <c r="C228"/>
      <c r="D228"/>
      <c r="E228"/>
      <c r="F228"/>
      <c r="G228" s="14"/>
      <c r="H228" s="566"/>
      <c r="I228"/>
      <c r="J228"/>
      <c r="L228"/>
    </row>
    <row r="229" spans="2:12">
      <c r="B229"/>
      <c r="C229"/>
      <c r="D229"/>
      <c r="E229"/>
      <c r="F229"/>
      <c r="G229" s="14"/>
      <c r="H229" s="566"/>
      <c r="I229"/>
      <c r="J229"/>
      <c r="L229"/>
    </row>
    <row r="230" spans="2:12">
      <c r="B230"/>
      <c r="C230"/>
      <c r="D230"/>
      <c r="E230"/>
      <c r="F230"/>
      <c r="G230" s="14"/>
      <c r="H230" s="566"/>
      <c r="I230"/>
      <c r="J230"/>
      <c r="L230"/>
    </row>
    <row r="231" spans="2:12">
      <c r="B231"/>
      <c r="C231"/>
      <c r="D231"/>
      <c r="E231"/>
      <c r="F231"/>
      <c r="G231" s="14"/>
      <c r="H231" s="566"/>
      <c r="I231"/>
      <c r="J231"/>
      <c r="L231"/>
    </row>
    <row r="232" spans="2:12">
      <c r="B232"/>
      <c r="C232"/>
      <c r="D232"/>
      <c r="E232"/>
      <c r="F232"/>
      <c r="G232" s="14"/>
      <c r="H232" s="566"/>
      <c r="I232"/>
      <c r="J232"/>
      <c r="L232"/>
    </row>
    <row r="233" spans="2:12">
      <c r="B233"/>
      <c r="C233"/>
      <c r="D233"/>
      <c r="E233"/>
      <c r="F233"/>
      <c r="G233" s="14"/>
      <c r="H233" s="566"/>
      <c r="I233"/>
      <c r="J233"/>
      <c r="L233"/>
    </row>
    <row r="234" spans="2:12">
      <c r="B234"/>
      <c r="C234"/>
      <c r="D234"/>
      <c r="E234"/>
      <c r="F234"/>
      <c r="G234" s="14"/>
      <c r="H234" s="566"/>
      <c r="I234"/>
      <c r="J234"/>
      <c r="L234"/>
    </row>
    <row r="235" spans="2:12">
      <c r="B235"/>
      <c r="C235"/>
      <c r="D235"/>
      <c r="E235"/>
      <c r="F235"/>
      <c r="G235" s="14"/>
      <c r="H235" s="566"/>
      <c r="I235"/>
      <c r="J235"/>
      <c r="L235"/>
    </row>
    <row r="236" spans="2:12">
      <c r="B236"/>
      <c r="C236"/>
      <c r="D236"/>
      <c r="E236"/>
      <c r="F236"/>
      <c r="G236" s="14"/>
      <c r="H236" s="566"/>
      <c r="I236"/>
      <c r="J236"/>
      <c r="L236"/>
    </row>
    <row r="237" spans="2:12">
      <c r="B237"/>
      <c r="C237"/>
      <c r="D237"/>
      <c r="E237"/>
      <c r="F237"/>
      <c r="G237" s="14"/>
      <c r="H237" s="566"/>
      <c r="I237"/>
      <c r="J237"/>
      <c r="L237"/>
    </row>
    <row r="238" spans="2:12">
      <c r="B238"/>
      <c r="C238"/>
      <c r="D238"/>
      <c r="E238"/>
      <c r="F238"/>
      <c r="G238" s="14"/>
      <c r="H238" s="566"/>
      <c r="I238"/>
      <c r="J238"/>
      <c r="L238"/>
    </row>
    <row r="239" spans="2:12">
      <c r="B239"/>
      <c r="C239"/>
      <c r="D239"/>
      <c r="E239"/>
      <c r="F239"/>
      <c r="G239" s="14"/>
      <c r="H239" s="566"/>
      <c r="I239"/>
      <c r="J239"/>
      <c r="L239"/>
    </row>
    <row r="240" spans="2:12">
      <c r="B240"/>
      <c r="C240"/>
      <c r="D240"/>
      <c r="E240"/>
      <c r="F240"/>
      <c r="G240" s="14"/>
      <c r="H240" s="566"/>
      <c r="I240"/>
      <c r="J240"/>
      <c r="L240"/>
    </row>
    <row r="241" spans="2:12">
      <c r="B241"/>
      <c r="C241"/>
      <c r="D241"/>
      <c r="E241"/>
      <c r="F241"/>
      <c r="G241" s="14"/>
      <c r="H241" s="566"/>
      <c r="I241"/>
      <c r="J241"/>
      <c r="L241"/>
    </row>
    <row r="242" spans="2:12">
      <c r="B242"/>
      <c r="C242"/>
      <c r="D242"/>
      <c r="E242"/>
      <c r="F242"/>
      <c r="G242" s="14"/>
      <c r="H242" s="566"/>
      <c r="I242"/>
      <c r="J242"/>
      <c r="L242"/>
    </row>
    <row r="243" spans="2:12">
      <c r="B243"/>
      <c r="C243"/>
      <c r="D243"/>
      <c r="E243"/>
      <c r="F243"/>
      <c r="G243" s="14"/>
      <c r="H243" s="566"/>
      <c r="I243"/>
      <c r="J243"/>
      <c r="L243"/>
    </row>
    <row r="244" spans="2:12">
      <c r="B244"/>
      <c r="C244"/>
      <c r="D244"/>
      <c r="E244"/>
      <c r="F244"/>
      <c r="G244" s="14"/>
      <c r="H244" s="566"/>
      <c r="I244"/>
      <c r="J244"/>
      <c r="L244"/>
    </row>
    <row r="245" spans="2:12">
      <c r="B245"/>
      <c r="C245"/>
      <c r="D245"/>
      <c r="E245"/>
      <c r="F245"/>
      <c r="G245" s="14"/>
      <c r="H245" s="566"/>
      <c r="I245"/>
      <c r="J245"/>
      <c r="L245"/>
    </row>
    <row r="246" spans="2:12">
      <c r="B246"/>
      <c r="C246"/>
      <c r="D246"/>
      <c r="E246"/>
      <c r="F246"/>
      <c r="G246" s="14"/>
      <c r="H246" s="566"/>
      <c r="I246"/>
      <c r="J246"/>
      <c r="L246"/>
    </row>
    <row r="247" spans="2:12">
      <c r="B247"/>
      <c r="C247"/>
      <c r="D247"/>
      <c r="E247"/>
      <c r="F247"/>
      <c r="G247" s="14"/>
      <c r="H247" s="566"/>
      <c r="I247"/>
      <c r="J247"/>
      <c r="L247"/>
    </row>
    <row r="248" spans="2:12">
      <c r="B248"/>
      <c r="C248"/>
      <c r="D248"/>
      <c r="E248"/>
      <c r="F248"/>
      <c r="G248" s="14"/>
      <c r="H248" s="566"/>
      <c r="I248"/>
      <c r="J248"/>
      <c r="L248"/>
    </row>
    <row r="249" spans="2:12">
      <c r="B249"/>
      <c r="C249"/>
      <c r="D249"/>
      <c r="E249"/>
      <c r="F249"/>
      <c r="G249" s="14"/>
      <c r="H249" s="566"/>
      <c r="I249"/>
      <c r="J249"/>
      <c r="L249"/>
    </row>
    <row r="250" spans="2:12">
      <c r="B250"/>
      <c r="C250"/>
      <c r="D250"/>
      <c r="E250"/>
      <c r="F250"/>
      <c r="G250" s="14"/>
      <c r="H250" s="566"/>
      <c r="I250"/>
      <c r="J250"/>
      <c r="L250"/>
    </row>
    <row r="251" spans="2:12">
      <c r="B251"/>
      <c r="C251"/>
      <c r="D251"/>
      <c r="E251"/>
      <c r="F251"/>
      <c r="G251" s="14"/>
      <c r="H251" s="566"/>
      <c r="I251"/>
      <c r="J251"/>
      <c r="L251"/>
    </row>
    <row r="252" spans="2:12">
      <c r="B252"/>
      <c r="C252"/>
      <c r="D252"/>
      <c r="E252"/>
      <c r="F252"/>
      <c r="G252" s="14"/>
      <c r="H252" s="566"/>
      <c r="I252"/>
      <c r="J252"/>
      <c r="L252"/>
    </row>
    <row r="253" spans="2:12">
      <c r="B253"/>
      <c r="C253"/>
      <c r="D253"/>
      <c r="E253"/>
      <c r="F253"/>
      <c r="G253" s="14"/>
      <c r="H253" s="566"/>
      <c r="I253"/>
      <c r="J253"/>
      <c r="L253"/>
    </row>
    <row r="254" spans="2:12">
      <c r="B254"/>
      <c r="C254"/>
      <c r="D254"/>
      <c r="E254"/>
      <c r="F254"/>
      <c r="G254" s="14"/>
      <c r="H254" s="566"/>
      <c r="I254"/>
      <c r="J254"/>
      <c r="L254"/>
    </row>
    <row r="255" spans="2:12">
      <c r="B255"/>
      <c r="C255"/>
      <c r="D255"/>
      <c r="E255"/>
      <c r="F255"/>
      <c r="G255" s="14"/>
      <c r="H255" s="566"/>
      <c r="I255"/>
      <c r="J255"/>
      <c r="L255"/>
    </row>
    <row r="256" spans="2:12">
      <c r="B256"/>
      <c r="C256"/>
      <c r="D256"/>
      <c r="E256"/>
      <c r="F256"/>
      <c r="G256" s="14"/>
      <c r="H256" s="566"/>
      <c r="I256"/>
      <c r="J256"/>
      <c r="L256"/>
    </row>
    <row r="257" spans="2:12">
      <c r="B257"/>
      <c r="C257"/>
      <c r="D257"/>
      <c r="E257"/>
      <c r="F257"/>
      <c r="G257" s="14"/>
      <c r="H257" s="566"/>
      <c r="I257"/>
      <c r="J257"/>
      <c r="L257"/>
    </row>
    <row r="258" spans="2:12">
      <c r="B258"/>
      <c r="C258"/>
      <c r="D258"/>
      <c r="E258"/>
      <c r="F258"/>
      <c r="G258" s="14"/>
      <c r="H258" s="566"/>
      <c r="I258"/>
      <c r="J258"/>
      <c r="L258"/>
    </row>
    <row r="259" spans="2:12">
      <c r="B259"/>
      <c r="C259"/>
      <c r="D259"/>
      <c r="E259"/>
      <c r="F259"/>
      <c r="G259" s="14"/>
      <c r="H259" s="566"/>
      <c r="I259"/>
      <c r="J259"/>
      <c r="L259"/>
    </row>
    <row r="260" spans="2:12">
      <c r="B260"/>
      <c r="C260"/>
      <c r="D260"/>
      <c r="E260"/>
      <c r="F260"/>
      <c r="G260" s="14"/>
      <c r="H260" s="566"/>
      <c r="I260"/>
      <c r="J260"/>
      <c r="L260"/>
    </row>
    <row r="261" spans="2:12">
      <c r="B261"/>
      <c r="C261"/>
      <c r="D261"/>
      <c r="E261"/>
      <c r="F261"/>
      <c r="G261" s="14"/>
      <c r="H261" s="566"/>
      <c r="I261"/>
      <c r="J261"/>
      <c r="L261"/>
    </row>
    <row r="262" spans="2:12">
      <c r="B262"/>
      <c r="C262"/>
      <c r="D262"/>
      <c r="E262"/>
      <c r="F262"/>
      <c r="G262" s="14"/>
      <c r="H262" s="566"/>
      <c r="I262"/>
      <c r="J262"/>
      <c r="L262"/>
    </row>
    <row r="263" spans="2:12">
      <c r="B263"/>
      <c r="C263"/>
      <c r="D263"/>
      <c r="E263"/>
      <c r="F263"/>
      <c r="G263" s="14"/>
      <c r="H263" s="566"/>
      <c r="I263"/>
      <c r="J263"/>
      <c r="L263"/>
    </row>
    <row r="264" spans="2:12">
      <c r="B264"/>
      <c r="C264"/>
      <c r="D264"/>
      <c r="E264"/>
      <c r="F264"/>
      <c r="G264" s="14"/>
      <c r="H264" s="566"/>
      <c r="I264"/>
      <c r="J264"/>
      <c r="L264"/>
    </row>
    <row r="265" spans="2:12">
      <c r="B265"/>
      <c r="C265"/>
      <c r="D265"/>
      <c r="E265"/>
      <c r="F265"/>
      <c r="G265" s="14"/>
      <c r="H265" s="566"/>
      <c r="I265"/>
      <c r="J265"/>
      <c r="L265"/>
    </row>
    <row r="266" spans="2:12">
      <c r="B266"/>
      <c r="C266"/>
      <c r="D266"/>
      <c r="E266"/>
      <c r="F266"/>
      <c r="G266" s="14"/>
      <c r="H266" s="566"/>
      <c r="I266"/>
      <c r="J266"/>
      <c r="L266"/>
    </row>
    <row r="267" spans="2:12">
      <c r="B267"/>
      <c r="C267"/>
      <c r="D267"/>
      <c r="E267"/>
      <c r="F267"/>
      <c r="G267" s="14"/>
      <c r="H267" s="566"/>
      <c r="I267"/>
      <c r="J267"/>
      <c r="L267"/>
    </row>
    <row r="268" spans="2:12">
      <c r="B268"/>
      <c r="C268"/>
      <c r="D268"/>
      <c r="E268"/>
      <c r="F268"/>
      <c r="G268" s="14"/>
      <c r="H268" s="566"/>
      <c r="I268"/>
      <c r="J268"/>
      <c r="L268"/>
    </row>
    <row r="269" spans="2:12">
      <c r="B269"/>
      <c r="C269"/>
      <c r="D269"/>
      <c r="E269"/>
      <c r="F269"/>
      <c r="G269" s="14"/>
      <c r="H269" s="566"/>
      <c r="I269"/>
      <c r="J269"/>
      <c r="L269"/>
    </row>
    <row r="270" spans="2:12">
      <c r="B270"/>
      <c r="C270"/>
      <c r="D270"/>
      <c r="E270"/>
      <c r="F270"/>
      <c r="G270" s="14"/>
      <c r="H270" s="566"/>
      <c r="I270"/>
      <c r="J270"/>
      <c r="L270"/>
    </row>
    <row r="271" spans="2:12">
      <c r="B271"/>
      <c r="C271"/>
      <c r="D271"/>
      <c r="E271"/>
      <c r="F271"/>
      <c r="G271" s="14"/>
      <c r="H271" s="566"/>
      <c r="I271"/>
      <c r="J271"/>
      <c r="L271"/>
    </row>
    <row r="272" spans="2:12">
      <c r="B272"/>
      <c r="C272"/>
      <c r="D272"/>
      <c r="E272"/>
      <c r="F272"/>
      <c r="G272" s="14"/>
      <c r="H272" s="566"/>
      <c r="I272"/>
      <c r="J272"/>
      <c r="L272"/>
    </row>
    <row r="273" spans="2:12">
      <c r="B273"/>
      <c r="C273"/>
      <c r="D273"/>
      <c r="E273"/>
      <c r="F273"/>
      <c r="G273" s="14"/>
      <c r="H273" s="566"/>
      <c r="I273"/>
      <c r="J273"/>
      <c r="L273"/>
    </row>
    <row r="274" spans="2:12">
      <c r="B274"/>
      <c r="C274"/>
      <c r="D274"/>
      <c r="E274"/>
      <c r="F274"/>
      <c r="G274" s="14"/>
      <c r="H274" s="566"/>
      <c r="I274"/>
      <c r="J274"/>
      <c r="L274"/>
    </row>
    <row r="275" spans="2:12">
      <c r="B275"/>
      <c r="C275"/>
      <c r="D275"/>
      <c r="E275"/>
      <c r="F275"/>
      <c r="G275" s="14"/>
      <c r="H275" s="566"/>
      <c r="I275"/>
      <c r="J275"/>
      <c r="L275"/>
    </row>
    <row r="276" spans="2:12">
      <c r="B276"/>
      <c r="C276"/>
      <c r="D276"/>
      <c r="E276"/>
      <c r="F276"/>
      <c r="G276" s="14"/>
      <c r="H276" s="566"/>
      <c r="I276"/>
      <c r="J276"/>
      <c r="L276"/>
    </row>
    <row r="277" spans="2:12">
      <c r="B277"/>
      <c r="C277"/>
      <c r="D277"/>
      <c r="E277"/>
      <c r="F277"/>
      <c r="G277" s="14"/>
      <c r="H277" s="566"/>
      <c r="I277"/>
      <c r="J277"/>
      <c r="L277"/>
    </row>
    <row r="278" spans="2:12">
      <c r="B278"/>
      <c r="C278"/>
      <c r="D278"/>
      <c r="E278"/>
      <c r="F278"/>
      <c r="G278" s="14"/>
      <c r="H278" s="566"/>
      <c r="I278"/>
      <c r="J278"/>
      <c r="L278"/>
    </row>
    <row r="279" spans="2:12">
      <c r="B279"/>
      <c r="C279"/>
      <c r="D279"/>
      <c r="E279"/>
      <c r="F279"/>
      <c r="G279" s="14"/>
      <c r="H279" s="566"/>
      <c r="I279"/>
      <c r="J279"/>
      <c r="L279"/>
    </row>
    <row r="280" spans="2:12">
      <c r="B280"/>
      <c r="C280"/>
      <c r="D280"/>
      <c r="E280"/>
      <c r="F280"/>
      <c r="G280" s="14"/>
      <c r="H280" s="566"/>
      <c r="I280"/>
      <c r="J280"/>
      <c r="L280"/>
    </row>
    <row r="281" spans="2:12">
      <c r="B281"/>
      <c r="C281"/>
      <c r="D281"/>
      <c r="E281"/>
      <c r="F281"/>
      <c r="G281" s="14"/>
      <c r="H281" s="566"/>
      <c r="I281"/>
      <c r="J281"/>
      <c r="L281"/>
    </row>
    <row r="282" spans="2:12">
      <c r="B282"/>
      <c r="C282"/>
      <c r="D282"/>
      <c r="E282"/>
      <c r="F282"/>
      <c r="G282" s="14"/>
      <c r="H282" s="566"/>
      <c r="I282"/>
      <c r="J282"/>
      <c r="L282"/>
    </row>
    <row r="283" spans="2:12">
      <c r="B283"/>
      <c r="C283"/>
      <c r="D283"/>
      <c r="E283"/>
      <c r="F283"/>
      <c r="G283" s="14"/>
      <c r="H283" s="566"/>
      <c r="I283"/>
      <c r="J283"/>
      <c r="L283"/>
    </row>
    <row r="284" spans="2:12">
      <c r="B284"/>
      <c r="C284"/>
      <c r="D284"/>
      <c r="E284"/>
      <c r="F284"/>
      <c r="G284" s="14"/>
      <c r="H284" s="566"/>
      <c r="I284"/>
      <c r="J284"/>
      <c r="L284"/>
    </row>
    <row r="285" spans="2:12">
      <c r="B285"/>
      <c r="C285"/>
      <c r="D285"/>
      <c r="E285"/>
      <c r="F285"/>
      <c r="G285" s="14"/>
      <c r="H285" s="566"/>
      <c r="I285"/>
      <c r="J285"/>
      <c r="L285"/>
    </row>
    <row r="286" spans="2:12">
      <c r="B286"/>
      <c r="C286"/>
      <c r="D286"/>
      <c r="E286"/>
      <c r="F286"/>
      <c r="G286" s="14"/>
      <c r="H286" s="566"/>
      <c r="I286"/>
      <c r="J286"/>
      <c r="L286"/>
    </row>
    <row r="287" spans="2:12">
      <c r="B287"/>
      <c r="C287"/>
      <c r="D287"/>
      <c r="E287"/>
      <c r="F287"/>
      <c r="G287" s="14"/>
      <c r="H287" s="566"/>
      <c r="I287"/>
      <c r="J287"/>
      <c r="L287"/>
    </row>
    <row r="288" spans="2:12">
      <c r="B288"/>
      <c r="C288"/>
      <c r="D288"/>
      <c r="E288"/>
      <c r="F288"/>
      <c r="G288" s="14"/>
      <c r="H288" s="566"/>
      <c r="I288"/>
      <c r="J288"/>
      <c r="L288"/>
    </row>
    <row r="289" spans="2:12">
      <c r="B289"/>
      <c r="C289"/>
      <c r="D289"/>
      <c r="E289"/>
      <c r="F289"/>
      <c r="G289" s="14"/>
      <c r="H289" s="566"/>
      <c r="I289"/>
      <c r="J289"/>
      <c r="L289"/>
    </row>
    <row r="290" spans="2:12">
      <c r="B290"/>
      <c r="C290"/>
      <c r="D290"/>
      <c r="E290"/>
      <c r="F290"/>
      <c r="G290" s="14"/>
      <c r="H290" s="566"/>
      <c r="I290"/>
      <c r="J290"/>
      <c r="L290"/>
    </row>
    <row r="291" spans="2:12">
      <c r="B291"/>
      <c r="C291"/>
      <c r="D291"/>
      <c r="E291"/>
      <c r="F291"/>
      <c r="G291" s="14"/>
      <c r="H291" s="566"/>
      <c r="I291"/>
      <c r="J291"/>
      <c r="L291"/>
    </row>
    <row r="292" spans="2:12">
      <c r="B292"/>
      <c r="C292"/>
      <c r="D292"/>
      <c r="E292"/>
      <c r="F292"/>
      <c r="G292" s="14"/>
      <c r="H292" s="566"/>
      <c r="I292"/>
      <c r="J292"/>
      <c r="L292"/>
    </row>
    <row r="293" spans="2:12">
      <c r="B293"/>
      <c r="C293"/>
      <c r="D293"/>
      <c r="E293"/>
      <c r="F293"/>
      <c r="G293" s="14"/>
      <c r="H293" s="566"/>
      <c r="I293"/>
      <c r="J293"/>
      <c r="L293"/>
    </row>
    <row r="294" spans="2:12">
      <c r="B294"/>
      <c r="C294"/>
      <c r="D294"/>
      <c r="E294"/>
      <c r="F294"/>
      <c r="G294" s="14"/>
      <c r="H294" s="566"/>
      <c r="I294"/>
      <c r="J294"/>
      <c r="L294"/>
    </row>
    <row r="295" spans="2:12">
      <c r="B295"/>
      <c r="C295"/>
      <c r="D295"/>
      <c r="E295"/>
      <c r="F295"/>
      <c r="G295" s="14"/>
      <c r="H295" s="566"/>
      <c r="I295"/>
      <c r="J295"/>
      <c r="L295"/>
    </row>
    <row r="296" spans="2:12">
      <c r="B296"/>
      <c r="C296"/>
      <c r="D296"/>
      <c r="E296"/>
      <c r="F296"/>
      <c r="G296" s="14"/>
      <c r="H296" s="566"/>
      <c r="I296"/>
      <c r="J296"/>
      <c r="L296"/>
    </row>
    <row r="297" spans="2:12">
      <c r="B297"/>
      <c r="C297"/>
      <c r="D297"/>
      <c r="E297"/>
      <c r="F297"/>
      <c r="G297" s="14"/>
      <c r="H297" s="566"/>
      <c r="I297"/>
      <c r="J297"/>
      <c r="L297"/>
    </row>
    <row r="298" spans="2:12">
      <c r="B298"/>
      <c r="C298"/>
      <c r="D298"/>
      <c r="E298"/>
      <c r="F298"/>
      <c r="G298" s="14"/>
      <c r="H298" s="566"/>
      <c r="I298"/>
      <c r="J298"/>
      <c r="L298"/>
    </row>
    <row r="299" spans="2:12">
      <c r="B299"/>
      <c r="C299"/>
      <c r="D299"/>
      <c r="E299"/>
      <c r="F299"/>
      <c r="G299" s="14"/>
      <c r="H299" s="566"/>
      <c r="I299"/>
      <c r="J299"/>
      <c r="L299"/>
    </row>
    <row r="300" spans="2:12">
      <c r="B300"/>
      <c r="C300"/>
      <c r="D300"/>
      <c r="E300"/>
      <c r="F300"/>
      <c r="G300" s="14"/>
      <c r="H300" s="566"/>
      <c r="I300"/>
      <c r="J300"/>
      <c r="L300"/>
    </row>
    <row r="301" spans="2:12">
      <c r="B301"/>
      <c r="C301"/>
      <c r="D301"/>
      <c r="E301"/>
      <c r="F301"/>
      <c r="G301" s="14"/>
      <c r="H301" s="566"/>
      <c r="I301"/>
      <c r="J301"/>
      <c r="L301"/>
    </row>
    <row r="302" spans="2:12">
      <c r="B302"/>
      <c r="C302"/>
      <c r="D302"/>
      <c r="E302"/>
      <c r="F302"/>
      <c r="G302" s="14"/>
      <c r="H302" s="566"/>
      <c r="I302"/>
      <c r="J302"/>
      <c r="L302"/>
    </row>
    <row r="303" spans="2:12">
      <c r="B303"/>
      <c r="C303"/>
      <c r="D303"/>
      <c r="E303"/>
      <c r="F303"/>
      <c r="G303" s="14"/>
      <c r="H303" s="566"/>
      <c r="I303"/>
      <c r="J303"/>
      <c r="L303"/>
    </row>
    <row r="304" spans="2:12">
      <c r="B304"/>
      <c r="C304"/>
      <c r="D304"/>
      <c r="E304"/>
      <c r="F304"/>
      <c r="G304" s="14"/>
      <c r="H304" s="566"/>
      <c r="I304"/>
      <c r="J304"/>
      <c r="L304"/>
    </row>
    <row r="305" spans="2:12">
      <c r="B305"/>
      <c r="C305"/>
      <c r="D305"/>
      <c r="E305"/>
      <c r="F305"/>
      <c r="G305" s="14"/>
      <c r="H305" s="566"/>
      <c r="I305"/>
      <c r="J305"/>
      <c r="L305"/>
    </row>
    <row r="306" spans="2:12">
      <c r="B306"/>
      <c r="C306"/>
      <c r="D306"/>
      <c r="E306"/>
      <c r="F306"/>
      <c r="G306" s="14"/>
      <c r="H306" s="566"/>
      <c r="I306"/>
      <c r="J306"/>
      <c r="L306"/>
    </row>
    <row r="307" spans="2:12">
      <c r="B307"/>
      <c r="C307"/>
      <c r="D307"/>
      <c r="E307"/>
      <c r="F307"/>
      <c r="G307" s="14"/>
      <c r="H307" s="566"/>
      <c r="I307"/>
      <c r="J307"/>
      <c r="L307"/>
    </row>
    <row r="308" spans="2:12">
      <c r="B308"/>
      <c r="C308"/>
      <c r="D308"/>
      <c r="E308"/>
      <c r="F308"/>
      <c r="G308" s="14"/>
      <c r="H308" s="566"/>
      <c r="I308"/>
      <c r="J308"/>
      <c r="L308"/>
    </row>
    <row r="309" spans="2:12">
      <c r="B309"/>
      <c r="C309"/>
      <c r="D309"/>
      <c r="E309"/>
      <c r="F309"/>
      <c r="G309" s="14"/>
      <c r="H309" s="566"/>
      <c r="I309"/>
      <c r="J309"/>
      <c r="L309"/>
    </row>
    <row r="310" spans="2:12">
      <c r="B310"/>
      <c r="C310"/>
      <c r="D310"/>
      <c r="E310"/>
      <c r="F310"/>
      <c r="G310" s="14"/>
      <c r="H310" s="566"/>
      <c r="I310"/>
      <c r="J310"/>
      <c r="L310"/>
    </row>
    <row r="311" spans="2:12">
      <c r="B311"/>
      <c r="C311"/>
      <c r="D311"/>
      <c r="E311"/>
      <c r="F311"/>
      <c r="G311" s="14"/>
      <c r="H311" s="566"/>
      <c r="I311"/>
      <c r="J311"/>
      <c r="L311"/>
    </row>
    <row r="312" spans="2:12">
      <c r="B312"/>
      <c r="C312"/>
      <c r="D312"/>
      <c r="E312"/>
      <c r="F312"/>
      <c r="G312" s="14"/>
      <c r="H312" s="566"/>
      <c r="I312"/>
      <c r="J312"/>
      <c r="L312"/>
    </row>
    <row r="313" spans="2:12">
      <c r="B313"/>
      <c r="C313"/>
      <c r="D313"/>
      <c r="E313"/>
      <c r="F313"/>
      <c r="G313" s="14"/>
      <c r="H313" s="566"/>
      <c r="I313"/>
      <c r="J313"/>
      <c r="L313"/>
    </row>
    <row r="314" spans="2:12">
      <c r="B314"/>
      <c r="C314"/>
      <c r="D314"/>
      <c r="E314"/>
      <c r="F314"/>
      <c r="G314" s="14"/>
      <c r="H314" s="566"/>
      <c r="I314"/>
      <c r="J314"/>
      <c r="L314"/>
    </row>
    <row r="315" spans="2:12">
      <c r="B315"/>
      <c r="C315"/>
      <c r="D315"/>
      <c r="E315"/>
      <c r="F315"/>
      <c r="G315" s="14"/>
      <c r="H315" s="566"/>
      <c r="I315"/>
      <c r="J315"/>
      <c r="L315"/>
    </row>
    <row r="316" spans="2:12">
      <c r="B316"/>
      <c r="C316"/>
      <c r="D316"/>
      <c r="E316"/>
      <c r="F316"/>
      <c r="G316" s="14"/>
      <c r="H316" s="566"/>
      <c r="I316"/>
      <c r="J316"/>
      <c r="L316"/>
    </row>
    <row r="317" spans="2:12">
      <c r="B317"/>
      <c r="C317"/>
      <c r="D317"/>
      <c r="E317"/>
      <c r="F317"/>
      <c r="G317" s="14"/>
      <c r="H317" s="566"/>
      <c r="I317"/>
      <c r="J317"/>
      <c r="L317"/>
    </row>
    <row r="318" spans="2:12">
      <c r="B318"/>
      <c r="C318"/>
      <c r="D318"/>
      <c r="E318"/>
      <c r="F318"/>
      <c r="G318" s="14"/>
      <c r="H318" s="566"/>
      <c r="I318"/>
      <c r="J318"/>
      <c r="L318"/>
    </row>
    <row r="319" spans="2:12">
      <c r="B319"/>
      <c r="C319"/>
      <c r="D319"/>
      <c r="E319"/>
      <c r="F319"/>
      <c r="G319" s="14"/>
      <c r="H319" s="566"/>
      <c r="I319"/>
      <c r="J319"/>
      <c r="L319"/>
    </row>
    <row r="320" spans="2:12">
      <c r="B320"/>
      <c r="C320"/>
      <c r="D320"/>
      <c r="E320"/>
      <c r="F320"/>
      <c r="G320" s="14"/>
      <c r="H320" s="566"/>
      <c r="I320"/>
      <c r="J320"/>
      <c r="L320"/>
    </row>
    <row r="321" spans="2:12">
      <c r="B321"/>
      <c r="C321"/>
      <c r="D321"/>
      <c r="E321"/>
      <c r="F321"/>
      <c r="G321" s="14"/>
      <c r="H321" s="566"/>
      <c r="I321"/>
      <c r="J321"/>
      <c r="L321"/>
    </row>
    <row r="322" spans="2:12">
      <c r="B322"/>
      <c r="C322"/>
      <c r="D322"/>
      <c r="E322"/>
      <c r="F322"/>
      <c r="G322" s="14"/>
      <c r="H322" s="566"/>
      <c r="I322"/>
      <c r="J322"/>
      <c r="L322"/>
    </row>
    <row r="323" spans="2:12">
      <c r="B323"/>
      <c r="C323"/>
      <c r="D323"/>
      <c r="E323"/>
      <c r="F323"/>
      <c r="G323" s="14"/>
      <c r="H323" s="566"/>
      <c r="I323"/>
      <c r="J323"/>
      <c r="L323"/>
    </row>
    <row r="324" spans="2:12">
      <c r="B324"/>
      <c r="C324"/>
      <c r="D324"/>
      <c r="E324"/>
      <c r="F324"/>
      <c r="G324" s="14"/>
      <c r="H324" s="566"/>
      <c r="I324"/>
      <c r="J324"/>
      <c r="L324"/>
    </row>
    <row r="325" spans="2:12">
      <c r="B325"/>
      <c r="C325"/>
      <c r="D325"/>
      <c r="E325"/>
      <c r="F325"/>
      <c r="G325" s="14"/>
      <c r="H325" s="566"/>
      <c r="I325"/>
      <c r="J325"/>
      <c r="L325"/>
    </row>
    <row r="326" spans="2:12">
      <c r="B326"/>
      <c r="C326"/>
      <c r="D326"/>
      <c r="E326"/>
      <c r="F326"/>
      <c r="G326" s="14"/>
      <c r="H326" s="566"/>
      <c r="I326"/>
      <c r="J326"/>
      <c r="L326"/>
    </row>
    <row r="327" spans="2:12">
      <c r="B327"/>
      <c r="C327"/>
      <c r="D327"/>
      <c r="E327"/>
      <c r="F327"/>
      <c r="G327" s="14"/>
      <c r="H327" s="566"/>
      <c r="I327"/>
      <c r="J327"/>
      <c r="L327"/>
    </row>
    <row r="328" spans="2:12">
      <c r="B328"/>
      <c r="C328"/>
      <c r="D328"/>
      <c r="E328"/>
      <c r="F328"/>
      <c r="G328" s="14"/>
      <c r="H328" s="566"/>
      <c r="I328"/>
      <c r="J328"/>
      <c r="L328"/>
    </row>
    <row r="329" spans="2:12">
      <c r="B329"/>
      <c r="C329"/>
      <c r="D329"/>
      <c r="E329"/>
      <c r="F329"/>
      <c r="G329" s="14"/>
      <c r="H329" s="566"/>
      <c r="I329"/>
      <c r="J329"/>
      <c r="L329"/>
    </row>
    <row r="330" spans="2:12">
      <c r="B330"/>
      <c r="C330"/>
      <c r="D330"/>
      <c r="E330"/>
      <c r="F330"/>
      <c r="G330" s="14"/>
      <c r="H330" s="566"/>
      <c r="I330"/>
      <c r="J330"/>
      <c r="L330"/>
    </row>
    <row r="331" spans="2:12">
      <c r="B331"/>
      <c r="C331"/>
      <c r="D331"/>
      <c r="E331"/>
      <c r="F331"/>
      <c r="G331" s="14"/>
      <c r="H331" s="566"/>
      <c r="I331"/>
      <c r="J331"/>
      <c r="L331"/>
    </row>
    <row r="332" spans="2:12">
      <c r="B332"/>
      <c r="C332"/>
      <c r="D332"/>
      <c r="E332"/>
      <c r="F332"/>
      <c r="G332" s="14"/>
      <c r="H332" s="566"/>
      <c r="I332"/>
      <c r="J332"/>
      <c r="L332"/>
    </row>
    <row r="333" spans="2:12">
      <c r="B333"/>
      <c r="C333"/>
      <c r="D333"/>
      <c r="E333"/>
      <c r="F333"/>
      <c r="G333" s="14"/>
      <c r="H333" s="566"/>
      <c r="I333"/>
      <c r="J333"/>
      <c r="L333"/>
    </row>
    <row r="334" spans="2:12">
      <c r="B334"/>
      <c r="C334"/>
      <c r="D334"/>
      <c r="E334"/>
      <c r="F334"/>
      <c r="G334" s="14"/>
      <c r="H334" s="566"/>
      <c r="I334"/>
      <c r="J334"/>
      <c r="L334"/>
    </row>
    <row r="335" spans="2:12">
      <c r="B335"/>
      <c r="C335"/>
      <c r="D335"/>
      <c r="E335"/>
      <c r="F335"/>
      <c r="G335" s="14"/>
      <c r="H335" s="566"/>
      <c r="I335"/>
      <c r="J335"/>
      <c r="L335"/>
    </row>
    <row r="336" spans="2:12">
      <c r="B336"/>
      <c r="C336"/>
      <c r="D336"/>
      <c r="E336"/>
      <c r="F336"/>
      <c r="G336" s="14"/>
      <c r="H336" s="566"/>
      <c r="I336"/>
      <c r="J336"/>
      <c r="L336"/>
    </row>
    <row r="337" spans="2:12">
      <c r="B337"/>
      <c r="C337"/>
      <c r="D337"/>
      <c r="E337"/>
      <c r="F337"/>
      <c r="G337" s="14"/>
      <c r="H337" s="566"/>
      <c r="I337"/>
      <c r="J337"/>
      <c r="L337"/>
    </row>
    <row r="338" spans="2:12">
      <c r="B338"/>
      <c r="C338"/>
      <c r="D338"/>
      <c r="E338"/>
      <c r="F338"/>
      <c r="G338" s="14"/>
      <c r="H338" s="566"/>
      <c r="I338"/>
      <c r="J338"/>
      <c r="L338"/>
    </row>
    <row r="339" spans="2:12">
      <c r="B339"/>
      <c r="C339"/>
      <c r="D339"/>
      <c r="E339"/>
      <c r="F339"/>
      <c r="G339" s="14"/>
      <c r="H339" s="566"/>
      <c r="I339"/>
      <c r="J339"/>
      <c r="L339"/>
    </row>
    <row r="340" spans="2:12">
      <c r="B340"/>
      <c r="C340"/>
      <c r="D340"/>
      <c r="E340"/>
      <c r="F340"/>
      <c r="G340" s="14"/>
      <c r="H340" s="566"/>
      <c r="I340"/>
      <c r="J340"/>
      <c r="L340"/>
    </row>
    <row r="341" spans="2:12">
      <c r="B341"/>
      <c r="C341"/>
      <c r="D341"/>
      <c r="E341"/>
      <c r="F341"/>
      <c r="G341" s="14"/>
      <c r="H341" s="566"/>
      <c r="I341"/>
      <c r="J341"/>
      <c r="L341"/>
    </row>
    <row r="342" spans="2:12">
      <c r="B342"/>
      <c r="C342"/>
      <c r="D342"/>
      <c r="E342"/>
      <c r="F342"/>
      <c r="G342" s="14"/>
      <c r="H342" s="566"/>
      <c r="I342"/>
      <c r="J342"/>
      <c r="L342"/>
    </row>
    <row r="343" spans="2:12">
      <c r="B343"/>
      <c r="C343"/>
      <c r="D343"/>
      <c r="E343"/>
      <c r="F343"/>
      <c r="G343" s="14"/>
      <c r="H343" s="566"/>
      <c r="I343"/>
      <c r="J343"/>
      <c r="L343"/>
    </row>
    <row r="344" spans="2:12">
      <c r="B344"/>
      <c r="C344"/>
      <c r="D344"/>
      <c r="E344"/>
      <c r="F344"/>
      <c r="G344" s="14"/>
      <c r="H344" s="566"/>
      <c r="I344"/>
      <c r="J344"/>
      <c r="L344"/>
    </row>
    <row r="345" spans="2:12">
      <c r="B345"/>
      <c r="C345"/>
      <c r="D345"/>
      <c r="E345"/>
      <c r="F345"/>
      <c r="G345" s="14"/>
      <c r="H345" s="566"/>
      <c r="I345"/>
      <c r="J345"/>
      <c r="L345"/>
    </row>
    <row r="346" spans="2:12">
      <c r="B346"/>
      <c r="C346"/>
      <c r="D346"/>
      <c r="E346"/>
      <c r="F346"/>
      <c r="G346" s="14"/>
      <c r="H346" s="566"/>
      <c r="I346"/>
      <c r="J346"/>
      <c r="L346"/>
    </row>
    <row r="347" spans="2:12">
      <c r="B347"/>
      <c r="C347"/>
      <c r="D347"/>
      <c r="E347"/>
      <c r="F347"/>
      <c r="G347" s="14"/>
      <c r="H347" s="566"/>
      <c r="I347"/>
      <c r="J347"/>
      <c r="L347"/>
    </row>
    <row r="348" spans="2:12">
      <c r="B348"/>
      <c r="C348"/>
      <c r="D348"/>
      <c r="E348"/>
      <c r="F348"/>
      <c r="G348" s="14"/>
      <c r="H348" s="566"/>
      <c r="I348"/>
      <c r="J348"/>
      <c r="L348"/>
    </row>
    <row r="349" spans="2:12">
      <c r="B349"/>
      <c r="C349"/>
      <c r="D349"/>
      <c r="E349"/>
      <c r="F349"/>
      <c r="G349" s="14"/>
      <c r="H349" s="566"/>
      <c r="I349"/>
      <c r="J349"/>
      <c r="L349"/>
    </row>
    <row r="350" spans="2:12">
      <c r="B350"/>
      <c r="C350"/>
      <c r="D350"/>
      <c r="E350"/>
      <c r="F350"/>
      <c r="G350" s="14"/>
      <c r="H350" s="566"/>
      <c r="I350"/>
      <c r="J350"/>
      <c r="L350"/>
    </row>
    <row r="351" spans="2:12">
      <c r="B351"/>
      <c r="C351"/>
      <c r="D351"/>
      <c r="E351"/>
      <c r="F351"/>
      <c r="G351" s="14"/>
      <c r="H351" s="566"/>
      <c r="I351"/>
      <c r="J351"/>
      <c r="L351"/>
    </row>
    <row r="352" spans="2:12">
      <c r="B352"/>
      <c r="C352"/>
      <c r="D352"/>
      <c r="E352"/>
      <c r="F352"/>
      <c r="G352" s="14"/>
      <c r="H352" s="566"/>
      <c r="I352"/>
      <c r="J352"/>
      <c r="L352"/>
    </row>
    <row r="353" spans="2:12">
      <c r="B353"/>
      <c r="C353"/>
      <c r="D353"/>
      <c r="E353"/>
      <c r="F353"/>
      <c r="G353" s="14"/>
      <c r="H353" s="566"/>
      <c r="I353"/>
      <c r="J353"/>
      <c r="L353"/>
    </row>
    <row r="354" spans="2:12">
      <c r="B354"/>
      <c r="C354"/>
      <c r="D354"/>
      <c r="E354"/>
      <c r="F354"/>
      <c r="G354" s="14"/>
      <c r="H354" s="566"/>
      <c r="I354"/>
      <c r="J354"/>
      <c r="L354"/>
    </row>
    <row r="355" spans="2:12">
      <c r="B355"/>
      <c r="C355"/>
      <c r="D355"/>
      <c r="E355"/>
      <c r="F355"/>
      <c r="G355" s="14"/>
      <c r="H355" s="566"/>
      <c r="I355"/>
      <c r="J355"/>
      <c r="L355"/>
    </row>
    <row r="356" spans="2:12">
      <c r="B356"/>
      <c r="C356"/>
      <c r="D356"/>
      <c r="E356"/>
      <c r="F356"/>
      <c r="G356" s="14"/>
      <c r="H356" s="566"/>
      <c r="I356"/>
      <c r="J356"/>
      <c r="L356"/>
    </row>
    <row r="357" spans="2:12">
      <c r="B357"/>
      <c r="C357"/>
      <c r="D357"/>
      <c r="E357"/>
      <c r="F357"/>
      <c r="G357" s="14"/>
      <c r="H357" s="566"/>
      <c r="I357"/>
      <c r="J357"/>
      <c r="L357"/>
    </row>
    <row r="358" spans="2:12">
      <c r="B358"/>
      <c r="C358"/>
      <c r="D358"/>
      <c r="E358"/>
      <c r="F358"/>
      <c r="G358" s="14"/>
      <c r="H358" s="566"/>
      <c r="I358"/>
      <c r="J358"/>
      <c r="L358"/>
    </row>
    <row r="359" spans="2:12">
      <c r="B359"/>
      <c r="C359"/>
      <c r="D359"/>
      <c r="E359"/>
      <c r="F359"/>
      <c r="G359" s="14"/>
      <c r="H359" s="566"/>
      <c r="I359"/>
      <c r="J359"/>
      <c r="L359"/>
    </row>
    <row r="360" spans="2:12">
      <c r="B360"/>
      <c r="C360"/>
      <c r="D360"/>
      <c r="E360"/>
      <c r="F360"/>
      <c r="G360" s="14"/>
      <c r="H360" s="566"/>
      <c r="I360"/>
      <c r="J360"/>
      <c r="L360"/>
    </row>
    <row r="361" spans="2:12">
      <c r="B361"/>
      <c r="C361"/>
      <c r="D361"/>
      <c r="E361"/>
      <c r="F361"/>
      <c r="G361" s="14"/>
      <c r="H361" s="566"/>
      <c r="I361"/>
      <c r="J361"/>
      <c r="L361"/>
    </row>
    <row r="362" spans="2:12">
      <c r="B362"/>
      <c r="C362"/>
      <c r="D362"/>
      <c r="E362"/>
      <c r="F362"/>
      <c r="G362" s="14"/>
      <c r="H362" s="566"/>
      <c r="I362"/>
      <c r="J362"/>
      <c r="L362"/>
    </row>
    <row r="363" spans="2:12">
      <c r="B363"/>
      <c r="C363"/>
      <c r="D363"/>
      <c r="E363"/>
      <c r="F363"/>
      <c r="G363" s="14"/>
      <c r="H363" s="566"/>
      <c r="I363"/>
      <c r="J363"/>
      <c r="L363"/>
    </row>
    <row r="364" spans="2:12">
      <c r="B364"/>
      <c r="C364"/>
      <c r="D364"/>
      <c r="E364"/>
      <c r="F364"/>
      <c r="G364" s="14"/>
      <c r="H364" s="566"/>
      <c r="I364"/>
      <c r="J364"/>
      <c r="L364"/>
    </row>
    <row r="365" spans="2:12">
      <c r="B365"/>
      <c r="C365"/>
      <c r="D365"/>
      <c r="E365"/>
      <c r="F365"/>
      <c r="G365" s="14"/>
      <c r="H365" s="566"/>
      <c r="I365"/>
      <c r="J365"/>
      <c r="L365"/>
    </row>
    <row r="366" spans="2:12">
      <c r="B366"/>
      <c r="C366"/>
      <c r="D366"/>
      <c r="E366"/>
      <c r="F366"/>
      <c r="G366" s="14"/>
      <c r="H366" s="566"/>
      <c r="I366"/>
      <c r="J366"/>
      <c r="L366"/>
    </row>
    <row r="367" spans="2:12">
      <c r="B367"/>
      <c r="C367"/>
      <c r="D367"/>
      <c r="E367"/>
      <c r="F367"/>
      <c r="G367" s="14"/>
      <c r="H367" s="566"/>
      <c r="I367"/>
      <c r="J367"/>
      <c r="L367"/>
    </row>
    <row r="368" spans="2:12">
      <c r="B368"/>
      <c r="C368"/>
      <c r="D368"/>
      <c r="E368"/>
      <c r="F368"/>
      <c r="G368" s="14"/>
      <c r="H368" s="566"/>
      <c r="I368"/>
      <c r="J368"/>
      <c r="L368"/>
    </row>
    <row r="369" spans="2:12">
      <c r="B369"/>
      <c r="C369"/>
      <c r="D369"/>
      <c r="E369"/>
      <c r="F369"/>
      <c r="G369" s="14"/>
      <c r="H369" s="566"/>
      <c r="I369"/>
      <c r="J369"/>
      <c r="L369"/>
    </row>
    <row r="370" spans="2:12">
      <c r="B370"/>
      <c r="C370"/>
      <c r="D370"/>
      <c r="E370"/>
      <c r="F370"/>
      <c r="G370" s="14"/>
      <c r="H370" s="566"/>
      <c r="I370"/>
      <c r="J370"/>
      <c r="L370"/>
    </row>
    <row r="371" spans="2:12">
      <c r="B371"/>
      <c r="C371"/>
      <c r="D371"/>
      <c r="E371"/>
      <c r="F371"/>
      <c r="G371" s="14"/>
      <c r="H371" s="566"/>
      <c r="I371"/>
      <c r="J371"/>
      <c r="L371"/>
    </row>
    <row r="372" spans="2:12">
      <c r="B372"/>
      <c r="C372"/>
      <c r="D372"/>
      <c r="E372"/>
      <c r="F372"/>
      <c r="G372" s="14"/>
      <c r="H372" s="566"/>
      <c r="I372"/>
      <c r="J372"/>
      <c r="L372"/>
    </row>
    <row r="373" spans="2:12">
      <c r="B373"/>
      <c r="C373"/>
      <c r="D373"/>
      <c r="E373"/>
      <c r="F373"/>
      <c r="G373" s="14"/>
      <c r="H373" s="566"/>
      <c r="I373"/>
      <c r="J373"/>
      <c r="L373"/>
    </row>
    <row r="374" spans="2:12">
      <c r="B374"/>
      <c r="C374"/>
      <c r="D374"/>
      <c r="E374"/>
      <c r="F374"/>
      <c r="G374" s="14"/>
      <c r="H374" s="566"/>
      <c r="I374"/>
      <c r="J374"/>
      <c r="L374"/>
    </row>
    <row r="375" spans="2:12">
      <c r="B375"/>
      <c r="C375"/>
      <c r="D375"/>
      <c r="E375"/>
      <c r="F375"/>
      <c r="G375" s="14"/>
      <c r="H375" s="566"/>
      <c r="I375"/>
      <c r="J375"/>
      <c r="L375"/>
    </row>
    <row r="376" spans="2:12">
      <c r="B376"/>
      <c r="C376"/>
      <c r="D376"/>
      <c r="E376"/>
      <c r="F376"/>
      <c r="G376" s="14"/>
      <c r="H376" s="566"/>
      <c r="I376"/>
      <c r="J376"/>
      <c r="L376"/>
    </row>
    <row r="377" spans="2:12">
      <c r="B377"/>
      <c r="C377"/>
      <c r="D377"/>
      <c r="E377"/>
      <c r="F377"/>
      <c r="G377" s="14"/>
      <c r="H377" s="566"/>
      <c r="I377"/>
      <c r="J377"/>
      <c r="L377"/>
    </row>
    <row r="378" spans="2:12">
      <c r="B378"/>
      <c r="C378"/>
      <c r="D378"/>
      <c r="E378"/>
      <c r="F378"/>
      <c r="G378" s="14"/>
      <c r="H378" s="566"/>
      <c r="I378"/>
      <c r="J378"/>
      <c r="L378"/>
    </row>
    <row r="379" spans="2:12">
      <c r="B379"/>
      <c r="C379"/>
      <c r="D379"/>
      <c r="E379"/>
      <c r="F379"/>
      <c r="G379" s="14"/>
      <c r="H379" s="566"/>
      <c r="I379"/>
      <c r="J379"/>
      <c r="L379"/>
    </row>
    <row r="380" spans="2:12">
      <c r="B380"/>
      <c r="C380"/>
      <c r="D380"/>
      <c r="E380"/>
      <c r="F380"/>
      <c r="G380" s="14"/>
      <c r="H380" s="566"/>
      <c r="I380"/>
      <c r="J380"/>
      <c r="L380"/>
    </row>
    <row r="381" spans="2:12">
      <c r="B381"/>
      <c r="C381"/>
      <c r="D381"/>
      <c r="E381"/>
      <c r="F381"/>
      <c r="G381" s="14"/>
      <c r="H381" s="566"/>
      <c r="I381"/>
      <c r="J381"/>
      <c r="L381"/>
    </row>
    <row r="382" spans="2:12">
      <c r="B382"/>
      <c r="C382"/>
      <c r="D382"/>
      <c r="E382"/>
      <c r="F382"/>
      <c r="G382" s="14"/>
      <c r="H382" s="566"/>
      <c r="I382"/>
      <c r="J382"/>
      <c r="L382"/>
    </row>
    <row r="383" spans="2:12">
      <c r="B383"/>
      <c r="C383"/>
      <c r="D383"/>
      <c r="E383"/>
      <c r="F383"/>
      <c r="G383" s="14"/>
      <c r="H383" s="566"/>
      <c r="I383"/>
      <c r="J383"/>
      <c r="L383"/>
    </row>
    <row r="384" spans="2:12">
      <c r="B384"/>
      <c r="C384"/>
      <c r="D384"/>
      <c r="E384"/>
      <c r="F384"/>
      <c r="G384" s="14"/>
      <c r="H384" s="566"/>
      <c r="I384"/>
      <c r="J384"/>
      <c r="L384"/>
    </row>
    <row r="385" spans="2:12">
      <c r="B385"/>
      <c r="C385"/>
      <c r="D385"/>
      <c r="E385"/>
      <c r="F385"/>
      <c r="G385" s="14"/>
      <c r="H385" s="566"/>
      <c r="I385"/>
      <c r="J385"/>
      <c r="L385"/>
    </row>
    <row r="386" spans="2:12">
      <c r="B386"/>
      <c r="C386"/>
      <c r="D386"/>
      <c r="E386"/>
      <c r="F386"/>
      <c r="G386" s="14"/>
      <c r="H386" s="566"/>
      <c r="I386"/>
      <c r="J386"/>
      <c r="L386"/>
    </row>
    <row r="387" spans="2:12">
      <c r="B387"/>
      <c r="C387"/>
      <c r="D387"/>
      <c r="E387"/>
      <c r="F387"/>
      <c r="G387" s="14"/>
      <c r="H387" s="566"/>
      <c r="I387"/>
      <c r="J387"/>
      <c r="L387"/>
    </row>
    <row r="388" spans="2:12">
      <c r="B388"/>
      <c r="C388"/>
      <c r="D388"/>
      <c r="E388"/>
      <c r="F388"/>
      <c r="G388" s="14"/>
      <c r="H388" s="566"/>
      <c r="I388"/>
      <c r="J388"/>
      <c r="L388"/>
    </row>
    <row r="389" spans="2:12">
      <c r="B389"/>
      <c r="C389"/>
      <c r="D389"/>
      <c r="E389"/>
      <c r="F389"/>
      <c r="G389" s="14"/>
      <c r="H389" s="566"/>
      <c r="I389"/>
      <c r="J389"/>
      <c r="L389"/>
    </row>
    <row r="390" spans="2:12">
      <c r="B390"/>
      <c r="C390"/>
      <c r="D390"/>
      <c r="E390"/>
      <c r="F390"/>
      <c r="G390" s="14"/>
      <c r="H390" s="566"/>
      <c r="I390"/>
      <c r="J390"/>
      <c r="L390"/>
    </row>
    <row r="391" spans="2:12">
      <c r="B391"/>
      <c r="C391"/>
      <c r="D391"/>
      <c r="E391"/>
      <c r="F391"/>
      <c r="G391" s="14"/>
      <c r="H391" s="566"/>
      <c r="I391"/>
      <c r="J391"/>
      <c r="L391"/>
    </row>
    <row r="392" spans="2:12">
      <c r="B392"/>
      <c r="C392"/>
      <c r="D392"/>
      <c r="E392"/>
      <c r="F392"/>
      <c r="G392" s="14"/>
      <c r="H392" s="566"/>
      <c r="I392"/>
      <c r="J392"/>
      <c r="L392"/>
    </row>
    <row r="393" spans="2:12">
      <c r="B393"/>
      <c r="C393"/>
      <c r="D393"/>
      <c r="E393"/>
      <c r="F393"/>
      <c r="G393" s="14"/>
      <c r="H393" s="566"/>
      <c r="I393"/>
      <c r="J393"/>
      <c r="L393"/>
    </row>
    <row r="394" spans="2:12">
      <c r="B394"/>
      <c r="C394"/>
      <c r="D394"/>
      <c r="E394"/>
      <c r="F394"/>
      <c r="G394" s="14"/>
      <c r="H394" s="566"/>
      <c r="I394"/>
      <c r="J394"/>
      <c r="L394"/>
    </row>
    <row r="395" spans="2:12">
      <c r="B395"/>
      <c r="C395"/>
      <c r="D395"/>
      <c r="E395"/>
      <c r="F395"/>
      <c r="G395" s="14"/>
      <c r="H395" s="566"/>
      <c r="I395"/>
      <c r="J395"/>
      <c r="L395"/>
    </row>
    <row r="396" spans="2:12">
      <c r="B396"/>
      <c r="C396"/>
      <c r="D396"/>
      <c r="E396"/>
      <c r="F396"/>
      <c r="G396" s="14"/>
      <c r="H396" s="566"/>
      <c r="I396"/>
      <c r="J396"/>
      <c r="L396"/>
    </row>
    <row r="397" spans="2:12">
      <c r="B397"/>
      <c r="C397"/>
      <c r="D397"/>
      <c r="E397"/>
      <c r="F397"/>
      <c r="G397" s="14"/>
      <c r="H397" s="566"/>
      <c r="I397"/>
      <c r="J397"/>
      <c r="L397"/>
    </row>
    <row r="398" spans="2:12">
      <c r="B398"/>
      <c r="C398"/>
      <c r="D398"/>
      <c r="E398"/>
      <c r="F398"/>
      <c r="G398" s="14"/>
      <c r="H398" s="566"/>
      <c r="I398"/>
      <c r="J398"/>
      <c r="L398"/>
    </row>
    <row r="399" spans="2:12">
      <c r="B399"/>
      <c r="C399"/>
      <c r="D399"/>
      <c r="E399"/>
      <c r="F399"/>
      <c r="G399" s="14"/>
      <c r="H399" s="566"/>
      <c r="I399"/>
      <c r="J399"/>
      <c r="L399"/>
    </row>
    <row r="400" spans="2:12">
      <c r="B400"/>
      <c r="C400"/>
      <c r="D400"/>
      <c r="E400"/>
      <c r="F400"/>
      <c r="G400" s="14"/>
      <c r="H400" s="566"/>
      <c r="I400"/>
      <c r="J400"/>
      <c r="L400"/>
    </row>
    <row r="401" spans="2:12">
      <c r="B401"/>
      <c r="C401"/>
      <c r="D401"/>
      <c r="E401"/>
      <c r="F401"/>
      <c r="G401" s="14"/>
      <c r="H401" s="566"/>
      <c r="I401"/>
      <c r="J401"/>
      <c r="L401"/>
    </row>
    <row r="402" spans="2:12">
      <c r="B402"/>
      <c r="C402"/>
      <c r="D402"/>
      <c r="E402"/>
      <c r="F402"/>
      <c r="G402" s="14"/>
      <c r="H402" s="566"/>
      <c r="I402"/>
      <c r="J402"/>
      <c r="L402"/>
    </row>
    <row r="403" spans="2:12">
      <c r="B403"/>
      <c r="C403"/>
      <c r="D403"/>
      <c r="E403"/>
      <c r="F403"/>
      <c r="G403" s="14"/>
      <c r="H403" s="566"/>
      <c r="I403"/>
      <c r="J403"/>
      <c r="L403"/>
    </row>
    <row r="404" spans="2:12">
      <c r="B404"/>
      <c r="C404"/>
      <c r="D404"/>
      <c r="E404"/>
      <c r="F404"/>
      <c r="G404" s="14"/>
      <c r="H404" s="566"/>
      <c r="I404"/>
      <c r="J404"/>
      <c r="L404"/>
    </row>
    <row r="405" spans="2:12">
      <c r="B405"/>
      <c r="C405"/>
      <c r="D405"/>
      <c r="E405"/>
      <c r="F405"/>
      <c r="G405" s="14"/>
      <c r="H405" s="566"/>
      <c r="I405"/>
      <c r="J405"/>
      <c r="L405"/>
    </row>
    <row r="406" spans="2:12">
      <c r="B406"/>
      <c r="C406"/>
      <c r="D406"/>
      <c r="E406"/>
      <c r="F406"/>
      <c r="G406" s="14"/>
      <c r="H406" s="566"/>
      <c r="I406"/>
      <c r="J406"/>
      <c r="L406"/>
    </row>
    <row r="407" spans="2:12">
      <c r="B407"/>
      <c r="C407"/>
      <c r="D407"/>
      <c r="E407"/>
      <c r="F407"/>
      <c r="G407" s="14"/>
      <c r="H407" s="566"/>
      <c r="I407"/>
      <c r="J407"/>
      <c r="L407"/>
    </row>
    <row r="408" spans="2:12">
      <c r="B408"/>
      <c r="C408"/>
      <c r="D408"/>
      <c r="E408"/>
      <c r="F408"/>
      <c r="G408" s="14"/>
      <c r="H408" s="566"/>
      <c r="I408"/>
      <c r="J408"/>
      <c r="L408"/>
    </row>
    <row r="409" spans="2:12">
      <c r="B409"/>
      <c r="C409"/>
      <c r="D409"/>
      <c r="E409"/>
      <c r="F409"/>
      <c r="G409" s="14"/>
      <c r="H409" s="566"/>
      <c r="I409"/>
      <c r="J409"/>
      <c r="L409"/>
    </row>
    <row r="410" spans="2:12">
      <c r="B410"/>
      <c r="C410"/>
      <c r="D410"/>
      <c r="E410"/>
      <c r="F410"/>
      <c r="G410" s="14"/>
      <c r="H410" s="566"/>
      <c r="I410"/>
      <c r="J410"/>
      <c r="L410"/>
    </row>
    <row r="411" spans="2:12">
      <c r="B411"/>
      <c r="C411"/>
      <c r="D411"/>
      <c r="E411"/>
      <c r="F411"/>
      <c r="G411" s="14"/>
      <c r="H411" s="566"/>
      <c r="I411"/>
      <c r="J411"/>
      <c r="L411"/>
    </row>
    <row r="412" spans="2:12">
      <c r="B412"/>
      <c r="C412"/>
      <c r="D412"/>
      <c r="E412"/>
      <c r="F412"/>
      <c r="G412" s="14"/>
      <c r="H412" s="566"/>
      <c r="I412"/>
      <c r="J412"/>
      <c r="L412"/>
    </row>
    <row r="413" spans="2:12">
      <c r="B413"/>
      <c r="C413"/>
      <c r="D413"/>
      <c r="E413"/>
      <c r="F413"/>
      <c r="G413" s="14"/>
      <c r="H413" s="566"/>
      <c r="I413"/>
      <c r="J413"/>
      <c r="L413"/>
    </row>
    <row r="414" spans="2:12">
      <c r="B414"/>
      <c r="C414"/>
      <c r="D414"/>
      <c r="E414"/>
      <c r="F414"/>
      <c r="G414" s="14"/>
      <c r="H414" s="566"/>
      <c r="I414"/>
      <c r="J414"/>
      <c r="L414"/>
    </row>
    <row r="415" spans="2:12">
      <c r="B415"/>
      <c r="C415"/>
      <c r="D415"/>
      <c r="E415"/>
      <c r="F415"/>
      <c r="G415" s="14"/>
      <c r="H415" s="566"/>
      <c r="I415"/>
      <c r="J415"/>
      <c r="L415"/>
    </row>
    <row r="416" spans="2:12">
      <c r="B416"/>
      <c r="C416"/>
      <c r="D416"/>
      <c r="E416"/>
      <c r="F416"/>
      <c r="G416" s="14"/>
      <c r="H416" s="566"/>
      <c r="I416"/>
      <c r="J416"/>
      <c r="L416"/>
    </row>
    <row r="417" spans="2:12">
      <c r="B417"/>
      <c r="C417"/>
      <c r="D417"/>
      <c r="E417"/>
      <c r="F417"/>
      <c r="G417" s="14"/>
      <c r="H417" s="566"/>
      <c r="I417"/>
      <c r="J417"/>
      <c r="L417"/>
    </row>
    <row r="418" spans="2:12">
      <c r="B418"/>
      <c r="C418"/>
      <c r="D418"/>
      <c r="E418"/>
      <c r="F418"/>
      <c r="G418" s="14"/>
      <c r="H418" s="566"/>
      <c r="I418"/>
      <c r="J418"/>
      <c r="L418"/>
    </row>
    <row r="419" spans="2:12">
      <c r="B419"/>
      <c r="C419"/>
      <c r="D419"/>
      <c r="E419"/>
      <c r="F419"/>
      <c r="G419" s="14"/>
      <c r="H419" s="566"/>
      <c r="I419"/>
      <c r="J419"/>
      <c r="L419"/>
    </row>
    <row r="420" spans="2:12">
      <c r="B420"/>
      <c r="C420"/>
      <c r="D420"/>
      <c r="E420"/>
      <c r="F420"/>
      <c r="G420" s="14"/>
      <c r="H420" s="566"/>
      <c r="I420"/>
      <c r="J420"/>
      <c r="L420"/>
    </row>
    <row r="421" spans="2:12">
      <c r="B421"/>
      <c r="C421"/>
      <c r="D421"/>
      <c r="E421"/>
      <c r="F421"/>
      <c r="G421" s="14"/>
      <c r="H421" s="566"/>
      <c r="I421"/>
      <c r="J421"/>
      <c r="L421"/>
    </row>
    <row r="422" spans="2:12">
      <c r="B422"/>
      <c r="C422"/>
      <c r="D422"/>
      <c r="E422"/>
      <c r="F422"/>
      <c r="G422" s="14"/>
      <c r="H422" s="566"/>
      <c r="I422"/>
      <c r="J422"/>
      <c r="L422"/>
    </row>
    <row r="423" spans="2:12">
      <c r="B423"/>
      <c r="C423"/>
      <c r="D423"/>
      <c r="E423"/>
      <c r="F423"/>
      <c r="G423" s="14"/>
      <c r="H423" s="566"/>
      <c r="I423"/>
      <c r="J423"/>
      <c r="L423"/>
    </row>
    <row r="424" spans="2:12">
      <c r="B424"/>
      <c r="C424"/>
      <c r="D424"/>
      <c r="E424"/>
      <c r="F424"/>
      <c r="G424" s="14"/>
      <c r="H424" s="566"/>
      <c r="I424"/>
      <c r="J424"/>
      <c r="L424"/>
    </row>
    <row r="425" spans="2:12">
      <c r="B425"/>
      <c r="C425"/>
      <c r="D425"/>
      <c r="E425"/>
      <c r="F425"/>
      <c r="G425" s="14"/>
      <c r="H425" s="566"/>
      <c r="I425"/>
      <c r="J425"/>
      <c r="L425"/>
    </row>
    <row r="426" spans="2:12">
      <c r="B426"/>
      <c r="C426"/>
      <c r="D426"/>
      <c r="E426"/>
      <c r="F426"/>
      <c r="G426" s="14"/>
      <c r="H426" s="566"/>
      <c r="I426"/>
      <c r="J426"/>
      <c r="L426"/>
    </row>
    <row r="427" spans="2:12">
      <c r="B427"/>
      <c r="C427"/>
      <c r="D427"/>
      <c r="E427"/>
      <c r="F427"/>
      <c r="G427" s="14"/>
      <c r="H427" s="566"/>
      <c r="I427"/>
      <c r="J427"/>
      <c r="L427"/>
    </row>
    <row r="428" spans="2:12">
      <c r="B428"/>
      <c r="C428"/>
      <c r="D428"/>
      <c r="E428"/>
      <c r="F428"/>
      <c r="G428" s="14"/>
      <c r="H428" s="566"/>
      <c r="I428"/>
      <c r="J428"/>
      <c r="L428"/>
    </row>
    <row r="429" spans="2:12">
      <c r="B429"/>
      <c r="C429"/>
      <c r="D429"/>
      <c r="E429"/>
      <c r="F429"/>
      <c r="G429" s="14"/>
      <c r="H429" s="566"/>
      <c r="I429"/>
      <c r="J429"/>
      <c r="L429"/>
    </row>
    <row r="430" spans="2:12">
      <c r="B430"/>
      <c r="C430"/>
      <c r="D430"/>
      <c r="E430"/>
      <c r="F430"/>
      <c r="G430" s="14"/>
      <c r="H430" s="566"/>
      <c r="I430"/>
      <c r="J430"/>
      <c r="L430"/>
    </row>
    <row r="431" spans="2:12">
      <c r="B431"/>
      <c r="C431"/>
      <c r="D431"/>
      <c r="E431"/>
      <c r="F431"/>
      <c r="G431" s="14"/>
      <c r="H431" s="566"/>
      <c r="I431"/>
      <c r="J431"/>
      <c r="L431"/>
    </row>
    <row r="432" spans="2:12">
      <c r="B432"/>
      <c r="C432"/>
      <c r="D432"/>
      <c r="E432"/>
      <c r="F432"/>
      <c r="G432" s="14"/>
      <c r="H432" s="566"/>
      <c r="I432"/>
      <c r="J432"/>
      <c r="L432"/>
    </row>
    <row r="433" spans="2:12">
      <c r="B433"/>
      <c r="C433"/>
      <c r="D433"/>
      <c r="E433"/>
      <c r="F433"/>
      <c r="G433" s="14"/>
      <c r="H433" s="566"/>
      <c r="I433"/>
      <c r="J433"/>
      <c r="L433"/>
    </row>
    <row r="434" spans="2:12">
      <c r="B434"/>
      <c r="C434"/>
      <c r="D434"/>
      <c r="E434"/>
      <c r="F434"/>
      <c r="G434" s="14"/>
      <c r="H434" s="566"/>
      <c r="I434"/>
      <c r="J434"/>
      <c r="L434"/>
    </row>
    <row r="435" spans="2:12">
      <c r="B435"/>
      <c r="C435"/>
      <c r="D435"/>
      <c r="E435"/>
      <c r="F435"/>
      <c r="G435" s="14"/>
      <c r="H435" s="566"/>
      <c r="I435"/>
      <c r="J435"/>
      <c r="L435"/>
    </row>
    <row r="436" spans="2:12">
      <c r="B436"/>
      <c r="C436"/>
      <c r="D436"/>
      <c r="E436"/>
      <c r="F436"/>
      <c r="G436" s="14"/>
      <c r="H436" s="566"/>
      <c r="I436"/>
      <c r="J436"/>
      <c r="L436"/>
    </row>
    <row r="437" spans="2:12">
      <c r="B437"/>
      <c r="C437"/>
      <c r="D437"/>
      <c r="E437"/>
      <c r="F437"/>
      <c r="G437" s="14"/>
      <c r="H437" s="566"/>
      <c r="I437"/>
      <c r="J437"/>
      <c r="L437"/>
    </row>
    <row r="438" spans="2:12">
      <c r="B438"/>
      <c r="C438"/>
      <c r="D438"/>
      <c r="E438"/>
      <c r="F438"/>
      <c r="G438" s="14"/>
      <c r="H438" s="566"/>
      <c r="I438"/>
      <c r="J438"/>
      <c r="L438"/>
    </row>
    <row r="439" spans="2:12">
      <c r="B439"/>
      <c r="C439"/>
      <c r="D439"/>
      <c r="E439"/>
      <c r="F439"/>
      <c r="G439" s="14"/>
      <c r="H439" s="566"/>
      <c r="I439"/>
      <c r="J439"/>
      <c r="L439"/>
    </row>
    <row r="440" spans="2:12">
      <c r="B440"/>
      <c r="C440"/>
      <c r="D440"/>
      <c r="E440"/>
      <c r="F440"/>
      <c r="G440" s="14"/>
      <c r="H440" s="566"/>
      <c r="I440"/>
      <c r="J440"/>
      <c r="L440"/>
    </row>
    <row r="441" spans="2:12">
      <c r="B441"/>
      <c r="C441"/>
      <c r="D441"/>
      <c r="E441"/>
      <c r="F441"/>
      <c r="G441" s="14"/>
      <c r="H441" s="566"/>
      <c r="I441"/>
      <c r="J441"/>
      <c r="L441"/>
    </row>
    <row r="442" spans="2:12">
      <c r="B442"/>
      <c r="C442"/>
      <c r="D442"/>
      <c r="E442"/>
      <c r="F442"/>
      <c r="G442" s="14"/>
      <c r="H442" s="566"/>
      <c r="I442"/>
      <c r="J442"/>
      <c r="L442"/>
    </row>
    <row r="443" spans="2:12">
      <c r="B443"/>
      <c r="C443"/>
      <c r="D443"/>
      <c r="E443"/>
      <c r="F443"/>
      <c r="G443" s="14"/>
      <c r="H443" s="566"/>
      <c r="I443"/>
      <c r="J443"/>
      <c r="L443"/>
    </row>
    <row r="444" spans="2:12">
      <c r="B444"/>
      <c r="C444"/>
      <c r="D444"/>
      <c r="E444"/>
      <c r="F444"/>
      <c r="G444" s="14"/>
      <c r="H444" s="566"/>
      <c r="I444"/>
      <c r="J444"/>
      <c r="L444"/>
    </row>
    <row r="445" spans="2:12">
      <c r="B445"/>
      <c r="C445"/>
      <c r="D445"/>
      <c r="E445"/>
      <c r="F445"/>
      <c r="G445" s="14"/>
      <c r="H445" s="566"/>
      <c r="I445"/>
      <c r="J445"/>
      <c r="L445"/>
    </row>
    <row r="446" spans="2:12">
      <c r="B446"/>
      <c r="C446"/>
      <c r="D446"/>
      <c r="E446"/>
      <c r="F446"/>
      <c r="G446" s="14"/>
      <c r="H446" s="566"/>
      <c r="I446"/>
      <c r="J446"/>
      <c r="L446"/>
    </row>
    <row r="447" spans="2:12">
      <c r="B447"/>
      <c r="C447"/>
      <c r="D447"/>
      <c r="E447"/>
      <c r="F447"/>
      <c r="G447" s="14"/>
      <c r="H447" s="566"/>
      <c r="I447"/>
      <c r="J447"/>
      <c r="L447"/>
    </row>
    <row r="448" spans="2:12">
      <c r="B448"/>
      <c r="C448"/>
      <c r="D448"/>
      <c r="E448"/>
      <c r="F448"/>
      <c r="G448" s="14"/>
      <c r="H448" s="566"/>
      <c r="I448"/>
      <c r="J448"/>
      <c r="L448"/>
    </row>
    <row r="449" spans="2:12">
      <c r="B449"/>
      <c r="C449"/>
      <c r="D449"/>
      <c r="E449"/>
      <c r="F449"/>
      <c r="G449" s="14"/>
      <c r="H449" s="566"/>
      <c r="I449"/>
      <c r="J449"/>
      <c r="L449"/>
    </row>
    <row r="450" spans="2:12">
      <c r="B450"/>
      <c r="C450"/>
      <c r="D450"/>
      <c r="E450"/>
      <c r="F450"/>
      <c r="G450" s="14"/>
      <c r="H450" s="566"/>
      <c r="I450"/>
      <c r="J450"/>
      <c r="L450"/>
    </row>
    <row r="451" spans="2:12">
      <c r="B451"/>
      <c r="C451"/>
      <c r="D451"/>
      <c r="E451"/>
      <c r="F451"/>
      <c r="G451" s="14"/>
      <c r="H451" s="566"/>
      <c r="I451"/>
      <c r="J451"/>
      <c r="L451"/>
    </row>
    <row r="452" spans="2:12">
      <c r="B452"/>
      <c r="C452"/>
      <c r="D452"/>
      <c r="E452"/>
      <c r="F452"/>
      <c r="G452" s="14"/>
      <c r="H452" s="566"/>
      <c r="I452"/>
      <c r="J452"/>
      <c r="L452"/>
    </row>
    <row r="453" spans="2:12">
      <c r="B453"/>
      <c r="C453"/>
      <c r="D453"/>
      <c r="E453"/>
      <c r="F453"/>
      <c r="G453" s="14"/>
      <c r="H453" s="566"/>
      <c r="I453"/>
      <c r="J453"/>
      <c r="L453"/>
    </row>
    <row r="454" spans="2:12">
      <c r="B454"/>
      <c r="C454"/>
      <c r="D454"/>
      <c r="E454"/>
      <c r="F454"/>
      <c r="G454" s="14"/>
      <c r="H454" s="566"/>
      <c r="I454"/>
      <c r="J454"/>
      <c r="L454"/>
    </row>
    <row r="455" spans="2:12">
      <c r="B455"/>
      <c r="C455"/>
      <c r="D455"/>
      <c r="E455"/>
      <c r="F455"/>
      <c r="G455" s="14"/>
      <c r="H455" s="566"/>
      <c r="I455"/>
      <c r="J455"/>
      <c r="L455"/>
    </row>
    <row r="456" spans="2:12">
      <c r="B456"/>
      <c r="C456"/>
      <c r="D456"/>
      <c r="E456"/>
      <c r="F456"/>
      <c r="G456" s="14"/>
      <c r="H456" s="566"/>
      <c r="I456"/>
      <c r="J456"/>
      <c r="L456"/>
    </row>
    <row r="457" spans="2:12">
      <c r="B457"/>
      <c r="C457"/>
      <c r="D457"/>
      <c r="E457"/>
      <c r="F457"/>
      <c r="G457" s="14"/>
      <c r="H457" s="566"/>
      <c r="I457"/>
      <c r="J457"/>
      <c r="L457"/>
    </row>
    <row r="458" spans="2:12">
      <c r="B458"/>
      <c r="C458"/>
      <c r="D458"/>
      <c r="E458"/>
      <c r="F458"/>
      <c r="G458" s="14"/>
      <c r="H458" s="566"/>
      <c r="I458"/>
      <c r="J458"/>
      <c r="L458"/>
    </row>
    <row r="459" spans="2:12">
      <c r="B459"/>
      <c r="C459"/>
      <c r="D459"/>
      <c r="E459"/>
      <c r="F459"/>
      <c r="G459" s="14"/>
      <c r="H459" s="566"/>
      <c r="I459"/>
      <c r="J459"/>
      <c r="L459"/>
    </row>
    <row r="460" spans="2:12">
      <c r="B460"/>
      <c r="C460"/>
      <c r="D460"/>
      <c r="E460"/>
      <c r="F460"/>
      <c r="G460" s="14"/>
      <c r="H460" s="566"/>
      <c r="I460"/>
      <c r="J460"/>
      <c r="L460"/>
    </row>
    <row r="461" spans="2:12">
      <c r="B461"/>
      <c r="C461"/>
      <c r="D461"/>
      <c r="E461"/>
      <c r="F461"/>
      <c r="G461" s="14"/>
      <c r="H461" s="566"/>
      <c r="I461"/>
      <c r="J461"/>
      <c r="L461"/>
    </row>
    <row r="462" spans="2:12">
      <c r="B462"/>
      <c r="C462"/>
      <c r="D462"/>
      <c r="E462"/>
      <c r="F462"/>
      <c r="G462" s="14"/>
      <c r="H462" s="566"/>
      <c r="I462"/>
      <c r="J462"/>
      <c r="L462"/>
    </row>
    <row r="463" spans="2:12">
      <c r="B463"/>
      <c r="C463"/>
      <c r="D463"/>
      <c r="E463"/>
      <c r="F463"/>
      <c r="G463" s="14"/>
      <c r="H463" s="566"/>
      <c r="I463"/>
      <c r="J463"/>
      <c r="L463"/>
    </row>
    <row r="464" spans="2:12">
      <c r="B464"/>
      <c r="C464"/>
      <c r="D464"/>
      <c r="E464"/>
      <c r="F464"/>
      <c r="G464" s="14"/>
      <c r="H464" s="566"/>
      <c r="I464"/>
      <c r="J464"/>
      <c r="L464"/>
    </row>
    <row r="465" spans="2:12">
      <c r="B465"/>
      <c r="C465"/>
      <c r="D465"/>
      <c r="E465"/>
      <c r="F465"/>
      <c r="G465" s="14"/>
      <c r="H465" s="566"/>
      <c r="I465"/>
      <c r="J465"/>
      <c r="L465"/>
    </row>
    <row r="466" spans="2:12">
      <c r="B466"/>
      <c r="C466"/>
      <c r="D466"/>
      <c r="E466"/>
      <c r="F466"/>
      <c r="G466" s="14"/>
      <c r="H466" s="566"/>
      <c r="I466"/>
      <c r="J466"/>
      <c r="L466"/>
    </row>
    <row r="467" spans="2:12">
      <c r="B467"/>
      <c r="C467"/>
      <c r="D467"/>
      <c r="E467"/>
      <c r="F467"/>
      <c r="G467" s="14"/>
      <c r="H467" s="566"/>
      <c r="I467"/>
      <c r="J467"/>
      <c r="L467"/>
    </row>
    <row r="468" spans="2:12">
      <c r="B468"/>
      <c r="C468"/>
      <c r="D468"/>
      <c r="E468"/>
      <c r="F468"/>
      <c r="G468" s="14"/>
      <c r="H468" s="566"/>
      <c r="I468"/>
      <c r="J468"/>
      <c r="L468"/>
    </row>
    <row r="469" spans="2:12">
      <c r="B469"/>
      <c r="C469"/>
      <c r="D469"/>
      <c r="E469"/>
      <c r="F469"/>
      <c r="G469" s="14"/>
      <c r="H469" s="566"/>
      <c r="I469"/>
      <c r="J469"/>
      <c r="L469"/>
    </row>
    <row r="470" spans="2:12">
      <c r="B470"/>
      <c r="C470"/>
      <c r="D470"/>
      <c r="E470"/>
      <c r="F470"/>
      <c r="G470" s="14"/>
      <c r="H470" s="566"/>
      <c r="I470"/>
      <c r="J470"/>
      <c r="L470"/>
    </row>
    <row r="471" spans="2:12">
      <c r="B471"/>
      <c r="C471"/>
      <c r="D471"/>
      <c r="E471"/>
      <c r="F471"/>
      <c r="G471" s="14"/>
      <c r="H471" s="566"/>
      <c r="I471"/>
      <c r="J471"/>
      <c r="L471"/>
    </row>
    <row r="472" spans="2:12">
      <c r="B472"/>
      <c r="C472"/>
      <c r="D472"/>
      <c r="E472"/>
      <c r="F472"/>
      <c r="G472" s="14"/>
      <c r="H472" s="566"/>
      <c r="I472"/>
      <c r="J472"/>
      <c r="L472"/>
    </row>
    <row r="473" spans="2:12">
      <c r="B473"/>
      <c r="C473"/>
      <c r="D473"/>
      <c r="E473"/>
      <c r="F473"/>
      <c r="G473" s="14"/>
      <c r="I473"/>
      <c r="J473"/>
      <c r="L473"/>
    </row>
    <row r="474" spans="2:12">
      <c r="B474"/>
      <c r="C474"/>
      <c r="D474"/>
      <c r="E474"/>
      <c r="F474"/>
      <c r="G474" s="14"/>
      <c r="I474"/>
      <c r="J474"/>
      <c r="L474"/>
    </row>
    <row r="475" spans="2:12">
      <c r="B475"/>
      <c r="C475"/>
      <c r="D475"/>
      <c r="E475"/>
      <c r="F475"/>
      <c r="G475" s="14"/>
      <c r="I475"/>
      <c r="J475"/>
      <c r="L475"/>
    </row>
    <row r="476" spans="2:12">
      <c r="B476"/>
      <c r="C476"/>
      <c r="D476"/>
      <c r="E476"/>
      <c r="F476"/>
      <c r="G476" s="14"/>
      <c r="I476"/>
      <c r="J476"/>
      <c r="L476"/>
    </row>
    <row r="477" spans="2:12">
      <c r="B477"/>
      <c r="C477"/>
      <c r="D477"/>
      <c r="E477"/>
      <c r="F477"/>
      <c r="G477" s="14"/>
      <c r="I477"/>
      <c r="J477"/>
      <c r="L477"/>
    </row>
    <row r="478" spans="2:12">
      <c r="B478"/>
      <c r="C478"/>
      <c r="D478"/>
      <c r="E478"/>
      <c r="F478"/>
      <c r="G478" s="14"/>
      <c r="I478"/>
      <c r="J478"/>
      <c r="L478"/>
    </row>
    <row r="479" spans="2:12">
      <c r="B479"/>
      <c r="C479"/>
      <c r="D479"/>
      <c r="E479"/>
      <c r="F479"/>
      <c r="G479" s="14"/>
      <c r="I479"/>
      <c r="J479"/>
      <c r="L479"/>
    </row>
    <row r="480" spans="2:12">
      <c r="B480"/>
      <c r="C480"/>
      <c r="D480"/>
      <c r="E480"/>
      <c r="F480"/>
      <c r="G480" s="14"/>
      <c r="I480"/>
      <c r="J480"/>
      <c r="L480"/>
    </row>
    <row r="481" spans="2:12">
      <c r="B481"/>
      <c r="C481"/>
      <c r="D481"/>
      <c r="E481"/>
      <c r="F481"/>
      <c r="G481" s="14"/>
      <c r="I481"/>
      <c r="J481"/>
      <c r="L481"/>
    </row>
    <row r="482" spans="2:12">
      <c r="B482"/>
      <c r="C482"/>
      <c r="D482"/>
      <c r="E482"/>
      <c r="F482"/>
      <c r="G482" s="14"/>
      <c r="I482"/>
      <c r="J482"/>
      <c r="L482"/>
    </row>
    <row r="483" spans="2:12">
      <c r="B483"/>
      <c r="C483"/>
      <c r="D483"/>
      <c r="E483"/>
      <c r="F483"/>
      <c r="G483" s="14"/>
      <c r="I483"/>
      <c r="J483"/>
      <c r="L483"/>
    </row>
    <row r="484" spans="2:12">
      <c r="B484"/>
      <c r="C484"/>
      <c r="D484"/>
      <c r="E484"/>
      <c r="F484"/>
      <c r="G484" s="14"/>
      <c r="I484"/>
      <c r="J484"/>
      <c r="L484"/>
    </row>
    <row r="485" spans="2:12">
      <c r="B485"/>
      <c r="C485"/>
      <c r="D485"/>
      <c r="E485"/>
      <c r="F485"/>
      <c r="G485" s="14"/>
      <c r="H485"/>
      <c r="I485"/>
      <c r="J485"/>
      <c r="L485"/>
    </row>
    <row r="486" spans="2:12">
      <c r="B486"/>
      <c r="C486"/>
      <c r="D486"/>
      <c r="E486"/>
      <c r="F486"/>
      <c r="G486" s="14"/>
      <c r="H486"/>
      <c r="I486"/>
      <c r="J486"/>
      <c r="L486"/>
    </row>
    <row r="487" spans="2:12">
      <c r="B487"/>
      <c r="C487"/>
      <c r="D487"/>
      <c r="E487"/>
      <c r="F487"/>
      <c r="G487" s="14"/>
      <c r="H487"/>
      <c r="I487"/>
      <c r="J487"/>
      <c r="L487"/>
    </row>
    <row r="488" spans="2:12">
      <c r="B488"/>
      <c r="C488"/>
      <c r="D488"/>
      <c r="E488"/>
      <c r="F488"/>
      <c r="G488" s="14"/>
      <c r="H488"/>
      <c r="I488"/>
      <c r="J488"/>
      <c r="L488"/>
    </row>
    <row r="489" spans="2:12">
      <c r="B489"/>
      <c r="C489"/>
      <c r="D489"/>
      <c r="E489"/>
      <c r="F489"/>
      <c r="G489" s="14"/>
      <c r="H489"/>
      <c r="I489"/>
      <c r="J489"/>
      <c r="L489"/>
    </row>
    <row r="490" spans="2:12">
      <c r="B490"/>
      <c r="C490"/>
      <c r="D490"/>
      <c r="E490"/>
      <c r="F490"/>
      <c r="G490" s="14"/>
      <c r="H490"/>
      <c r="I490"/>
      <c r="J490"/>
      <c r="L490"/>
    </row>
    <row r="491" spans="2:12">
      <c r="B491"/>
      <c r="C491"/>
      <c r="D491"/>
      <c r="E491"/>
      <c r="F491"/>
      <c r="G491" s="14"/>
      <c r="H491"/>
      <c r="I491"/>
      <c r="J491"/>
      <c r="L491"/>
    </row>
    <row r="492" spans="2:12">
      <c r="B492"/>
      <c r="C492"/>
      <c r="D492"/>
      <c r="E492"/>
      <c r="F492"/>
      <c r="G492" s="14"/>
      <c r="H492"/>
      <c r="I492"/>
      <c r="J492"/>
      <c r="L492"/>
    </row>
    <row r="493" spans="2:12">
      <c r="B493"/>
      <c r="C493"/>
      <c r="D493"/>
      <c r="E493"/>
      <c r="F493"/>
      <c r="G493" s="14"/>
      <c r="H493"/>
      <c r="I493"/>
      <c r="J493"/>
      <c r="L493"/>
    </row>
    <row r="494" spans="2:12">
      <c r="B494"/>
      <c r="C494"/>
      <c r="D494"/>
      <c r="E494"/>
      <c r="F494"/>
      <c r="G494" s="14"/>
      <c r="H494"/>
      <c r="I494"/>
      <c r="J494"/>
      <c r="L494"/>
    </row>
    <row r="495" spans="2:12">
      <c r="B495"/>
      <c r="C495"/>
      <c r="D495"/>
      <c r="E495"/>
      <c r="F495"/>
      <c r="G495" s="14"/>
      <c r="H495"/>
      <c r="I495"/>
      <c r="J495"/>
      <c r="L495"/>
    </row>
    <row r="496" spans="2:12">
      <c r="B496"/>
      <c r="C496"/>
      <c r="D496"/>
      <c r="E496"/>
      <c r="F496"/>
      <c r="G496" s="14"/>
      <c r="H496"/>
      <c r="I496"/>
      <c r="J496"/>
      <c r="L496"/>
    </row>
    <row r="497" spans="2:12">
      <c r="B497"/>
      <c r="C497"/>
      <c r="D497"/>
      <c r="E497"/>
      <c r="F497"/>
      <c r="G497" s="14"/>
      <c r="H497"/>
      <c r="I497"/>
      <c r="J497"/>
      <c r="L497"/>
    </row>
    <row r="498" spans="2:12">
      <c r="B498"/>
      <c r="C498"/>
      <c r="D498"/>
      <c r="E498"/>
      <c r="F498"/>
      <c r="G498" s="14"/>
      <c r="H498"/>
      <c r="I498"/>
      <c r="J498"/>
      <c r="L498"/>
    </row>
    <row r="499" spans="2:12">
      <c r="B499"/>
      <c r="C499"/>
      <c r="D499"/>
      <c r="E499"/>
      <c r="F499"/>
      <c r="G499" s="14"/>
      <c r="H499"/>
      <c r="I499"/>
      <c r="J499"/>
      <c r="L499"/>
    </row>
    <row r="500" spans="2:12">
      <c r="B500"/>
      <c r="C500"/>
      <c r="D500"/>
      <c r="E500"/>
      <c r="F500"/>
      <c r="G500" s="14"/>
      <c r="H500"/>
      <c r="I500"/>
      <c r="J500"/>
      <c r="L500"/>
    </row>
    <row r="501" spans="2:12">
      <c r="B501"/>
      <c r="C501"/>
      <c r="D501"/>
      <c r="E501"/>
      <c r="F501"/>
      <c r="G501" s="14"/>
      <c r="H501"/>
      <c r="I501"/>
      <c r="J501"/>
      <c r="L501"/>
    </row>
    <row r="502" spans="2:12">
      <c r="B502"/>
      <c r="C502"/>
      <c r="D502"/>
      <c r="E502"/>
      <c r="F502"/>
      <c r="G502" s="14"/>
      <c r="H502"/>
      <c r="I502"/>
      <c r="J502"/>
      <c r="L502"/>
    </row>
    <row r="503" spans="2:12">
      <c r="B503"/>
      <c r="C503"/>
      <c r="D503"/>
      <c r="E503"/>
      <c r="F503"/>
      <c r="G503" s="14"/>
      <c r="H503"/>
      <c r="I503"/>
      <c r="J503"/>
      <c r="L503"/>
    </row>
    <row r="504" spans="2:12">
      <c r="B504"/>
      <c r="C504"/>
      <c r="D504"/>
      <c r="E504"/>
      <c r="F504"/>
      <c r="G504" s="14"/>
      <c r="H504"/>
      <c r="I504"/>
      <c r="J504"/>
      <c r="L504"/>
    </row>
    <row r="505" spans="2:12">
      <c r="B505"/>
      <c r="C505"/>
      <c r="D505"/>
      <c r="E505"/>
      <c r="F505"/>
      <c r="G505" s="14"/>
      <c r="H505"/>
      <c r="I505"/>
      <c r="J505"/>
      <c r="L505"/>
    </row>
    <row r="506" spans="2:12">
      <c r="B506"/>
      <c r="C506"/>
      <c r="D506"/>
      <c r="E506"/>
      <c r="F506"/>
      <c r="G506" s="14"/>
      <c r="H506"/>
      <c r="I506"/>
      <c r="J506"/>
      <c r="L506"/>
    </row>
    <row r="507" spans="2:12">
      <c r="B507"/>
      <c r="C507"/>
      <c r="D507"/>
      <c r="E507"/>
      <c r="F507"/>
      <c r="G507" s="14"/>
      <c r="H507"/>
      <c r="I507"/>
      <c r="J507"/>
      <c r="L507"/>
    </row>
    <row r="508" spans="2:12">
      <c r="B508"/>
      <c r="C508"/>
      <c r="D508"/>
      <c r="E508"/>
      <c r="F508"/>
      <c r="G508" s="14"/>
      <c r="H508"/>
      <c r="I508"/>
      <c r="J508"/>
      <c r="L508"/>
    </row>
    <row r="509" spans="2:12">
      <c r="B509"/>
      <c r="C509"/>
      <c r="D509"/>
      <c r="E509"/>
      <c r="F509"/>
      <c r="G509" s="14"/>
      <c r="H509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  <c r="L692"/>
    </row>
    <row r="693" spans="2:12">
      <c r="B693"/>
      <c r="C693"/>
      <c r="D693"/>
      <c r="E693"/>
      <c r="F693"/>
      <c r="G693" s="14"/>
      <c r="H693"/>
      <c r="I693"/>
      <c r="J693"/>
      <c r="L693"/>
    </row>
    <row r="694" spans="2:12">
      <c r="B694"/>
      <c r="C694"/>
      <c r="D694"/>
      <c r="E694"/>
      <c r="F694"/>
      <c r="G694" s="14"/>
      <c r="H694"/>
      <c r="I694"/>
      <c r="J694"/>
      <c r="L694"/>
    </row>
    <row r="695" spans="2:12">
      <c r="B695"/>
      <c r="C695"/>
      <c r="D695"/>
      <c r="E695"/>
      <c r="F695"/>
      <c r="G695" s="14"/>
      <c r="H695"/>
      <c r="I695"/>
      <c r="J695"/>
      <c r="L695"/>
    </row>
    <row r="696" spans="2:12">
      <c r="B696"/>
      <c r="C696"/>
      <c r="D696"/>
      <c r="E696"/>
      <c r="F696"/>
      <c r="G696" s="14"/>
      <c r="H696"/>
      <c r="I696"/>
      <c r="J696"/>
      <c r="L696"/>
    </row>
    <row r="697" spans="2:12">
      <c r="B697"/>
      <c r="C697"/>
      <c r="D697"/>
      <c r="E697"/>
      <c r="F697"/>
      <c r="G697" s="14"/>
      <c r="H697"/>
      <c r="I697"/>
      <c r="J697"/>
      <c r="L697"/>
    </row>
    <row r="698" spans="2:12">
      <c r="B698"/>
      <c r="C698"/>
      <c r="D698"/>
      <c r="E698"/>
      <c r="F698"/>
      <c r="G698" s="14"/>
      <c r="H698"/>
      <c r="I698"/>
      <c r="J698"/>
      <c r="L698"/>
    </row>
    <row r="699" spans="2:12">
      <c r="B699"/>
      <c r="C699"/>
      <c r="D699"/>
      <c r="E699"/>
      <c r="F699"/>
      <c r="G699" s="14"/>
      <c r="H699"/>
      <c r="I699"/>
      <c r="J699"/>
      <c r="L699"/>
    </row>
    <row r="700" spans="2:12">
      <c r="B700"/>
      <c r="C700"/>
      <c r="D700"/>
      <c r="E700"/>
      <c r="F700"/>
      <c r="G700" s="14"/>
      <c r="H700"/>
      <c r="I700"/>
      <c r="J700"/>
      <c r="L700"/>
    </row>
    <row r="701" spans="2:12">
      <c r="B701"/>
      <c r="C701"/>
      <c r="D701"/>
      <c r="E701"/>
      <c r="F701"/>
      <c r="G701" s="14"/>
      <c r="H701"/>
      <c r="I701"/>
      <c r="J701"/>
      <c r="L701"/>
    </row>
    <row r="702" spans="2:12">
      <c r="B702"/>
      <c r="C702"/>
      <c r="D702"/>
      <c r="E702"/>
      <c r="F702"/>
      <c r="G702" s="14"/>
      <c r="H702"/>
      <c r="I702"/>
      <c r="J702"/>
      <c r="L702"/>
    </row>
    <row r="703" spans="2:12">
      <c r="B703"/>
      <c r="C703"/>
      <c r="D703"/>
      <c r="E703"/>
      <c r="F703"/>
      <c r="G703" s="14"/>
      <c r="H703"/>
      <c r="I703"/>
      <c r="J703"/>
      <c r="L703"/>
    </row>
    <row r="704" spans="2:12">
      <c r="B704"/>
      <c r="C704"/>
      <c r="D704"/>
      <c r="E704"/>
      <c r="F704"/>
      <c r="G704" s="14"/>
      <c r="H704"/>
      <c r="I704"/>
      <c r="J704"/>
      <c r="L704"/>
    </row>
    <row r="705" spans="2:12">
      <c r="B705"/>
      <c r="C705"/>
      <c r="D705"/>
      <c r="E705"/>
      <c r="F705"/>
      <c r="G705" s="14"/>
      <c r="H705"/>
      <c r="I705"/>
      <c r="J705"/>
      <c r="L705"/>
    </row>
    <row r="706" spans="2:12">
      <c r="B706"/>
      <c r="C706"/>
      <c r="D706"/>
      <c r="E706"/>
      <c r="F706"/>
      <c r="G706" s="14"/>
      <c r="H706"/>
      <c r="I706"/>
      <c r="J706"/>
      <c r="L706"/>
    </row>
    <row r="707" spans="2:12">
      <c r="B707"/>
      <c r="C707"/>
      <c r="D707"/>
      <c r="E707"/>
      <c r="F707"/>
      <c r="G707" s="14"/>
      <c r="H707"/>
      <c r="I707"/>
      <c r="J707"/>
      <c r="L707"/>
    </row>
    <row r="708" spans="2:12">
      <c r="B708"/>
      <c r="C708"/>
      <c r="D708"/>
      <c r="E708"/>
      <c r="F708"/>
      <c r="G708" s="14"/>
      <c r="H708"/>
      <c r="I708"/>
      <c r="J708"/>
      <c r="L708"/>
    </row>
    <row r="709" spans="2:12">
      <c r="B709"/>
      <c r="C709"/>
      <c r="D709"/>
      <c r="E709"/>
      <c r="F709"/>
      <c r="G709" s="14"/>
      <c r="H709"/>
      <c r="I709"/>
      <c r="J709"/>
      <c r="L709"/>
    </row>
    <row r="710" spans="2:12">
      <c r="B710"/>
      <c r="C710"/>
      <c r="D710"/>
      <c r="E710"/>
      <c r="F710"/>
      <c r="G710" s="14"/>
      <c r="H710"/>
      <c r="I710"/>
      <c r="J710"/>
      <c r="L710"/>
    </row>
    <row r="711" spans="2:12">
      <c r="B711"/>
      <c r="C711"/>
      <c r="D711"/>
      <c r="E711"/>
      <c r="F711"/>
      <c r="G711" s="14"/>
      <c r="H711"/>
      <c r="I711"/>
      <c r="J711"/>
      <c r="L711"/>
    </row>
    <row r="712" spans="2:12">
      <c r="B712"/>
      <c r="C712"/>
      <c r="D712"/>
      <c r="E712"/>
      <c r="F712"/>
      <c r="G712" s="14"/>
      <c r="H712"/>
      <c r="I712"/>
      <c r="J712"/>
      <c r="L712"/>
    </row>
    <row r="713" spans="2:12">
      <c r="B713"/>
      <c r="C713"/>
      <c r="D713"/>
      <c r="E713"/>
      <c r="F713"/>
      <c r="G713" s="14"/>
      <c r="H713"/>
      <c r="I713"/>
      <c r="J713"/>
      <c r="L713"/>
    </row>
    <row r="714" spans="2:12">
      <c r="B714"/>
      <c r="C714"/>
      <c r="D714"/>
      <c r="E714"/>
      <c r="F714"/>
      <c r="G714" s="14"/>
      <c r="H714"/>
      <c r="I714"/>
      <c r="J714"/>
      <c r="L714"/>
    </row>
    <row r="715" spans="2:12">
      <c r="B715"/>
      <c r="C715"/>
      <c r="D715"/>
      <c r="E715"/>
      <c r="F715"/>
      <c r="G715" s="14"/>
      <c r="H715"/>
      <c r="I715"/>
      <c r="J715"/>
      <c r="L715"/>
    </row>
    <row r="716" spans="2:12">
      <c r="B716"/>
      <c r="C716"/>
      <c r="D716"/>
      <c r="E716"/>
      <c r="F716"/>
      <c r="G716" s="14"/>
      <c r="H716"/>
      <c r="I716"/>
      <c r="J716"/>
      <c r="L716"/>
    </row>
    <row r="717" spans="2:12">
      <c r="B717"/>
      <c r="C717"/>
      <c r="D717"/>
      <c r="E717"/>
      <c r="F717"/>
      <c r="G717" s="14"/>
      <c r="H717"/>
      <c r="I717"/>
      <c r="J717"/>
      <c r="L717"/>
    </row>
    <row r="718" spans="2:12">
      <c r="B718"/>
      <c r="C718"/>
      <c r="D718"/>
      <c r="E718"/>
      <c r="F718"/>
      <c r="G718" s="14"/>
      <c r="H718"/>
      <c r="I718"/>
      <c r="J718"/>
    </row>
    <row r="719" spans="2:12">
      <c r="B719"/>
      <c r="C719"/>
      <c r="D719"/>
      <c r="E719"/>
      <c r="F719"/>
      <c r="G719" s="14"/>
      <c r="H719"/>
      <c r="I719"/>
      <c r="J719"/>
    </row>
    <row r="720" spans="2:12">
      <c r="B720"/>
      <c r="C720"/>
      <c r="D720"/>
      <c r="E720"/>
      <c r="F720"/>
      <c r="G720" s="14"/>
      <c r="H720"/>
      <c r="I720"/>
      <c r="J720"/>
    </row>
  </sheetData>
  <phoneticPr fontId="3" type="noConversion"/>
  <conditionalFormatting sqref="G68:G72">
    <cfRule type="expression" dxfId="40" priority="5">
      <formula>AND(IF(E68&lt;&gt;0,1),IF(G68=0,1))</formula>
    </cfRule>
  </conditionalFormatting>
  <conditionalFormatting sqref="K68:K72">
    <cfRule type="expression" dxfId="39" priority="4">
      <formula>LEFT(A68,2)="TU"</formula>
    </cfRule>
  </conditionalFormatting>
  <conditionalFormatting sqref="G73:G80">
    <cfRule type="expression" dxfId="38" priority="3">
      <formula>AND(IF(E73&lt;&gt;0,1),IF(G73=0,1))</formula>
    </cfRule>
  </conditionalFormatting>
  <conditionalFormatting sqref="K73:K80">
    <cfRule type="expression" dxfId="37" priority="2">
      <formula>LEFT(A73,2)="TU"</formula>
    </cfRule>
  </conditionalFormatting>
  <conditionalFormatting sqref="G84:G111">
    <cfRule type="expression" dxfId="36" priority="1">
      <formula>AND(IF(E84&lt;&gt;0,1),IF(G84=0,1))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50"/>
  </sheetPr>
  <dimension ref="A1:S826"/>
  <sheetViews>
    <sheetView topLeftCell="A167" zoomScale="90" zoomScaleNormal="90" workbookViewId="0">
      <selection activeCell="D199" sqref="D199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5.1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403</v>
      </c>
      <c r="B3" s="122">
        <v>44208</v>
      </c>
      <c r="C3" s="122"/>
      <c r="D3" s="536"/>
      <c r="E3" s="88">
        <v>0</v>
      </c>
      <c r="F3" s="122"/>
      <c r="G3" s="550">
        <v>-1475</v>
      </c>
      <c r="H3" s="475"/>
      <c r="I3" s="396">
        <v>99.855000000000004</v>
      </c>
      <c r="J3" s="129">
        <v>99.766000000000005</v>
      </c>
      <c r="K3" s="104">
        <f t="shared" ref="K3:K39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421</v>
      </c>
      <c r="B4" s="122">
        <v>44216</v>
      </c>
      <c r="C4" s="122"/>
      <c r="D4" s="536"/>
      <c r="E4" s="88">
        <v>0</v>
      </c>
      <c r="F4" s="122"/>
      <c r="G4" s="550">
        <v>-1205</v>
      </c>
      <c r="H4" s="475"/>
      <c r="I4" s="129">
        <v>99.501000000000005</v>
      </c>
      <c r="J4" s="129">
        <v>98.05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 t="s">
        <v>402</v>
      </c>
      <c r="B5" s="265">
        <v>44218</v>
      </c>
      <c r="C5" s="265"/>
      <c r="D5" s="537"/>
      <c r="E5" s="266">
        <v>0</v>
      </c>
      <c r="F5" s="265"/>
      <c r="G5" s="551">
        <v>-2613.9</v>
      </c>
      <c r="H5" s="476"/>
      <c r="I5" s="268">
        <v>100.4211</v>
      </c>
      <c r="J5" s="268">
        <v>100.3167</v>
      </c>
      <c r="K5" s="269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/>
      <c r="B6" s="265"/>
      <c r="C6" s="265"/>
      <c r="D6" s="537"/>
      <c r="E6" s="266">
        <v>0</v>
      </c>
      <c r="F6" s="265"/>
      <c r="G6" s="551"/>
      <c r="H6" s="476"/>
      <c r="I6" s="268"/>
      <c r="J6" s="268"/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02" customFormat="1">
      <c r="A7" s="262" t="s">
        <v>364</v>
      </c>
      <c r="B7" s="265">
        <v>44001</v>
      </c>
      <c r="C7" s="265"/>
      <c r="D7" s="537"/>
      <c r="E7" s="266">
        <v>0</v>
      </c>
      <c r="F7" s="265">
        <v>43235</v>
      </c>
      <c r="G7" s="551">
        <v>-58.2</v>
      </c>
      <c r="H7" s="476" t="s">
        <v>289</v>
      </c>
      <c r="I7" s="268">
        <v>101.42</v>
      </c>
      <c r="J7" s="268">
        <v>100.425</v>
      </c>
      <c r="K7" s="269">
        <f t="shared" si="0"/>
        <v>0</v>
      </c>
      <c r="L7" s="382"/>
      <c r="M7" s="93"/>
      <c r="N7" s="93"/>
      <c r="O7" s="93"/>
      <c r="P7" s="93"/>
      <c r="Q7" s="93"/>
      <c r="S7" s="103"/>
    </row>
    <row r="8" spans="1:19" s="102" customFormat="1">
      <c r="A8" s="262" t="s">
        <v>367</v>
      </c>
      <c r="B8" s="265">
        <v>44041</v>
      </c>
      <c r="C8" s="265"/>
      <c r="D8" s="537"/>
      <c r="E8" s="266">
        <v>0</v>
      </c>
      <c r="F8" s="265">
        <v>42505</v>
      </c>
      <c r="G8" s="551">
        <v>-147.5</v>
      </c>
      <c r="H8" s="476" t="s">
        <v>289</v>
      </c>
      <c r="I8" s="268">
        <v>99.728999999999999</v>
      </c>
      <c r="J8" s="268">
        <v>100.42700000000001</v>
      </c>
      <c r="K8" s="269">
        <f t="shared" si="0"/>
        <v>0</v>
      </c>
      <c r="L8" s="382"/>
      <c r="M8" s="93"/>
      <c r="N8" s="93"/>
      <c r="O8" s="93"/>
      <c r="P8" s="93"/>
      <c r="Q8" s="93"/>
      <c r="S8" s="103"/>
    </row>
    <row r="9" spans="1:19" s="102" customFormat="1">
      <c r="A9" s="262" t="s">
        <v>367</v>
      </c>
      <c r="B9" s="265">
        <v>44041</v>
      </c>
      <c r="C9" s="265"/>
      <c r="D9" s="537"/>
      <c r="E9" s="266">
        <v>0</v>
      </c>
      <c r="F9" s="265">
        <v>39568</v>
      </c>
      <c r="G9" s="551">
        <v>-885</v>
      </c>
      <c r="H9" s="476"/>
      <c r="I9" s="268">
        <v>100.03</v>
      </c>
      <c r="J9" s="268">
        <v>100.42700000000001</v>
      </c>
      <c r="K9" s="269">
        <f t="shared" si="0"/>
        <v>0</v>
      </c>
      <c r="L9" s="382"/>
      <c r="M9" s="93"/>
      <c r="N9" s="93"/>
      <c r="O9" s="93"/>
      <c r="P9" s="93"/>
      <c r="Q9" s="93"/>
      <c r="S9" s="103"/>
    </row>
    <row r="10" spans="1:19" s="102" customFormat="1">
      <c r="A10" s="262" t="s">
        <v>376</v>
      </c>
      <c r="B10" s="265">
        <v>44120</v>
      </c>
      <c r="C10" s="265"/>
      <c r="D10" s="537"/>
      <c r="E10" s="266">
        <v>0</v>
      </c>
      <c r="F10" s="265">
        <v>39568</v>
      </c>
      <c r="G10" s="551">
        <v>-588</v>
      </c>
      <c r="H10" s="476" t="s">
        <v>289</v>
      </c>
      <c r="I10" s="268">
        <v>99.784999999999997</v>
      </c>
      <c r="J10" s="268">
        <v>100.529</v>
      </c>
      <c r="K10" s="269">
        <f t="shared" si="0"/>
        <v>0</v>
      </c>
      <c r="L10" s="382"/>
      <c r="M10" s="93"/>
      <c r="N10" s="93"/>
      <c r="O10" s="93"/>
      <c r="P10" s="93"/>
      <c r="Q10" s="93"/>
      <c r="S10" s="103"/>
    </row>
    <row r="11" spans="1:19" s="102" customFormat="1">
      <c r="A11" s="262" t="s">
        <v>373</v>
      </c>
      <c r="B11" s="265">
        <v>44076</v>
      </c>
      <c r="C11" s="265"/>
      <c r="D11" s="537"/>
      <c r="E11" s="266">
        <v>0</v>
      </c>
      <c r="F11" s="265"/>
      <c r="G11" s="551">
        <v>-588</v>
      </c>
      <c r="H11" s="476"/>
      <c r="I11" s="268">
        <v>99.855999999999995</v>
      </c>
      <c r="J11" s="268">
        <v>100.2</v>
      </c>
      <c r="K11" s="269">
        <f t="shared" si="0"/>
        <v>0</v>
      </c>
      <c r="L11" s="382"/>
      <c r="M11" s="93"/>
      <c r="N11" s="93"/>
      <c r="O11" s="93"/>
      <c r="P11" s="93"/>
      <c r="Q11" s="93"/>
      <c r="S11" s="103"/>
    </row>
    <row r="12" spans="1:19" s="102" customFormat="1">
      <c r="A12" s="262" t="s">
        <v>377</v>
      </c>
      <c r="B12" s="265">
        <v>44134</v>
      </c>
      <c r="C12" s="265"/>
      <c r="D12" s="537"/>
      <c r="E12" s="266">
        <v>0</v>
      </c>
      <c r="F12" s="265">
        <v>45179</v>
      </c>
      <c r="G12" s="551">
        <v>-30</v>
      </c>
      <c r="H12" s="476"/>
      <c r="I12" s="268">
        <v>99.952651099999997</v>
      </c>
      <c r="J12" s="268">
        <v>100.127</v>
      </c>
      <c r="K12" s="269">
        <f t="shared" si="0"/>
        <v>0</v>
      </c>
      <c r="L12" s="382"/>
      <c r="M12" s="93"/>
      <c r="N12" s="93"/>
      <c r="O12" s="93"/>
      <c r="P12" s="93"/>
      <c r="Q12" s="93"/>
      <c r="S12" s="103"/>
    </row>
    <row r="13" spans="1:19" s="102" customFormat="1">
      <c r="A13" s="262" t="s">
        <v>378</v>
      </c>
      <c r="B13" s="265">
        <v>44134</v>
      </c>
      <c r="C13" s="265"/>
      <c r="D13" s="537"/>
      <c r="E13" s="266">
        <v>0</v>
      </c>
      <c r="F13" s="265">
        <v>44753</v>
      </c>
      <c r="G13" s="551">
        <v>-30</v>
      </c>
      <c r="H13" s="476"/>
      <c r="I13" s="268">
        <v>100.313</v>
      </c>
      <c r="J13" s="268">
        <v>100.26</v>
      </c>
      <c r="K13" s="269">
        <f t="shared" si="0"/>
        <v>0</v>
      </c>
      <c r="L13" s="382"/>
      <c r="M13" s="93"/>
      <c r="N13" s="93"/>
      <c r="O13" s="93"/>
      <c r="P13" s="93"/>
      <c r="Q13" s="93"/>
      <c r="S13" s="103"/>
    </row>
    <row r="14" spans="1:19" s="102" customFormat="1">
      <c r="A14" s="262" t="s">
        <v>453</v>
      </c>
      <c r="B14" s="265">
        <v>44141</v>
      </c>
      <c r="C14" s="265"/>
      <c r="D14" s="537"/>
      <c r="E14" s="266">
        <v>0</v>
      </c>
      <c r="F14" s="265">
        <v>44676</v>
      </c>
      <c r="G14" s="551">
        <v>-30</v>
      </c>
      <c r="H14" s="476"/>
      <c r="I14" s="268">
        <v>99.83</v>
      </c>
      <c r="J14" s="268">
        <v>100.075</v>
      </c>
      <c r="K14" s="269">
        <f t="shared" si="0"/>
        <v>0</v>
      </c>
      <c r="L14" s="382"/>
      <c r="M14" s="93"/>
      <c r="N14" s="93"/>
      <c r="O14" s="93"/>
      <c r="P14" s="93"/>
      <c r="Q14" s="93"/>
      <c r="S14" s="103"/>
    </row>
    <row r="15" spans="1:19" s="102" customFormat="1">
      <c r="A15" s="262" t="s">
        <v>454</v>
      </c>
      <c r="B15" s="265">
        <v>44145</v>
      </c>
      <c r="C15" s="265"/>
      <c r="D15" s="537"/>
      <c r="E15" s="266">
        <v>0</v>
      </c>
      <c r="F15" s="265"/>
      <c r="G15" s="551">
        <v>-20</v>
      </c>
      <c r="H15" s="476"/>
      <c r="I15" s="268">
        <v>100.26900000000001</v>
      </c>
      <c r="J15" s="268">
        <v>100.376</v>
      </c>
      <c r="K15" s="269">
        <f t="shared" si="0"/>
        <v>0</v>
      </c>
      <c r="L15" s="382"/>
      <c r="M15" s="93"/>
      <c r="N15" s="93"/>
      <c r="O15" s="93"/>
      <c r="P15" s="93"/>
      <c r="Q15" s="93"/>
      <c r="S15" s="103"/>
    </row>
    <row r="16" spans="1:19" s="102" customFormat="1">
      <c r="A16" s="262" t="s">
        <v>456</v>
      </c>
      <c r="B16" s="265">
        <v>44146</v>
      </c>
      <c r="C16" s="265"/>
      <c r="D16" s="537"/>
      <c r="E16" s="266">
        <v>0</v>
      </c>
      <c r="F16" s="265"/>
      <c r="G16" s="551">
        <v>-30</v>
      </c>
      <c r="H16" s="476"/>
      <c r="I16" s="268">
        <v>99.89</v>
      </c>
      <c r="J16" s="268">
        <v>99.960999999999999</v>
      </c>
      <c r="K16" s="269">
        <f t="shared" si="0"/>
        <v>0</v>
      </c>
      <c r="L16" s="382"/>
      <c r="M16" s="93"/>
      <c r="N16" s="93"/>
      <c r="O16" s="93"/>
      <c r="P16" s="93"/>
      <c r="Q16" s="93"/>
      <c r="S16" s="103"/>
    </row>
    <row r="17" spans="1:19" s="102" customFormat="1">
      <c r="A17" s="262" t="s">
        <v>456</v>
      </c>
      <c r="B17" s="265">
        <v>44152</v>
      </c>
      <c r="C17" s="265"/>
      <c r="D17" s="537"/>
      <c r="E17" s="266">
        <v>0</v>
      </c>
      <c r="F17" s="265"/>
      <c r="G17" s="551">
        <v>-30</v>
      </c>
      <c r="H17" s="476"/>
      <c r="I17" s="268">
        <v>99.86</v>
      </c>
      <c r="J17" s="268">
        <v>99.960999999999999</v>
      </c>
      <c r="K17" s="269">
        <f t="shared" si="0"/>
        <v>0</v>
      </c>
      <c r="L17" s="382"/>
      <c r="M17" s="93"/>
      <c r="N17" s="93"/>
      <c r="O17" s="93"/>
      <c r="P17" s="93"/>
      <c r="Q17" s="93"/>
      <c r="S17" s="103"/>
    </row>
    <row r="18" spans="1:19" s="102" customFormat="1">
      <c r="A18" s="262" t="s">
        <v>456</v>
      </c>
      <c r="B18" s="265">
        <v>44153</v>
      </c>
      <c r="C18" s="265"/>
      <c r="D18" s="537"/>
      <c r="E18" s="266">
        <v>0</v>
      </c>
      <c r="F18" s="265"/>
      <c r="G18" s="551">
        <v>-15</v>
      </c>
      <c r="H18" s="476"/>
      <c r="I18" s="268">
        <v>99.86</v>
      </c>
      <c r="J18" s="268">
        <v>99.960999999999999</v>
      </c>
      <c r="K18" s="269">
        <f t="shared" si="0"/>
        <v>0</v>
      </c>
      <c r="L18" s="382"/>
      <c r="M18" s="93"/>
      <c r="N18" s="93"/>
      <c r="O18" s="93"/>
      <c r="P18" s="93"/>
      <c r="Q18" s="93"/>
      <c r="S18" s="103"/>
    </row>
    <row r="19" spans="1:19" s="102" customFormat="1">
      <c r="A19" s="262" t="s">
        <v>458</v>
      </c>
      <c r="B19" s="265">
        <v>44165</v>
      </c>
      <c r="C19" s="265"/>
      <c r="D19" s="537"/>
      <c r="E19" s="266">
        <v>0</v>
      </c>
      <c r="F19" s="265"/>
      <c r="G19" s="551">
        <v>-10</v>
      </c>
      <c r="H19" s="476"/>
      <c r="I19" s="268">
        <v>100.047</v>
      </c>
      <c r="J19" s="268">
        <v>100.294</v>
      </c>
      <c r="K19" s="269">
        <f t="shared" si="0"/>
        <v>0</v>
      </c>
      <c r="L19" s="382"/>
      <c r="M19" s="93"/>
      <c r="N19" s="93"/>
      <c r="O19" s="93"/>
      <c r="P19" s="93"/>
      <c r="Q19" s="93"/>
      <c r="S19" s="103"/>
    </row>
    <row r="20" spans="1:19" s="102" customFormat="1">
      <c r="A20" s="262" t="s">
        <v>394</v>
      </c>
      <c r="B20" s="265">
        <v>44174</v>
      </c>
      <c r="C20" s="265"/>
      <c r="D20" s="537"/>
      <c r="E20" s="266">
        <v>0</v>
      </c>
      <c r="F20" s="265"/>
      <c r="G20" s="551">
        <v>-20</v>
      </c>
      <c r="H20" s="476"/>
      <c r="I20" s="268">
        <v>99.846999999999994</v>
      </c>
      <c r="J20" s="268">
        <v>100.071</v>
      </c>
      <c r="K20" s="269">
        <f t="shared" si="0"/>
        <v>0</v>
      </c>
      <c r="L20" s="382"/>
      <c r="M20" s="93"/>
      <c r="N20" s="93"/>
      <c r="O20" s="93"/>
      <c r="P20" s="93"/>
      <c r="Q20" s="93"/>
      <c r="S20" s="103"/>
    </row>
    <row r="21" spans="1:19" s="102" customFormat="1">
      <c r="A21" s="262" t="s">
        <v>377</v>
      </c>
      <c r="B21" s="265">
        <v>44203</v>
      </c>
      <c r="C21" s="265"/>
      <c r="D21" s="537"/>
      <c r="E21" s="266">
        <v>0</v>
      </c>
      <c r="F21" s="265"/>
      <c r="G21" s="551">
        <v>-10</v>
      </c>
      <c r="H21" s="476"/>
      <c r="I21" s="268">
        <v>100.06</v>
      </c>
      <c r="J21" s="268">
        <v>100.127</v>
      </c>
      <c r="K21" s="269">
        <f t="shared" si="0"/>
        <v>0</v>
      </c>
      <c r="L21" s="382"/>
      <c r="M21" s="93"/>
      <c r="N21" s="93"/>
      <c r="O21" s="93"/>
      <c r="P21" s="93"/>
      <c r="Q21" s="93"/>
      <c r="S21" s="103"/>
    </row>
    <row r="22" spans="1:19" s="102" customFormat="1">
      <c r="A22" s="262" t="s">
        <v>373</v>
      </c>
      <c r="B22" s="265">
        <v>44203</v>
      </c>
      <c r="C22" s="265"/>
      <c r="D22" s="537"/>
      <c r="E22" s="266">
        <v>0</v>
      </c>
      <c r="F22" s="265"/>
      <c r="G22" s="551">
        <v>-294</v>
      </c>
      <c r="H22" s="476"/>
      <c r="I22" s="268">
        <v>100.081</v>
      </c>
      <c r="J22" s="268">
        <v>100.2</v>
      </c>
      <c r="K22" s="269">
        <f t="shared" si="0"/>
        <v>0</v>
      </c>
      <c r="L22" s="382"/>
      <c r="M22" s="93"/>
      <c r="N22" s="93"/>
      <c r="O22" s="93"/>
      <c r="P22" s="93"/>
      <c r="Q22" s="93"/>
      <c r="S22" s="103"/>
    </row>
    <row r="23" spans="1:19" s="102" customFormat="1">
      <c r="A23" s="262" t="s">
        <v>373</v>
      </c>
      <c r="B23" s="265">
        <v>44203</v>
      </c>
      <c r="C23" s="265"/>
      <c r="D23" s="537"/>
      <c r="E23" s="266">
        <v>0</v>
      </c>
      <c r="F23" s="265"/>
      <c r="G23" s="551">
        <v>-367.5</v>
      </c>
      <c r="H23" s="476"/>
      <c r="I23" s="268">
        <v>100.05500000000001</v>
      </c>
      <c r="J23" s="268">
        <v>100.2</v>
      </c>
      <c r="K23" s="269">
        <f t="shared" si="0"/>
        <v>0</v>
      </c>
      <c r="L23" s="382"/>
      <c r="M23" s="93"/>
      <c r="N23" s="93"/>
      <c r="O23" s="93"/>
      <c r="P23" s="93"/>
      <c r="Q23" s="93"/>
      <c r="S23" s="103"/>
    </row>
    <row r="24" spans="1:19" s="102" customFormat="1">
      <c r="A24" s="262" t="s">
        <v>403</v>
      </c>
      <c r="B24" s="265">
        <v>44208</v>
      </c>
      <c r="C24" s="265"/>
      <c r="D24" s="537"/>
      <c r="E24" s="266">
        <v>0</v>
      </c>
      <c r="F24" s="265"/>
      <c r="G24" s="551">
        <v>-885</v>
      </c>
      <c r="H24" s="476"/>
      <c r="I24" s="268">
        <v>99.855000000000004</v>
      </c>
      <c r="J24" s="268">
        <v>100.12</v>
      </c>
      <c r="K24" s="269">
        <f t="shared" si="0"/>
        <v>0</v>
      </c>
      <c r="L24" s="382"/>
      <c r="M24" s="93"/>
      <c r="N24" s="93"/>
      <c r="O24" s="93"/>
      <c r="P24" s="93"/>
      <c r="Q24" s="93"/>
      <c r="S24" s="103"/>
    </row>
    <row r="25" spans="1:19" s="102" customFormat="1">
      <c r="A25" s="262" t="s">
        <v>468</v>
      </c>
      <c r="B25" s="265">
        <v>44214</v>
      </c>
      <c r="C25" s="265"/>
      <c r="D25" s="537"/>
      <c r="E25" s="266">
        <v>0</v>
      </c>
      <c r="F25" s="265"/>
      <c r="G25" s="551">
        <v>-588</v>
      </c>
      <c r="H25" s="476"/>
      <c r="I25" s="268">
        <v>99.953000000000003</v>
      </c>
      <c r="J25" s="268">
        <v>99.17</v>
      </c>
      <c r="K25" s="269">
        <f t="shared" si="0"/>
        <v>0</v>
      </c>
      <c r="L25" s="382"/>
      <c r="M25" s="93"/>
      <c r="N25" s="93"/>
      <c r="O25" s="93"/>
      <c r="P25" s="93"/>
      <c r="Q25" s="93"/>
      <c r="S25" s="103"/>
    </row>
    <row r="26" spans="1:19" s="102" customFormat="1">
      <c r="A26" s="262" t="s">
        <v>470</v>
      </c>
      <c r="B26" s="265">
        <v>44214</v>
      </c>
      <c r="C26" s="265"/>
      <c r="D26" s="537"/>
      <c r="E26" s="266">
        <v>0</v>
      </c>
      <c r="F26" s="265"/>
      <c r="G26" s="551">
        <v>-669</v>
      </c>
      <c r="H26" s="476"/>
      <c r="I26" s="268">
        <v>99.344999999999999</v>
      </c>
      <c r="J26" s="268">
        <v>98.3</v>
      </c>
      <c r="K26" s="269">
        <f t="shared" si="0"/>
        <v>0</v>
      </c>
      <c r="L26" s="382"/>
      <c r="M26" s="93"/>
      <c r="N26" s="93"/>
      <c r="O26" s="93"/>
      <c r="P26" s="93"/>
      <c r="Q26" s="93"/>
      <c r="S26" s="103"/>
    </row>
    <row r="27" spans="1:19" s="102" customFormat="1">
      <c r="A27" s="262" t="s">
        <v>373</v>
      </c>
      <c r="B27" s="265">
        <v>44076</v>
      </c>
      <c r="C27" s="265"/>
      <c r="D27" s="537"/>
      <c r="E27" s="266">
        <v>0</v>
      </c>
      <c r="F27" s="265"/>
      <c r="G27" s="551">
        <v>-1176</v>
      </c>
      <c r="H27" s="476"/>
      <c r="I27" s="268">
        <v>99.91</v>
      </c>
      <c r="J27" s="268">
        <v>100.2</v>
      </c>
      <c r="K27" s="269">
        <f t="shared" si="0"/>
        <v>0</v>
      </c>
      <c r="L27" s="382"/>
      <c r="M27" s="93"/>
      <c r="N27" s="93"/>
      <c r="O27" s="93"/>
      <c r="P27" s="93"/>
      <c r="Q27" s="93"/>
      <c r="S27" s="103"/>
    </row>
    <row r="28" spans="1:19" s="102" customFormat="1">
      <c r="A28" s="262" t="s">
        <v>393</v>
      </c>
      <c r="B28" s="265">
        <v>44169</v>
      </c>
      <c r="C28" s="265"/>
      <c r="D28" s="537"/>
      <c r="E28" s="266">
        <v>0</v>
      </c>
      <c r="F28" s="265"/>
      <c r="G28" s="551">
        <v>0</v>
      </c>
      <c r="H28" s="476"/>
      <c r="I28" s="268">
        <v>99.998999999999995</v>
      </c>
      <c r="J28" s="268">
        <v>100.336</v>
      </c>
      <c r="K28" s="269">
        <f t="shared" si="0"/>
        <v>0</v>
      </c>
      <c r="L28" s="382"/>
      <c r="M28" s="93"/>
      <c r="N28" s="93"/>
      <c r="O28" s="93"/>
      <c r="P28" s="93"/>
      <c r="Q28" s="93"/>
      <c r="S28" s="103"/>
    </row>
    <row r="29" spans="1:19" s="102" customFormat="1">
      <c r="A29" s="262" t="s">
        <v>421</v>
      </c>
      <c r="B29" s="265">
        <v>44216</v>
      </c>
      <c r="C29" s="265"/>
      <c r="D29" s="537"/>
      <c r="E29" s="266">
        <v>0</v>
      </c>
      <c r="F29" s="265"/>
      <c r="G29" s="551">
        <v>-482</v>
      </c>
      <c r="H29" s="476"/>
      <c r="I29" s="268">
        <v>99.501000000000005</v>
      </c>
      <c r="J29" s="268">
        <v>97</v>
      </c>
      <c r="K29" s="269">
        <f t="shared" si="0"/>
        <v>0</v>
      </c>
      <c r="L29" s="382"/>
      <c r="M29" s="93"/>
      <c r="N29" s="93"/>
      <c r="O29" s="93"/>
      <c r="P29" s="93"/>
      <c r="Q29" s="93"/>
      <c r="S29" s="103"/>
    </row>
    <row r="30" spans="1:19" s="102" customFormat="1">
      <c r="A30" s="262" t="s">
        <v>416</v>
      </c>
      <c r="B30" s="265">
        <v>44218</v>
      </c>
      <c r="C30" s="265"/>
      <c r="D30" s="537"/>
      <c r="E30" s="266">
        <v>0</v>
      </c>
      <c r="F30" s="265"/>
      <c r="G30" s="551">
        <v>-6</v>
      </c>
      <c r="H30" s="476"/>
      <c r="I30" s="268">
        <v>100.313</v>
      </c>
      <c r="J30" s="268">
        <v>100.256</v>
      </c>
      <c r="K30" s="269">
        <f t="shared" si="0"/>
        <v>0</v>
      </c>
      <c r="L30" s="382"/>
      <c r="M30" s="93"/>
      <c r="N30" s="93"/>
      <c r="O30" s="93"/>
      <c r="P30" s="93"/>
      <c r="Q30" s="93"/>
      <c r="S30" s="103"/>
    </row>
    <row r="31" spans="1:19" s="102" customFormat="1">
      <c r="A31" s="262" t="s">
        <v>472</v>
      </c>
      <c r="B31" s="265">
        <v>44218</v>
      </c>
      <c r="C31" s="265"/>
      <c r="D31" s="537"/>
      <c r="E31" s="266">
        <v>0</v>
      </c>
      <c r="F31" s="265"/>
      <c r="G31" s="551">
        <v>-7</v>
      </c>
      <c r="H31" s="476"/>
      <c r="I31" s="268">
        <v>100.35899999999999</v>
      </c>
      <c r="J31" s="268">
        <v>100.319</v>
      </c>
      <c r="K31" s="269">
        <f t="shared" si="0"/>
        <v>0</v>
      </c>
      <c r="L31" s="382"/>
      <c r="M31" s="93"/>
      <c r="N31" s="93"/>
      <c r="O31" s="93"/>
      <c r="P31" s="93"/>
      <c r="Q31" s="93"/>
      <c r="S31" s="103"/>
    </row>
    <row r="32" spans="1:19" s="102" customFormat="1">
      <c r="A32" s="262" t="s">
        <v>421</v>
      </c>
      <c r="B32" s="265">
        <v>44228</v>
      </c>
      <c r="C32" s="265"/>
      <c r="D32" s="537"/>
      <c r="E32" s="266">
        <v>0</v>
      </c>
      <c r="F32" s="265"/>
      <c r="G32" s="551">
        <v>-482</v>
      </c>
      <c r="H32" s="476"/>
      <c r="I32" s="268">
        <v>99.570999999999998</v>
      </c>
      <c r="J32" s="268">
        <v>97</v>
      </c>
      <c r="K32" s="269">
        <f t="shared" si="0"/>
        <v>0</v>
      </c>
      <c r="L32" s="382"/>
      <c r="M32" s="93"/>
      <c r="N32" s="93"/>
      <c r="O32" s="93"/>
      <c r="P32" s="93"/>
      <c r="Q32" s="93"/>
      <c r="S32" s="103"/>
    </row>
    <row r="33" spans="1:19" s="102" customFormat="1">
      <c r="A33" s="262" t="s">
        <v>474</v>
      </c>
      <c r="B33" s="265">
        <v>44228</v>
      </c>
      <c r="C33" s="265"/>
      <c r="D33" s="537"/>
      <c r="E33" s="266">
        <v>0</v>
      </c>
      <c r="F33" s="265"/>
      <c r="G33" s="551">
        <v>-4</v>
      </c>
      <c r="H33" s="476"/>
      <c r="I33" s="268">
        <v>100.04</v>
      </c>
      <c r="J33" s="268">
        <v>100.193</v>
      </c>
      <c r="K33" s="269">
        <f t="shared" si="0"/>
        <v>0</v>
      </c>
      <c r="L33" s="382"/>
      <c r="M33" s="93"/>
      <c r="N33" s="93"/>
      <c r="O33" s="93"/>
      <c r="P33" s="93"/>
      <c r="Q33" s="93"/>
      <c r="S33" s="103"/>
    </row>
    <row r="34" spans="1:19" s="102" customFormat="1">
      <c r="A34" s="262" t="s">
        <v>494</v>
      </c>
      <c r="B34" s="265">
        <v>44302</v>
      </c>
      <c r="C34" s="265"/>
      <c r="D34" s="537"/>
      <c r="E34" s="266">
        <v>0</v>
      </c>
      <c r="F34" s="265"/>
      <c r="G34" s="551">
        <v>-592</v>
      </c>
      <c r="H34" s="476"/>
      <c r="I34" s="268">
        <v>99.95</v>
      </c>
      <c r="J34" s="268">
        <v>99.95</v>
      </c>
      <c r="K34" s="269">
        <v>0</v>
      </c>
      <c r="L34" s="382"/>
      <c r="M34" s="93"/>
      <c r="N34" s="93"/>
      <c r="O34" s="93"/>
      <c r="P34" s="93"/>
      <c r="Q34" s="93"/>
      <c r="S34" s="103"/>
    </row>
    <row r="35" spans="1:19" s="102" customFormat="1">
      <c r="A35" s="262" t="s">
        <v>495</v>
      </c>
      <c r="B35" s="265">
        <v>44302</v>
      </c>
      <c r="C35" s="265"/>
      <c r="D35" s="537"/>
      <c r="E35" s="266">
        <v>0</v>
      </c>
      <c r="F35" s="265"/>
      <c r="G35" s="551">
        <v>-200</v>
      </c>
      <c r="H35" s="476"/>
      <c r="I35" s="268">
        <v>102.062</v>
      </c>
      <c r="J35" s="268">
        <v>102.062</v>
      </c>
      <c r="K35" s="269">
        <v>0</v>
      </c>
      <c r="L35" s="382"/>
      <c r="M35" s="93"/>
      <c r="N35" s="93"/>
      <c r="O35" s="93"/>
      <c r="P35" s="93"/>
      <c r="Q35" s="93"/>
      <c r="S35" s="103"/>
    </row>
    <row r="36" spans="1:19" s="102" customFormat="1">
      <c r="A36" s="262" t="s">
        <v>415</v>
      </c>
      <c r="B36" s="265">
        <v>44216</v>
      </c>
      <c r="C36" s="265"/>
      <c r="D36" s="537"/>
      <c r="E36" s="266">
        <v>0</v>
      </c>
      <c r="F36" s="265"/>
      <c r="G36" s="551">
        <v>-8490</v>
      </c>
      <c r="H36" s="476"/>
      <c r="I36" s="268">
        <v>100.9622</v>
      </c>
      <c r="J36" s="268">
        <v>102.26260000000001</v>
      </c>
      <c r="K36" s="269">
        <f t="shared" si="0"/>
        <v>0</v>
      </c>
      <c r="L36" s="382"/>
      <c r="M36" s="93"/>
      <c r="N36" s="93"/>
      <c r="O36" s="93"/>
      <c r="P36" s="93"/>
      <c r="Q36" s="93"/>
      <c r="S36" s="103"/>
    </row>
    <row r="37" spans="1:19" s="102" customFormat="1">
      <c r="A37" s="262" t="s">
        <v>415</v>
      </c>
      <c r="B37" s="265">
        <v>44313</v>
      </c>
      <c r="C37" s="265"/>
      <c r="D37" s="537"/>
      <c r="E37" s="266">
        <v>0</v>
      </c>
      <c r="F37" s="265"/>
      <c r="G37" s="551">
        <v>-4245</v>
      </c>
      <c r="H37" s="476"/>
      <c r="I37" s="268">
        <v>100.5916</v>
      </c>
      <c r="J37" s="268">
        <v>102.26260000000001</v>
      </c>
      <c r="K37" s="269">
        <f t="shared" si="0"/>
        <v>0</v>
      </c>
      <c r="L37" s="382"/>
      <c r="M37" s="93"/>
      <c r="N37" s="93"/>
      <c r="O37" s="93"/>
      <c r="P37" s="93"/>
      <c r="Q37" s="93"/>
      <c r="S37" s="103"/>
    </row>
    <row r="38" spans="1:19" s="116" customFormat="1">
      <c r="A38" s="110" t="s">
        <v>415</v>
      </c>
      <c r="B38" s="113">
        <v>44351</v>
      </c>
      <c r="C38" s="113"/>
      <c r="D38" s="538"/>
      <c r="E38" s="114">
        <v>0</v>
      </c>
      <c r="F38" s="113"/>
      <c r="G38" s="552">
        <v>-4245</v>
      </c>
      <c r="H38" s="477"/>
      <c r="I38" s="319">
        <v>101.2915</v>
      </c>
      <c r="J38" s="268">
        <v>102.26260000000001</v>
      </c>
      <c r="K38" s="261">
        <f t="shared" si="0"/>
        <v>0</v>
      </c>
      <c r="L38" s="382"/>
      <c r="S38" s="320"/>
    </row>
    <row r="39" spans="1:19" s="116" customFormat="1">
      <c r="A39" s="110" t="s">
        <v>415</v>
      </c>
      <c r="B39" s="113">
        <v>44363</v>
      </c>
      <c r="C39" s="113"/>
      <c r="D39" s="538"/>
      <c r="E39" s="114">
        <v>0</v>
      </c>
      <c r="F39" s="113"/>
      <c r="G39" s="552">
        <v>-8490</v>
      </c>
      <c r="H39" s="478"/>
      <c r="I39" s="319">
        <v>100.9697</v>
      </c>
      <c r="J39" s="268">
        <v>102.26260000000001</v>
      </c>
      <c r="K39" s="261">
        <f t="shared" si="0"/>
        <v>0</v>
      </c>
      <c r="L39" s="382"/>
      <c r="S39" s="117"/>
    </row>
    <row r="40" spans="1:19" s="116" customFormat="1">
      <c r="A40" s="111" t="s">
        <v>166</v>
      </c>
      <c r="B40" s="313"/>
      <c r="C40" s="313"/>
      <c r="D40" s="539"/>
      <c r="E40" s="314">
        <f>SUM(E3:E39)</f>
        <v>0</v>
      </c>
      <c r="F40" s="313"/>
      <c r="G40" s="316">
        <f>SUM(G3:G39)</f>
        <v>-39008.1</v>
      </c>
      <c r="H40" s="479"/>
      <c r="I40" s="323"/>
      <c r="J40" s="318"/>
      <c r="K40" s="316">
        <f>SUM(K3:K39)</f>
        <v>0</v>
      </c>
      <c r="L40" s="383"/>
      <c r="S40" s="117"/>
    </row>
    <row r="41" spans="1:19" s="93" customFormat="1">
      <c r="A41" s="93" t="s">
        <v>426</v>
      </c>
      <c r="B41" s="97"/>
      <c r="C41" s="97"/>
      <c r="D41" s="540"/>
      <c r="E41" s="100"/>
      <c r="F41" s="97"/>
      <c r="H41" s="480"/>
      <c r="I41" s="99"/>
      <c r="J41" s="99"/>
      <c r="L41" s="377"/>
    </row>
    <row r="42" spans="1:19" s="93" customFormat="1">
      <c r="A42" s="206" t="s">
        <v>234</v>
      </c>
      <c r="B42" s="207" t="s">
        <v>7</v>
      </c>
      <c r="C42" s="207" t="s">
        <v>171</v>
      </c>
      <c r="D42" s="535" t="s">
        <v>170</v>
      </c>
      <c r="E42" s="208" t="s">
        <v>11</v>
      </c>
      <c r="F42" s="207" t="s">
        <v>2</v>
      </c>
      <c r="G42" s="209" t="s">
        <v>12</v>
      </c>
      <c r="H42" s="482" t="s">
        <v>18</v>
      </c>
      <c r="I42" s="209" t="s">
        <v>210</v>
      </c>
      <c r="J42" s="207" t="s">
        <v>216</v>
      </c>
      <c r="K42" s="260" t="s">
        <v>212</v>
      </c>
      <c r="L42" s="377"/>
      <c r="S42" s="131" t="s">
        <v>21</v>
      </c>
    </row>
    <row r="43" spans="1:19" s="102" customFormat="1">
      <c r="A43" s="87" t="s">
        <v>428</v>
      </c>
      <c r="B43" s="122">
        <v>44232</v>
      </c>
      <c r="C43" s="122"/>
      <c r="D43" s="536"/>
      <c r="E43" s="88">
        <v>0</v>
      </c>
      <c r="F43" s="122">
        <v>42505</v>
      </c>
      <c r="G43" s="124">
        <v>-35</v>
      </c>
      <c r="H43" s="475" t="s">
        <v>289</v>
      </c>
      <c r="I43" s="129">
        <v>99.953000000000003</v>
      </c>
      <c r="J43" s="129">
        <v>99.626000000000005</v>
      </c>
      <c r="K43" s="269">
        <f t="shared" ref="K43:K48" si="1">(J43-I43)*E43/100</f>
        <v>0</v>
      </c>
      <c r="L43" s="378"/>
      <c r="M43" s="93"/>
      <c r="N43" s="93"/>
      <c r="O43" s="93"/>
      <c r="P43" s="93"/>
      <c r="Q43" s="93"/>
      <c r="S43" s="103"/>
    </row>
    <row r="44" spans="1:19" s="102" customFormat="1">
      <c r="A44" s="87" t="s">
        <v>428</v>
      </c>
      <c r="B44" s="122">
        <v>44300</v>
      </c>
      <c r="C44" s="122"/>
      <c r="D44" s="536"/>
      <c r="E44" s="88">
        <v>0</v>
      </c>
      <c r="F44" s="122"/>
      <c r="G44" s="124">
        <v>-25</v>
      </c>
      <c r="H44" s="475"/>
      <c r="I44" s="129">
        <v>99.641999999999996</v>
      </c>
      <c r="J44" s="129">
        <v>99.626000000000005</v>
      </c>
      <c r="K44" s="269">
        <f t="shared" si="1"/>
        <v>0</v>
      </c>
      <c r="L44" s="378"/>
      <c r="M44" s="93"/>
      <c r="N44" s="93"/>
      <c r="O44" s="93"/>
      <c r="P44" s="93"/>
      <c r="Q44" s="93"/>
      <c r="S44" s="103"/>
    </row>
    <row r="45" spans="1:19" s="102" customFormat="1">
      <c r="A45" s="262" t="s">
        <v>156</v>
      </c>
      <c r="B45" s="265">
        <v>38839</v>
      </c>
      <c r="C45" s="265"/>
      <c r="D45" s="537"/>
      <c r="E45" s="266">
        <v>0</v>
      </c>
      <c r="F45" s="265">
        <v>39568</v>
      </c>
      <c r="G45" s="151">
        <v>0</v>
      </c>
      <c r="H45" s="476"/>
      <c r="I45" s="268">
        <v>99.875</v>
      </c>
      <c r="J45" s="268">
        <v>0</v>
      </c>
      <c r="K45" s="269">
        <f t="shared" si="1"/>
        <v>0</v>
      </c>
      <c r="L45" s="378"/>
      <c r="M45" s="93"/>
      <c r="N45" s="93"/>
      <c r="O45" s="93"/>
      <c r="P45" s="93"/>
      <c r="Q45" s="93"/>
      <c r="S45" s="103"/>
    </row>
    <row r="46" spans="1:19" s="102" customFormat="1">
      <c r="A46" s="262" t="s">
        <v>156</v>
      </c>
      <c r="B46" s="265">
        <v>38839</v>
      </c>
      <c r="C46" s="265"/>
      <c r="D46" s="537"/>
      <c r="E46" s="266">
        <v>0</v>
      </c>
      <c r="F46" s="265">
        <v>39568</v>
      </c>
      <c r="G46" s="151">
        <v>0</v>
      </c>
      <c r="H46" s="476" t="s">
        <v>21</v>
      </c>
      <c r="I46" s="268">
        <v>99.875</v>
      </c>
      <c r="J46" s="268">
        <v>0</v>
      </c>
      <c r="K46" s="269">
        <f t="shared" si="1"/>
        <v>0</v>
      </c>
      <c r="L46" s="378"/>
      <c r="M46" s="93"/>
      <c r="N46" s="93"/>
      <c r="O46" s="93"/>
      <c r="P46" s="93"/>
      <c r="Q46" s="93"/>
      <c r="S46" s="103"/>
    </row>
    <row r="47" spans="1:19" s="116" customFormat="1">
      <c r="A47" s="110" t="s">
        <v>155</v>
      </c>
      <c r="B47" s="113">
        <v>38839</v>
      </c>
      <c r="C47" s="113"/>
      <c r="D47" s="538"/>
      <c r="E47" s="114">
        <v>0</v>
      </c>
      <c r="F47" s="113">
        <v>39568</v>
      </c>
      <c r="G47" s="118">
        <v>0</v>
      </c>
      <c r="H47" s="477" t="s">
        <v>23</v>
      </c>
      <c r="I47" s="319">
        <v>99.875</v>
      </c>
      <c r="J47" s="319">
        <v>0</v>
      </c>
      <c r="K47" s="261">
        <f t="shared" si="1"/>
        <v>0</v>
      </c>
      <c r="L47" s="379"/>
      <c r="S47" s="320"/>
    </row>
    <row r="48" spans="1:19" s="116" customFormat="1">
      <c r="A48" s="110" t="s">
        <v>155</v>
      </c>
      <c r="B48" s="113">
        <v>38839</v>
      </c>
      <c r="C48" s="113"/>
      <c r="D48" s="538"/>
      <c r="E48" s="114">
        <v>0</v>
      </c>
      <c r="F48" s="113">
        <v>42019</v>
      </c>
      <c r="G48" s="118">
        <v>0</v>
      </c>
      <c r="H48" s="478" t="s">
        <v>23</v>
      </c>
      <c r="I48" s="319">
        <v>99.875</v>
      </c>
      <c r="J48" s="319">
        <v>0</v>
      </c>
      <c r="K48" s="261">
        <f t="shared" si="1"/>
        <v>0</v>
      </c>
      <c r="L48" s="380"/>
      <c r="S48" s="117"/>
    </row>
    <row r="49" spans="1:19" s="532" customFormat="1" ht="17.25" thickBot="1">
      <c r="A49" s="361" t="s">
        <v>166</v>
      </c>
      <c r="B49" s="363"/>
      <c r="C49" s="363"/>
      <c r="D49" s="541"/>
      <c r="E49" s="364">
        <f>SUM(E43:E48)</f>
        <v>0</v>
      </c>
      <c r="F49" s="363"/>
      <c r="G49" s="365">
        <f>SUM(G43:G48)</f>
        <v>-60</v>
      </c>
      <c r="H49" s="481"/>
      <c r="I49" s="367"/>
      <c r="J49" s="366"/>
      <c r="K49" s="365">
        <f>SUM(K43:K48)</f>
        <v>0</v>
      </c>
      <c r="L49" s="531"/>
      <c r="S49" s="533"/>
    </row>
    <row r="50" spans="1:19" s="116" customFormat="1" ht="17.25" thickTop="1">
      <c r="A50" s="324" t="s">
        <v>164</v>
      </c>
      <c r="B50" s="313"/>
      <c r="C50" s="313"/>
      <c r="D50" s="539"/>
      <c r="E50" s="314"/>
      <c r="F50" s="313"/>
      <c r="G50" s="316"/>
      <c r="H50" s="479"/>
      <c r="I50" s="323"/>
      <c r="J50" s="318"/>
      <c r="K50" s="316"/>
      <c r="L50" s="380"/>
      <c r="S50" s="117"/>
    </row>
    <row r="51" spans="1:19" s="93" customFormat="1">
      <c r="A51" s="206" t="s">
        <v>99</v>
      </c>
      <c r="B51" s="207" t="s">
        <v>7</v>
      </c>
      <c r="C51" s="207" t="s">
        <v>1280</v>
      </c>
      <c r="D51" s="535" t="s">
        <v>170</v>
      </c>
      <c r="E51" s="208" t="s">
        <v>1284</v>
      </c>
      <c r="F51" s="207" t="s">
        <v>1285</v>
      </c>
      <c r="G51" s="209" t="s">
        <v>12</v>
      </c>
      <c r="H51" s="482" t="s">
        <v>1281</v>
      </c>
      <c r="I51" s="209" t="s">
        <v>1286</v>
      </c>
      <c r="J51" s="207" t="s">
        <v>1282</v>
      </c>
      <c r="K51" s="260" t="s">
        <v>1287</v>
      </c>
      <c r="L51" s="377"/>
      <c r="M51"/>
      <c r="N51"/>
      <c r="O51"/>
      <c r="P51"/>
      <c r="Q51"/>
      <c r="S51" s="131" t="s">
        <v>21</v>
      </c>
    </row>
    <row r="52" spans="1:19" s="270" customFormat="1">
      <c r="A52" s="867" t="s">
        <v>629</v>
      </c>
      <c r="B52" s="863" t="s">
        <v>680</v>
      </c>
      <c r="C52" s="863" t="s">
        <v>339</v>
      </c>
      <c r="D52" s="868" t="s">
        <v>339</v>
      </c>
      <c r="E52" s="869"/>
      <c r="F52" s="870"/>
      <c r="G52" s="871"/>
      <c r="H52" s="864"/>
      <c r="I52" s="865"/>
      <c r="J52" s="295"/>
      <c r="K52" s="296">
        <f t="shared" ref="K52:K56" si="2">IF(LEFT(A52,2)="TU",(J52-I52)*E52/100*100000*2,(J52-I52)*E52/100*100000)</f>
        <v>0</v>
      </c>
      <c r="L52" s="381"/>
    </row>
    <row r="53" spans="1:19" s="270" customFormat="1">
      <c r="A53" s="867" t="s">
        <v>629</v>
      </c>
      <c r="B53" s="863" t="s">
        <v>687</v>
      </c>
      <c r="C53" s="863" t="s">
        <v>339</v>
      </c>
      <c r="D53" s="868" t="s">
        <v>339</v>
      </c>
      <c r="E53" s="869"/>
      <c r="F53" s="870"/>
      <c r="G53" s="871"/>
      <c r="H53" s="864"/>
      <c r="I53" s="865"/>
      <c r="J53" s="295"/>
      <c r="K53" s="296">
        <f t="shared" si="2"/>
        <v>0</v>
      </c>
      <c r="L53" s="381"/>
    </row>
    <row r="54" spans="1:19" s="270" customFormat="1">
      <c r="A54" s="867" t="s">
        <v>629</v>
      </c>
      <c r="B54" s="863" t="s">
        <v>687</v>
      </c>
      <c r="C54" s="863" t="s">
        <v>339</v>
      </c>
      <c r="D54" s="868" t="s">
        <v>339</v>
      </c>
      <c r="E54" s="869"/>
      <c r="F54" s="870"/>
      <c r="G54" s="871"/>
      <c r="H54" s="864"/>
      <c r="I54" s="865"/>
      <c r="J54" s="295"/>
      <c r="K54" s="296">
        <f t="shared" si="2"/>
        <v>0</v>
      </c>
      <c r="L54" s="381"/>
    </row>
    <row r="55" spans="1:19" s="93" customFormat="1">
      <c r="A55" s="867" t="s">
        <v>629</v>
      </c>
      <c r="B55" s="863" t="s">
        <v>705</v>
      </c>
      <c r="C55" s="863" t="s">
        <v>339</v>
      </c>
      <c r="D55" s="868" t="s">
        <v>339</v>
      </c>
      <c r="E55" s="869"/>
      <c r="F55" s="870"/>
      <c r="G55" s="871"/>
      <c r="H55" s="864"/>
      <c r="I55" s="865"/>
      <c r="J55" s="295"/>
      <c r="K55" s="296">
        <f t="shared" si="2"/>
        <v>0</v>
      </c>
      <c r="L55" s="377"/>
    </row>
    <row r="56" spans="1:19" s="93" customFormat="1">
      <c r="A56" s="867" t="s">
        <v>629</v>
      </c>
      <c r="B56" s="863" t="s">
        <v>705</v>
      </c>
      <c r="C56" s="863" t="s">
        <v>339</v>
      </c>
      <c r="D56" s="868" t="s">
        <v>339</v>
      </c>
      <c r="E56" s="869"/>
      <c r="F56" s="870"/>
      <c r="G56" s="871"/>
      <c r="H56" s="864"/>
      <c r="I56" s="865"/>
      <c r="J56" s="295"/>
      <c r="K56" s="296">
        <f t="shared" si="2"/>
        <v>0</v>
      </c>
      <c r="L56" s="377"/>
    </row>
    <row r="57" spans="1:19" s="93" customFormat="1">
      <c r="A57" s="867" t="s">
        <v>391</v>
      </c>
      <c r="B57" s="863"/>
      <c r="C57" s="863"/>
      <c r="D57" s="868"/>
      <c r="E57" s="869"/>
      <c r="F57" s="870"/>
      <c r="G57" s="871"/>
      <c r="H57" s="864"/>
      <c r="I57" s="865"/>
      <c r="J57" s="295"/>
      <c r="K57" s="296">
        <f t="shared" ref="K57:K95" si="3">(J57-I57)*E57/100*100000</f>
        <v>0</v>
      </c>
      <c r="L57" s="377"/>
    </row>
    <row r="58" spans="1:19" s="93" customFormat="1">
      <c r="A58" s="867" t="s">
        <v>391</v>
      </c>
      <c r="B58" s="863"/>
      <c r="C58" s="863"/>
      <c r="D58" s="868"/>
      <c r="E58" s="869"/>
      <c r="F58" s="870"/>
      <c r="G58" s="871"/>
      <c r="H58" s="864"/>
      <c r="I58" s="865"/>
      <c r="J58" s="295"/>
      <c r="K58" s="296">
        <f t="shared" si="3"/>
        <v>0</v>
      </c>
      <c r="L58" s="377"/>
    </row>
    <row r="59" spans="1:19" s="93" customFormat="1">
      <c r="A59" s="867" t="s">
        <v>391</v>
      </c>
      <c r="B59" s="863"/>
      <c r="C59" s="863"/>
      <c r="D59" s="868"/>
      <c r="E59" s="869"/>
      <c r="F59" s="870"/>
      <c r="G59" s="871"/>
      <c r="H59" s="864"/>
      <c r="I59" s="865"/>
      <c r="J59" s="295"/>
      <c r="K59" s="296">
        <f t="shared" si="3"/>
        <v>0</v>
      </c>
      <c r="L59" s="377"/>
    </row>
    <row r="60" spans="1:19" s="93" customFormat="1">
      <c r="A60" s="867" t="s">
        <v>391</v>
      </c>
      <c r="B60" s="863"/>
      <c r="C60" s="863"/>
      <c r="D60" s="868"/>
      <c r="E60" s="869"/>
      <c r="F60" s="870"/>
      <c r="G60" s="871"/>
      <c r="H60" s="864"/>
      <c r="I60" s="865"/>
      <c r="J60" s="295"/>
      <c r="K60" s="296">
        <f t="shared" si="3"/>
        <v>0</v>
      </c>
      <c r="L60" s="377"/>
    </row>
    <row r="61" spans="1:19" s="93" customFormat="1">
      <c r="A61" s="867" t="s">
        <v>391</v>
      </c>
      <c r="B61" s="863"/>
      <c r="C61" s="863"/>
      <c r="D61" s="868"/>
      <c r="E61" s="869"/>
      <c r="F61" s="870"/>
      <c r="G61" s="871"/>
      <c r="H61" s="864"/>
      <c r="I61" s="865"/>
      <c r="J61" s="295"/>
      <c r="K61" s="296">
        <f t="shared" si="3"/>
        <v>0</v>
      </c>
      <c r="L61" s="377"/>
    </row>
    <row r="62" spans="1:19" s="93" customFormat="1">
      <c r="A62" s="867" t="s">
        <v>391</v>
      </c>
      <c r="B62" s="863"/>
      <c r="C62" s="863"/>
      <c r="D62" s="868"/>
      <c r="E62" s="869"/>
      <c r="F62" s="870"/>
      <c r="G62" s="871"/>
      <c r="H62" s="864"/>
      <c r="I62" s="865"/>
      <c r="J62" s="295"/>
      <c r="K62" s="296">
        <f t="shared" si="3"/>
        <v>0</v>
      </c>
      <c r="L62" s="377"/>
    </row>
    <row r="63" spans="1:19" s="93" customFormat="1">
      <c r="A63" s="867" t="s">
        <v>391</v>
      </c>
      <c r="B63" s="863"/>
      <c r="C63" s="863"/>
      <c r="D63" s="868"/>
      <c r="E63" s="869"/>
      <c r="F63" s="870"/>
      <c r="G63" s="871"/>
      <c r="H63" s="864"/>
      <c r="I63" s="865"/>
      <c r="J63" s="295"/>
      <c r="K63" s="296">
        <f t="shared" si="3"/>
        <v>0</v>
      </c>
      <c r="L63" s="377"/>
    </row>
    <row r="64" spans="1:19" s="93" customFormat="1">
      <c r="A64" s="867" t="s">
        <v>391</v>
      </c>
      <c r="B64" s="863"/>
      <c r="C64" s="863"/>
      <c r="D64" s="868"/>
      <c r="E64" s="869"/>
      <c r="F64" s="870"/>
      <c r="G64" s="871"/>
      <c r="H64" s="864"/>
      <c r="I64" s="865"/>
      <c r="J64" s="295"/>
      <c r="K64" s="296">
        <f t="shared" si="3"/>
        <v>0</v>
      </c>
      <c r="L64" s="377"/>
    </row>
    <row r="65" spans="1:12" s="93" customFormat="1">
      <c r="A65" s="867" t="s">
        <v>431</v>
      </c>
      <c r="B65" s="863"/>
      <c r="C65" s="863"/>
      <c r="D65" s="868"/>
      <c r="E65" s="869"/>
      <c r="F65" s="870"/>
      <c r="G65" s="871"/>
      <c r="H65" s="864"/>
      <c r="I65" s="865"/>
      <c r="J65" s="295"/>
      <c r="K65" s="296">
        <f t="shared" si="3"/>
        <v>0</v>
      </c>
      <c r="L65" s="377"/>
    </row>
    <row r="66" spans="1:12" s="93" customFormat="1">
      <c r="A66" s="867" t="s">
        <v>431</v>
      </c>
      <c r="B66" s="863"/>
      <c r="C66" s="863"/>
      <c r="D66" s="868"/>
      <c r="E66" s="869"/>
      <c r="F66" s="870"/>
      <c r="G66" s="871"/>
      <c r="H66" s="864"/>
      <c r="I66" s="865"/>
      <c r="J66" s="295"/>
      <c r="K66" s="296">
        <f t="shared" si="3"/>
        <v>0</v>
      </c>
      <c r="L66" s="377"/>
    </row>
    <row r="67" spans="1:12" s="93" customFormat="1">
      <c r="A67" s="867" t="s">
        <v>431</v>
      </c>
      <c r="B67" s="863"/>
      <c r="C67" s="863"/>
      <c r="D67" s="868"/>
      <c r="E67" s="869"/>
      <c r="F67" s="870"/>
      <c r="G67" s="871"/>
      <c r="H67" s="864"/>
      <c r="I67" s="865"/>
      <c r="J67" s="295"/>
      <c r="K67" s="296">
        <f t="shared" si="3"/>
        <v>0</v>
      </c>
      <c r="L67" s="377"/>
    </row>
    <row r="68" spans="1:12" s="93" customFormat="1">
      <c r="A68" s="867" t="s">
        <v>431</v>
      </c>
      <c r="B68" s="863"/>
      <c r="C68" s="863"/>
      <c r="D68" s="868"/>
      <c r="E68" s="869"/>
      <c r="F68" s="870"/>
      <c r="G68" s="871"/>
      <c r="H68" s="864"/>
      <c r="I68" s="865"/>
      <c r="J68" s="295"/>
      <c r="K68" s="296">
        <f t="shared" si="3"/>
        <v>0</v>
      </c>
      <c r="L68" s="377"/>
    </row>
    <row r="69" spans="1:12" s="93" customFormat="1">
      <c r="A69" s="867" t="s">
        <v>431</v>
      </c>
      <c r="B69" s="863"/>
      <c r="C69" s="863"/>
      <c r="D69" s="868"/>
      <c r="E69" s="869"/>
      <c r="F69" s="870"/>
      <c r="G69" s="871"/>
      <c r="H69" s="864"/>
      <c r="I69" s="865"/>
      <c r="J69" s="295"/>
      <c r="K69" s="296">
        <f t="shared" si="3"/>
        <v>0</v>
      </c>
      <c r="L69" s="377"/>
    </row>
    <row r="70" spans="1:12" s="93" customFormat="1">
      <c r="A70" s="867" t="s">
        <v>431</v>
      </c>
      <c r="B70" s="863"/>
      <c r="C70" s="863"/>
      <c r="D70" s="868"/>
      <c r="E70" s="869"/>
      <c r="F70" s="870"/>
      <c r="G70" s="871"/>
      <c r="H70" s="864"/>
      <c r="I70" s="865"/>
      <c r="J70" s="295"/>
      <c r="K70" s="296">
        <f t="shared" si="3"/>
        <v>0</v>
      </c>
      <c r="L70" s="377"/>
    </row>
    <row r="71" spans="1:12" s="93" customFormat="1">
      <c r="A71" s="867" t="s">
        <v>431</v>
      </c>
      <c r="B71" s="863"/>
      <c r="C71" s="863"/>
      <c r="D71" s="868"/>
      <c r="E71" s="869"/>
      <c r="F71" s="870"/>
      <c r="G71" s="871"/>
      <c r="H71" s="864"/>
      <c r="I71" s="865"/>
      <c r="J71" s="295"/>
      <c r="K71" s="296">
        <f t="shared" si="3"/>
        <v>0</v>
      </c>
      <c r="L71" s="377"/>
    </row>
    <row r="72" spans="1:12" s="93" customFormat="1">
      <c r="A72" s="867" t="s">
        <v>431</v>
      </c>
      <c r="B72" s="863"/>
      <c r="C72" s="863"/>
      <c r="D72" s="868"/>
      <c r="E72" s="869"/>
      <c r="F72" s="870"/>
      <c r="G72" s="871"/>
      <c r="H72" s="864"/>
      <c r="I72" s="865"/>
      <c r="J72" s="295"/>
      <c r="K72" s="296">
        <f t="shared" si="3"/>
        <v>0</v>
      </c>
      <c r="L72" s="377"/>
    </row>
    <row r="73" spans="1:12" s="93" customFormat="1">
      <c r="A73" s="867" t="s">
        <v>431</v>
      </c>
      <c r="B73" s="863"/>
      <c r="C73" s="863"/>
      <c r="D73" s="868"/>
      <c r="E73" s="869"/>
      <c r="F73" s="870"/>
      <c r="G73" s="871"/>
      <c r="H73" s="864"/>
      <c r="I73" s="865"/>
      <c r="J73" s="295"/>
      <c r="K73" s="296">
        <f t="shared" si="3"/>
        <v>0</v>
      </c>
      <c r="L73" s="377"/>
    </row>
    <row r="74" spans="1:12" s="93" customFormat="1">
      <c r="A74" s="867" t="s">
        <v>431</v>
      </c>
      <c r="B74" s="863"/>
      <c r="C74" s="863"/>
      <c r="D74" s="868"/>
      <c r="E74" s="869"/>
      <c r="F74" s="870"/>
      <c r="G74" s="871"/>
      <c r="H74" s="864"/>
      <c r="I74" s="865"/>
      <c r="J74" s="295"/>
      <c r="K74" s="296">
        <f t="shared" si="3"/>
        <v>0</v>
      </c>
      <c r="L74" s="377"/>
    </row>
    <row r="75" spans="1:12" s="93" customFormat="1">
      <c r="A75" s="867" t="s">
        <v>431</v>
      </c>
      <c r="B75" s="863"/>
      <c r="C75" s="863"/>
      <c r="D75" s="868"/>
      <c r="E75" s="869"/>
      <c r="F75" s="870"/>
      <c r="G75" s="871"/>
      <c r="H75" s="864"/>
      <c r="I75" s="865"/>
      <c r="J75" s="295"/>
      <c r="K75" s="296">
        <f t="shared" si="3"/>
        <v>0</v>
      </c>
      <c r="L75" s="377"/>
    </row>
    <row r="76" spans="1:12" s="93" customFormat="1">
      <c r="A76" s="867" t="s">
        <v>431</v>
      </c>
      <c r="B76" s="863"/>
      <c r="C76" s="863"/>
      <c r="D76" s="868"/>
      <c r="E76" s="869"/>
      <c r="F76" s="870"/>
      <c r="G76" s="871"/>
      <c r="H76" s="864"/>
      <c r="I76" s="865"/>
      <c r="J76" s="295"/>
      <c r="K76" s="296">
        <f t="shared" si="3"/>
        <v>0</v>
      </c>
      <c r="L76" s="377"/>
    </row>
    <row r="77" spans="1:12" s="93" customFormat="1">
      <c r="A77" s="867" t="s">
        <v>431</v>
      </c>
      <c r="B77" s="863"/>
      <c r="C77" s="863"/>
      <c r="D77" s="868"/>
      <c r="E77" s="869"/>
      <c r="F77" s="870"/>
      <c r="G77" s="871"/>
      <c r="H77" s="864"/>
      <c r="I77" s="865"/>
      <c r="J77" s="295"/>
      <c r="K77" s="296">
        <f t="shared" si="3"/>
        <v>0</v>
      </c>
      <c r="L77" s="377"/>
    </row>
    <row r="78" spans="1:12" s="93" customFormat="1">
      <c r="A78" s="867" t="s">
        <v>431</v>
      </c>
      <c r="B78" s="863"/>
      <c r="C78" s="863"/>
      <c r="D78" s="868"/>
      <c r="E78" s="869"/>
      <c r="F78" s="870"/>
      <c r="G78" s="871"/>
      <c r="H78" s="864"/>
      <c r="I78" s="865"/>
      <c r="J78" s="295"/>
      <c r="K78" s="296">
        <f t="shared" si="3"/>
        <v>0</v>
      </c>
      <c r="L78" s="377"/>
    </row>
    <row r="79" spans="1:12" s="93" customFormat="1">
      <c r="A79" s="867" t="s">
        <v>431</v>
      </c>
      <c r="B79" s="863"/>
      <c r="C79" s="863"/>
      <c r="D79" s="868"/>
      <c r="E79" s="869"/>
      <c r="F79" s="870"/>
      <c r="G79" s="871"/>
      <c r="H79" s="864"/>
      <c r="I79" s="865"/>
      <c r="J79" s="295"/>
      <c r="K79" s="296">
        <f t="shared" si="3"/>
        <v>0</v>
      </c>
      <c r="L79" s="377"/>
    </row>
    <row r="80" spans="1:12" s="93" customFormat="1">
      <c r="A80" s="867" t="s">
        <v>431</v>
      </c>
      <c r="B80" s="863"/>
      <c r="C80" s="863"/>
      <c r="D80" s="868"/>
      <c r="E80" s="869"/>
      <c r="F80" s="870"/>
      <c r="G80" s="871"/>
      <c r="H80" s="864"/>
      <c r="I80" s="865"/>
      <c r="J80" s="295"/>
      <c r="K80" s="296">
        <f t="shared" si="3"/>
        <v>0</v>
      </c>
      <c r="L80" s="377"/>
    </row>
    <row r="81" spans="1:12" s="93" customFormat="1">
      <c r="A81" s="867" t="s">
        <v>431</v>
      </c>
      <c r="B81" s="863"/>
      <c r="C81" s="863"/>
      <c r="D81" s="868"/>
      <c r="E81" s="869"/>
      <c r="F81" s="870"/>
      <c r="G81" s="871"/>
      <c r="H81" s="864"/>
      <c r="I81" s="865"/>
      <c r="J81" s="295"/>
      <c r="K81" s="296">
        <f t="shared" si="3"/>
        <v>0</v>
      </c>
      <c r="L81" s="377"/>
    </row>
    <row r="82" spans="1:12" s="93" customFormat="1">
      <c r="A82" s="867" t="s">
        <v>431</v>
      </c>
      <c r="B82" s="863"/>
      <c r="C82" s="863"/>
      <c r="D82" s="868"/>
      <c r="E82" s="869"/>
      <c r="F82" s="870"/>
      <c r="G82" s="871"/>
      <c r="H82" s="864"/>
      <c r="I82" s="865"/>
      <c r="J82" s="295"/>
      <c r="K82" s="296">
        <f t="shared" si="3"/>
        <v>0</v>
      </c>
      <c r="L82" s="377"/>
    </row>
    <row r="83" spans="1:12" s="93" customFormat="1">
      <c r="A83" s="867" t="s">
        <v>431</v>
      </c>
      <c r="B83" s="863"/>
      <c r="C83" s="863"/>
      <c r="D83" s="868"/>
      <c r="E83" s="869"/>
      <c r="F83" s="870"/>
      <c r="G83" s="871"/>
      <c r="H83" s="864"/>
      <c r="I83" s="865"/>
      <c r="J83" s="295"/>
      <c r="K83" s="296">
        <f t="shared" si="3"/>
        <v>0</v>
      </c>
      <c r="L83" s="377"/>
    </row>
    <row r="84" spans="1:12" s="93" customFormat="1">
      <c r="A84" s="867" t="s">
        <v>431</v>
      </c>
      <c r="B84" s="863"/>
      <c r="C84" s="863"/>
      <c r="D84" s="868"/>
      <c r="E84" s="869"/>
      <c r="F84" s="870"/>
      <c r="G84" s="871"/>
      <c r="H84" s="864"/>
      <c r="I84" s="865"/>
      <c r="J84" s="295"/>
      <c r="K84" s="296">
        <f t="shared" si="3"/>
        <v>0</v>
      </c>
      <c r="L84" s="377"/>
    </row>
    <row r="85" spans="1:12" s="93" customFormat="1">
      <c r="A85" s="867" t="s">
        <v>431</v>
      </c>
      <c r="B85" s="863"/>
      <c r="C85" s="863"/>
      <c r="D85" s="868"/>
      <c r="E85" s="869"/>
      <c r="F85" s="870"/>
      <c r="G85" s="871"/>
      <c r="H85" s="864"/>
      <c r="I85" s="865"/>
      <c r="J85" s="295"/>
      <c r="K85" s="296">
        <f t="shared" si="3"/>
        <v>0</v>
      </c>
      <c r="L85" s="377"/>
    </row>
    <row r="86" spans="1:12" s="93" customFormat="1">
      <c r="A86" s="867" t="s">
        <v>431</v>
      </c>
      <c r="B86" s="863"/>
      <c r="C86" s="863"/>
      <c r="D86" s="868"/>
      <c r="E86" s="869"/>
      <c r="F86" s="870"/>
      <c r="G86" s="871"/>
      <c r="H86" s="864"/>
      <c r="I86" s="865"/>
      <c r="J86" s="295"/>
      <c r="K86" s="296">
        <f t="shared" si="3"/>
        <v>0</v>
      </c>
      <c r="L86" s="377"/>
    </row>
    <row r="87" spans="1:12" s="93" customFormat="1">
      <c r="A87" s="867" t="s">
        <v>431</v>
      </c>
      <c r="B87" s="863"/>
      <c r="C87" s="863"/>
      <c r="D87" s="868"/>
      <c r="E87" s="869"/>
      <c r="F87" s="870"/>
      <c r="G87" s="871"/>
      <c r="H87" s="864"/>
      <c r="I87" s="865"/>
      <c r="J87" s="295"/>
      <c r="K87" s="296">
        <f t="shared" si="3"/>
        <v>0</v>
      </c>
      <c r="L87" s="377"/>
    </row>
    <row r="88" spans="1:12" s="93" customFormat="1">
      <c r="A88" s="867" t="s">
        <v>431</v>
      </c>
      <c r="B88" s="863"/>
      <c r="C88" s="863"/>
      <c r="D88" s="868"/>
      <c r="E88" s="869"/>
      <c r="F88" s="870"/>
      <c r="G88" s="871"/>
      <c r="H88" s="864"/>
      <c r="I88" s="865"/>
      <c r="J88" s="295"/>
      <c r="K88" s="296">
        <f t="shared" si="3"/>
        <v>0</v>
      </c>
      <c r="L88" s="377"/>
    </row>
    <row r="89" spans="1:12" s="93" customFormat="1">
      <c r="A89" s="867" t="s">
        <v>431</v>
      </c>
      <c r="B89" s="863"/>
      <c r="C89" s="863"/>
      <c r="D89" s="868"/>
      <c r="E89" s="869"/>
      <c r="F89" s="870"/>
      <c r="G89" s="871"/>
      <c r="H89" s="864"/>
      <c r="I89" s="865"/>
      <c r="J89" s="295"/>
      <c r="K89" s="296">
        <f t="shared" si="3"/>
        <v>0</v>
      </c>
      <c r="L89" s="377"/>
    </row>
    <row r="90" spans="1:12" s="270" customFormat="1">
      <c r="A90" s="867" t="s">
        <v>431</v>
      </c>
      <c r="B90" s="863"/>
      <c r="C90" s="863"/>
      <c r="D90" s="868"/>
      <c r="E90" s="869"/>
      <c r="F90" s="870"/>
      <c r="G90" s="871"/>
      <c r="H90" s="864"/>
      <c r="I90" s="865"/>
      <c r="J90" s="295"/>
      <c r="K90" s="296">
        <f t="shared" si="3"/>
        <v>0</v>
      </c>
      <c r="L90" s="381"/>
    </row>
    <row r="91" spans="1:12" s="270" customFormat="1">
      <c r="A91" s="867" t="s">
        <v>431</v>
      </c>
      <c r="B91" s="863"/>
      <c r="C91" s="863"/>
      <c r="D91" s="868"/>
      <c r="E91" s="869"/>
      <c r="F91" s="870"/>
      <c r="G91" s="871"/>
      <c r="H91" s="864"/>
      <c r="I91" s="865"/>
      <c r="J91" s="295"/>
      <c r="K91" s="296">
        <f t="shared" si="3"/>
        <v>0</v>
      </c>
      <c r="L91" s="381"/>
    </row>
    <row r="92" spans="1:12" s="270" customFormat="1">
      <c r="A92" s="867" t="s">
        <v>431</v>
      </c>
      <c r="B92" s="863"/>
      <c r="C92" s="863"/>
      <c r="D92" s="868"/>
      <c r="E92" s="869"/>
      <c r="F92" s="870"/>
      <c r="G92" s="871"/>
      <c r="H92" s="864"/>
      <c r="I92" s="865"/>
      <c r="J92" s="295"/>
      <c r="K92" s="296">
        <f t="shared" si="3"/>
        <v>0</v>
      </c>
      <c r="L92" s="381"/>
    </row>
    <row r="93" spans="1:12" s="270" customFormat="1">
      <c r="A93" s="867" t="s">
        <v>431</v>
      </c>
      <c r="B93" s="863"/>
      <c r="C93" s="863"/>
      <c r="D93" s="868"/>
      <c r="E93" s="869"/>
      <c r="F93" s="870"/>
      <c r="G93" s="871"/>
      <c r="H93" s="864"/>
      <c r="I93" s="865"/>
      <c r="J93" s="295"/>
      <c r="K93" s="296">
        <f t="shared" si="3"/>
        <v>0</v>
      </c>
      <c r="L93" s="381"/>
    </row>
    <row r="94" spans="1:12" s="270" customFormat="1">
      <c r="A94" s="867" t="s">
        <v>431</v>
      </c>
      <c r="B94" s="863"/>
      <c r="C94" s="863"/>
      <c r="D94" s="868"/>
      <c r="E94" s="869"/>
      <c r="F94" s="870"/>
      <c r="G94" s="871"/>
      <c r="H94" s="864"/>
      <c r="I94" s="865"/>
      <c r="J94" s="295"/>
      <c r="K94" s="296">
        <f t="shared" si="3"/>
        <v>0</v>
      </c>
      <c r="L94" s="381"/>
    </row>
    <row r="95" spans="1:12" s="270" customFormat="1">
      <c r="A95" s="867" t="s">
        <v>431</v>
      </c>
      <c r="B95" s="863"/>
      <c r="C95" s="863"/>
      <c r="D95" s="868"/>
      <c r="E95" s="869"/>
      <c r="F95" s="870"/>
      <c r="G95" s="871"/>
      <c r="H95" s="864"/>
      <c r="I95" s="865"/>
      <c r="J95" s="295"/>
      <c r="K95" s="296">
        <f t="shared" si="3"/>
        <v>0</v>
      </c>
      <c r="L95" s="381"/>
    </row>
    <row r="96" spans="1:12" s="270" customFormat="1">
      <c r="A96" s="867" t="s">
        <v>431</v>
      </c>
      <c r="B96" s="863"/>
      <c r="C96" s="863"/>
      <c r="D96" s="868"/>
      <c r="E96" s="869"/>
      <c r="F96" s="870"/>
      <c r="G96" s="871"/>
      <c r="H96" s="864"/>
      <c r="I96" s="865"/>
      <c r="J96" s="295"/>
      <c r="K96" s="296">
        <f t="shared" ref="K96:K167" si="4">(J96-I96)*E96/100*100000</f>
        <v>0</v>
      </c>
      <c r="L96" s="381"/>
    </row>
    <row r="97" spans="1:12" s="270" customFormat="1">
      <c r="A97" s="867" t="s">
        <v>431</v>
      </c>
      <c r="B97" s="863"/>
      <c r="C97" s="863"/>
      <c r="D97" s="868"/>
      <c r="E97" s="869"/>
      <c r="F97" s="870"/>
      <c r="G97" s="871"/>
      <c r="H97" s="864"/>
      <c r="I97" s="865"/>
      <c r="J97" s="295"/>
      <c r="K97" s="296">
        <f t="shared" si="4"/>
        <v>0</v>
      </c>
      <c r="L97" s="381"/>
    </row>
    <row r="98" spans="1:12" s="270" customFormat="1">
      <c r="A98" s="867" t="s">
        <v>431</v>
      </c>
      <c r="B98" s="863"/>
      <c r="C98" s="863"/>
      <c r="D98" s="868"/>
      <c r="E98" s="869"/>
      <c r="F98" s="870"/>
      <c r="G98" s="871"/>
      <c r="H98" s="864"/>
      <c r="I98" s="865"/>
      <c r="J98" s="295"/>
      <c r="K98" s="296">
        <f t="shared" si="4"/>
        <v>0</v>
      </c>
      <c r="L98" s="381"/>
    </row>
    <row r="99" spans="1:12" s="270" customFormat="1">
      <c r="A99" s="867" t="s">
        <v>431</v>
      </c>
      <c r="B99" s="863"/>
      <c r="C99" s="863"/>
      <c r="D99" s="868"/>
      <c r="E99" s="869"/>
      <c r="F99" s="870"/>
      <c r="G99" s="871"/>
      <c r="H99" s="864"/>
      <c r="I99" s="865"/>
      <c r="J99" s="295"/>
      <c r="K99" s="296">
        <f t="shared" si="4"/>
        <v>0</v>
      </c>
      <c r="L99" s="381"/>
    </row>
    <row r="100" spans="1:12" s="270" customFormat="1">
      <c r="A100" s="867" t="s">
        <v>493</v>
      </c>
      <c r="B100" s="863"/>
      <c r="C100" s="863"/>
      <c r="D100" s="868"/>
      <c r="E100" s="869"/>
      <c r="F100" s="870"/>
      <c r="G100" s="871"/>
      <c r="H100" s="864"/>
      <c r="I100" s="865"/>
      <c r="J100" s="295"/>
      <c r="K100" s="296">
        <f t="shared" si="4"/>
        <v>0</v>
      </c>
      <c r="L100" s="381"/>
    </row>
    <row r="101" spans="1:12" s="270" customFormat="1">
      <c r="A101" s="867" t="s">
        <v>431</v>
      </c>
      <c r="B101" s="863"/>
      <c r="C101" s="863"/>
      <c r="D101" s="868"/>
      <c r="E101" s="869"/>
      <c r="F101" s="870"/>
      <c r="G101" s="871"/>
      <c r="H101" s="864"/>
      <c r="I101" s="865"/>
      <c r="J101" s="295"/>
      <c r="K101" s="296">
        <f t="shared" si="4"/>
        <v>0</v>
      </c>
      <c r="L101" s="381"/>
    </row>
    <row r="102" spans="1:12" s="270" customFormat="1">
      <c r="A102" s="867" t="s">
        <v>431</v>
      </c>
      <c r="B102" s="863"/>
      <c r="C102" s="863"/>
      <c r="D102" s="868"/>
      <c r="E102" s="869"/>
      <c r="F102" s="870"/>
      <c r="G102" s="871"/>
      <c r="H102" s="864"/>
      <c r="I102" s="865"/>
      <c r="J102" s="295"/>
      <c r="K102" s="296">
        <f t="shared" si="4"/>
        <v>0</v>
      </c>
      <c r="L102" s="381"/>
    </row>
    <row r="103" spans="1:12" s="270" customFormat="1">
      <c r="A103" s="867" t="s">
        <v>431</v>
      </c>
      <c r="B103" s="863"/>
      <c r="C103" s="863"/>
      <c r="D103" s="868"/>
      <c r="E103" s="869"/>
      <c r="F103" s="870"/>
      <c r="G103" s="871"/>
      <c r="H103" s="864"/>
      <c r="I103" s="865"/>
      <c r="J103" s="295"/>
      <c r="K103" s="296">
        <f t="shared" si="4"/>
        <v>0</v>
      </c>
      <c r="L103" s="381"/>
    </row>
    <row r="104" spans="1:12" s="270" customFormat="1">
      <c r="A104" s="867" t="s">
        <v>431</v>
      </c>
      <c r="B104" s="863"/>
      <c r="C104" s="863"/>
      <c r="D104" s="868"/>
      <c r="E104" s="869"/>
      <c r="F104" s="870"/>
      <c r="G104" s="871"/>
      <c r="H104" s="864"/>
      <c r="I104" s="865"/>
      <c r="J104" s="295"/>
      <c r="K104" s="296">
        <f t="shared" si="4"/>
        <v>0</v>
      </c>
      <c r="L104" s="381"/>
    </row>
    <row r="105" spans="1:12" s="270" customFormat="1">
      <c r="A105" s="867" t="s">
        <v>431</v>
      </c>
      <c r="B105" s="863"/>
      <c r="C105" s="863"/>
      <c r="D105" s="868"/>
      <c r="E105" s="869"/>
      <c r="F105" s="870"/>
      <c r="G105" s="871"/>
      <c r="H105" s="864"/>
      <c r="I105" s="865"/>
      <c r="J105" s="295"/>
      <c r="K105" s="296">
        <f t="shared" si="4"/>
        <v>0</v>
      </c>
      <c r="L105" s="381"/>
    </row>
    <row r="106" spans="1:12" s="270" customFormat="1">
      <c r="A106" s="867" t="s">
        <v>431</v>
      </c>
      <c r="B106" s="863"/>
      <c r="C106" s="863"/>
      <c r="D106" s="868"/>
      <c r="E106" s="869"/>
      <c r="F106" s="870"/>
      <c r="G106" s="871"/>
      <c r="H106" s="864"/>
      <c r="I106" s="865"/>
      <c r="J106" s="295"/>
      <c r="K106" s="296">
        <f t="shared" si="4"/>
        <v>0</v>
      </c>
      <c r="L106" s="381"/>
    </row>
    <row r="107" spans="1:12" s="270" customFormat="1">
      <c r="A107" s="867" t="s">
        <v>431</v>
      </c>
      <c r="B107" s="863"/>
      <c r="C107" s="863"/>
      <c r="D107" s="868"/>
      <c r="E107" s="869"/>
      <c r="F107" s="870"/>
      <c r="G107" s="871"/>
      <c r="H107" s="864"/>
      <c r="I107" s="865"/>
      <c r="J107" s="295"/>
      <c r="K107" s="296">
        <f t="shared" si="4"/>
        <v>0</v>
      </c>
      <c r="L107" s="381"/>
    </row>
    <row r="108" spans="1:12" s="270" customFormat="1">
      <c r="A108" s="867" t="s">
        <v>431</v>
      </c>
      <c r="B108" s="863"/>
      <c r="C108" s="863"/>
      <c r="D108" s="868"/>
      <c r="E108" s="869"/>
      <c r="F108" s="870"/>
      <c r="G108" s="871"/>
      <c r="H108" s="864"/>
      <c r="I108" s="865"/>
      <c r="J108" s="295"/>
      <c r="K108" s="296">
        <f t="shared" si="4"/>
        <v>0</v>
      </c>
      <c r="L108" s="381"/>
    </row>
    <row r="109" spans="1:12" s="270" customFormat="1">
      <c r="A109" s="867" t="s">
        <v>431</v>
      </c>
      <c r="B109" s="863"/>
      <c r="C109" s="863"/>
      <c r="D109" s="868"/>
      <c r="E109" s="869"/>
      <c r="F109" s="870"/>
      <c r="G109" s="871"/>
      <c r="H109" s="864"/>
      <c r="I109" s="865"/>
      <c r="J109" s="295"/>
      <c r="K109" s="296">
        <f t="shared" si="4"/>
        <v>0</v>
      </c>
      <c r="L109" s="381"/>
    </row>
    <row r="110" spans="1:12" s="270" customFormat="1">
      <c r="A110" s="867" t="s">
        <v>493</v>
      </c>
      <c r="B110" s="863"/>
      <c r="C110" s="863"/>
      <c r="D110" s="868"/>
      <c r="E110" s="869"/>
      <c r="F110" s="870"/>
      <c r="G110" s="871"/>
      <c r="H110" s="864"/>
      <c r="I110" s="865"/>
      <c r="J110" s="295"/>
      <c r="K110" s="296">
        <f t="shared" si="4"/>
        <v>0</v>
      </c>
      <c r="L110" s="381"/>
    </row>
    <row r="111" spans="1:12" s="270" customFormat="1">
      <c r="A111" s="867" t="s">
        <v>431</v>
      </c>
      <c r="B111" s="863"/>
      <c r="C111" s="863"/>
      <c r="D111" s="868"/>
      <c r="E111" s="869"/>
      <c r="F111" s="870"/>
      <c r="G111" s="871"/>
      <c r="H111" s="864"/>
      <c r="I111" s="865"/>
      <c r="J111" s="295"/>
      <c r="K111" s="296">
        <f t="shared" si="4"/>
        <v>0</v>
      </c>
      <c r="L111" s="381"/>
    </row>
    <row r="112" spans="1:12" s="270" customFormat="1">
      <c r="A112" s="867" t="s">
        <v>431</v>
      </c>
      <c r="B112" s="863"/>
      <c r="C112" s="863"/>
      <c r="D112" s="868"/>
      <c r="E112" s="869"/>
      <c r="F112" s="870"/>
      <c r="G112" s="871"/>
      <c r="H112" s="864"/>
      <c r="I112" s="865"/>
      <c r="J112" s="295"/>
      <c r="K112" s="296">
        <f t="shared" si="4"/>
        <v>0</v>
      </c>
      <c r="L112" s="381"/>
    </row>
    <row r="113" spans="1:12" s="270" customFormat="1">
      <c r="A113" s="867" t="s">
        <v>431</v>
      </c>
      <c r="B113" s="863"/>
      <c r="C113" s="863"/>
      <c r="D113" s="868"/>
      <c r="E113" s="869"/>
      <c r="F113" s="870"/>
      <c r="G113" s="871"/>
      <c r="H113" s="864"/>
      <c r="I113" s="865"/>
      <c r="J113" s="295"/>
      <c r="K113" s="296">
        <f t="shared" si="4"/>
        <v>0</v>
      </c>
      <c r="L113" s="381"/>
    </row>
    <row r="114" spans="1:12" s="270" customFormat="1">
      <c r="A114" s="867" t="s">
        <v>431</v>
      </c>
      <c r="B114" s="863"/>
      <c r="C114" s="863"/>
      <c r="D114" s="868"/>
      <c r="E114" s="869"/>
      <c r="F114" s="870"/>
      <c r="G114" s="871"/>
      <c r="H114" s="864"/>
      <c r="I114" s="865"/>
      <c r="J114" s="295"/>
      <c r="K114" s="296">
        <f t="shared" si="4"/>
        <v>0</v>
      </c>
      <c r="L114" s="381"/>
    </row>
    <row r="115" spans="1:12" s="270" customFormat="1">
      <c r="A115" s="867" t="s">
        <v>431</v>
      </c>
      <c r="B115" s="863"/>
      <c r="C115" s="863"/>
      <c r="D115" s="868"/>
      <c r="E115" s="869"/>
      <c r="F115" s="870"/>
      <c r="G115" s="871"/>
      <c r="H115" s="864"/>
      <c r="I115" s="865"/>
      <c r="J115" s="295"/>
      <c r="K115" s="296">
        <f t="shared" si="4"/>
        <v>0</v>
      </c>
      <c r="L115" s="381"/>
    </row>
    <row r="116" spans="1:12" s="270" customFormat="1">
      <c r="A116" s="867" t="s">
        <v>431</v>
      </c>
      <c r="B116" s="863"/>
      <c r="C116" s="863"/>
      <c r="D116" s="868"/>
      <c r="E116" s="869"/>
      <c r="F116" s="870"/>
      <c r="G116" s="871"/>
      <c r="H116" s="864"/>
      <c r="I116" s="865"/>
      <c r="J116" s="295"/>
      <c r="K116" s="296">
        <f t="shared" si="4"/>
        <v>0</v>
      </c>
      <c r="L116" s="381"/>
    </row>
    <row r="117" spans="1:12" s="270" customFormat="1">
      <c r="A117" s="867" t="s">
        <v>431</v>
      </c>
      <c r="B117" s="863"/>
      <c r="C117" s="863"/>
      <c r="D117" s="868"/>
      <c r="E117" s="869"/>
      <c r="F117" s="870"/>
      <c r="G117" s="871"/>
      <c r="H117" s="864"/>
      <c r="I117" s="865"/>
      <c r="J117" s="295"/>
      <c r="K117" s="296">
        <f t="shared" si="4"/>
        <v>0</v>
      </c>
      <c r="L117" s="381"/>
    </row>
    <row r="118" spans="1:12" s="270" customFormat="1">
      <c r="A118" s="867" t="s">
        <v>431</v>
      </c>
      <c r="B118" s="863"/>
      <c r="C118" s="863"/>
      <c r="D118" s="868"/>
      <c r="E118" s="869"/>
      <c r="F118" s="870"/>
      <c r="G118" s="871"/>
      <c r="H118" s="864"/>
      <c r="I118" s="865"/>
      <c r="J118" s="295"/>
      <c r="K118" s="296">
        <f t="shared" si="4"/>
        <v>0</v>
      </c>
      <c r="L118" s="381"/>
    </row>
    <row r="119" spans="1:12" s="270" customFormat="1">
      <c r="A119" s="867" t="s">
        <v>497</v>
      </c>
      <c r="B119" s="863"/>
      <c r="C119" s="863"/>
      <c r="D119" s="868"/>
      <c r="E119" s="869"/>
      <c r="F119" s="870"/>
      <c r="G119" s="871"/>
      <c r="H119" s="864"/>
      <c r="I119" s="865"/>
      <c r="J119" s="295"/>
      <c r="K119" s="296">
        <f t="shared" si="4"/>
        <v>0</v>
      </c>
      <c r="L119" s="381"/>
    </row>
    <row r="120" spans="1:12" s="270" customFormat="1">
      <c r="A120" s="867" t="s">
        <v>497</v>
      </c>
      <c r="B120" s="863"/>
      <c r="C120" s="863"/>
      <c r="D120" s="868"/>
      <c r="E120" s="869"/>
      <c r="F120" s="870"/>
      <c r="G120" s="871"/>
      <c r="H120" s="864"/>
      <c r="I120" s="865"/>
      <c r="J120" s="295"/>
      <c r="K120" s="296">
        <f t="shared" si="4"/>
        <v>0</v>
      </c>
      <c r="L120" s="381"/>
    </row>
    <row r="121" spans="1:12" s="270" customFormat="1">
      <c r="A121" s="867" t="s">
        <v>497</v>
      </c>
      <c r="B121" s="863"/>
      <c r="C121" s="863"/>
      <c r="D121" s="868"/>
      <c r="E121" s="869"/>
      <c r="F121" s="870"/>
      <c r="G121" s="871"/>
      <c r="H121" s="864"/>
      <c r="I121" s="865"/>
      <c r="J121" s="295"/>
      <c r="K121" s="296">
        <f t="shared" si="4"/>
        <v>0</v>
      </c>
      <c r="L121" s="381"/>
    </row>
    <row r="122" spans="1:12" s="270" customFormat="1">
      <c r="A122" s="867" t="s">
        <v>497</v>
      </c>
      <c r="B122" s="863"/>
      <c r="C122" s="863"/>
      <c r="D122" s="868"/>
      <c r="E122" s="869"/>
      <c r="F122" s="870"/>
      <c r="G122" s="871"/>
      <c r="H122" s="864"/>
      <c r="I122" s="865"/>
      <c r="J122" s="295"/>
      <c r="K122" s="296">
        <f t="shared" si="4"/>
        <v>0</v>
      </c>
      <c r="L122" s="381"/>
    </row>
    <row r="123" spans="1:12" s="270" customFormat="1">
      <c r="A123" s="867" t="s">
        <v>497</v>
      </c>
      <c r="B123" s="863"/>
      <c r="C123" s="863"/>
      <c r="D123" s="868"/>
      <c r="E123" s="869"/>
      <c r="F123" s="870"/>
      <c r="G123" s="871"/>
      <c r="H123" s="864"/>
      <c r="I123" s="865"/>
      <c r="J123" s="295"/>
      <c r="K123" s="296">
        <f t="shared" si="4"/>
        <v>0</v>
      </c>
      <c r="L123" s="381"/>
    </row>
    <row r="124" spans="1:12" s="270" customFormat="1">
      <c r="A124" s="867" t="s">
        <v>497</v>
      </c>
      <c r="B124" s="863"/>
      <c r="C124" s="863"/>
      <c r="D124" s="868"/>
      <c r="E124" s="869"/>
      <c r="F124" s="870"/>
      <c r="G124" s="871"/>
      <c r="H124" s="864"/>
      <c r="I124" s="865"/>
      <c r="J124" s="295"/>
      <c r="K124" s="296">
        <f t="shared" si="4"/>
        <v>0</v>
      </c>
      <c r="L124" s="381"/>
    </row>
    <row r="125" spans="1:12" s="270" customFormat="1">
      <c r="A125" s="867"/>
      <c r="B125" s="863"/>
      <c r="C125" s="863"/>
      <c r="D125" s="868"/>
      <c r="E125" s="869"/>
      <c r="F125" s="870"/>
      <c r="G125" s="871"/>
      <c r="H125" s="864"/>
      <c r="I125" s="865"/>
      <c r="J125" s="295"/>
      <c r="K125" s="296">
        <f t="shared" si="4"/>
        <v>0</v>
      </c>
      <c r="L125" s="381"/>
    </row>
    <row r="126" spans="1:12" s="270" customFormat="1">
      <c r="A126" s="867"/>
      <c r="B126" s="863"/>
      <c r="C126" s="863"/>
      <c r="D126" s="868"/>
      <c r="E126" s="869"/>
      <c r="F126" s="870"/>
      <c r="G126" s="871"/>
      <c r="H126" s="864"/>
      <c r="I126" s="865"/>
      <c r="J126" s="295"/>
      <c r="K126" s="296">
        <f t="shared" si="4"/>
        <v>0</v>
      </c>
      <c r="L126" s="381"/>
    </row>
    <row r="127" spans="1:12" s="270" customFormat="1">
      <c r="A127" s="867"/>
      <c r="B127" s="863"/>
      <c r="C127" s="863"/>
      <c r="D127" s="868"/>
      <c r="E127" s="869"/>
      <c r="F127" s="870"/>
      <c r="G127" s="871"/>
      <c r="H127" s="864"/>
      <c r="I127" s="865"/>
      <c r="J127" s="295"/>
      <c r="K127" s="296">
        <f t="shared" si="4"/>
        <v>0</v>
      </c>
      <c r="L127" s="381"/>
    </row>
    <row r="128" spans="1:12" s="270" customFormat="1">
      <c r="A128" s="867"/>
      <c r="B128" s="863"/>
      <c r="C128" s="863"/>
      <c r="D128" s="868"/>
      <c r="E128" s="869"/>
      <c r="F128" s="870"/>
      <c r="G128" s="871"/>
      <c r="H128" s="864"/>
      <c r="I128" s="865"/>
      <c r="J128" s="295"/>
      <c r="K128" s="296">
        <f t="shared" si="4"/>
        <v>0</v>
      </c>
      <c r="L128" s="381"/>
    </row>
    <row r="129" spans="1:12" s="270" customFormat="1">
      <c r="A129" s="867"/>
      <c r="B129" s="863"/>
      <c r="C129" s="863"/>
      <c r="D129" s="868"/>
      <c r="E129" s="869"/>
      <c r="F129" s="870"/>
      <c r="G129" s="871"/>
      <c r="H129" s="864"/>
      <c r="I129" s="865"/>
      <c r="J129" s="295"/>
      <c r="K129" s="296">
        <f t="shared" si="4"/>
        <v>0</v>
      </c>
      <c r="L129" s="381"/>
    </row>
    <row r="130" spans="1:12" s="270" customFormat="1">
      <c r="A130" s="867"/>
      <c r="B130" s="863"/>
      <c r="C130" s="863"/>
      <c r="D130" s="868"/>
      <c r="E130" s="869"/>
      <c r="F130" s="870"/>
      <c r="G130" s="871"/>
      <c r="H130" s="864"/>
      <c r="I130" s="865"/>
      <c r="J130" s="295"/>
      <c r="K130" s="296">
        <f t="shared" si="4"/>
        <v>0</v>
      </c>
      <c r="L130" s="381"/>
    </row>
    <row r="131" spans="1:12" s="270" customFormat="1">
      <c r="A131" s="867"/>
      <c r="B131" s="863"/>
      <c r="C131" s="863"/>
      <c r="D131" s="868"/>
      <c r="E131" s="869"/>
      <c r="F131" s="870"/>
      <c r="G131" s="871"/>
      <c r="H131" s="864"/>
      <c r="I131" s="865"/>
      <c r="J131" s="295"/>
      <c r="K131" s="296">
        <f t="shared" si="4"/>
        <v>0</v>
      </c>
      <c r="L131" s="381"/>
    </row>
    <row r="132" spans="1:12" s="270" customFormat="1">
      <c r="A132" s="867"/>
      <c r="B132" s="863"/>
      <c r="C132" s="863"/>
      <c r="D132" s="868"/>
      <c r="E132" s="869"/>
      <c r="F132" s="870"/>
      <c r="G132" s="871"/>
      <c r="H132" s="864"/>
      <c r="I132" s="865"/>
      <c r="J132" s="295"/>
      <c r="K132" s="296">
        <f t="shared" si="4"/>
        <v>0</v>
      </c>
      <c r="L132" s="381"/>
    </row>
    <row r="133" spans="1:12" s="270" customFormat="1">
      <c r="A133" s="867"/>
      <c r="B133" s="863"/>
      <c r="C133" s="863"/>
      <c r="D133" s="868"/>
      <c r="E133" s="869"/>
      <c r="F133" s="870"/>
      <c r="G133" s="871"/>
      <c r="H133" s="864"/>
      <c r="I133" s="865"/>
      <c r="J133" s="295"/>
      <c r="K133" s="296">
        <f t="shared" si="4"/>
        <v>0</v>
      </c>
      <c r="L133" s="381"/>
    </row>
    <row r="134" spans="1:12" s="270" customFormat="1">
      <c r="A134" s="867"/>
      <c r="B134" s="863"/>
      <c r="C134" s="863"/>
      <c r="D134" s="868"/>
      <c r="E134" s="869"/>
      <c r="F134" s="870"/>
      <c r="G134" s="871"/>
      <c r="H134" s="864"/>
      <c r="I134" s="865"/>
      <c r="J134" s="295"/>
      <c r="K134" s="296">
        <f t="shared" si="4"/>
        <v>0</v>
      </c>
      <c r="L134" s="381"/>
    </row>
    <row r="135" spans="1:12" s="270" customFormat="1">
      <c r="A135" s="867"/>
      <c r="B135" s="863"/>
      <c r="C135" s="863"/>
      <c r="D135" s="868"/>
      <c r="E135" s="869"/>
      <c r="F135" s="870"/>
      <c r="G135" s="871"/>
      <c r="H135" s="864"/>
      <c r="I135" s="865"/>
      <c r="J135" s="295"/>
      <c r="K135" s="296">
        <f t="shared" si="4"/>
        <v>0</v>
      </c>
      <c r="L135" s="381"/>
    </row>
    <row r="136" spans="1:12" s="270" customFormat="1">
      <c r="A136" s="867"/>
      <c r="B136" s="863"/>
      <c r="C136" s="863"/>
      <c r="D136" s="868"/>
      <c r="E136" s="869"/>
      <c r="F136" s="870"/>
      <c r="G136" s="871"/>
      <c r="H136" s="864"/>
      <c r="I136" s="865"/>
      <c r="J136" s="295"/>
      <c r="K136" s="296">
        <f t="shared" si="4"/>
        <v>0</v>
      </c>
      <c r="L136" s="381"/>
    </row>
    <row r="137" spans="1:12" s="270" customFormat="1">
      <c r="A137" s="867"/>
      <c r="B137" s="863"/>
      <c r="C137" s="863"/>
      <c r="D137" s="868"/>
      <c r="E137" s="869"/>
      <c r="F137" s="870"/>
      <c r="G137" s="871"/>
      <c r="H137" s="864"/>
      <c r="I137" s="865"/>
      <c r="J137" s="295"/>
      <c r="K137" s="296">
        <f t="shared" si="4"/>
        <v>0</v>
      </c>
      <c r="L137" s="381"/>
    </row>
    <row r="138" spans="1:12" s="270" customFormat="1">
      <c r="A138" s="867"/>
      <c r="B138" s="863"/>
      <c r="C138" s="863"/>
      <c r="D138" s="868"/>
      <c r="E138" s="869"/>
      <c r="F138" s="870"/>
      <c r="G138" s="871"/>
      <c r="H138" s="864"/>
      <c r="I138" s="865"/>
      <c r="J138" s="295"/>
      <c r="K138" s="296">
        <f t="shared" si="4"/>
        <v>0</v>
      </c>
      <c r="L138" s="381"/>
    </row>
    <row r="139" spans="1:12" s="270" customFormat="1">
      <c r="A139" s="867"/>
      <c r="B139" s="863"/>
      <c r="C139" s="863"/>
      <c r="D139" s="868"/>
      <c r="E139" s="869"/>
      <c r="F139" s="870"/>
      <c r="G139" s="871"/>
      <c r="H139" s="864"/>
      <c r="I139" s="865"/>
      <c r="J139" s="295"/>
      <c r="K139" s="296">
        <f t="shared" si="4"/>
        <v>0</v>
      </c>
      <c r="L139" s="381"/>
    </row>
    <row r="140" spans="1:12" s="270" customFormat="1">
      <c r="A140" s="867"/>
      <c r="B140" s="863"/>
      <c r="C140" s="863"/>
      <c r="D140" s="868"/>
      <c r="E140" s="869"/>
      <c r="F140" s="870"/>
      <c r="G140" s="871"/>
      <c r="H140" s="864"/>
      <c r="I140" s="865"/>
      <c r="J140" s="295"/>
      <c r="K140" s="296">
        <f t="shared" si="4"/>
        <v>0</v>
      </c>
      <c r="L140" s="381"/>
    </row>
    <row r="141" spans="1:12" s="270" customFormat="1">
      <c r="A141" s="867"/>
      <c r="B141" s="863"/>
      <c r="C141" s="863"/>
      <c r="D141" s="868"/>
      <c r="E141" s="869"/>
      <c r="F141" s="870"/>
      <c r="G141" s="871"/>
      <c r="H141" s="864"/>
      <c r="I141" s="865"/>
      <c r="J141" s="295"/>
      <c r="K141" s="296">
        <f t="shared" si="4"/>
        <v>0</v>
      </c>
      <c r="L141" s="381"/>
    </row>
    <row r="142" spans="1:12" s="270" customFormat="1">
      <c r="A142" s="867"/>
      <c r="B142" s="863"/>
      <c r="C142" s="863"/>
      <c r="D142" s="868"/>
      <c r="E142" s="869"/>
      <c r="F142" s="870"/>
      <c r="G142" s="871"/>
      <c r="H142" s="864"/>
      <c r="I142" s="865"/>
      <c r="J142" s="295"/>
      <c r="K142" s="296">
        <f t="shared" si="4"/>
        <v>0</v>
      </c>
      <c r="L142" s="381"/>
    </row>
    <row r="143" spans="1:12" s="270" customFormat="1">
      <c r="A143" s="867"/>
      <c r="B143" s="863"/>
      <c r="C143" s="863"/>
      <c r="D143" s="868"/>
      <c r="E143" s="869"/>
      <c r="F143" s="870"/>
      <c r="G143" s="871"/>
      <c r="H143" s="864"/>
      <c r="I143" s="865"/>
      <c r="J143" s="295"/>
      <c r="K143" s="296">
        <f t="shared" si="4"/>
        <v>0</v>
      </c>
      <c r="L143" s="381"/>
    </row>
    <row r="144" spans="1:12" s="270" customFormat="1">
      <c r="A144" s="867"/>
      <c r="B144" s="863"/>
      <c r="C144" s="863"/>
      <c r="D144" s="868"/>
      <c r="E144" s="869"/>
      <c r="F144" s="870"/>
      <c r="G144" s="871"/>
      <c r="H144" s="864"/>
      <c r="I144" s="865"/>
      <c r="J144" s="295"/>
      <c r="K144" s="296">
        <f t="shared" si="4"/>
        <v>0</v>
      </c>
      <c r="L144" s="381"/>
    </row>
    <row r="145" spans="1:12" s="270" customFormat="1">
      <c r="A145" s="867"/>
      <c r="B145" s="863"/>
      <c r="C145" s="863"/>
      <c r="D145" s="868"/>
      <c r="E145" s="869"/>
      <c r="F145" s="870"/>
      <c r="G145" s="871"/>
      <c r="H145" s="864"/>
      <c r="I145" s="865"/>
      <c r="J145" s="295"/>
      <c r="K145" s="296">
        <f t="shared" si="4"/>
        <v>0</v>
      </c>
      <c r="L145" s="381"/>
    </row>
    <row r="146" spans="1:12" s="270" customFormat="1">
      <c r="A146" s="867"/>
      <c r="B146" s="863"/>
      <c r="C146" s="863"/>
      <c r="D146" s="868"/>
      <c r="E146" s="869"/>
      <c r="F146" s="870"/>
      <c r="G146" s="871"/>
      <c r="H146" s="864"/>
      <c r="I146" s="865"/>
      <c r="J146" s="295"/>
      <c r="K146" s="296">
        <f t="shared" si="4"/>
        <v>0</v>
      </c>
      <c r="L146" s="381"/>
    </row>
    <row r="147" spans="1:12" s="270" customFormat="1">
      <c r="A147" s="867"/>
      <c r="B147" s="863"/>
      <c r="C147" s="863"/>
      <c r="D147" s="868"/>
      <c r="E147" s="869"/>
      <c r="F147" s="870"/>
      <c r="G147" s="871"/>
      <c r="H147" s="864"/>
      <c r="I147" s="865"/>
      <c r="J147" s="295"/>
      <c r="K147" s="296">
        <f t="shared" si="4"/>
        <v>0</v>
      </c>
      <c r="L147" s="381"/>
    </row>
    <row r="148" spans="1:12" s="270" customFormat="1">
      <c r="A148" s="867"/>
      <c r="B148" s="863"/>
      <c r="C148" s="863"/>
      <c r="D148" s="868"/>
      <c r="E148" s="869"/>
      <c r="F148" s="870"/>
      <c r="G148" s="871"/>
      <c r="H148" s="864"/>
      <c r="I148" s="865"/>
      <c r="J148" s="295"/>
      <c r="K148" s="296">
        <f t="shared" si="4"/>
        <v>0</v>
      </c>
      <c r="L148" s="381"/>
    </row>
    <row r="149" spans="1:12" s="270" customFormat="1">
      <c r="A149" s="867"/>
      <c r="B149" s="863"/>
      <c r="C149" s="863"/>
      <c r="D149" s="868"/>
      <c r="E149" s="869"/>
      <c r="F149" s="870"/>
      <c r="G149" s="871"/>
      <c r="H149" s="864"/>
      <c r="I149" s="865"/>
      <c r="J149" s="295"/>
      <c r="K149" s="296">
        <f t="shared" si="4"/>
        <v>0</v>
      </c>
      <c r="L149" s="381"/>
    </row>
    <row r="150" spans="1:12" s="270" customFormat="1">
      <c r="A150" s="867"/>
      <c r="B150" s="863"/>
      <c r="C150" s="863"/>
      <c r="D150" s="868"/>
      <c r="E150" s="869"/>
      <c r="F150" s="870"/>
      <c r="G150" s="871"/>
      <c r="H150" s="864"/>
      <c r="I150" s="865"/>
      <c r="J150" s="295"/>
      <c r="K150" s="296">
        <f t="shared" si="4"/>
        <v>0</v>
      </c>
      <c r="L150" s="381"/>
    </row>
    <row r="151" spans="1:12" s="270" customFormat="1">
      <c r="A151" s="867"/>
      <c r="B151" s="863"/>
      <c r="C151" s="863"/>
      <c r="D151" s="868"/>
      <c r="E151" s="869"/>
      <c r="F151" s="870"/>
      <c r="G151" s="871"/>
      <c r="H151" s="864"/>
      <c r="I151" s="865"/>
      <c r="J151" s="295"/>
      <c r="K151" s="296">
        <f t="shared" si="4"/>
        <v>0</v>
      </c>
      <c r="L151" s="381"/>
    </row>
    <row r="152" spans="1:12" s="270" customFormat="1">
      <c r="A152" s="867"/>
      <c r="B152" s="863"/>
      <c r="C152" s="863"/>
      <c r="D152" s="868"/>
      <c r="E152" s="869"/>
      <c r="F152" s="870"/>
      <c r="G152" s="871"/>
      <c r="H152" s="864"/>
      <c r="I152" s="865"/>
      <c r="J152" s="295"/>
      <c r="K152" s="296">
        <f t="shared" si="4"/>
        <v>0</v>
      </c>
      <c r="L152" s="381"/>
    </row>
    <row r="153" spans="1:12" s="270" customFormat="1">
      <c r="A153" s="867"/>
      <c r="B153" s="863"/>
      <c r="C153" s="863"/>
      <c r="D153" s="868"/>
      <c r="E153" s="869"/>
      <c r="F153" s="870"/>
      <c r="G153" s="871"/>
      <c r="H153" s="864"/>
      <c r="I153" s="865"/>
      <c r="J153" s="295"/>
      <c r="K153" s="296">
        <f t="shared" si="4"/>
        <v>0</v>
      </c>
      <c r="L153" s="381"/>
    </row>
    <row r="154" spans="1:12" s="270" customFormat="1">
      <c r="A154" s="867"/>
      <c r="B154" s="863"/>
      <c r="C154" s="863"/>
      <c r="D154" s="868"/>
      <c r="E154" s="869"/>
      <c r="F154" s="870"/>
      <c r="G154" s="871"/>
      <c r="H154" s="864"/>
      <c r="I154" s="865"/>
      <c r="J154" s="295"/>
      <c r="K154" s="296">
        <f t="shared" si="4"/>
        <v>0</v>
      </c>
      <c r="L154" s="381"/>
    </row>
    <row r="155" spans="1:12" s="270" customFormat="1">
      <c r="A155" s="867"/>
      <c r="B155" s="863"/>
      <c r="C155" s="863"/>
      <c r="D155" s="868"/>
      <c r="E155" s="869"/>
      <c r="F155" s="870"/>
      <c r="G155" s="871"/>
      <c r="H155" s="864"/>
      <c r="I155" s="865"/>
      <c r="J155" s="295"/>
      <c r="K155" s="296">
        <f t="shared" si="4"/>
        <v>0</v>
      </c>
      <c r="L155" s="381"/>
    </row>
    <row r="156" spans="1:12" s="270" customFormat="1">
      <c r="A156" s="867"/>
      <c r="B156" s="863"/>
      <c r="C156" s="863"/>
      <c r="D156" s="868"/>
      <c r="E156" s="869"/>
      <c r="F156" s="870"/>
      <c r="G156" s="871"/>
      <c r="H156" s="864"/>
      <c r="I156" s="865"/>
      <c r="J156" s="295"/>
      <c r="K156" s="296">
        <f t="shared" si="4"/>
        <v>0</v>
      </c>
      <c r="L156" s="381"/>
    </row>
    <row r="157" spans="1:12" s="270" customFormat="1">
      <c r="A157" s="867"/>
      <c r="B157" s="863"/>
      <c r="C157" s="863"/>
      <c r="D157" s="868"/>
      <c r="E157" s="869"/>
      <c r="F157" s="870"/>
      <c r="G157" s="871"/>
      <c r="H157" s="864"/>
      <c r="I157" s="865"/>
      <c r="J157" s="295"/>
      <c r="K157" s="296">
        <f t="shared" si="4"/>
        <v>0</v>
      </c>
      <c r="L157" s="381"/>
    </row>
    <row r="158" spans="1:12" s="270" customFormat="1">
      <c r="A158" s="867"/>
      <c r="B158" s="863"/>
      <c r="C158" s="863"/>
      <c r="D158" s="868"/>
      <c r="E158" s="869"/>
      <c r="F158" s="870"/>
      <c r="G158" s="871"/>
      <c r="H158" s="864"/>
      <c r="I158" s="865"/>
      <c r="J158" s="295"/>
      <c r="K158" s="296">
        <f t="shared" si="4"/>
        <v>0</v>
      </c>
      <c r="L158" s="381"/>
    </row>
    <row r="159" spans="1:12" s="270" customFormat="1">
      <c r="A159" s="867"/>
      <c r="B159" s="863"/>
      <c r="C159" s="863"/>
      <c r="D159" s="868"/>
      <c r="E159" s="869"/>
      <c r="F159" s="870"/>
      <c r="G159" s="871"/>
      <c r="H159" s="864"/>
      <c r="I159" s="865"/>
      <c r="J159" s="295"/>
      <c r="K159" s="296">
        <f t="shared" si="4"/>
        <v>0</v>
      </c>
      <c r="L159" s="381"/>
    </row>
    <row r="160" spans="1:12" s="270" customFormat="1">
      <c r="A160" s="867"/>
      <c r="B160" s="863"/>
      <c r="C160" s="863"/>
      <c r="D160" s="868"/>
      <c r="E160" s="869"/>
      <c r="F160" s="870"/>
      <c r="G160" s="871"/>
      <c r="H160" s="864"/>
      <c r="I160" s="865"/>
      <c r="J160" s="295"/>
      <c r="K160" s="296">
        <f t="shared" si="4"/>
        <v>0</v>
      </c>
      <c r="L160" s="381"/>
    </row>
    <row r="161" spans="1:17" s="270" customFormat="1">
      <c r="A161" s="867"/>
      <c r="B161" s="863"/>
      <c r="C161" s="863"/>
      <c r="D161" s="868"/>
      <c r="E161" s="869"/>
      <c r="F161" s="870"/>
      <c r="G161" s="871"/>
      <c r="H161" s="864"/>
      <c r="I161" s="865"/>
      <c r="J161" s="295"/>
      <c r="K161" s="296">
        <f t="shared" si="4"/>
        <v>0</v>
      </c>
      <c r="L161" s="381"/>
    </row>
    <row r="162" spans="1:17" s="270" customFormat="1">
      <c r="A162" s="867"/>
      <c r="B162" s="863"/>
      <c r="C162" s="863"/>
      <c r="D162" s="868"/>
      <c r="E162" s="869"/>
      <c r="F162" s="870"/>
      <c r="G162" s="871"/>
      <c r="H162" s="864"/>
      <c r="I162" s="865"/>
      <c r="J162" s="295"/>
      <c r="K162" s="296">
        <f t="shared" si="4"/>
        <v>0</v>
      </c>
      <c r="L162" s="381"/>
    </row>
    <row r="163" spans="1:17" s="270" customFormat="1">
      <c r="A163" s="867"/>
      <c r="B163" s="863"/>
      <c r="C163" s="863"/>
      <c r="D163" s="868"/>
      <c r="E163" s="869"/>
      <c r="F163" s="870"/>
      <c r="G163" s="871"/>
      <c r="H163" s="864"/>
      <c r="I163" s="865"/>
      <c r="J163" s="295"/>
      <c r="K163" s="296">
        <f t="shared" si="4"/>
        <v>0</v>
      </c>
      <c r="L163" s="381"/>
    </row>
    <row r="164" spans="1:17" s="270" customFormat="1">
      <c r="A164" s="867"/>
      <c r="B164" s="863"/>
      <c r="C164" s="863"/>
      <c r="D164" s="868"/>
      <c r="E164" s="869"/>
      <c r="F164" s="870"/>
      <c r="G164" s="871"/>
      <c r="H164" s="864"/>
      <c r="I164" s="865"/>
      <c r="J164" s="295"/>
      <c r="K164" s="296">
        <f t="shared" si="4"/>
        <v>0</v>
      </c>
      <c r="L164" s="381"/>
    </row>
    <row r="165" spans="1:17" s="270" customFormat="1">
      <c r="A165" s="867"/>
      <c r="B165" s="863"/>
      <c r="C165" s="863"/>
      <c r="D165" s="868"/>
      <c r="E165" s="869"/>
      <c r="F165" s="870"/>
      <c r="G165" s="871"/>
      <c r="H165" s="864"/>
      <c r="I165" s="865"/>
      <c r="J165" s="295"/>
      <c r="K165" s="296">
        <f t="shared" si="4"/>
        <v>0</v>
      </c>
      <c r="L165" s="381"/>
    </row>
    <row r="166" spans="1:17" s="270" customFormat="1">
      <c r="A166" s="867"/>
      <c r="B166" s="863"/>
      <c r="C166" s="863"/>
      <c r="D166" s="868"/>
      <c r="E166" s="869"/>
      <c r="F166" s="870"/>
      <c r="G166" s="871"/>
      <c r="H166" s="864"/>
      <c r="I166" s="865"/>
      <c r="J166" s="295"/>
      <c r="K166" s="296">
        <f t="shared" si="4"/>
        <v>0</v>
      </c>
      <c r="L166" s="381"/>
    </row>
    <row r="167" spans="1:17" s="270" customFormat="1">
      <c r="A167" s="867"/>
      <c r="B167" s="863"/>
      <c r="C167" s="863"/>
      <c r="D167" s="868"/>
      <c r="E167" s="869"/>
      <c r="F167" s="870"/>
      <c r="G167" s="871"/>
      <c r="H167" s="864"/>
      <c r="I167" s="865"/>
      <c r="J167" s="295"/>
      <c r="K167" s="296">
        <f t="shared" si="4"/>
        <v>0</v>
      </c>
      <c r="L167" s="381" t="s">
        <v>375</v>
      </c>
    </row>
    <row r="168" spans="1:17" s="270" customFormat="1">
      <c r="A168" s="349" t="s">
        <v>166</v>
      </c>
      <c r="B168" s="350"/>
      <c r="C168" s="351"/>
      <c r="D168" s="545"/>
      <c r="E168" s="352">
        <f>SUM(E52:E167)</f>
        <v>0</v>
      </c>
      <c r="F168" s="353"/>
      <c r="G168" s="352">
        <f>SUM(G52:G167)</f>
        <v>0</v>
      </c>
      <c r="H168" s="486"/>
      <c r="I168" s="356"/>
      <c r="J168" s="357"/>
      <c r="K168" s="358">
        <f>SUM(K52:K167)+L168</f>
        <v>0</v>
      </c>
      <c r="L168" s="381"/>
    </row>
    <row r="169" spans="1:17" s="93" customFormat="1">
      <c r="A169" s="359" t="s">
        <v>169</v>
      </c>
      <c r="B169" s="113"/>
      <c r="C169" s="274"/>
      <c r="D169" s="538"/>
      <c r="E169" s="114"/>
      <c r="F169" s="192"/>
      <c r="G169" s="118"/>
      <c r="H169" s="478"/>
      <c r="I169" s="125"/>
      <c r="J169" s="360"/>
      <c r="K169" s="261"/>
      <c r="L169" s="377"/>
      <c r="M169"/>
      <c r="N169"/>
      <c r="O169"/>
      <c r="P169"/>
      <c r="Q169"/>
    </row>
    <row r="170" spans="1:17">
      <c r="A170" s="206" t="s">
        <v>99</v>
      </c>
      <c r="B170" s="207" t="s">
        <v>7</v>
      </c>
      <c r="C170" s="207" t="s">
        <v>171</v>
      </c>
      <c r="D170" s="535" t="s">
        <v>170</v>
      </c>
      <c r="E170" s="208" t="s">
        <v>11</v>
      </c>
      <c r="F170" s="207" t="s">
        <v>2</v>
      </c>
      <c r="G170" s="209" t="s">
        <v>12</v>
      </c>
      <c r="H170" s="482" t="s">
        <v>18</v>
      </c>
      <c r="I170" s="209" t="s">
        <v>210</v>
      </c>
      <c r="J170" s="207" t="s">
        <v>216</v>
      </c>
      <c r="K170" s="260" t="s">
        <v>212</v>
      </c>
    </row>
    <row r="171" spans="1:17">
      <c r="A171" s="325" t="s">
        <v>1296</v>
      </c>
      <c r="B171" s="328" t="s">
        <v>1263</v>
      </c>
      <c r="C171" s="328" t="s">
        <v>339</v>
      </c>
      <c r="D171" s="542" t="s">
        <v>339</v>
      </c>
      <c r="E171" s="330">
        <v>-4</v>
      </c>
      <c r="F171" s="331" t="s">
        <v>638</v>
      </c>
      <c r="G171" s="332">
        <v>0</v>
      </c>
      <c r="H171" s="561" t="s">
        <v>1309</v>
      </c>
      <c r="I171" s="335">
        <v>105.31</v>
      </c>
      <c r="J171" s="335">
        <v>105.62</v>
      </c>
      <c r="K171" s="336">
        <f>(J171-I171)*E171*100000/100</f>
        <v>-1240.0000000000091</v>
      </c>
    </row>
    <row r="172" spans="1:17">
      <c r="A172" s="325" t="s">
        <v>1296</v>
      </c>
      <c r="B172" s="328" t="s">
        <v>1263</v>
      </c>
      <c r="C172" s="328" t="s">
        <v>339</v>
      </c>
      <c r="D172" s="542" t="s">
        <v>339</v>
      </c>
      <c r="E172" s="330">
        <v>-1</v>
      </c>
      <c r="F172" s="331" t="s">
        <v>638</v>
      </c>
      <c r="G172" s="332">
        <v>0</v>
      </c>
      <c r="H172" s="561" t="s">
        <v>1310</v>
      </c>
      <c r="I172" s="335">
        <v>105.31</v>
      </c>
      <c r="J172" s="335">
        <v>105.62</v>
      </c>
      <c r="K172" s="336">
        <f t="shared" ref="K172:K205" si="5">(J172-I172)*E172*100000/100</f>
        <v>-310.00000000000227</v>
      </c>
    </row>
    <row r="173" spans="1:17">
      <c r="A173" s="325" t="s">
        <v>1298</v>
      </c>
      <c r="B173" s="328" t="s">
        <v>1352</v>
      </c>
      <c r="C173" s="328" t="s">
        <v>339</v>
      </c>
      <c r="D173" s="542" t="s">
        <v>339</v>
      </c>
      <c r="E173" s="330">
        <v>-54</v>
      </c>
      <c r="F173" s="331" t="s">
        <v>638</v>
      </c>
      <c r="G173" s="332">
        <v>0</v>
      </c>
      <c r="H173" s="561" t="s">
        <v>1365</v>
      </c>
      <c r="I173" s="335">
        <v>119.87</v>
      </c>
      <c r="J173" s="335">
        <v>117.6</v>
      </c>
      <c r="K173" s="336">
        <f t="shared" si="5"/>
        <v>122580.00000000055</v>
      </c>
    </row>
    <row r="174" spans="1:17">
      <c r="A174" s="325" t="s">
        <v>1298</v>
      </c>
      <c r="B174" s="328" t="s">
        <v>1352</v>
      </c>
      <c r="C174" s="328" t="s">
        <v>339</v>
      </c>
      <c r="D174" s="542" t="s">
        <v>339</v>
      </c>
      <c r="E174" s="330">
        <v>-29</v>
      </c>
      <c r="F174" s="331" t="s">
        <v>638</v>
      </c>
      <c r="G174" s="332">
        <v>0</v>
      </c>
      <c r="H174" s="561" t="s">
        <v>1366</v>
      </c>
      <c r="I174" s="335">
        <v>119.87</v>
      </c>
      <c r="J174" s="335">
        <v>117.6</v>
      </c>
      <c r="K174" s="336">
        <f t="shared" si="5"/>
        <v>65830.000000000291</v>
      </c>
    </row>
    <row r="175" spans="1:17">
      <c r="A175" s="325" t="s">
        <v>1298</v>
      </c>
      <c r="B175" s="328" t="s">
        <v>1352</v>
      </c>
      <c r="C175" s="328" t="s">
        <v>339</v>
      </c>
      <c r="D175" s="542" t="s">
        <v>339</v>
      </c>
      <c r="E175" s="330">
        <v>-17</v>
      </c>
      <c r="F175" s="331" t="s">
        <v>638</v>
      </c>
      <c r="G175" s="332">
        <v>0</v>
      </c>
      <c r="H175" s="561" t="s">
        <v>1367</v>
      </c>
      <c r="I175" s="335">
        <v>119.87</v>
      </c>
      <c r="J175" s="335">
        <v>117.6</v>
      </c>
      <c r="K175" s="336">
        <f t="shared" si="5"/>
        <v>38590.000000000175</v>
      </c>
    </row>
    <row r="176" spans="1:17">
      <c r="A176" s="325" t="s">
        <v>1301</v>
      </c>
      <c r="B176" s="328" t="s">
        <v>1263</v>
      </c>
      <c r="C176" s="328" t="s">
        <v>339</v>
      </c>
      <c r="D176" s="542" t="s">
        <v>339</v>
      </c>
      <c r="E176" s="330">
        <v>-3</v>
      </c>
      <c r="F176" s="331" t="s">
        <v>638</v>
      </c>
      <c r="G176" s="332">
        <v>2280</v>
      </c>
      <c r="H176" s="561" t="s">
        <v>1312</v>
      </c>
      <c r="I176" s="335">
        <v>140.4</v>
      </c>
      <c r="J176" s="335">
        <v>149.08000000000001</v>
      </c>
      <c r="K176" s="336">
        <f t="shared" si="5"/>
        <v>-26040.000000000018</v>
      </c>
    </row>
    <row r="177" spans="1:11">
      <c r="A177" s="325" t="s">
        <v>1301</v>
      </c>
      <c r="B177" s="328" t="s">
        <v>1263</v>
      </c>
      <c r="C177" s="328" t="s">
        <v>339</v>
      </c>
      <c r="D177" s="542" t="s">
        <v>339</v>
      </c>
      <c r="E177" s="330">
        <v>-6</v>
      </c>
      <c r="F177" s="331" t="s">
        <v>638</v>
      </c>
      <c r="G177" s="332">
        <v>1140</v>
      </c>
      <c r="H177" s="561" t="s">
        <v>1313</v>
      </c>
      <c r="I177" s="335">
        <v>140.4</v>
      </c>
      <c r="J177" s="335">
        <v>149.12</v>
      </c>
      <c r="K177" s="336">
        <f t="shared" si="5"/>
        <v>-52319.999999999993</v>
      </c>
    </row>
    <row r="178" spans="1:11">
      <c r="A178" s="325" t="s">
        <v>1301</v>
      </c>
      <c r="B178" s="328" t="s">
        <v>1263</v>
      </c>
      <c r="C178" s="328" t="s">
        <v>339</v>
      </c>
      <c r="D178" s="542" t="s">
        <v>339</v>
      </c>
      <c r="E178" s="330">
        <v>-1</v>
      </c>
      <c r="F178" s="331" t="s">
        <v>638</v>
      </c>
      <c r="G178" s="332">
        <v>190</v>
      </c>
      <c r="H178" s="561" t="s">
        <v>1314</v>
      </c>
      <c r="I178" s="335">
        <v>140.41999999999999</v>
      </c>
      <c r="J178" s="335">
        <v>149.12</v>
      </c>
      <c r="K178" s="336">
        <f t="shared" si="5"/>
        <v>-8700.0000000000182</v>
      </c>
    </row>
    <row r="179" spans="1:11">
      <c r="A179" s="325" t="s">
        <v>1301</v>
      </c>
      <c r="B179" s="328" t="s">
        <v>1352</v>
      </c>
      <c r="C179" s="328" t="s">
        <v>339</v>
      </c>
      <c r="D179" s="542" t="s">
        <v>339</v>
      </c>
      <c r="E179" s="330">
        <v>-1</v>
      </c>
      <c r="F179" s="331" t="s">
        <v>638</v>
      </c>
      <c r="G179" s="332">
        <v>0</v>
      </c>
      <c r="H179" s="561" t="s">
        <v>1368</v>
      </c>
      <c r="I179" s="335">
        <v>149.12</v>
      </c>
      <c r="J179" s="335">
        <v>149.06</v>
      </c>
      <c r="K179" s="336">
        <f t="shared" si="5"/>
        <v>60.000000000002274</v>
      </c>
    </row>
    <row r="180" spans="1:11">
      <c r="A180" s="325" t="s">
        <v>1301</v>
      </c>
      <c r="B180" s="328" t="s">
        <v>1352</v>
      </c>
      <c r="C180" s="328" t="s">
        <v>339</v>
      </c>
      <c r="D180" s="542" t="s">
        <v>339</v>
      </c>
      <c r="E180" s="330">
        <v>-2</v>
      </c>
      <c r="F180" s="331" t="s">
        <v>638</v>
      </c>
      <c r="G180" s="332">
        <v>0</v>
      </c>
      <c r="H180" s="561" t="s">
        <v>1369</v>
      </c>
      <c r="I180" s="335">
        <v>149.13999999999999</v>
      </c>
      <c r="J180" s="335">
        <v>149.06</v>
      </c>
      <c r="K180" s="336">
        <f t="shared" si="5"/>
        <v>159.99999999996817</v>
      </c>
    </row>
    <row r="181" spans="1:11">
      <c r="A181" s="325" t="s">
        <v>1301</v>
      </c>
      <c r="B181" s="328" t="s">
        <v>1263</v>
      </c>
      <c r="C181" s="328" t="s">
        <v>339</v>
      </c>
      <c r="D181" s="542" t="s">
        <v>339</v>
      </c>
      <c r="E181" s="330">
        <v>-9</v>
      </c>
      <c r="F181" s="331" t="s">
        <v>638</v>
      </c>
      <c r="G181" s="332">
        <v>2280</v>
      </c>
      <c r="H181" s="561" t="s">
        <v>1312</v>
      </c>
      <c r="I181" s="335">
        <v>140.4</v>
      </c>
      <c r="J181" s="335">
        <v>149.1</v>
      </c>
      <c r="K181" s="336">
        <f t="shared" si="5"/>
        <v>-78299.999999999898</v>
      </c>
    </row>
    <row r="182" spans="1:11">
      <c r="A182" s="325"/>
      <c r="B182" s="328"/>
      <c r="C182" s="328"/>
      <c r="D182" s="542"/>
      <c r="E182" s="330"/>
      <c r="F182" s="331"/>
      <c r="G182" s="332"/>
      <c r="H182" s="561"/>
      <c r="I182" s="335"/>
      <c r="J182" s="335"/>
      <c r="K182" s="336">
        <f t="shared" si="5"/>
        <v>0</v>
      </c>
    </row>
    <row r="183" spans="1:11">
      <c r="A183" s="325"/>
      <c r="B183" s="328"/>
      <c r="C183" s="328"/>
      <c r="D183" s="542"/>
      <c r="E183" s="330"/>
      <c r="F183" s="331"/>
      <c r="G183" s="332"/>
      <c r="H183" s="561"/>
      <c r="I183" s="335"/>
      <c r="J183" s="335"/>
      <c r="K183" s="336">
        <f t="shared" si="5"/>
        <v>0</v>
      </c>
    </row>
    <row r="184" spans="1:11">
      <c r="A184" s="325"/>
      <c r="B184" s="328"/>
      <c r="C184" s="328"/>
      <c r="D184" s="542"/>
      <c r="E184" s="330"/>
      <c r="F184" s="331"/>
      <c r="G184" s="332"/>
      <c r="H184" s="561"/>
      <c r="I184" s="335"/>
      <c r="J184" s="335"/>
      <c r="K184" s="336">
        <f t="shared" si="5"/>
        <v>0</v>
      </c>
    </row>
    <row r="185" spans="1:11">
      <c r="A185" s="325"/>
      <c r="B185" s="328"/>
      <c r="C185" s="328"/>
      <c r="D185" s="542"/>
      <c r="E185" s="330"/>
      <c r="F185" s="331"/>
      <c r="G185" s="332"/>
      <c r="H185" s="561"/>
      <c r="I185" s="335"/>
      <c r="J185" s="335"/>
      <c r="K185" s="336">
        <f t="shared" si="5"/>
        <v>0</v>
      </c>
    </row>
    <row r="186" spans="1:11">
      <c r="A186" s="325"/>
      <c r="B186" s="328"/>
      <c r="C186" s="328"/>
      <c r="D186" s="542"/>
      <c r="E186" s="330"/>
      <c r="F186" s="331"/>
      <c r="G186" s="332"/>
      <c r="H186" s="561"/>
      <c r="I186" s="335"/>
      <c r="J186" s="335"/>
      <c r="K186" s="336">
        <f t="shared" si="5"/>
        <v>0</v>
      </c>
    </row>
    <row r="187" spans="1:11">
      <c r="A187" s="325"/>
      <c r="B187" s="328"/>
      <c r="C187" s="328"/>
      <c r="D187" s="542"/>
      <c r="E187" s="330"/>
      <c r="F187" s="331"/>
      <c r="G187" s="332"/>
      <c r="H187" s="561"/>
      <c r="I187" s="335"/>
      <c r="J187" s="335"/>
      <c r="K187" s="336">
        <f t="shared" si="5"/>
        <v>0</v>
      </c>
    </row>
    <row r="188" spans="1:11">
      <c r="A188" s="325"/>
      <c r="B188" s="328"/>
      <c r="C188" s="328"/>
      <c r="D188" s="542"/>
      <c r="E188" s="330"/>
      <c r="F188" s="331"/>
      <c r="G188" s="332"/>
      <c r="H188" s="561"/>
      <c r="I188" s="335"/>
      <c r="J188" s="335"/>
      <c r="K188" s="336">
        <f t="shared" si="5"/>
        <v>0</v>
      </c>
    </row>
    <row r="189" spans="1:11">
      <c r="A189" s="325"/>
      <c r="B189" s="328"/>
      <c r="C189" s="328"/>
      <c r="D189" s="542"/>
      <c r="E189" s="330"/>
      <c r="F189" s="331"/>
      <c r="G189" s="332"/>
      <c r="H189" s="561"/>
      <c r="I189" s="335"/>
      <c r="J189" s="335"/>
      <c r="K189" s="336">
        <f t="shared" si="5"/>
        <v>0</v>
      </c>
    </row>
    <row r="190" spans="1:11">
      <c r="A190" s="325"/>
      <c r="B190" s="328"/>
      <c r="C190" s="328"/>
      <c r="D190" s="542"/>
      <c r="E190" s="330"/>
      <c r="F190" s="331"/>
      <c r="G190" s="332"/>
      <c r="H190" s="561"/>
      <c r="I190" s="335"/>
      <c r="J190" s="335"/>
      <c r="K190" s="336">
        <f t="shared" si="5"/>
        <v>0</v>
      </c>
    </row>
    <row r="191" spans="1:11">
      <c r="A191" s="325"/>
      <c r="B191" s="328"/>
      <c r="C191" s="328"/>
      <c r="D191" s="542"/>
      <c r="E191" s="330"/>
      <c r="F191" s="331"/>
      <c r="G191" s="332"/>
      <c r="H191" s="561"/>
      <c r="I191" s="335"/>
      <c r="J191" s="335"/>
      <c r="K191" s="336">
        <f t="shared" si="5"/>
        <v>0</v>
      </c>
    </row>
    <row r="192" spans="1:11">
      <c r="A192" s="325"/>
      <c r="B192" s="328"/>
      <c r="C192" s="328"/>
      <c r="D192" s="542"/>
      <c r="E192" s="330"/>
      <c r="F192" s="331"/>
      <c r="G192" s="332"/>
      <c r="H192" s="561"/>
      <c r="I192" s="335"/>
      <c r="J192" s="335"/>
      <c r="K192" s="336">
        <f t="shared" si="5"/>
        <v>0</v>
      </c>
    </row>
    <row r="193" spans="1:11">
      <c r="A193" s="325"/>
      <c r="B193" s="328"/>
      <c r="C193" s="328"/>
      <c r="D193" s="542"/>
      <c r="E193" s="330"/>
      <c r="F193" s="331"/>
      <c r="G193" s="332"/>
      <c r="H193" s="561"/>
      <c r="I193" s="335"/>
      <c r="J193" s="335"/>
      <c r="K193" s="336">
        <f t="shared" si="5"/>
        <v>0</v>
      </c>
    </row>
    <row r="194" spans="1:11">
      <c r="A194" s="325"/>
      <c r="B194" s="328"/>
      <c r="C194" s="328"/>
      <c r="D194" s="542"/>
      <c r="E194" s="330"/>
      <c r="F194" s="331"/>
      <c r="G194" s="332"/>
      <c r="H194" s="561"/>
      <c r="I194" s="335"/>
      <c r="J194" s="335"/>
      <c r="K194" s="336">
        <f t="shared" si="5"/>
        <v>0</v>
      </c>
    </row>
    <row r="195" spans="1:11">
      <c r="A195" s="325"/>
      <c r="B195" s="328"/>
      <c r="C195" s="328"/>
      <c r="D195" s="542"/>
      <c r="E195" s="330"/>
      <c r="F195" s="331"/>
      <c r="G195" s="332"/>
      <c r="H195" s="561"/>
      <c r="I195" s="335"/>
      <c r="J195" s="335"/>
      <c r="K195" s="336">
        <f t="shared" si="5"/>
        <v>0</v>
      </c>
    </row>
    <row r="196" spans="1:11">
      <c r="A196" s="325"/>
      <c r="B196" s="328"/>
      <c r="C196" s="328"/>
      <c r="D196" s="542"/>
      <c r="E196" s="330"/>
      <c r="F196" s="331"/>
      <c r="G196" s="332"/>
      <c r="H196" s="561"/>
      <c r="I196" s="335"/>
      <c r="J196" s="335"/>
      <c r="K196" s="336">
        <f t="shared" si="5"/>
        <v>0</v>
      </c>
    </row>
    <row r="197" spans="1:11">
      <c r="A197" s="325"/>
      <c r="B197" s="328"/>
      <c r="C197" s="328"/>
      <c r="D197" s="542"/>
      <c r="E197" s="330"/>
      <c r="F197" s="331"/>
      <c r="G197" s="332"/>
      <c r="H197" s="561"/>
      <c r="I197" s="335"/>
      <c r="J197" s="335"/>
      <c r="K197" s="336">
        <f t="shared" si="5"/>
        <v>0</v>
      </c>
    </row>
    <row r="198" spans="1:11">
      <c r="A198" s="325"/>
      <c r="B198" s="328"/>
      <c r="C198" s="328"/>
      <c r="D198" s="542"/>
      <c r="E198" s="330"/>
      <c r="F198" s="331"/>
      <c r="G198" s="332"/>
      <c r="H198" s="561"/>
      <c r="I198" s="335"/>
      <c r="J198" s="335"/>
      <c r="K198" s="336">
        <f t="shared" si="5"/>
        <v>0</v>
      </c>
    </row>
    <row r="199" spans="1:11">
      <c r="A199" s="325"/>
      <c r="B199" s="328"/>
      <c r="C199" s="328"/>
      <c r="D199" s="542"/>
      <c r="E199" s="330"/>
      <c r="F199" s="331"/>
      <c r="G199" s="332"/>
      <c r="H199" s="561"/>
      <c r="I199" s="335"/>
      <c r="J199" s="335"/>
      <c r="K199" s="336">
        <f t="shared" si="5"/>
        <v>0</v>
      </c>
    </row>
    <row r="200" spans="1:11">
      <c r="A200" s="325"/>
      <c r="B200" s="328"/>
      <c r="C200" s="328"/>
      <c r="D200" s="542"/>
      <c r="E200" s="330"/>
      <c r="F200" s="331"/>
      <c r="G200" s="332"/>
      <c r="H200" s="561"/>
      <c r="I200" s="335"/>
      <c r="J200" s="335"/>
      <c r="K200" s="336">
        <f t="shared" si="5"/>
        <v>0</v>
      </c>
    </row>
    <row r="201" spans="1:11">
      <c r="A201" s="325"/>
      <c r="B201" s="328"/>
      <c r="C201" s="328"/>
      <c r="D201" s="542"/>
      <c r="E201" s="330"/>
      <c r="F201" s="331"/>
      <c r="G201" s="332"/>
      <c r="H201" s="561"/>
      <c r="I201" s="335"/>
      <c r="J201" s="335"/>
      <c r="K201" s="336">
        <f t="shared" si="5"/>
        <v>0</v>
      </c>
    </row>
    <row r="202" spans="1:11">
      <c r="A202" s="325"/>
      <c r="B202" s="328"/>
      <c r="C202" s="328"/>
      <c r="D202" s="542"/>
      <c r="E202" s="330"/>
      <c r="F202" s="331"/>
      <c r="G202" s="332"/>
      <c r="H202" s="561"/>
      <c r="I202" s="335"/>
      <c r="J202" s="335"/>
      <c r="K202" s="336">
        <f t="shared" si="5"/>
        <v>0</v>
      </c>
    </row>
    <row r="203" spans="1:11">
      <c r="A203" s="325"/>
      <c r="B203" s="328"/>
      <c r="C203" s="328"/>
      <c r="D203" s="542"/>
      <c r="E203" s="330"/>
      <c r="F203" s="331"/>
      <c r="G203" s="332"/>
      <c r="H203" s="561"/>
      <c r="I203" s="335"/>
      <c r="J203" s="335"/>
      <c r="K203" s="336">
        <f t="shared" si="5"/>
        <v>0</v>
      </c>
    </row>
    <row r="204" spans="1:11">
      <c r="A204" s="325" t="s">
        <v>1297</v>
      </c>
      <c r="B204" s="328">
        <v>39220</v>
      </c>
      <c r="C204" s="328" t="s">
        <v>21</v>
      </c>
      <c r="D204" s="542"/>
      <c r="E204" s="330">
        <v>0</v>
      </c>
      <c r="F204" s="331" t="s">
        <v>135</v>
      </c>
      <c r="G204" s="332">
        <v>0</v>
      </c>
      <c r="H204" s="561" t="s">
        <v>248</v>
      </c>
      <c r="I204" s="335">
        <v>102.55500000000001</v>
      </c>
      <c r="J204" s="335">
        <v>0</v>
      </c>
      <c r="K204" s="336">
        <f t="shared" si="5"/>
        <v>0</v>
      </c>
    </row>
    <row r="205" spans="1:11">
      <c r="A205" s="325" t="s">
        <v>1299</v>
      </c>
      <c r="B205" s="328">
        <v>39224</v>
      </c>
      <c r="C205" s="328" t="s">
        <v>21</v>
      </c>
      <c r="D205" s="542"/>
      <c r="E205" s="330">
        <v>0</v>
      </c>
      <c r="F205" s="331" t="s">
        <v>135</v>
      </c>
      <c r="G205" s="332">
        <v>0</v>
      </c>
      <c r="H205" s="561"/>
      <c r="I205" s="335">
        <v>102.89</v>
      </c>
      <c r="J205" s="335">
        <v>0</v>
      </c>
      <c r="K205" s="336">
        <f t="shared" si="5"/>
        <v>0</v>
      </c>
    </row>
    <row r="206" spans="1:11">
      <c r="A206" s="349" t="s">
        <v>166</v>
      </c>
      <c r="B206" s="350"/>
      <c r="C206" s="351"/>
      <c r="D206" s="545"/>
      <c r="E206" s="352">
        <f>SUM(E171:E205)</f>
        <v>-127</v>
      </c>
      <c r="F206" s="353"/>
      <c r="G206" s="354">
        <f>SUM(G171:G205)</f>
        <v>5890</v>
      </c>
      <c r="H206" s="563"/>
      <c r="I206" s="356"/>
      <c r="J206" s="357"/>
      <c r="K206" s="358">
        <f>SUM(K171:K205)</f>
        <v>60310.000000001004</v>
      </c>
    </row>
    <row r="207" spans="1:11">
      <c r="A207" s="716" t="s">
        <v>414</v>
      </c>
      <c r="B207" s="108"/>
      <c r="C207" s="275"/>
      <c r="D207" s="546"/>
      <c r="E207" s="70"/>
      <c r="F207" s="203"/>
      <c r="G207" s="105"/>
      <c r="H207" s="487"/>
      <c r="I207" s="204"/>
      <c r="J207" s="205"/>
      <c r="K207" s="106"/>
    </row>
    <row r="208" spans="1:11">
      <c r="A208" s="206" t="s">
        <v>99</v>
      </c>
      <c r="B208" s="207" t="s">
        <v>7</v>
      </c>
      <c r="C208" s="207" t="s">
        <v>171</v>
      </c>
      <c r="D208" s="535" t="s">
        <v>170</v>
      </c>
      <c r="E208" s="208" t="s">
        <v>11</v>
      </c>
      <c r="F208" s="207" t="s">
        <v>2</v>
      </c>
      <c r="G208" s="209" t="s">
        <v>12</v>
      </c>
      <c r="H208" s="482" t="s">
        <v>18</v>
      </c>
      <c r="I208" s="209" t="s">
        <v>10</v>
      </c>
      <c r="J208" s="207" t="s">
        <v>216</v>
      </c>
      <c r="K208" s="260" t="s">
        <v>212</v>
      </c>
    </row>
    <row r="209" spans="1:11">
      <c r="A209" s="325"/>
      <c r="B209" s="328"/>
      <c r="C209" s="329"/>
      <c r="D209" s="542"/>
      <c r="E209" s="330"/>
      <c r="F209" s="331"/>
      <c r="G209" s="332"/>
      <c r="H209" s="483"/>
      <c r="I209" s="335">
        <v>135.12</v>
      </c>
      <c r="J209" s="335">
        <v>0</v>
      </c>
      <c r="K209" s="336">
        <v>0</v>
      </c>
    </row>
    <row r="210" spans="1:11">
      <c r="A210" s="337"/>
      <c r="B210" s="340"/>
      <c r="C210" s="341"/>
      <c r="D210" s="543"/>
      <c r="E210" s="342"/>
      <c r="F210" s="343"/>
      <c r="G210" s="344"/>
      <c r="H210" s="484"/>
      <c r="I210" s="347">
        <v>108.77</v>
      </c>
      <c r="J210" s="347">
        <v>0</v>
      </c>
      <c r="K210" s="348">
        <f>(J210-I210)*E210/100</f>
        <v>0</v>
      </c>
    </row>
    <row r="211" spans="1:11">
      <c r="A211" s="337"/>
      <c r="B211" s="340"/>
      <c r="C211" s="341"/>
      <c r="D211" s="543"/>
      <c r="E211" s="342"/>
      <c r="F211" s="343"/>
      <c r="G211" s="344"/>
      <c r="H211" s="484"/>
      <c r="I211" s="347"/>
      <c r="J211" s="347"/>
      <c r="K211" s="348">
        <v>0</v>
      </c>
    </row>
    <row r="212" spans="1:11">
      <c r="A212" s="337"/>
      <c r="B212" s="340"/>
      <c r="C212" s="341"/>
      <c r="D212" s="543"/>
      <c r="E212" s="342"/>
      <c r="F212" s="343"/>
      <c r="G212" s="344"/>
      <c r="H212" s="484"/>
      <c r="I212" s="347">
        <v>109.88</v>
      </c>
      <c r="J212" s="347">
        <v>0</v>
      </c>
      <c r="K212" s="348">
        <f>(J212-I212)*E212/100</f>
        <v>0</v>
      </c>
    </row>
    <row r="213" spans="1:11">
      <c r="A213" s="285"/>
      <c r="B213" s="288"/>
      <c r="C213" s="289"/>
      <c r="D213" s="544"/>
      <c r="E213" s="290"/>
      <c r="F213" s="291"/>
      <c r="G213" s="292"/>
      <c r="H213" s="485"/>
      <c r="I213" s="295">
        <v>102.55500000000001</v>
      </c>
      <c r="J213" s="295">
        <v>0</v>
      </c>
      <c r="K213" s="296">
        <f>(J213-I213)*E213/100</f>
        <v>0</v>
      </c>
    </row>
    <row r="214" spans="1:11">
      <c r="A214" s="285"/>
      <c r="B214" s="288"/>
      <c r="C214" s="289"/>
      <c r="D214" s="544"/>
      <c r="E214" s="290"/>
      <c r="F214" s="291"/>
      <c r="G214" s="292"/>
      <c r="H214" s="485"/>
      <c r="I214" s="295">
        <v>102.89</v>
      </c>
      <c r="J214" s="295">
        <v>0</v>
      </c>
      <c r="K214" s="296">
        <f>(J214-I214)*E214/100</f>
        <v>0</v>
      </c>
    </row>
    <row r="215" spans="1:11">
      <c r="A215" s="349" t="s">
        <v>166</v>
      </c>
      <c r="B215" s="350"/>
      <c r="C215" s="351"/>
      <c r="D215" s="545"/>
      <c r="E215" s="352">
        <f>SUM(E209:E214)</f>
        <v>0</v>
      </c>
      <c r="F215" s="353"/>
      <c r="G215" s="354">
        <f>SUM(G209:G214)</f>
        <v>0</v>
      </c>
      <c r="H215" s="486"/>
      <c r="I215" s="356"/>
      <c r="J215" s="357"/>
      <c r="K215" s="358">
        <f>SUM(K209:K214)</f>
        <v>0</v>
      </c>
    </row>
    <row r="216" spans="1:11">
      <c r="A216" s="716" t="s">
        <v>326</v>
      </c>
      <c r="B216" s="108"/>
      <c r="C216" s="275"/>
      <c r="D216" s="546"/>
      <c r="E216" s="70"/>
      <c r="F216" s="203"/>
      <c r="G216" s="105"/>
      <c r="H216" s="487"/>
      <c r="I216" s="204"/>
      <c r="J216" s="205"/>
      <c r="K216" s="106"/>
    </row>
    <row r="217" spans="1:11">
      <c r="A217" s="206" t="s">
        <v>99</v>
      </c>
      <c r="B217" s="207" t="s">
        <v>7</v>
      </c>
      <c r="C217" s="207" t="s">
        <v>171</v>
      </c>
      <c r="D217" s="535" t="s">
        <v>170</v>
      </c>
      <c r="E217" s="208" t="s">
        <v>11</v>
      </c>
      <c r="F217" s="207" t="s">
        <v>2</v>
      </c>
      <c r="G217" s="209" t="s">
        <v>12</v>
      </c>
      <c r="H217" s="482" t="s">
        <v>18</v>
      </c>
      <c r="I217" s="209" t="s">
        <v>10</v>
      </c>
      <c r="J217" s="207" t="s">
        <v>216</v>
      </c>
      <c r="K217" s="260" t="s">
        <v>212</v>
      </c>
    </row>
    <row r="218" spans="1:11">
      <c r="A218" s="325" t="s">
        <v>413</v>
      </c>
      <c r="B218" s="328">
        <v>44195</v>
      </c>
      <c r="C218" s="329"/>
      <c r="D218" s="542"/>
      <c r="E218" s="330">
        <v>0</v>
      </c>
      <c r="F218" s="331"/>
      <c r="G218" s="332">
        <v>-7630</v>
      </c>
      <c r="H218" s="483"/>
      <c r="I218" s="335">
        <v>100.2431</v>
      </c>
      <c r="J218" s="335">
        <v>100.2963</v>
      </c>
      <c r="K218" s="336">
        <f>(J218-I218)*E218/100</f>
        <v>0</v>
      </c>
    </row>
    <row r="219" spans="1:11">
      <c r="A219" s="690" t="s">
        <v>363</v>
      </c>
      <c r="B219" s="700">
        <v>44064</v>
      </c>
      <c r="C219" s="691">
        <v>44231</v>
      </c>
      <c r="D219" s="701"/>
      <c r="E219" s="702">
        <v>0</v>
      </c>
      <c r="F219" s="693"/>
      <c r="G219" s="779">
        <f>-VLOOKUP(A219,'market px'!K$2:P$25,3,FALSE)*E219/1000000</f>
        <v>0</v>
      </c>
      <c r="H219" s="703"/>
      <c r="I219" s="704">
        <v>97.344700000000003</v>
      </c>
      <c r="J219" s="696">
        <v>95.384200000000007</v>
      </c>
      <c r="K219" s="698">
        <f t="shared" ref="K219:K235" si="6">(J219-I219)*E219/100</f>
        <v>0</v>
      </c>
    </row>
    <row r="220" spans="1:11">
      <c r="A220" s="325" t="s">
        <v>368</v>
      </c>
      <c r="B220" s="328">
        <v>44231</v>
      </c>
      <c r="C220" s="328">
        <v>44231</v>
      </c>
      <c r="D220" s="542"/>
      <c r="E220" s="330">
        <v>0</v>
      </c>
      <c r="F220" s="331"/>
      <c r="G220" s="332">
        <f>-VLOOKUP(A220,'market px'!K$1:P$80,3,FALSE)*E220/1000000</f>
        <v>0</v>
      </c>
      <c r="H220" s="483"/>
      <c r="I220" s="335">
        <v>95.273600000000002</v>
      </c>
      <c r="J220" s="335">
        <v>95.217100000000002</v>
      </c>
      <c r="K220" s="336">
        <f t="shared" si="6"/>
        <v>0</v>
      </c>
    </row>
    <row r="221" spans="1:11">
      <c r="A221" s="337" t="s">
        <v>368</v>
      </c>
      <c r="B221" s="340">
        <v>44060</v>
      </c>
      <c r="C221" s="341"/>
      <c r="D221" s="543"/>
      <c r="E221" s="342">
        <v>0</v>
      </c>
      <c r="F221" s="343"/>
      <c r="G221" s="344">
        <v>-4115</v>
      </c>
      <c r="H221" s="484"/>
      <c r="I221" s="347">
        <v>97.235600000000005</v>
      </c>
      <c r="J221" s="347">
        <v>96.033299999999997</v>
      </c>
      <c r="K221" s="348">
        <f t="shared" si="6"/>
        <v>0</v>
      </c>
    </row>
    <row r="222" spans="1:11">
      <c r="A222" s="337" t="s">
        <v>460</v>
      </c>
      <c r="B222" s="340">
        <v>44187</v>
      </c>
      <c r="C222" s="341"/>
      <c r="D222" s="543"/>
      <c r="E222" s="342">
        <v>0</v>
      </c>
      <c r="F222" s="343"/>
      <c r="G222" s="344">
        <v>-2080</v>
      </c>
      <c r="H222" s="484"/>
      <c r="I222" s="347">
        <v>100.25700000000001</v>
      </c>
      <c r="J222" s="347">
        <v>100.3359</v>
      </c>
      <c r="K222" s="348">
        <f t="shared" si="6"/>
        <v>0</v>
      </c>
    </row>
    <row r="223" spans="1:11">
      <c r="A223" s="337" t="s">
        <v>402</v>
      </c>
      <c r="B223" s="340">
        <v>44218</v>
      </c>
      <c r="C223" s="341"/>
      <c r="D223" s="543"/>
      <c r="E223" s="342">
        <v>0</v>
      </c>
      <c r="F223" s="343"/>
      <c r="G223" s="344">
        <v>-2613.9</v>
      </c>
      <c r="H223" s="484"/>
      <c r="I223" s="347">
        <v>100.4211</v>
      </c>
      <c r="J223" s="347">
        <v>100.3167</v>
      </c>
      <c r="K223" s="348">
        <f t="shared" si="6"/>
        <v>0</v>
      </c>
    </row>
    <row r="224" spans="1:11">
      <c r="A224" s="337" t="s">
        <v>415</v>
      </c>
      <c r="B224" s="340">
        <v>44216</v>
      </c>
      <c r="C224" s="341"/>
      <c r="D224" s="543"/>
      <c r="E224" s="342">
        <v>0</v>
      </c>
      <c r="F224" s="343"/>
      <c r="G224" s="344">
        <v>-8490</v>
      </c>
      <c r="H224" s="484"/>
      <c r="I224" s="347">
        <v>100.9622</v>
      </c>
      <c r="J224" s="347">
        <v>102.26260000000001</v>
      </c>
      <c r="K224" s="348">
        <f t="shared" si="6"/>
        <v>0</v>
      </c>
    </row>
    <row r="225" spans="1:11">
      <c r="A225" s="337" t="s">
        <v>415</v>
      </c>
      <c r="B225" s="340">
        <v>44313</v>
      </c>
      <c r="C225" s="341"/>
      <c r="D225" s="543"/>
      <c r="E225" s="342">
        <v>0</v>
      </c>
      <c r="F225" s="343"/>
      <c r="G225" s="344">
        <v>-4245</v>
      </c>
      <c r="H225" s="484"/>
      <c r="I225" s="347">
        <v>100.5916</v>
      </c>
      <c r="J225" s="347">
        <v>102.26260000000001</v>
      </c>
      <c r="K225" s="348">
        <f t="shared" si="6"/>
        <v>0</v>
      </c>
    </row>
    <row r="226" spans="1:11">
      <c r="A226" s="337" t="s">
        <v>415</v>
      </c>
      <c r="B226" s="340">
        <v>44351</v>
      </c>
      <c r="C226" s="341"/>
      <c r="D226" s="543"/>
      <c r="E226" s="342">
        <v>0</v>
      </c>
      <c r="F226" s="343"/>
      <c r="G226" s="344">
        <v>-4245</v>
      </c>
      <c r="H226" s="484"/>
      <c r="I226" s="347">
        <v>101.2915</v>
      </c>
      <c r="J226" s="347">
        <v>102.26260000000001</v>
      </c>
      <c r="K226" s="348">
        <f t="shared" si="6"/>
        <v>0</v>
      </c>
    </row>
    <row r="227" spans="1:11">
      <c r="A227" s="337" t="s">
        <v>415</v>
      </c>
      <c r="B227" s="340">
        <v>44363</v>
      </c>
      <c r="C227" s="341"/>
      <c r="D227" s="543"/>
      <c r="E227" s="342">
        <v>0</v>
      </c>
      <c r="F227" s="343"/>
      <c r="G227" s="344">
        <v>-8490</v>
      </c>
      <c r="H227" s="484"/>
      <c r="I227" s="347">
        <v>100.9697</v>
      </c>
      <c r="J227" s="347">
        <v>102.26260000000001</v>
      </c>
      <c r="K227" s="348">
        <f t="shared" si="6"/>
        <v>0</v>
      </c>
    </row>
    <row r="228" spans="1:11">
      <c r="A228" s="337" t="s">
        <v>460</v>
      </c>
      <c r="B228" s="340">
        <v>44187</v>
      </c>
      <c r="C228" s="341"/>
      <c r="D228" s="543"/>
      <c r="E228" s="342">
        <v>0</v>
      </c>
      <c r="F228" s="343"/>
      <c r="G228" s="344">
        <v>-2080</v>
      </c>
      <c r="H228" s="484"/>
      <c r="I228" s="347">
        <v>100.25700000000001</v>
      </c>
      <c r="J228" s="347">
        <v>100.37995565479042</v>
      </c>
      <c r="K228" s="348">
        <f t="shared" si="6"/>
        <v>0</v>
      </c>
    </row>
    <row r="229" spans="1:11">
      <c r="A229" s="337" t="s">
        <v>368</v>
      </c>
      <c r="B229" s="340">
        <v>44060</v>
      </c>
      <c r="C229" s="341"/>
      <c r="D229" s="543"/>
      <c r="E229" s="342">
        <v>0</v>
      </c>
      <c r="F229" s="343"/>
      <c r="G229" s="344">
        <v>-4115</v>
      </c>
      <c r="H229" s="484"/>
      <c r="I229" s="347">
        <v>97.235600000000005</v>
      </c>
      <c r="J229" s="347">
        <v>97.571192563840881</v>
      </c>
      <c r="K229" s="348">
        <f t="shared" si="6"/>
        <v>0</v>
      </c>
    </row>
    <row r="230" spans="1:11">
      <c r="A230" s="337" t="s">
        <v>368</v>
      </c>
      <c r="B230" s="340">
        <v>44063</v>
      </c>
      <c r="C230" s="341"/>
      <c r="D230" s="543"/>
      <c r="E230" s="342">
        <v>0</v>
      </c>
      <c r="F230" s="343"/>
      <c r="G230" s="344">
        <v>-4115</v>
      </c>
      <c r="H230" s="484"/>
      <c r="I230" s="347">
        <v>96.494600000000005</v>
      </c>
      <c r="J230" s="347">
        <v>97.571192563840881</v>
      </c>
      <c r="K230" s="348">
        <f t="shared" si="6"/>
        <v>0</v>
      </c>
    </row>
    <row r="231" spans="1:11">
      <c r="A231" s="337" t="s">
        <v>368</v>
      </c>
      <c r="B231" s="340">
        <v>44140</v>
      </c>
      <c r="C231" s="341"/>
      <c r="D231" s="543"/>
      <c r="E231" s="342">
        <v>0</v>
      </c>
      <c r="F231" s="343"/>
      <c r="G231" s="344">
        <v>-8230</v>
      </c>
      <c r="H231" s="484"/>
      <c r="I231" s="347">
        <v>95.1297</v>
      </c>
      <c r="J231" s="347">
        <v>97.571192563840881</v>
      </c>
      <c r="K231" s="348">
        <f t="shared" si="6"/>
        <v>0</v>
      </c>
    </row>
    <row r="232" spans="1:11">
      <c r="A232" s="337" t="s">
        <v>413</v>
      </c>
      <c r="B232" s="340">
        <v>44195</v>
      </c>
      <c r="C232" s="341"/>
      <c r="D232" s="543"/>
      <c r="E232" s="342">
        <v>0</v>
      </c>
      <c r="F232" s="343"/>
      <c r="G232" s="344">
        <v>-6540</v>
      </c>
      <c r="H232" s="484"/>
      <c r="I232" s="347">
        <v>100.2431</v>
      </c>
      <c r="J232" s="347">
        <v>100.38144031994074</v>
      </c>
      <c r="K232" s="348">
        <f t="shared" si="6"/>
        <v>0</v>
      </c>
    </row>
    <row r="233" spans="1:11">
      <c r="A233" s="337" t="s">
        <v>496</v>
      </c>
      <c r="B233" s="340">
        <v>44315</v>
      </c>
      <c r="C233" s="341"/>
      <c r="D233" s="543"/>
      <c r="E233" s="342">
        <v>0</v>
      </c>
      <c r="F233" s="343"/>
      <c r="G233" s="344">
        <v>-4045</v>
      </c>
      <c r="H233" s="484"/>
      <c r="I233" s="347">
        <v>100.7139</v>
      </c>
      <c r="J233" s="347">
        <v>102.27694082453482</v>
      </c>
      <c r="K233" s="348">
        <f t="shared" si="6"/>
        <v>0</v>
      </c>
    </row>
    <row r="234" spans="1:11">
      <c r="A234" s="285"/>
      <c r="B234" s="288"/>
      <c r="C234" s="289"/>
      <c r="D234" s="544"/>
      <c r="E234" s="290"/>
      <c r="F234" s="291"/>
      <c r="G234" s="292"/>
      <c r="H234" s="485"/>
      <c r="I234" s="295"/>
      <c r="J234" s="295"/>
      <c r="K234" s="296">
        <f t="shared" si="6"/>
        <v>0</v>
      </c>
    </row>
    <row r="235" spans="1:11">
      <c r="A235" s="285"/>
      <c r="B235" s="288"/>
      <c r="C235" s="289"/>
      <c r="D235" s="544"/>
      <c r="E235" s="290"/>
      <c r="F235" s="291"/>
      <c r="G235" s="292"/>
      <c r="H235" s="485"/>
      <c r="I235" s="295"/>
      <c r="J235" s="295"/>
      <c r="K235" s="296">
        <f t="shared" si="6"/>
        <v>0</v>
      </c>
    </row>
    <row r="236" spans="1:11">
      <c r="A236" s="111" t="s">
        <v>329</v>
      </c>
      <c r="B236" s="313"/>
      <c r="C236" s="313"/>
      <c r="D236" s="539"/>
      <c r="E236" s="314">
        <f>SUM(E218:E235)</f>
        <v>0</v>
      </c>
      <c r="F236" s="314"/>
      <c r="G236" s="316">
        <f>SUM(G218:G235)</f>
        <v>-71033.899999999994</v>
      </c>
      <c r="H236" s="479"/>
      <c r="I236" s="323"/>
      <c r="J236" s="318"/>
      <c r="K236" s="316">
        <f>SUM(K218:K235)</f>
        <v>0</v>
      </c>
    </row>
    <row r="237" spans="1:11">
      <c r="G237" s="14"/>
      <c r="H237" s="488"/>
    </row>
    <row r="238" spans="1:11">
      <c r="G238" s="14"/>
      <c r="H238" s="488"/>
    </row>
    <row r="239" spans="1:11">
      <c r="G239" s="14"/>
      <c r="H239" s="488"/>
    </row>
    <row r="240" spans="1:11">
      <c r="G240" s="14"/>
      <c r="H240" s="488"/>
    </row>
    <row r="241" spans="7:8">
      <c r="G241" s="14"/>
      <c r="H241" s="488"/>
    </row>
    <row r="242" spans="7:8">
      <c r="G242" s="14"/>
      <c r="H242" s="488"/>
    </row>
    <row r="243" spans="7:8">
      <c r="G243" s="14"/>
      <c r="H243" s="488"/>
    </row>
    <row r="244" spans="7:8">
      <c r="G244" s="14"/>
      <c r="H244" s="488"/>
    </row>
    <row r="245" spans="7:8">
      <c r="G245" s="14"/>
      <c r="H245" s="488"/>
    </row>
    <row r="246" spans="7:8">
      <c r="G246" s="14"/>
      <c r="H246" s="489"/>
    </row>
    <row r="247" spans="7:8">
      <c r="G247" s="14"/>
      <c r="H247" s="489"/>
    </row>
    <row r="248" spans="7:8">
      <c r="G248" s="14"/>
      <c r="H248" s="489"/>
    </row>
    <row r="249" spans="7:8">
      <c r="G249" s="14"/>
      <c r="H249" s="489"/>
    </row>
    <row r="250" spans="7:8">
      <c r="G250" s="14"/>
      <c r="H250" s="489"/>
    </row>
    <row r="251" spans="7:8">
      <c r="G251" s="14"/>
      <c r="H251" s="489"/>
    </row>
    <row r="252" spans="7:8">
      <c r="G252" s="14"/>
      <c r="H252" s="489"/>
    </row>
    <row r="253" spans="7:8">
      <c r="G253" s="14"/>
      <c r="H253" s="489"/>
    </row>
    <row r="254" spans="7:8">
      <c r="G254" s="14"/>
      <c r="H254" s="489"/>
    </row>
    <row r="255" spans="7:8">
      <c r="G255" s="14"/>
      <c r="H255" s="489"/>
    </row>
    <row r="256" spans="7:8">
      <c r="G256" s="14"/>
      <c r="H256" s="489"/>
    </row>
    <row r="257" spans="7:8">
      <c r="G257" s="14"/>
      <c r="H257" s="489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  <c r="H431" s="489"/>
    </row>
    <row r="432" spans="7:8">
      <c r="G432" s="14"/>
      <c r="H432" s="489"/>
    </row>
    <row r="433" spans="7:8">
      <c r="G433" s="14"/>
      <c r="H433" s="489"/>
    </row>
    <row r="434" spans="7:8">
      <c r="G434" s="14"/>
      <c r="H434" s="489"/>
    </row>
    <row r="435" spans="7:8">
      <c r="G435" s="14"/>
      <c r="H435" s="489"/>
    </row>
    <row r="436" spans="7:8">
      <c r="G436" s="14"/>
      <c r="H436" s="489"/>
    </row>
    <row r="437" spans="7:8">
      <c r="G437" s="14"/>
      <c r="H437" s="489"/>
    </row>
    <row r="438" spans="7:8">
      <c r="G438" s="14"/>
      <c r="H438" s="489"/>
    </row>
    <row r="439" spans="7:8">
      <c r="G439" s="14"/>
      <c r="H439" s="489"/>
    </row>
    <row r="440" spans="7:8">
      <c r="G440" s="14"/>
      <c r="H440" s="489"/>
    </row>
    <row r="441" spans="7:8">
      <c r="G441" s="14"/>
      <c r="H441" s="489"/>
    </row>
    <row r="442" spans="7:8">
      <c r="G442" s="14"/>
      <c r="H442" s="489"/>
    </row>
    <row r="443" spans="7:8">
      <c r="G443" s="14"/>
      <c r="H443" s="489"/>
    </row>
    <row r="444" spans="7:8">
      <c r="G444" s="14"/>
      <c r="H444" s="489"/>
    </row>
    <row r="445" spans="7:8">
      <c r="G445" s="14"/>
      <c r="H445" s="489"/>
    </row>
    <row r="446" spans="7:8">
      <c r="G446" s="14"/>
      <c r="H446" s="489"/>
    </row>
    <row r="447" spans="7:8">
      <c r="G447" s="14"/>
      <c r="H447" s="489"/>
    </row>
    <row r="448" spans="7:8">
      <c r="G448" s="14"/>
      <c r="H448" s="489"/>
    </row>
    <row r="449" spans="7:8">
      <c r="G449" s="14"/>
      <c r="H449" s="489"/>
    </row>
    <row r="450" spans="7:8">
      <c r="G450" s="14"/>
      <c r="H450" s="489"/>
    </row>
    <row r="451" spans="7:8">
      <c r="G451" s="14"/>
      <c r="H451" s="489"/>
    </row>
    <row r="452" spans="7:8">
      <c r="G452" s="14"/>
      <c r="H452" s="489"/>
    </row>
    <row r="453" spans="7:8">
      <c r="G453" s="14"/>
      <c r="H453" s="489"/>
    </row>
    <row r="454" spans="7:8">
      <c r="G454" s="14"/>
      <c r="H454" s="489"/>
    </row>
    <row r="455" spans="7:8">
      <c r="G455" s="14"/>
      <c r="H455" s="489"/>
    </row>
    <row r="456" spans="7:8">
      <c r="G456" s="14"/>
      <c r="H456" s="489"/>
    </row>
    <row r="457" spans="7:8">
      <c r="G457" s="14"/>
      <c r="H457" s="489"/>
    </row>
    <row r="458" spans="7:8">
      <c r="G458" s="14"/>
      <c r="H458" s="489"/>
    </row>
    <row r="459" spans="7:8">
      <c r="G459" s="14"/>
      <c r="H459" s="489"/>
    </row>
    <row r="460" spans="7:8">
      <c r="G460" s="14"/>
      <c r="H460" s="489"/>
    </row>
    <row r="461" spans="7:8">
      <c r="G461" s="14"/>
      <c r="H461" s="489"/>
    </row>
    <row r="462" spans="7:8">
      <c r="G462" s="14"/>
      <c r="H462" s="489"/>
    </row>
    <row r="463" spans="7:8">
      <c r="G463" s="14"/>
      <c r="H463" s="489"/>
    </row>
    <row r="464" spans="7:8">
      <c r="G464" s="14"/>
      <c r="H464" s="489"/>
    </row>
    <row r="465" spans="7:8">
      <c r="G465" s="14"/>
      <c r="H465" s="489"/>
    </row>
    <row r="466" spans="7:8">
      <c r="G466" s="14"/>
      <c r="H466" s="489"/>
    </row>
    <row r="467" spans="7:8">
      <c r="G467" s="14"/>
      <c r="H467" s="489"/>
    </row>
    <row r="468" spans="7:8">
      <c r="G468" s="14"/>
      <c r="H468" s="489"/>
    </row>
    <row r="469" spans="7:8">
      <c r="G469" s="14"/>
      <c r="H469" s="489"/>
    </row>
    <row r="470" spans="7:8">
      <c r="G470" s="14"/>
      <c r="H470" s="489"/>
    </row>
    <row r="471" spans="7:8">
      <c r="G471" s="14"/>
      <c r="H471" s="489"/>
    </row>
    <row r="472" spans="7:8">
      <c r="G472" s="14"/>
      <c r="H472" s="489"/>
    </row>
    <row r="473" spans="7:8">
      <c r="G473" s="14"/>
      <c r="H473" s="489"/>
    </row>
    <row r="474" spans="7:8">
      <c r="G474" s="14"/>
      <c r="H474" s="489"/>
    </row>
    <row r="475" spans="7:8">
      <c r="G475" s="14"/>
      <c r="H475" s="489"/>
    </row>
    <row r="476" spans="7:8">
      <c r="G476" s="14"/>
      <c r="H476" s="489"/>
    </row>
    <row r="477" spans="7:8">
      <c r="G477" s="14"/>
      <c r="H477" s="489"/>
    </row>
    <row r="478" spans="7:8">
      <c r="G478" s="14"/>
      <c r="H478" s="489"/>
    </row>
    <row r="479" spans="7:8">
      <c r="G479" s="14"/>
      <c r="H479" s="489"/>
    </row>
    <row r="480" spans="7:8">
      <c r="G480" s="14"/>
      <c r="H480" s="489"/>
    </row>
    <row r="481" spans="7:8">
      <c r="G481" s="14"/>
      <c r="H481" s="489"/>
    </row>
    <row r="482" spans="7:8">
      <c r="G482" s="14"/>
      <c r="H482" s="489"/>
    </row>
    <row r="483" spans="7:8">
      <c r="G483" s="14"/>
      <c r="H483" s="489"/>
    </row>
    <row r="484" spans="7:8">
      <c r="G484" s="14"/>
      <c r="H484" s="489"/>
    </row>
    <row r="485" spans="7:8">
      <c r="G485" s="14"/>
      <c r="H485" s="489"/>
    </row>
    <row r="486" spans="7:8">
      <c r="G486" s="14"/>
      <c r="H486" s="489"/>
    </row>
    <row r="487" spans="7:8">
      <c r="G487" s="14"/>
      <c r="H487" s="489"/>
    </row>
    <row r="488" spans="7:8">
      <c r="G488" s="14"/>
      <c r="H488" s="489"/>
    </row>
    <row r="489" spans="7:8">
      <c r="G489" s="14"/>
      <c r="H489" s="489"/>
    </row>
    <row r="490" spans="7:8">
      <c r="G490" s="14"/>
      <c r="H490" s="489"/>
    </row>
    <row r="491" spans="7:8">
      <c r="G491" s="14"/>
      <c r="H491" s="489"/>
    </row>
    <row r="492" spans="7:8">
      <c r="G492" s="14"/>
      <c r="H492" s="489"/>
    </row>
    <row r="493" spans="7:8">
      <c r="G493" s="14"/>
      <c r="H493" s="489"/>
    </row>
    <row r="494" spans="7:8">
      <c r="G494" s="14"/>
      <c r="H494" s="489"/>
    </row>
    <row r="495" spans="7:8">
      <c r="G495" s="14"/>
      <c r="H495" s="489"/>
    </row>
    <row r="496" spans="7:8">
      <c r="G496" s="14"/>
      <c r="H496" s="489"/>
    </row>
    <row r="497" spans="7:8">
      <c r="G497" s="14"/>
      <c r="H497" s="489"/>
    </row>
    <row r="498" spans="7:8">
      <c r="G498" s="14"/>
      <c r="H498" s="489"/>
    </row>
    <row r="499" spans="7:8">
      <c r="G499" s="14"/>
      <c r="H499" s="489"/>
    </row>
    <row r="500" spans="7:8">
      <c r="G500" s="14"/>
      <c r="H500" s="489"/>
    </row>
    <row r="501" spans="7:8">
      <c r="G501" s="14"/>
      <c r="H501" s="489"/>
    </row>
    <row r="502" spans="7:8">
      <c r="G502" s="14"/>
      <c r="H502" s="489"/>
    </row>
    <row r="503" spans="7:8">
      <c r="G503" s="14"/>
      <c r="H503" s="489"/>
    </row>
    <row r="504" spans="7:8">
      <c r="G504" s="14"/>
      <c r="H504" s="489"/>
    </row>
    <row r="505" spans="7:8">
      <c r="G505" s="14"/>
      <c r="H505" s="489"/>
    </row>
    <row r="506" spans="7:8">
      <c r="G506" s="14"/>
      <c r="H506" s="489"/>
    </row>
    <row r="507" spans="7:8">
      <c r="G507" s="14"/>
      <c r="H507" s="489"/>
    </row>
    <row r="508" spans="7:8">
      <c r="G508" s="14"/>
      <c r="H508" s="489"/>
    </row>
    <row r="509" spans="7:8">
      <c r="G509" s="14"/>
      <c r="H509" s="489"/>
    </row>
    <row r="510" spans="7:8">
      <c r="G510" s="14"/>
      <c r="H510" s="489"/>
    </row>
    <row r="511" spans="7:8">
      <c r="G511" s="14"/>
      <c r="H511" s="489"/>
    </row>
    <row r="512" spans="7:8">
      <c r="G512" s="14"/>
      <c r="H512" s="489"/>
    </row>
    <row r="513" spans="7:8">
      <c r="G513" s="14"/>
      <c r="H513" s="489"/>
    </row>
    <row r="514" spans="7:8">
      <c r="G514" s="14"/>
      <c r="H514" s="489"/>
    </row>
    <row r="515" spans="7:8">
      <c r="G515" s="14"/>
      <c r="H515" s="489"/>
    </row>
    <row r="516" spans="7:8">
      <c r="G516" s="14"/>
      <c r="H516" s="489"/>
    </row>
    <row r="517" spans="7:8">
      <c r="G517" s="14"/>
      <c r="H517" s="489"/>
    </row>
    <row r="518" spans="7:8">
      <c r="G518" s="14"/>
      <c r="H518" s="489"/>
    </row>
    <row r="519" spans="7:8">
      <c r="G519" s="14"/>
      <c r="H519" s="489"/>
    </row>
    <row r="520" spans="7:8">
      <c r="G520" s="14"/>
      <c r="H520" s="489"/>
    </row>
    <row r="521" spans="7:8">
      <c r="G521" s="14"/>
      <c r="H521" s="489"/>
    </row>
    <row r="522" spans="7:8">
      <c r="G522" s="14"/>
      <c r="H522" s="489"/>
    </row>
    <row r="523" spans="7:8">
      <c r="G523" s="14"/>
      <c r="H523" s="489"/>
    </row>
    <row r="524" spans="7:8">
      <c r="G524" s="14"/>
      <c r="H524" s="489"/>
    </row>
    <row r="525" spans="7:8">
      <c r="G525" s="14"/>
      <c r="H525" s="489"/>
    </row>
    <row r="526" spans="7:8">
      <c r="G526" s="14"/>
      <c r="H526" s="489"/>
    </row>
    <row r="527" spans="7:8">
      <c r="G527" s="14"/>
      <c r="H527" s="489"/>
    </row>
    <row r="528" spans="7:8">
      <c r="G528" s="14"/>
      <c r="H528" s="489"/>
    </row>
    <row r="529" spans="7:8">
      <c r="G529" s="14"/>
      <c r="H529" s="489"/>
    </row>
    <row r="530" spans="7:8">
      <c r="G530" s="14"/>
      <c r="H530" s="489"/>
    </row>
    <row r="531" spans="7:8">
      <c r="G531" s="14"/>
      <c r="H531" s="489"/>
    </row>
    <row r="532" spans="7:8">
      <c r="G532" s="14"/>
      <c r="H532" s="489"/>
    </row>
    <row r="533" spans="7:8">
      <c r="G533" s="14"/>
      <c r="H533" s="489"/>
    </row>
    <row r="534" spans="7:8">
      <c r="G534" s="14"/>
      <c r="H534" s="489"/>
    </row>
    <row r="535" spans="7:8">
      <c r="G535" s="14"/>
      <c r="H535" s="489"/>
    </row>
    <row r="536" spans="7:8">
      <c r="G536" s="14"/>
      <c r="H536" s="489"/>
    </row>
    <row r="537" spans="7:8">
      <c r="G537" s="14"/>
      <c r="H537" s="489"/>
    </row>
    <row r="538" spans="7:8">
      <c r="G538" s="14"/>
      <c r="H538" s="489"/>
    </row>
    <row r="539" spans="7:8">
      <c r="G539" s="14"/>
      <c r="H539" s="489"/>
    </row>
    <row r="540" spans="7:8">
      <c r="G540" s="14"/>
      <c r="H540" s="489"/>
    </row>
    <row r="541" spans="7:8">
      <c r="G541" s="14"/>
      <c r="H541" s="489"/>
    </row>
    <row r="542" spans="7:8">
      <c r="G542" s="14"/>
      <c r="H542" s="489"/>
    </row>
    <row r="543" spans="7:8">
      <c r="G543" s="14"/>
      <c r="H543" s="489"/>
    </row>
    <row r="544" spans="7:8">
      <c r="G544" s="14"/>
      <c r="H544" s="489"/>
    </row>
    <row r="545" spans="7:8">
      <c r="G545" s="14"/>
      <c r="H545" s="489"/>
    </row>
    <row r="546" spans="7:8">
      <c r="G546" s="14"/>
      <c r="H546" s="489"/>
    </row>
    <row r="547" spans="7:8">
      <c r="G547" s="14"/>
      <c r="H547" s="489"/>
    </row>
    <row r="548" spans="7:8">
      <c r="G548" s="14"/>
      <c r="H548" s="489"/>
    </row>
    <row r="549" spans="7:8">
      <c r="G549" s="14"/>
      <c r="H549" s="489"/>
    </row>
    <row r="550" spans="7:8">
      <c r="G550" s="14"/>
      <c r="H550" s="489"/>
    </row>
    <row r="551" spans="7:8">
      <c r="G551" s="14"/>
      <c r="H551" s="489"/>
    </row>
    <row r="552" spans="7:8">
      <c r="G552" s="14"/>
      <c r="H552" s="489"/>
    </row>
    <row r="553" spans="7:8">
      <c r="G553" s="14"/>
      <c r="H553" s="489"/>
    </row>
    <row r="554" spans="7:8">
      <c r="G554" s="14"/>
      <c r="H554" s="489"/>
    </row>
    <row r="555" spans="7:8">
      <c r="G555" s="14"/>
      <c r="H555" s="489"/>
    </row>
    <row r="556" spans="7:8">
      <c r="G556" s="14"/>
      <c r="H556" s="489"/>
    </row>
    <row r="557" spans="7:8">
      <c r="G557" s="14"/>
      <c r="H557" s="489"/>
    </row>
    <row r="558" spans="7:8">
      <c r="G558" s="14"/>
      <c r="H558" s="489"/>
    </row>
    <row r="559" spans="7:8">
      <c r="G559" s="14"/>
      <c r="H559" s="489"/>
    </row>
    <row r="560" spans="7:8">
      <c r="G560" s="14"/>
      <c r="H560" s="489"/>
    </row>
    <row r="561" spans="7:8">
      <c r="G561" s="14"/>
      <c r="H561" s="489"/>
    </row>
    <row r="562" spans="7:8">
      <c r="G562" s="14"/>
      <c r="H562" s="489"/>
    </row>
    <row r="563" spans="7:8">
      <c r="G563" s="14"/>
      <c r="H563" s="489"/>
    </row>
    <row r="564" spans="7:8">
      <c r="G564" s="14"/>
      <c r="H564" s="489"/>
    </row>
    <row r="565" spans="7:8">
      <c r="G565" s="14"/>
      <c r="H565" s="489"/>
    </row>
    <row r="566" spans="7:8">
      <c r="G566" s="14"/>
      <c r="H566" s="489"/>
    </row>
    <row r="567" spans="7:8">
      <c r="G567" s="14"/>
      <c r="H567" s="489"/>
    </row>
    <row r="568" spans="7:8">
      <c r="G568" s="14"/>
      <c r="H568" s="489"/>
    </row>
    <row r="569" spans="7:8">
      <c r="G569" s="14"/>
      <c r="H569" s="489"/>
    </row>
    <row r="570" spans="7:8">
      <c r="G570" s="14"/>
      <c r="H570" s="489"/>
    </row>
    <row r="571" spans="7:8">
      <c r="G571" s="14"/>
      <c r="H571" s="489"/>
    </row>
    <row r="572" spans="7:8">
      <c r="G572" s="14"/>
      <c r="H572" s="489"/>
    </row>
    <row r="573" spans="7:8">
      <c r="G573" s="14"/>
      <c r="H573" s="489"/>
    </row>
    <row r="574" spans="7:8">
      <c r="G574" s="14"/>
      <c r="H574" s="489"/>
    </row>
    <row r="575" spans="7:8">
      <c r="G575" s="14"/>
      <c r="H575" s="489"/>
    </row>
    <row r="576" spans="7:8">
      <c r="G576" s="14"/>
      <c r="H576" s="489"/>
    </row>
    <row r="577" spans="7:8">
      <c r="G577" s="14"/>
      <c r="H577" s="489"/>
    </row>
    <row r="578" spans="7:8">
      <c r="G578" s="14"/>
      <c r="H578" s="489"/>
    </row>
    <row r="579" spans="7:8">
      <c r="G579" s="14"/>
    </row>
    <row r="580" spans="7:8">
      <c r="G580" s="14"/>
    </row>
    <row r="581" spans="7:8">
      <c r="G581" s="14"/>
    </row>
    <row r="582" spans="7:8">
      <c r="G582" s="14"/>
    </row>
    <row r="583" spans="7:8">
      <c r="G583" s="14"/>
    </row>
    <row r="584" spans="7:8">
      <c r="G584" s="14"/>
    </row>
    <row r="585" spans="7:8">
      <c r="G585" s="14"/>
    </row>
    <row r="586" spans="7:8">
      <c r="G586" s="14"/>
    </row>
    <row r="587" spans="7:8">
      <c r="G587" s="14"/>
    </row>
    <row r="588" spans="7:8">
      <c r="G588" s="14"/>
    </row>
    <row r="589" spans="7:8">
      <c r="G589" s="14"/>
    </row>
    <row r="590" spans="7:8">
      <c r="G590" s="14"/>
    </row>
    <row r="591" spans="7:8">
      <c r="G591" s="14"/>
    </row>
    <row r="592" spans="7:8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  <row r="679" spans="7:7">
      <c r="G679" s="14"/>
    </row>
    <row r="680" spans="7:7">
      <c r="G680" s="14"/>
    </row>
    <row r="681" spans="7:7">
      <c r="G681" s="14"/>
    </row>
    <row r="682" spans="7:7">
      <c r="G682" s="14"/>
    </row>
    <row r="683" spans="7:7">
      <c r="G683" s="14"/>
    </row>
    <row r="684" spans="7:7">
      <c r="G684" s="14"/>
    </row>
    <row r="685" spans="7:7">
      <c r="G685" s="14"/>
    </row>
    <row r="686" spans="7:7">
      <c r="G686" s="14"/>
    </row>
    <row r="687" spans="7:7">
      <c r="G687" s="14"/>
    </row>
    <row r="688" spans="7:7">
      <c r="G688" s="14"/>
    </row>
    <row r="689" spans="7:7">
      <c r="G689" s="14"/>
    </row>
    <row r="690" spans="7:7">
      <c r="G690" s="14"/>
    </row>
    <row r="691" spans="7:7">
      <c r="G691" s="14"/>
    </row>
    <row r="692" spans="7:7">
      <c r="G692" s="14"/>
    </row>
    <row r="693" spans="7:7">
      <c r="G693" s="14"/>
    </row>
    <row r="694" spans="7:7">
      <c r="G694" s="14"/>
    </row>
    <row r="695" spans="7:7">
      <c r="G695" s="14"/>
    </row>
    <row r="696" spans="7:7">
      <c r="G696" s="14"/>
    </row>
    <row r="697" spans="7:7">
      <c r="G697" s="14"/>
    </row>
    <row r="698" spans="7:7">
      <c r="G698" s="14"/>
    </row>
    <row r="699" spans="7:7">
      <c r="G699" s="14"/>
    </row>
    <row r="700" spans="7:7">
      <c r="G700" s="14"/>
    </row>
    <row r="701" spans="7:7">
      <c r="G701" s="14"/>
    </row>
    <row r="702" spans="7:7">
      <c r="G702" s="14"/>
    </row>
    <row r="703" spans="7:7">
      <c r="G703" s="14"/>
    </row>
    <row r="704" spans="7:7">
      <c r="G704" s="14"/>
    </row>
    <row r="705" spans="7:7">
      <c r="G705" s="14"/>
    </row>
    <row r="706" spans="7:7">
      <c r="G706" s="14"/>
    </row>
    <row r="707" spans="7:7">
      <c r="G707" s="14"/>
    </row>
    <row r="708" spans="7:7">
      <c r="G708" s="14"/>
    </row>
    <row r="709" spans="7:7">
      <c r="G709" s="14"/>
    </row>
    <row r="710" spans="7:7">
      <c r="G710" s="14"/>
    </row>
    <row r="711" spans="7:7">
      <c r="G711" s="14"/>
    </row>
    <row r="712" spans="7:7">
      <c r="G712" s="14"/>
    </row>
    <row r="713" spans="7:7">
      <c r="G713" s="14"/>
    </row>
    <row r="714" spans="7:7">
      <c r="G714" s="14"/>
    </row>
    <row r="715" spans="7:7">
      <c r="G715" s="14"/>
    </row>
    <row r="716" spans="7:7">
      <c r="G716" s="14"/>
    </row>
    <row r="717" spans="7:7">
      <c r="G717" s="14"/>
    </row>
    <row r="718" spans="7:7">
      <c r="G718" s="14"/>
    </row>
    <row r="719" spans="7:7">
      <c r="G719" s="14"/>
    </row>
    <row r="720" spans="7:7">
      <c r="G720" s="14"/>
    </row>
    <row r="721" spans="7:7">
      <c r="G721" s="14"/>
    </row>
    <row r="722" spans="7:7">
      <c r="G722" s="14"/>
    </row>
    <row r="723" spans="7:7">
      <c r="G723" s="14"/>
    </row>
    <row r="724" spans="7:7">
      <c r="G724" s="14"/>
    </row>
    <row r="725" spans="7:7">
      <c r="G725" s="14"/>
    </row>
    <row r="726" spans="7:7">
      <c r="G726" s="14"/>
    </row>
    <row r="727" spans="7:7">
      <c r="G727" s="14"/>
    </row>
    <row r="728" spans="7:7">
      <c r="G728" s="14"/>
    </row>
    <row r="729" spans="7:7">
      <c r="G729" s="14"/>
    </row>
    <row r="730" spans="7:7">
      <c r="G730" s="14"/>
    </row>
    <row r="731" spans="7:7">
      <c r="G731" s="14"/>
    </row>
    <row r="732" spans="7:7">
      <c r="G732" s="14"/>
    </row>
    <row r="733" spans="7:7">
      <c r="G733" s="14"/>
    </row>
    <row r="734" spans="7:7">
      <c r="G734" s="14"/>
    </row>
    <row r="735" spans="7:7">
      <c r="G735" s="14"/>
    </row>
    <row r="736" spans="7:7">
      <c r="G736" s="14"/>
    </row>
    <row r="737" spans="7:7">
      <c r="G737" s="14"/>
    </row>
    <row r="738" spans="7:7">
      <c r="G738" s="14"/>
    </row>
    <row r="739" spans="7:7">
      <c r="G739" s="14"/>
    </row>
    <row r="740" spans="7:7">
      <c r="G740" s="14"/>
    </row>
    <row r="741" spans="7:7">
      <c r="G741" s="14"/>
    </row>
    <row r="742" spans="7:7">
      <c r="G742" s="14"/>
    </row>
    <row r="743" spans="7:7">
      <c r="G743" s="14"/>
    </row>
    <row r="744" spans="7:7">
      <c r="G744" s="14"/>
    </row>
    <row r="745" spans="7:7">
      <c r="G745" s="14"/>
    </row>
    <row r="746" spans="7:7">
      <c r="G746" s="14"/>
    </row>
    <row r="747" spans="7:7">
      <c r="G747" s="14"/>
    </row>
    <row r="748" spans="7:7">
      <c r="G748" s="14"/>
    </row>
    <row r="749" spans="7:7">
      <c r="G749" s="14"/>
    </row>
    <row r="750" spans="7:7">
      <c r="G750" s="14"/>
    </row>
    <row r="751" spans="7:7">
      <c r="G751" s="14"/>
    </row>
    <row r="752" spans="7:7">
      <c r="G752" s="14"/>
    </row>
    <row r="753" spans="7:7">
      <c r="G753" s="14"/>
    </row>
    <row r="754" spans="7:7">
      <c r="G754" s="14"/>
    </row>
    <row r="755" spans="7:7">
      <c r="G755" s="14"/>
    </row>
    <row r="756" spans="7:7">
      <c r="G756" s="14"/>
    </row>
    <row r="757" spans="7:7">
      <c r="G757" s="14"/>
    </row>
    <row r="758" spans="7:7">
      <c r="G758" s="14"/>
    </row>
    <row r="759" spans="7:7">
      <c r="G759" s="14"/>
    </row>
    <row r="760" spans="7:7">
      <c r="G760" s="14"/>
    </row>
    <row r="761" spans="7:7">
      <c r="G761" s="14"/>
    </row>
    <row r="762" spans="7:7">
      <c r="G762" s="14"/>
    </row>
    <row r="763" spans="7:7">
      <c r="G763" s="14"/>
    </row>
    <row r="764" spans="7:7">
      <c r="G764" s="14"/>
    </row>
    <row r="765" spans="7:7">
      <c r="G765" s="14"/>
    </row>
    <row r="766" spans="7:7">
      <c r="G766" s="14"/>
    </row>
    <row r="767" spans="7:7">
      <c r="G767" s="14"/>
    </row>
    <row r="768" spans="7:7">
      <c r="G768" s="14"/>
    </row>
    <row r="769" spans="7:7">
      <c r="G769" s="14"/>
    </row>
    <row r="770" spans="7:7">
      <c r="G770" s="14"/>
    </row>
    <row r="771" spans="7:7">
      <c r="G771" s="14"/>
    </row>
    <row r="772" spans="7:7">
      <c r="G772" s="14"/>
    </row>
    <row r="773" spans="7:7">
      <c r="G773" s="14"/>
    </row>
    <row r="774" spans="7:7">
      <c r="G774" s="14"/>
    </row>
    <row r="775" spans="7:7">
      <c r="G775" s="14"/>
    </row>
    <row r="776" spans="7:7">
      <c r="G776" s="14"/>
    </row>
    <row r="777" spans="7:7">
      <c r="G777" s="14"/>
    </row>
    <row r="778" spans="7:7">
      <c r="G778" s="14"/>
    </row>
    <row r="779" spans="7:7">
      <c r="G779" s="14"/>
    </row>
    <row r="780" spans="7:7">
      <c r="G780" s="14"/>
    </row>
    <row r="781" spans="7:7">
      <c r="G781" s="14"/>
    </row>
    <row r="782" spans="7:7">
      <c r="G782" s="14"/>
    </row>
    <row r="783" spans="7:7">
      <c r="G783" s="14"/>
    </row>
    <row r="784" spans="7:7">
      <c r="G784" s="14"/>
    </row>
    <row r="785" spans="7:7">
      <c r="G785" s="14"/>
    </row>
    <row r="786" spans="7:7">
      <c r="G786" s="14"/>
    </row>
    <row r="787" spans="7:7">
      <c r="G787" s="14"/>
    </row>
    <row r="788" spans="7:7">
      <c r="G788" s="14"/>
    </row>
    <row r="789" spans="7:7">
      <c r="G789" s="14"/>
    </row>
    <row r="790" spans="7:7">
      <c r="G790" s="14"/>
    </row>
    <row r="791" spans="7:7">
      <c r="G791" s="14"/>
    </row>
    <row r="792" spans="7:7">
      <c r="G792" s="14"/>
    </row>
    <row r="793" spans="7:7">
      <c r="G793" s="14"/>
    </row>
    <row r="794" spans="7:7">
      <c r="G794" s="14"/>
    </row>
    <row r="795" spans="7:7">
      <c r="G795" s="14"/>
    </row>
    <row r="796" spans="7:7">
      <c r="G796" s="14"/>
    </row>
    <row r="797" spans="7:7">
      <c r="G797" s="14"/>
    </row>
    <row r="798" spans="7:7">
      <c r="G798" s="14"/>
    </row>
    <row r="799" spans="7:7">
      <c r="G799" s="14"/>
    </row>
    <row r="800" spans="7:7">
      <c r="G800" s="14"/>
    </row>
    <row r="801" spans="7:7">
      <c r="G801" s="14"/>
    </row>
    <row r="802" spans="7:7">
      <c r="G802" s="14"/>
    </row>
    <row r="803" spans="7:7">
      <c r="G803" s="14"/>
    </row>
    <row r="804" spans="7:7">
      <c r="G804" s="14"/>
    </row>
    <row r="805" spans="7:7">
      <c r="G805" s="14"/>
    </row>
    <row r="806" spans="7:7">
      <c r="G806" s="14"/>
    </row>
    <row r="807" spans="7:7">
      <c r="G807" s="14"/>
    </row>
    <row r="808" spans="7:7">
      <c r="G808" s="14"/>
    </row>
    <row r="809" spans="7:7">
      <c r="G809" s="14"/>
    </row>
    <row r="810" spans="7:7">
      <c r="G810" s="14"/>
    </row>
    <row r="811" spans="7:7">
      <c r="G811" s="14"/>
    </row>
    <row r="812" spans="7:7">
      <c r="G812" s="14"/>
    </row>
    <row r="813" spans="7:7">
      <c r="G813" s="14"/>
    </row>
    <row r="814" spans="7:7">
      <c r="G814" s="14"/>
    </row>
    <row r="815" spans="7:7">
      <c r="G815" s="14"/>
    </row>
    <row r="816" spans="7:7">
      <c r="G816" s="14"/>
    </row>
    <row r="817" spans="7:7">
      <c r="G817" s="14"/>
    </row>
    <row r="818" spans="7:7">
      <c r="G818" s="14"/>
    </row>
    <row r="819" spans="7:7">
      <c r="G819" s="14"/>
    </row>
    <row r="820" spans="7:7">
      <c r="G820" s="14"/>
    </row>
    <row r="821" spans="7:7">
      <c r="G821" s="14"/>
    </row>
    <row r="822" spans="7:7">
      <c r="G822" s="14"/>
    </row>
    <row r="823" spans="7:7">
      <c r="G823" s="14"/>
    </row>
    <row r="824" spans="7:7">
      <c r="G824" s="14"/>
    </row>
    <row r="825" spans="7:7">
      <c r="G825" s="14"/>
    </row>
    <row r="826" spans="7:7">
      <c r="G826" s="14"/>
    </row>
  </sheetData>
  <phoneticPr fontId="3" type="noConversion"/>
  <conditionalFormatting sqref="K52:K56">
    <cfRule type="expression" dxfId="35" priority="2">
      <formula>LEFT(A52,2)="TU"</formula>
    </cfRule>
  </conditionalFormatting>
  <conditionalFormatting sqref="K57:K167">
    <cfRule type="expression" dxfId="34" priority="1">
      <formula>LEFT(A57,2)="TU"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S675"/>
  <sheetViews>
    <sheetView topLeftCell="A28" zoomScaleNormal="100" workbookViewId="0">
      <selection activeCell="E53" sqref="E53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6" width="15.625" style="2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319</v>
      </c>
    </row>
    <row r="2" spans="1:19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307</v>
      </c>
    </row>
    <row r="3" spans="1:19">
      <c r="A3" s="690"/>
      <c r="B3" s="691"/>
      <c r="C3" s="691"/>
      <c r="D3" s="692"/>
      <c r="E3" s="693"/>
      <c r="F3" s="693"/>
      <c r="G3" s="694"/>
      <c r="H3" s="695"/>
      <c r="I3" s="696"/>
      <c r="J3" s="697"/>
      <c r="K3" s="698"/>
      <c r="L3" s="693"/>
    </row>
    <row r="4" spans="1:19">
      <c r="A4" s="690"/>
      <c r="B4" s="691"/>
      <c r="C4" s="691"/>
      <c r="D4" s="692"/>
      <c r="E4" s="693"/>
      <c r="F4" s="693"/>
      <c r="G4" s="694"/>
      <c r="H4" s="695"/>
      <c r="I4" s="696"/>
      <c r="J4" s="697"/>
      <c r="K4" s="698"/>
      <c r="L4" s="693"/>
    </row>
    <row r="5" spans="1:19">
      <c r="A5" s="690" t="s">
        <v>557</v>
      </c>
      <c r="B5" s="691">
        <v>44602</v>
      </c>
      <c r="C5" s="691"/>
      <c r="D5" s="692"/>
      <c r="E5" s="693">
        <v>80000000</v>
      </c>
      <c r="F5" s="693"/>
      <c r="G5" s="779">
        <f>-VLOOKUP(A5,'market px'!K$1:P$80,3,FALSE)*E5/1000000</f>
        <v>-47040</v>
      </c>
      <c r="H5" s="695"/>
      <c r="I5" s="696">
        <v>103.849</v>
      </c>
      <c r="J5" s="774">
        <f>VLOOKUP(A5,'market px'!K$2:P$80,6,FALSE)</f>
        <v>103.646</v>
      </c>
      <c r="K5" s="698">
        <f>(J5-I5)*E5/100</f>
        <v>-162400.00000000236</v>
      </c>
      <c r="L5" s="693"/>
    </row>
    <row r="6" spans="1:19">
      <c r="A6" s="690"/>
      <c r="B6" s="691"/>
      <c r="C6" s="691"/>
      <c r="D6" s="699"/>
      <c r="E6" s="693"/>
      <c r="F6" s="693"/>
      <c r="G6" s="694"/>
      <c r="H6" s="695"/>
      <c r="I6" s="696"/>
      <c r="J6" s="697"/>
      <c r="K6" s="698"/>
      <c r="L6" s="693"/>
    </row>
    <row r="7" spans="1:19">
      <c r="A7" s="690"/>
      <c r="B7" s="691"/>
      <c r="C7" s="691"/>
      <c r="D7" s="699"/>
      <c r="E7" s="693"/>
      <c r="F7" s="693"/>
      <c r="G7" s="694"/>
      <c r="H7" s="695"/>
      <c r="I7" s="696"/>
      <c r="J7" s="697"/>
      <c r="K7" s="698"/>
      <c r="L7" s="693"/>
    </row>
    <row r="8" spans="1:19">
      <c r="A8" s="690"/>
      <c r="B8" s="691"/>
      <c r="C8" s="691"/>
      <c r="D8" s="699"/>
      <c r="E8" s="693"/>
      <c r="F8" s="693"/>
      <c r="G8" s="694"/>
      <c r="H8" s="695"/>
      <c r="I8" s="696"/>
      <c r="J8" s="697"/>
      <c r="K8" s="698"/>
      <c r="L8" s="693"/>
    </row>
    <row r="9" spans="1:19">
      <c r="A9" s="690"/>
      <c r="B9" s="700"/>
      <c r="C9" s="691"/>
      <c r="D9" s="701"/>
      <c r="E9" s="702"/>
      <c r="F9" s="693"/>
      <c r="G9" s="694"/>
      <c r="H9" s="703"/>
      <c r="I9" s="704"/>
      <c r="J9" s="697"/>
      <c r="K9" s="698"/>
      <c r="L9" s="693"/>
    </row>
    <row r="10" spans="1:19">
      <c r="A10" s="690"/>
      <c r="B10" s="700"/>
      <c r="C10" s="691"/>
      <c r="D10" s="701"/>
      <c r="E10" s="702"/>
      <c r="F10" s="693"/>
      <c r="G10" s="694"/>
      <c r="H10" s="703"/>
      <c r="I10" s="704"/>
      <c r="J10" s="697"/>
      <c r="K10" s="698"/>
      <c r="L10" s="693"/>
    </row>
    <row r="11" spans="1:19">
      <c r="A11" s="690"/>
      <c r="B11" s="700"/>
      <c r="C11" s="700"/>
      <c r="D11" s="701"/>
      <c r="E11" s="705"/>
      <c r="F11" s="693"/>
      <c r="G11" s="694"/>
      <c r="H11" s="706"/>
      <c r="I11" s="704"/>
      <c r="J11" s="697"/>
      <c r="K11" s="698"/>
      <c r="L11" s="693"/>
    </row>
    <row r="12" spans="1:19">
      <c r="A12" s="111" t="s">
        <v>166</v>
      </c>
      <c r="B12" s="313"/>
      <c r="C12" s="313"/>
      <c r="D12" s="539"/>
      <c r="E12" s="314">
        <f>SUM(E3:E11)</f>
        <v>80000000</v>
      </c>
      <c r="F12" s="314"/>
      <c r="G12" s="316">
        <f>SUM(G3:G11)</f>
        <v>-47040</v>
      </c>
      <c r="H12" s="479"/>
      <c r="I12" s="323"/>
      <c r="J12" s="318"/>
      <c r="K12" s="316">
        <f>SUM(K3:K11)</f>
        <v>-162400.00000000236</v>
      </c>
      <c r="L12" s="316"/>
    </row>
    <row r="13" spans="1:19">
      <c r="A13" t="s">
        <v>162</v>
      </c>
    </row>
    <row r="14" spans="1:19" s="93" customFormat="1">
      <c r="A14" s="206" t="s">
        <v>99</v>
      </c>
      <c r="B14" s="207" t="s">
        <v>176</v>
      </c>
      <c r="C14" s="207" t="s">
        <v>171</v>
      </c>
      <c r="D14" s="535" t="s">
        <v>170</v>
      </c>
      <c r="E14" s="208" t="s">
        <v>11</v>
      </c>
      <c r="F14" s="207" t="s">
        <v>303</v>
      </c>
      <c r="G14" s="209" t="s">
        <v>12</v>
      </c>
      <c r="H14" s="482" t="s">
        <v>18</v>
      </c>
      <c r="I14" s="209" t="s">
        <v>210</v>
      </c>
      <c r="J14" s="207" t="s">
        <v>211</v>
      </c>
      <c r="K14" s="260" t="s">
        <v>212</v>
      </c>
      <c r="L14" s="207" t="s">
        <v>307</v>
      </c>
      <c r="S14" s="131" t="s">
        <v>21</v>
      </c>
    </row>
    <row r="15" spans="1:19" s="102" customFormat="1">
      <c r="A15" s="690"/>
      <c r="B15" s="691">
        <v>43692</v>
      </c>
      <c r="C15" s="691"/>
      <c r="D15" s="692"/>
      <c r="E15" s="693"/>
      <c r="F15" s="693"/>
      <c r="G15" s="694"/>
      <c r="H15" s="695">
        <v>201908150012</v>
      </c>
      <c r="I15" s="696">
        <v>105.43399375</v>
      </c>
      <c r="J15" s="697"/>
      <c r="K15" s="698">
        <f>(J15-I15)/100*E15+L15</f>
        <v>0</v>
      </c>
      <c r="L15" s="693"/>
      <c r="M15" s="657"/>
      <c r="N15" s="93"/>
      <c r="O15" s="93"/>
      <c r="P15" s="658"/>
      <c r="Q15" s="93"/>
      <c r="S15" s="103"/>
    </row>
    <row r="16" spans="1:19" s="102" customFormat="1">
      <c r="A16" s="690"/>
      <c r="B16" s="691">
        <v>43614</v>
      </c>
      <c r="C16" s="691"/>
      <c r="D16" s="692"/>
      <c r="E16" s="693"/>
      <c r="F16" s="693"/>
      <c r="G16" s="694">
        <f>-77*E16/100000</f>
        <v>0</v>
      </c>
      <c r="H16" s="695">
        <v>201905290010</v>
      </c>
      <c r="I16" s="696">
        <v>101.34024375</v>
      </c>
      <c r="J16" s="697"/>
      <c r="K16" s="698">
        <f>(J16-I16)/100*E16+L16</f>
        <v>0</v>
      </c>
      <c r="L16" s="693"/>
      <c r="M16" s="93"/>
      <c r="N16" s="93"/>
      <c r="O16" s="93"/>
      <c r="P16" s="658"/>
      <c r="Q16" s="93"/>
      <c r="S16" s="103"/>
    </row>
    <row r="17" spans="1:19" s="668" customFormat="1">
      <c r="A17" s="690"/>
      <c r="B17" s="691"/>
      <c r="C17" s="691"/>
      <c r="D17" s="699"/>
      <c r="E17" s="693"/>
      <c r="F17" s="693"/>
      <c r="G17" s="694"/>
      <c r="H17" s="695"/>
      <c r="I17" s="696"/>
      <c r="J17" s="697"/>
      <c r="K17" s="698"/>
      <c r="L17" s="693">
        <f>82.87*E17/1000000*(C17-B17)</f>
        <v>0</v>
      </c>
      <c r="M17" s="666"/>
      <c r="N17" s="666"/>
      <c r="O17" s="666"/>
      <c r="P17" s="667"/>
      <c r="Q17" s="666"/>
      <c r="S17" s="669"/>
    </row>
    <row r="18" spans="1:19" s="668" customFormat="1">
      <c r="A18" s="690" t="s">
        <v>316</v>
      </c>
      <c r="B18" s="691"/>
      <c r="C18" s="691"/>
      <c r="D18" s="699"/>
      <c r="E18" s="693"/>
      <c r="F18" s="693"/>
      <c r="G18" s="694"/>
      <c r="H18" s="695"/>
      <c r="I18" s="696"/>
      <c r="J18" s="697">
        <v>99.800381250000001</v>
      </c>
      <c r="K18" s="698">
        <f>(J18-I18)/100*E18+L18</f>
        <v>0</v>
      </c>
      <c r="L18" s="693">
        <f>82.87*E18/1000000*(C18-B18)</f>
        <v>0</v>
      </c>
      <c r="M18" s="666"/>
      <c r="N18" s="666"/>
      <c r="O18" s="666"/>
      <c r="P18" s="667"/>
      <c r="Q18" s="666"/>
      <c r="S18" s="669"/>
    </row>
    <row r="19" spans="1:19" s="668" customFormat="1">
      <c r="A19" s="690"/>
      <c r="B19" s="691"/>
      <c r="C19" s="691"/>
      <c r="D19" s="699"/>
      <c r="E19" s="693"/>
      <c r="F19" s="693"/>
      <c r="G19" s="694"/>
      <c r="H19" s="695"/>
      <c r="I19" s="696"/>
      <c r="J19" s="697"/>
      <c r="K19" s="698"/>
      <c r="L19" s="693"/>
      <c r="M19" s="666"/>
      <c r="N19" s="666"/>
      <c r="O19" s="666"/>
      <c r="P19" s="667"/>
      <c r="Q19" s="666"/>
      <c r="S19" s="669"/>
    </row>
    <row r="20" spans="1:19" s="102" customFormat="1">
      <c r="A20" s="690" t="s">
        <v>318</v>
      </c>
      <c r="B20" s="691"/>
      <c r="C20" s="691"/>
      <c r="D20" s="692"/>
      <c r="E20" s="693"/>
      <c r="F20" s="693"/>
      <c r="G20" s="694"/>
      <c r="H20" s="695"/>
      <c r="I20" s="696"/>
      <c r="J20" s="697">
        <v>102.98006875</v>
      </c>
      <c r="K20" s="698">
        <f>(J20-I20)/100*E20+L20</f>
        <v>0</v>
      </c>
      <c r="L20" s="693">
        <f>84.91*E20/1000000*(C20-B20)</f>
        <v>0</v>
      </c>
      <c r="M20" s="93"/>
      <c r="N20" s="93"/>
      <c r="O20" s="93"/>
      <c r="P20" s="658"/>
      <c r="Q20" s="93"/>
      <c r="S20" s="103"/>
    </row>
    <row r="21" spans="1:19" s="102" customFormat="1">
      <c r="A21" s="690" t="s">
        <v>318</v>
      </c>
      <c r="B21" s="691"/>
      <c r="C21" s="691"/>
      <c r="D21" s="692"/>
      <c r="E21" s="693"/>
      <c r="F21" s="693"/>
      <c r="G21" s="694"/>
      <c r="H21" s="695"/>
      <c r="I21" s="696"/>
      <c r="J21" s="697">
        <v>101.90194375</v>
      </c>
      <c r="K21" s="698">
        <f>(J21-I21)/100*E21+L21</f>
        <v>0</v>
      </c>
      <c r="L21" s="693">
        <f>84.91*E21/1000000*(C21-B21)</f>
        <v>0</v>
      </c>
      <c r="M21" s="93"/>
      <c r="N21" s="93"/>
      <c r="O21" s="93"/>
      <c r="P21" s="658"/>
      <c r="Q21" s="93"/>
      <c r="S21" s="103"/>
    </row>
    <row r="22" spans="1:19" s="116" customFormat="1">
      <c r="A22" s="690"/>
      <c r="B22" s="700"/>
      <c r="C22" s="700"/>
      <c r="D22" s="701"/>
      <c r="E22" s="705"/>
      <c r="F22" s="693"/>
      <c r="G22" s="694"/>
      <c r="H22" s="706"/>
      <c r="I22" s="704"/>
      <c r="J22" s="697"/>
      <c r="K22" s="698"/>
      <c r="L22" s="693"/>
      <c r="P22" s="658"/>
      <c r="S22" s="117"/>
    </row>
    <row r="23" spans="1:19" s="93" customFormat="1">
      <c r="A23" s="111" t="s">
        <v>166</v>
      </c>
      <c r="B23" s="313"/>
      <c r="C23" s="313"/>
      <c r="D23" s="539"/>
      <c r="E23" s="314">
        <f>SUM(E15:E22)</f>
        <v>0</v>
      </c>
      <c r="F23" s="314"/>
      <c r="G23" s="316">
        <f>SUM(G15:G22)</f>
        <v>0</v>
      </c>
      <c r="H23" s="479"/>
      <c r="I23" s="323"/>
      <c r="J23" s="318"/>
      <c r="K23" s="316">
        <f>SUM(K15:K22)</f>
        <v>0</v>
      </c>
      <c r="L23" s="316"/>
    </row>
    <row r="24" spans="1:19" s="93" customFormat="1">
      <c r="A24" s="93" t="s">
        <v>163</v>
      </c>
      <c r="B24" s="97"/>
      <c r="C24" s="97"/>
      <c r="D24" s="540"/>
      <c r="E24" s="100"/>
      <c r="F24" s="100"/>
      <c r="H24" s="480"/>
      <c r="I24" s="99"/>
      <c r="J24" s="99"/>
      <c r="L24" s="377"/>
      <c r="S24" s="131" t="s">
        <v>21</v>
      </c>
    </row>
    <row r="25" spans="1:19" s="102" customFormat="1">
      <c r="A25" s="206" t="s">
        <v>234</v>
      </c>
      <c r="B25" s="207" t="s">
        <v>7</v>
      </c>
      <c r="C25" s="207" t="s">
        <v>171</v>
      </c>
      <c r="D25" s="535" t="s">
        <v>170</v>
      </c>
      <c r="E25" s="208" t="s">
        <v>11</v>
      </c>
      <c r="F25" s="207" t="s">
        <v>2</v>
      </c>
      <c r="G25" s="209" t="s">
        <v>12</v>
      </c>
      <c r="H25" s="482" t="s">
        <v>18</v>
      </c>
      <c r="I25" s="209" t="s">
        <v>213</v>
      </c>
      <c r="J25" s="207" t="s">
        <v>214</v>
      </c>
      <c r="K25" s="260" t="s">
        <v>215</v>
      </c>
      <c r="L25" s="378"/>
      <c r="M25" s="93"/>
      <c r="N25" s="93"/>
      <c r="O25" s="93"/>
      <c r="P25" s="93"/>
      <c r="Q25" s="93"/>
      <c r="S25" s="103"/>
    </row>
    <row r="26" spans="1:19" s="102" customFormat="1">
      <c r="A26" s="87" t="s">
        <v>300</v>
      </c>
      <c r="B26" s="122">
        <v>38898</v>
      </c>
      <c r="C26" s="122"/>
      <c r="D26" s="536"/>
      <c r="E26" s="88">
        <f t="shared" ref="E26:E31" si="0">1000000*0</f>
        <v>0</v>
      </c>
      <c r="F26" s="88"/>
      <c r="G26" s="550">
        <f>-LOOKUP(A26,'market px'!K$2:K$497,'market px'!M$2:M$497)*E26/1000000</f>
        <v>0</v>
      </c>
      <c r="H26" s="475" t="s">
        <v>23</v>
      </c>
      <c r="I26" s="129">
        <v>99.46875</v>
      </c>
      <c r="J26" s="396">
        <f>LOOKUP(A26,'market px'!K$2:K$497,'market px'!P$2:$P$497)</f>
        <v>98.219200000000001</v>
      </c>
      <c r="K26" s="104">
        <f t="shared" ref="K26:K31" si="1">(J26-I26)*E26/100</f>
        <v>0</v>
      </c>
      <c r="L26" s="378"/>
      <c r="M26" s="93"/>
      <c r="N26" s="93"/>
      <c r="O26" s="93"/>
      <c r="P26" s="93"/>
      <c r="Q26" s="93"/>
      <c r="S26" s="103"/>
    </row>
    <row r="27" spans="1:19" s="102" customFormat="1">
      <c r="A27" s="87" t="s">
        <v>300</v>
      </c>
      <c r="B27" s="122">
        <v>38853</v>
      </c>
      <c r="C27" s="122"/>
      <c r="D27" s="536"/>
      <c r="E27" s="88">
        <f t="shared" si="0"/>
        <v>0</v>
      </c>
      <c r="F27" s="88"/>
      <c r="G27" s="550">
        <f>-LOOKUP(A27,'market px'!K$2:K$497,'market px'!M$2:M$497)*E27/1000000</f>
        <v>0</v>
      </c>
      <c r="H27" s="475" t="s">
        <v>23</v>
      </c>
      <c r="I27" s="129">
        <v>95.90234375</v>
      </c>
      <c r="J27" s="129">
        <f>LOOKUP(A27,'market px'!K$2:K$497,'market px'!P$2:$P$497)</f>
        <v>98.219200000000001</v>
      </c>
      <c r="K27" s="104">
        <f t="shared" si="1"/>
        <v>0</v>
      </c>
      <c r="L27" s="378"/>
      <c r="M27" s="93"/>
      <c r="N27" s="93"/>
      <c r="O27" s="93"/>
      <c r="P27" s="93"/>
      <c r="Q27" s="93"/>
      <c r="S27" s="103"/>
    </row>
    <row r="28" spans="1:19" s="102" customFormat="1">
      <c r="A28" s="262" t="s">
        <v>300</v>
      </c>
      <c r="B28" s="265">
        <v>38839</v>
      </c>
      <c r="C28" s="265"/>
      <c r="D28" s="537"/>
      <c r="E28" s="266">
        <f t="shared" si="0"/>
        <v>0</v>
      </c>
      <c r="F28" s="266"/>
      <c r="G28" s="551">
        <f>-LOOKUP(A28,'market px'!K$2:K$497,'market px'!M$2:M$497)*E28/1000000</f>
        <v>0</v>
      </c>
      <c r="H28" s="476"/>
      <c r="I28" s="268">
        <v>99.875</v>
      </c>
      <c r="J28" s="268">
        <f>LOOKUP(A28,'market px'!K$2:K$497,'market px'!P$2:$P$497)</f>
        <v>98.219200000000001</v>
      </c>
      <c r="K28" s="269">
        <f t="shared" si="1"/>
        <v>0</v>
      </c>
      <c r="L28" s="378"/>
      <c r="M28" s="93"/>
      <c r="N28" s="93"/>
      <c r="O28" s="93"/>
      <c r="P28" s="93"/>
      <c r="Q28" s="93"/>
      <c r="S28" s="103"/>
    </row>
    <row r="29" spans="1:19" s="116" customFormat="1">
      <c r="A29" s="262" t="s">
        <v>300</v>
      </c>
      <c r="B29" s="265">
        <v>38839</v>
      </c>
      <c r="C29" s="265"/>
      <c r="D29" s="537"/>
      <c r="E29" s="266">
        <f t="shared" si="0"/>
        <v>0</v>
      </c>
      <c r="F29" s="266"/>
      <c r="G29" s="551">
        <f>-LOOKUP(A29,'market px'!K$2:K$497,'market px'!M$2:M$497)*E29/1000000</f>
        <v>0</v>
      </c>
      <c r="H29" s="476" t="s">
        <v>21</v>
      </c>
      <c r="I29" s="268">
        <v>99.875</v>
      </c>
      <c r="J29" s="268">
        <f>LOOKUP(A29,'market px'!K$2:K$497,'market px'!P$2:$P$497)</f>
        <v>98.219200000000001</v>
      </c>
      <c r="K29" s="269">
        <f t="shared" si="1"/>
        <v>0</v>
      </c>
      <c r="L29" s="379"/>
      <c r="S29" s="320"/>
    </row>
    <row r="30" spans="1:19" s="116" customFormat="1">
      <c r="A30" s="110" t="s">
        <v>300</v>
      </c>
      <c r="B30" s="113">
        <v>38839</v>
      </c>
      <c r="C30" s="113"/>
      <c r="D30" s="538"/>
      <c r="E30" s="114">
        <f t="shared" si="0"/>
        <v>0</v>
      </c>
      <c r="F30" s="114"/>
      <c r="G30" s="552">
        <f>-LOOKUP(A30,'market px'!K$2:K$497,'market px'!M$2:M$497)*E30/1000000</f>
        <v>0</v>
      </c>
      <c r="H30" s="477" t="s">
        <v>23</v>
      </c>
      <c r="I30" s="319">
        <v>99.875</v>
      </c>
      <c r="J30" s="319">
        <f>LOOKUP(A30,'market px'!K$2:K$497,'market px'!P$2:$P$497)</f>
        <v>98.219200000000001</v>
      </c>
      <c r="K30" s="261">
        <f t="shared" si="1"/>
        <v>0</v>
      </c>
      <c r="L30" s="380"/>
      <c r="S30" s="117"/>
    </row>
    <row r="31" spans="1:19" s="532" customFormat="1">
      <c r="A31" s="110" t="s">
        <v>300</v>
      </c>
      <c r="B31" s="113">
        <v>38839</v>
      </c>
      <c r="C31" s="113"/>
      <c r="D31" s="538"/>
      <c r="E31" s="114">
        <f t="shared" si="0"/>
        <v>0</v>
      </c>
      <c r="F31" s="114"/>
      <c r="G31" s="552">
        <f>-LOOKUP(A31,'market px'!K$2:K$497,'market px'!M$2:M$497)*E31/1000000</f>
        <v>0</v>
      </c>
      <c r="H31" s="478" t="s">
        <v>23</v>
      </c>
      <c r="I31" s="319">
        <v>99.875</v>
      </c>
      <c r="J31" s="319">
        <f>LOOKUP(A31,'market px'!K$2:K$497,'market px'!P$2:$P$497)</f>
        <v>98.219200000000001</v>
      </c>
      <c r="K31" s="261">
        <f t="shared" si="1"/>
        <v>0</v>
      </c>
      <c r="L31" s="531"/>
      <c r="S31" s="533"/>
    </row>
    <row r="32" spans="1:19" s="116" customFormat="1" ht="17.25" thickBot="1">
      <c r="A32" s="361" t="s">
        <v>166</v>
      </c>
      <c r="B32" s="363"/>
      <c r="C32" s="363"/>
      <c r="D32" s="541"/>
      <c r="E32" s="364">
        <f>SUM(E26:E31)</f>
        <v>0</v>
      </c>
      <c r="F32" s="364"/>
      <c r="G32" s="365">
        <f>SUM(G26:G31)</f>
        <v>0</v>
      </c>
      <c r="H32" s="481"/>
      <c r="I32" s="367"/>
      <c r="J32" s="366"/>
      <c r="K32" s="365">
        <f>SUM(K26:K31)</f>
        <v>0</v>
      </c>
      <c r="L32" s="380"/>
      <c r="S32" s="117"/>
    </row>
    <row r="33" spans="1:19" s="93" customFormat="1" ht="17.25" thickTop="1">
      <c r="A33" s="324" t="s">
        <v>164</v>
      </c>
      <c r="B33" s="313"/>
      <c r="C33" s="313"/>
      <c r="D33" s="539"/>
      <c r="E33" s="314"/>
      <c r="F33" s="314"/>
      <c r="G33" s="316"/>
      <c r="H33" s="479"/>
      <c r="I33" s="323"/>
      <c r="J33" s="318"/>
      <c r="K33" s="316"/>
      <c r="L33" s="377"/>
      <c r="M33"/>
      <c r="N33"/>
      <c r="O33"/>
      <c r="P33"/>
      <c r="Q33"/>
      <c r="S33" s="131" t="s">
        <v>21</v>
      </c>
    </row>
    <row r="34" spans="1:19" s="93" customFormat="1">
      <c r="A34" s="206" t="s">
        <v>99</v>
      </c>
      <c r="B34" s="207" t="s">
        <v>7</v>
      </c>
      <c r="C34" s="207" t="s">
        <v>171</v>
      </c>
      <c r="D34" s="535" t="s">
        <v>170</v>
      </c>
      <c r="E34" s="208" t="s">
        <v>11</v>
      </c>
      <c r="F34" s="207" t="s">
        <v>2</v>
      </c>
      <c r="G34" s="209" t="s">
        <v>12</v>
      </c>
      <c r="H34" s="482" t="s">
        <v>18</v>
      </c>
      <c r="I34" s="209" t="s">
        <v>213</v>
      </c>
      <c r="J34" s="207" t="s">
        <v>214</v>
      </c>
      <c r="K34" s="260" t="s">
        <v>215</v>
      </c>
      <c r="L34" s="377"/>
    </row>
    <row r="35" spans="1:19" s="93" customFormat="1">
      <c r="A35" s="325" t="s">
        <v>643</v>
      </c>
      <c r="B35" s="333" t="s">
        <v>1148</v>
      </c>
      <c r="C35" s="333" t="s">
        <v>339</v>
      </c>
      <c r="D35" s="819" t="s">
        <v>339</v>
      </c>
      <c r="E35" s="872">
        <v>0</v>
      </c>
      <c r="F35" s="331" t="s">
        <v>304</v>
      </c>
      <c r="G35" s="332">
        <f t="shared" ref="G35:G45" si="2">-77*E35</f>
        <v>0</v>
      </c>
      <c r="H35" s="334" t="s">
        <v>1151</v>
      </c>
      <c r="I35" s="820">
        <v>110.859375</v>
      </c>
      <c r="J35" s="335">
        <v>110.875</v>
      </c>
      <c r="K35" s="845">
        <f>IF(LEFT(A35,2)="TU",(J35-I35)*E35/100*100000*2,(J35-I35)*E35/100*100000)</f>
        <v>0</v>
      </c>
      <c r="L35" s="377"/>
    </row>
    <row r="36" spans="1:19" s="93" customFormat="1">
      <c r="A36" s="325" t="s">
        <v>647</v>
      </c>
      <c r="B36" s="328" t="s">
        <v>1263</v>
      </c>
      <c r="C36" s="328" t="s">
        <v>339</v>
      </c>
      <c r="D36" s="542" t="s">
        <v>339</v>
      </c>
      <c r="E36" s="872">
        <v>0</v>
      </c>
      <c r="F36" s="331" t="s">
        <v>304</v>
      </c>
      <c r="G36" s="332">
        <f t="shared" ref="G36:G40" si="3">-42.7*E36</f>
        <v>0</v>
      </c>
      <c r="H36" s="483" t="s">
        <v>1320</v>
      </c>
      <c r="I36" s="335">
        <v>108.75</v>
      </c>
      <c r="J36" s="335">
        <f>_xlfn.IFNA(VLOOKUP(A36,'market px'!$B$2:$F$20,5,FALSE),0)</f>
        <v>110.8515625</v>
      </c>
      <c r="K36" s="845">
        <f>IF(LEFT(A36,2)="TU",(J36-I36)*E36/100*100000*2,(J36-I36)*E36/100*100000)</f>
        <v>0</v>
      </c>
      <c r="L36" s="377"/>
    </row>
    <row r="37" spans="1:19" s="93" customFormat="1">
      <c r="A37" s="325" t="s">
        <v>647</v>
      </c>
      <c r="B37" s="328" t="s">
        <v>1472</v>
      </c>
      <c r="C37" s="328" t="s">
        <v>339</v>
      </c>
      <c r="D37" s="542" t="s">
        <v>339</v>
      </c>
      <c r="E37" s="872">
        <v>0</v>
      </c>
      <c r="F37" s="331" t="s">
        <v>304</v>
      </c>
      <c r="G37" s="332">
        <f t="shared" si="3"/>
        <v>0</v>
      </c>
      <c r="H37" s="483" t="s">
        <v>1497</v>
      </c>
      <c r="I37" s="335">
        <v>109.34375</v>
      </c>
      <c r="J37" s="335">
        <f>_xlfn.IFNA(VLOOKUP(A37,'market px'!$B$2:$F$20,5,FALSE),0)</f>
        <v>110.8515625</v>
      </c>
      <c r="K37" s="845">
        <f t="shared" ref="K37:K57" si="4">IF(LEFT(A37,2)="TU",(J37-I37)*E37/100*100000*2,(J37-I37)*E37/100*100000)</f>
        <v>0</v>
      </c>
      <c r="L37" s="377"/>
    </row>
    <row r="38" spans="1:19" s="93" customFormat="1">
      <c r="A38" s="325" t="s">
        <v>647</v>
      </c>
      <c r="B38" s="328" t="s">
        <v>1491</v>
      </c>
      <c r="C38" s="328" t="s">
        <v>339</v>
      </c>
      <c r="D38" s="542" t="s">
        <v>339</v>
      </c>
      <c r="E38" s="872">
        <v>0</v>
      </c>
      <c r="F38" s="331" t="s">
        <v>304</v>
      </c>
      <c r="G38" s="332">
        <f t="shared" si="3"/>
        <v>0</v>
      </c>
      <c r="H38" s="483" t="s">
        <v>1520</v>
      </c>
      <c r="I38" s="335">
        <v>109.03125</v>
      </c>
      <c r="J38" s="335">
        <f>_xlfn.IFNA(VLOOKUP(A38,'market px'!$B$2:$F$20,5,FALSE),0)</f>
        <v>110.8515625</v>
      </c>
      <c r="K38" s="845">
        <f t="shared" si="4"/>
        <v>0</v>
      </c>
      <c r="L38" s="377"/>
    </row>
    <row r="39" spans="1:19" s="93" customFormat="1">
      <c r="A39" s="325" t="s">
        <v>647</v>
      </c>
      <c r="B39" s="328" t="s">
        <v>1515</v>
      </c>
      <c r="C39" s="328" t="s">
        <v>339</v>
      </c>
      <c r="D39" s="542" t="s">
        <v>339</v>
      </c>
      <c r="E39" s="872">
        <v>0</v>
      </c>
      <c r="F39" s="331" t="s">
        <v>304</v>
      </c>
      <c r="G39" s="332">
        <f t="shared" si="3"/>
        <v>0</v>
      </c>
      <c r="H39" s="483" t="s">
        <v>1531</v>
      </c>
      <c r="I39" s="335">
        <v>109.1328125</v>
      </c>
      <c r="J39" s="335">
        <f>_xlfn.IFNA(VLOOKUP(A39,'market px'!$B$2:$F$20,5,FALSE),0)</f>
        <v>110.8515625</v>
      </c>
      <c r="K39" s="845">
        <f t="shared" si="4"/>
        <v>0</v>
      </c>
      <c r="L39" s="377"/>
    </row>
    <row r="40" spans="1:19" s="93" customFormat="1">
      <c r="A40" s="325" t="s">
        <v>647</v>
      </c>
      <c r="B40" s="328" t="s">
        <v>1263</v>
      </c>
      <c r="C40" s="328" t="s">
        <v>339</v>
      </c>
      <c r="D40" s="542" t="s">
        <v>339</v>
      </c>
      <c r="E40" s="872">
        <v>0</v>
      </c>
      <c r="F40" s="331" t="s">
        <v>304</v>
      </c>
      <c r="G40" s="332">
        <f t="shared" si="3"/>
        <v>0</v>
      </c>
      <c r="H40" s="483" t="s">
        <v>1316</v>
      </c>
      <c r="I40" s="335">
        <v>110.28125</v>
      </c>
      <c r="J40" s="335">
        <f>_xlfn.IFNA(VLOOKUP(A40,'market px'!$B$2:$F$20,5,FALSE),0)</f>
        <v>110.8515625</v>
      </c>
      <c r="K40" s="845">
        <f t="shared" si="4"/>
        <v>0</v>
      </c>
      <c r="L40" s="377"/>
    </row>
    <row r="41" spans="1:19" s="270" customFormat="1">
      <c r="A41" s="325" t="s">
        <v>647</v>
      </c>
      <c r="B41" s="328" t="s">
        <v>1263</v>
      </c>
      <c r="C41" s="328" t="s">
        <v>339</v>
      </c>
      <c r="D41" s="542" t="s">
        <v>339</v>
      </c>
      <c r="E41" s="872">
        <v>0</v>
      </c>
      <c r="F41" s="331" t="s">
        <v>304</v>
      </c>
      <c r="G41" s="332">
        <f t="shared" ref="G41" si="5">-42.7*E41</f>
        <v>0</v>
      </c>
      <c r="H41" s="542" t="s">
        <v>1317</v>
      </c>
      <c r="I41" s="335">
        <v>110.2890625</v>
      </c>
      <c r="J41" s="335">
        <f>_xlfn.IFNA(VLOOKUP(A41,'market px'!$B$2:$F$20,5,FALSE),0)</f>
        <v>110.8515625</v>
      </c>
      <c r="K41" s="845">
        <f t="shared" si="4"/>
        <v>0</v>
      </c>
      <c r="L41" s="381"/>
    </row>
    <row r="42" spans="1:19" s="270" customFormat="1">
      <c r="A42" s="325" t="s">
        <v>643</v>
      </c>
      <c r="B42" s="328" t="s">
        <v>1344</v>
      </c>
      <c r="C42" s="328" t="s">
        <v>339</v>
      </c>
      <c r="D42" s="542" t="s">
        <v>339</v>
      </c>
      <c r="E42" s="872">
        <v>0</v>
      </c>
      <c r="F42" s="330" t="s">
        <v>304</v>
      </c>
      <c r="G42" s="332">
        <f t="shared" si="2"/>
        <v>0</v>
      </c>
      <c r="H42" s="483" t="s">
        <v>1351</v>
      </c>
      <c r="I42" s="335">
        <v>115.546875</v>
      </c>
      <c r="J42" s="335">
        <f>_xlfn.IFNA(VLOOKUP(A42,'market px'!$B$2:$F$20,5,FALSE),0)</f>
        <v>116.65625</v>
      </c>
      <c r="K42" s="845">
        <f t="shared" si="4"/>
        <v>0</v>
      </c>
      <c r="L42" s="381"/>
    </row>
    <row r="43" spans="1:19" s="93" customFormat="1">
      <c r="A43" s="325" t="s">
        <v>643</v>
      </c>
      <c r="B43" s="328" t="s">
        <v>1388</v>
      </c>
      <c r="C43" s="328" t="s">
        <v>339</v>
      </c>
      <c r="D43" s="542" t="s">
        <v>339</v>
      </c>
      <c r="E43" s="872">
        <v>0</v>
      </c>
      <c r="F43" s="330" t="s">
        <v>304</v>
      </c>
      <c r="G43" s="332">
        <f t="shared" si="2"/>
        <v>0</v>
      </c>
      <c r="H43" s="483" t="s">
        <v>1410</v>
      </c>
      <c r="I43" s="335">
        <v>115.703125</v>
      </c>
      <c r="J43" s="335">
        <f>_xlfn.IFNA(VLOOKUP(A43,'market px'!$B$2:$F$20,5,FALSE),0)</f>
        <v>116.65625</v>
      </c>
      <c r="K43" s="845">
        <f t="shared" si="4"/>
        <v>0</v>
      </c>
      <c r="L43" s="377"/>
      <c r="S43" s="131" t="s">
        <v>21</v>
      </c>
    </row>
    <row r="44" spans="1:19" s="93" customFormat="1">
      <c r="A44" s="325" t="s">
        <v>643</v>
      </c>
      <c r="B44" s="328" t="s">
        <v>1406</v>
      </c>
      <c r="C44" s="328" t="s">
        <v>339</v>
      </c>
      <c r="D44" s="542" t="s">
        <v>339</v>
      </c>
      <c r="E44" s="872">
        <v>0</v>
      </c>
      <c r="F44" s="331" t="s">
        <v>304</v>
      </c>
      <c r="G44" s="332">
        <f t="shared" si="2"/>
        <v>0</v>
      </c>
      <c r="H44" s="542" t="s">
        <v>1411</v>
      </c>
      <c r="I44" s="335">
        <v>116.140625</v>
      </c>
      <c r="J44" s="335">
        <f>_xlfn.IFNA(VLOOKUP(A44,'market px'!$B$2:$F$20,5,FALSE),0)</f>
        <v>116.65625</v>
      </c>
      <c r="K44" s="845">
        <f t="shared" si="4"/>
        <v>0</v>
      </c>
      <c r="L44" s="377"/>
    </row>
    <row r="45" spans="1:19" s="93" customFormat="1">
      <c r="A45" s="325" t="s">
        <v>643</v>
      </c>
      <c r="B45" s="328" t="s">
        <v>1263</v>
      </c>
      <c r="C45" s="328" t="s">
        <v>339</v>
      </c>
      <c r="D45" s="542" t="s">
        <v>339</v>
      </c>
      <c r="E45" s="872">
        <v>0</v>
      </c>
      <c r="F45" s="331" t="s">
        <v>304</v>
      </c>
      <c r="G45" s="332">
        <f t="shared" si="2"/>
        <v>0</v>
      </c>
      <c r="H45" s="542" t="s">
        <v>1336</v>
      </c>
      <c r="I45" s="335">
        <v>115.421875</v>
      </c>
      <c r="J45" s="335">
        <f>_xlfn.IFNA(VLOOKUP(A45,'market px'!$B$2:$F$20,5,FALSE),0)</f>
        <v>116.65625</v>
      </c>
      <c r="K45" s="845">
        <f t="shared" si="4"/>
        <v>0</v>
      </c>
      <c r="L45" s="377"/>
    </row>
    <row r="46" spans="1:19" s="93" customFormat="1">
      <c r="A46" s="325" t="s">
        <v>647</v>
      </c>
      <c r="B46" s="328" t="s">
        <v>1239</v>
      </c>
      <c r="C46" s="328" t="s">
        <v>339</v>
      </c>
      <c r="D46" s="542" t="s">
        <v>339</v>
      </c>
      <c r="E46" s="872">
        <v>0</v>
      </c>
      <c r="F46" s="331" t="s">
        <v>304</v>
      </c>
      <c r="G46" s="332">
        <f t="shared" ref="G46:G53" si="6">-42.7*E46</f>
        <v>0</v>
      </c>
      <c r="H46" s="542" t="s">
        <v>1260</v>
      </c>
      <c r="I46" s="335">
        <v>108.5546875</v>
      </c>
      <c r="J46" s="335">
        <f>_xlfn.IFNA(VLOOKUP(A46,'market px'!$B$2:$F$20,5,FALSE),0)</f>
        <v>110.8515625</v>
      </c>
      <c r="K46" s="845">
        <f t="shared" si="4"/>
        <v>0</v>
      </c>
      <c r="L46" s="377"/>
    </row>
    <row r="47" spans="1:19" s="93" customFormat="1">
      <c r="A47" s="325" t="s">
        <v>647</v>
      </c>
      <c r="B47" s="328" t="s">
        <v>1239</v>
      </c>
      <c r="C47" s="328" t="s">
        <v>339</v>
      </c>
      <c r="D47" s="542" t="s">
        <v>339</v>
      </c>
      <c r="E47" s="872">
        <v>0</v>
      </c>
      <c r="F47" s="331" t="s">
        <v>304</v>
      </c>
      <c r="G47" s="332">
        <f t="shared" si="6"/>
        <v>0</v>
      </c>
      <c r="H47" s="542" t="s">
        <v>1261</v>
      </c>
      <c r="I47" s="335">
        <v>108.3671875</v>
      </c>
      <c r="J47" s="335">
        <f>_xlfn.IFNA(VLOOKUP(A47,'market px'!$B$2:$F$20,5,FALSE),0)</f>
        <v>110.8515625</v>
      </c>
      <c r="K47" s="845">
        <f t="shared" si="4"/>
        <v>0</v>
      </c>
      <c r="L47" s="377"/>
    </row>
    <row r="48" spans="1:19" s="93" customFormat="1">
      <c r="A48" s="881" t="s">
        <v>647</v>
      </c>
      <c r="B48" s="882" t="s">
        <v>1406</v>
      </c>
      <c r="C48" s="882" t="s">
        <v>339</v>
      </c>
      <c r="D48" s="883" t="s">
        <v>339</v>
      </c>
      <c r="E48" s="884">
        <v>0</v>
      </c>
      <c r="F48" s="885" t="s">
        <v>638</v>
      </c>
      <c r="G48" s="886">
        <v>0</v>
      </c>
      <c r="H48" s="887" t="s">
        <v>1431</v>
      </c>
      <c r="I48" s="888">
        <v>111.03125</v>
      </c>
      <c r="J48" s="888">
        <f>_xlfn.IFNA(VLOOKUP(A48,'market px'!$B$2:$F$20,5,FALSE),0)</f>
        <v>110.8515625</v>
      </c>
      <c r="K48" s="845">
        <f t="shared" si="4"/>
        <v>0</v>
      </c>
      <c r="L48" s="377"/>
      <c r="S48" s="131" t="s">
        <v>21</v>
      </c>
    </row>
    <row r="49" spans="1:19" s="93" customFormat="1">
      <c r="A49" s="325" t="s">
        <v>647</v>
      </c>
      <c r="B49" s="333" t="s">
        <v>1406</v>
      </c>
      <c r="C49" s="333" t="s">
        <v>339</v>
      </c>
      <c r="D49" s="819" t="s">
        <v>339</v>
      </c>
      <c r="E49" s="872">
        <v>0</v>
      </c>
      <c r="F49" s="325" t="s">
        <v>638</v>
      </c>
      <c r="G49" s="332">
        <f t="shared" si="6"/>
        <v>0</v>
      </c>
      <c r="H49" s="334" t="s">
        <v>1431</v>
      </c>
      <c r="I49" s="820">
        <v>111.03125</v>
      </c>
      <c r="J49" s="335">
        <f>_xlfn.IFNA(VLOOKUP(A49,'market px'!$B$2:$F$20,5,FALSE),0)</f>
        <v>110.8515625</v>
      </c>
      <c r="K49" s="845">
        <f t="shared" si="4"/>
        <v>0</v>
      </c>
      <c r="L49" s="377"/>
      <c r="S49" s="131"/>
    </row>
    <row r="50" spans="1:19" s="93" customFormat="1">
      <c r="A50" s="325" t="s">
        <v>647</v>
      </c>
      <c r="B50" s="328" t="s">
        <v>1491</v>
      </c>
      <c r="C50" s="328" t="s">
        <v>339</v>
      </c>
      <c r="D50" s="542" t="s">
        <v>339</v>
      </c>
      <c r="E50" s="872">
        <v>0</v>
      </c>
      <c r="F50" s="330" t="s">
        <v>638</v>
      </c>
      <c r="G50" s="332">
        <f t="shared" si="6"/>
        <v>0</v>
      </c>
      <c r="H50" s="483" t="s">
        <v>1521</v>
      </c>
      <c r="I50" s="335">
        <v>109.484375</v>
      </c>
      <c r="J50" s="335">
        <f>_xlfn.IFNA(VLOOKUP(A50,'market px'!$B$2:$F$20,5,FALSE),0)</f>
        <v>110.8515625</v>
      </c>
      <c r="K50" s="845">
        <f>IF(LEFT(A50,2)="TU",(J50-I50)*E50/100*100000*2,(J50-I50)*E50/100*100000)</f>
        <v>0</v>
      </c>
      <c r="L50" s="377"/>
    </row>
    <row r="51" spans="1:19" s="93" customFormat="1">
      <c r="A51" s="325" t="s">
        <v>647</v>
      </c>
      <c r="B51" s="328" t="s">
        <v>1491</v>
      </c>
      <c r="C51" s="328" t="s">
        <v>339</v>
      </c>
      <c r="D51" s="542" t="s">
        <v>339</v>
      </c>
      <c r="E51" s="872">
        <v>13</v>
      </c>
      <c r="F51" s="330" t="s">
        <v>638</v>
      </c>
      <c r="G51" s="332">
        <f t="shared" si="6"/>
        <v>-555.1</v>
      </c>
      <c r="H51" s="483" t="s">
        <v>1499</v>
      </c>
      <c r="I51" s="335">
        <v>109.3203125</v>
      </c>
      <c r="J51" s="335">
        <f>_xlfn.IFNA(VLOOKUP(A51,'market px'!$B$2:$F$20,5,FALSE),0)</f>
        <v>110.8515625</v>
      </c>
      <c r="K51" s="845">
        <f t="shared" si="4"/>
        <v>19906.25</v>
      </c>
      <c r="L51" s="377"/>
    </row>
    <row r="52" spans="1:19" s="93" customFormat="1">
      <c r="A52" s="325" t="s">
        <v>647</v>
      </c>
      <c r="B52" s="328" t="s">
        <v>1491</v>
      </c>
      <c r="C52" s="328" t="s">
        <v>339</v>
      </c>
      <c r="D52" s="542" t="s">
        <v>339</v>
      </c>
      <c r="E52" s="872">
        <v>4</v>
      </c>
      <c r="F52" s="330" t="s">
        <v>638</v>
      </c>
      <c r="G52" s="332">
        <f t="shared" si="6"/>
        <v>-170.8</v>
      </c>
      <c r="H52" s="483" t="s">
        <v>1500</v>
      </c>
      <c r="I52" s="335">
        <v>109.3203125</v>
      </c>
      <c r="J52" s="335">
        <f>_xlfn.IFNA(VLOOKUP(A52,'market px'!$B$2:$F$20,5,FALSE),0)</f>
        <v>110.8515625</v>
      </c>
      <c r="K52" s="845">
        <f t="shared" si="4"/>
        <v>6125</v>
      </c>
      <c r="L52" s="377"/>
    </row>
    <row r="53" spans="1:19" s="93" customFormat="1">
      <c r="A53" s="325" t="s">
        <v>647</v>
      </c>
      <c r="B53" s="328" t="s">
        <v>1491</v>
      </c>
      <c r="C53" s="328" t="s">
        <v>339</v>
      </c>
      <c r="D53" s="542" t="s">
        <v>339</v>
      </c>
      <c r="E53" s="872">
        <v>33</v>
      </c>
      <c r="F53" s="330" t="s">
        <v>638</v>
      </c>
      <c r="G53" s="332">
        <f t="shared" si="6"/>
        <v>-1409.1000000000001</v>
      </c>
      <c r="H53" s="483" t="s">
        <v>1501</v>
      </c>
      <c r="I53" s="335">
        <v>109.3203125</v>
      </c>
      <c r="J53" s="335">
        <f>_xlfn.IFNA(VLOOKUP(A53,'market px'!$B$2:$F$20,5,FALSE),0)</f>
        <v>110.8515625</v>
      </c>
      <c r="K53" s="845">
        <f t="shared" si="4"/>
        <v>50531.250000000007</v>
      </c>
      <c r="L53" s="377"/>
    </row>
    <row r="54" spans="1:19" s="93" customFormat="1">
      <c r="A54" s="325" t="s">
        <v>643</v>
      </c>
      <c r="B54" s="328" t="s">
        <v>1263</v>
      </c>
      <c r="C54" s="328" t="s">
        <v>339</v>
      </c>
      <c r="D54" s="542" t="s">
        <v>339</v>
      </c>
      <c r="E54" s="872">
        <v>0</v>
      </c>
      <c r="F54" s="330" t="s">
        <v>638</v>
      </c>
      <c r="G54" s="332">
        <f t="shared" ref="G54:G55" si="7">-77*E54</f>
        <v>0</v>
      </c>
      <c r="H54" s="483" t="s">
        <v>1324</v>
      </c>
      <c r="I54" s="335">
        <v>115.921875</v>
      </c>
      <c r="J54" s="335">
        <f>_xlfn.IFNA(VLOOKUP(A54,'market px'!$B$2:$F$20,5,FALSE),0)</f>
        <v>116.65625</v>
      </c>
      <c r="K54" s="845">
        <f t="shared" si="4"/>
        <v>0</v>
      </c>
      <c r="L54" s="377"/>
    </row>
    <row r="55" spans="1:19" s="93" customFormat="1">
      <c r="A55" s="325" t="s">
        <v>643</v>
      </c>
      <c r="B55" s="328" t="s">
        <v>1263</v>
      </c>
      <c r="C55" s="328" t="s">
        <v>339</v>
      </c>
      <c r="D55" s="542" t="s">
        <v>339</v>
      </c>
      <c r="E55" s="872">
        <v>0</v>
      </c>
      <c r="F55" s="330" t="s">
        <v>638</v>
      </c>
      <c r="G55" s="332">
        <f t="shared" si="7"/>
        <v>0</v>
      </c>
      <c r="H55" s="483" t="s">
        <v>1324</v>
      </c>
      <c r="I55" s="335">
        <v>115.921875</v>
      </c>
      <c r="J55" s="335">
        <f>_xlfn.IFNA(VLOOKUP(A55,'market px'!$B$2:$F$20,5,FALSE),0)</f>
        <v>116.65625</v>
      </c>
      <c r="K55" s="845">
        <f t="shared" si="4"/>
        <v>0</v>
      </c>
      <c r="L55" s="377"/>
    </row>
    <row r="56" spans="1:19" s="93" customFormat="1">
      <c r="A56" s="325" t="s">
        <v>604</v>
      </c>
      <c r="B56" s="837" t="s">
        <v>617</v>
      </c>
      <c r="C56" s="837" t="s">
        <v>339</v>
      </c>
      <c r="D56" s="838" t="s">
        <v>339</v>
      </c>
      <c r="E56" s="876">
        <v>0</v>
      </c>
      <c r="F56" s="330" t="s">
        <v>638</v>
      </c>
      <c r="G56" s="332">
        <f t="shared" ref="G56:G57" si="8">-18.6*2*E56</f>
        <v>0</v>
      </c>
      <c r="H56" s="840" t="s">
        <v>619</v>
      </c>
      <c r="I56" s="839">
        <v>106.75</v>
      </c>
      <c r="J56" s="335">
        <f>_xlfn.IFNA(VLOOKUP(A56,'market px'!$B$2:$F$20,5,FALSE),0)</f>
        <v>0</v>
      </c>
      <c r="K56" s="845">
        <f t="shared" si="4"/>
        <v>0</v>
      </c>
      <c r="L56" s="377"/>
    </row>
    <row r="57" spans="1:19" s="270" customFormat="1">
      <c r="A57" s="325" t="s">
        <v>589</v>
      </c>
      <c r="B57" s="328" t="s">
        <v>617</v>
      </c>
      <c r="C57" s="328" t="s">
        <v>339</v>
      </c>
      <c r="D57" s="542" t="s">
        <v>339</v>
      </c>
      <c r="E57" s="872">
        <v>0</v>
      </c>
      <c r="F57" s="330" t="s">
        <v>638</v>
      </c>
      <c r="G57" s="332">
        <f t="shared" si="8"/>
        <v>0</v>
      </c>
      <c r="H57" s="483" t="s">
        <v>618</v>
      </c>
      <c r="I57" s="335">
        <v>106.421875</v>
      </c>
      <c r="J57" s="335">
        <f>_xlfn.IFNA(VLOOKUP(A57,'market px'!$B$2:$F$20,5,FALSE),0)</f>
        <v>0</v>
      </c>
      <c r="K57" s="845">
        <f t="shared" si="4"/>
        <v>0</v>
      </c>
      <c r="L57" s="381"/>
    </row>
    <row r="58" spans="1:19" s="270" customFormat="1">
      <c r="A58" s="349" t="s">
        <v>166</v>
      </c>
      <c r="B58" s="350"/>
      <c r="C58" s="351"/>
      <c r="D58" s="545"/>
      <c r="E58" s="875">
        <f>SUM(E35:E57)</f>
        <v>50</v>
      </c>
      <c r="F58" s="352"/>
      <c r="G58" s="354">
        <f>SUM(G35:G57)</f>
        <v>-2135</v>
      </c>
      <c r="H58" s="486"/>
      <c r="I58" s="356"/>
      <c r="J58" s="357"/>
      <c r="K58" s="358">
        <f>SUM(K35:K57)</f>
        <v>76562.5</v>
      </c>
      <c r="L58" s="381"/>
    </row>
    <row r="59" spans="1:19" s="270" customFormat="1">
      <c r="A59" s="359" t="s">
        <v>169</v>
      </c>
      <c r="B59" s="113"/>
      <c r="C59" s="274"/>
      <c r="D59" s="538"/>
      <c r="E59" s="114"/>
      <c r="F59" s="114"/>
      <c r="G59" s="118"/>
      <c r="H59" s="478"/>
      <c r="I59" s="125"/>
      <c r="J59" s="360"/>
      <c r="K59" s="261"/>
      <c r="L59" s="381"/>
    </row>
    <row r="60" spans="1:19" s="270" customFormat="1">
      <c r="A60" s="206" t="s">
        <v>99</v>
      </c>
      <c r="B60" s="207" t="s">
        <v>7</v>
      </c>
      <c r="C60" s="207" t="s">
        <v>171</v>
      </c>
      <c r="D60" s="535" t="s">
        <v>170</v>
      </c>
      <c r="E60" s="208" t="s">
        <v>11</v>
      </c>
      <c r="F60" s="207" t="s">
        <v>2</v>
      </c>
      <c r="G60" s="209" t="s">
        <v>12</v>
      </c>
      <c r="H60" s="482" t="s">
        <v>18</v>
      </c>
      <c r="I60" s="209" t="s">
        <v>213</v>
      </c>
      <c r="J60" s="207" t="s">
        <v>214</v>
      </c>
      <c r="K60" s="260" t="s">
        <v>215</v>
      </c>
      <c r="L60" s="381"/>
    </row>
    <row r="61" spans="1:19" s="93" customFormat="1">
      <c r="A61" s="325" t="s">
        <v>1301</v>
      </c>
      <c r="B61" s="328">
        <v>43118</v>
      </c>
      <c r="C61" s="329"/>
      <c r="D61" s="542"/>
      <c r="E61" s="330">
        <v>0</v>
      </c>
      <c r="F61" s="330" t="s">
        <v>304</v>
      </c>
      <c r="G61" s="332">
        <f>-190*E61</f>
        <v>0</v>
      </c>
      <c r="H61" s="483"/>
      <c r="I61" s="335">
        <v>134.1</v>
      </c>
      <c r="J61" s="335">
        <f>VLOOKUP(A61,'market px'!$G$2:$I$20,3,FALSE)</f>
        <v>144.84</v>
      </c>
      <c r="K61" s="336">
        <f t="shared" ref="K61:K66" si="9">(J61-I61)*E61/100</f>
        <v>0</v>
      </c>
      <c r="L61" s="377"/>
      <c r="M61"/>
      <c r="N61"/>
      <c r="O61"/>
      <c r="P61"/>
      <c r="Q61"/>
    </row>
    <row r="62" spans="1:19">
      <c r="A62" s="325" t="s">
        <v>1300</v>
      </c>
      <c r="B62" s="328">
        <v>41547</v>
      </c>
      <c r="C62" s="329"/>
      <c r="D62" s="542"/>
      <c r="E62" s="330">
        <f>100000*0</f>
        <v>0</v>
      </c>
      <c r="F62" s="330" t="s">
        <v>1307</v>
      </c>
      <c r="G62" s="332">
        <f>-83*E62</f>
        <v>0</v>
      </c>
      <c r="H62" s="483"/>
      <c r="I62" s="335">
        <v>135.12</v>
      </c>
      <c r="J62" s="335">
        <f>VLOOKUP(A62,'market px'!$G$2:$I$20,3,FALSE)</f>
        <v>137.80000000000001</v>
      </c>
      <c r="K62" s="336">
        <f t="shared" si="9"/>
        <v>0</v>
      </c>
    </row>
    <row r="63" spans="1:19">
      <c r="A63" s="325" t="s">
        <v>1296</v>
      </c>
      <c r="B63" s="328">
        <v>41416</v>
      </c>
      <c r="C63" s="329"/>
      <c r="D63" s="542"/>
      <c r="E63" s="330">
        <f>100000*0</f>
        <v>0</v>
      </c>
      <c r="F63" s="330" t="s">
        <v>1307</v>
      </c>
      <c r="G63" s="332">
        <f>-19*E63</f>
        <v>0</v>
      </c>
      <c r="H63" s="483" t="s">
        <v>21</v>
      </c>
      <c r="I63" s="335">
        <v>108.77</v>
      </c>
      <c r="J63" s="335">
        <f>VLOOKUP(A63,'market px'!$G$2:$I$20,3,FALSE)</f>
        <v>106.14</v>
      </c>
      <c r="K63" s="336">
        <f t="shared" si="9"/>
        <v>0</v>
      </c>
    </row>
    <row r="64" spans="1:19">
      <c r="A64" s="325" t="s">
        <v>1298</v>
      </c>
      <c r="B64" s="328">
        <v>40995</v>
      </c>
      <c r="C64" s="329"/>
      <c r="D64" s="542"/>
      <c r="E64" s="330">
        <f>100000*0</f>
        <v>0</v>
      </c>
      <c r="F64" s="330" t="s">
        <v>1307</v>
      </c>
      <c r="G64" s="332">
        <f>-44*E64</f>
        <v>0</v>
      </c>
      <c r="H64" s="483"/>
      <c r="I64" s="335">
        <v>109.88</v>
      </c>
      <c r="J64" s="335">
        <f>VLOOKUP(A64,'market px'!$G$2:$I$20,3,FALSE)</f>
        <v>119.06</v>
      </c>
      <c r="K64" s="336">
        <f t="shared" si="9"/>
        <v>0</v>
      </c>
    </row>
    <row r="65" spans="1:11">
      <c r="A65" s="325" t="s">
        <v>287</v>
      </c>
      <c r="B65" s="328">
        <v>39220</v>
      </c>
      <c r="C65" s="329" t="s">
        <v>21</v>
      </c>
      <c r="D65" s="542"/>
      <c r="E65" s="330">
        <f>100000*0</f>
        <v>0</v>
      </c>
      <c r="F65" s="330"/>
      <c r="G65" s="332">
        <f>-VLOOKUP(A65,'market px'!G$2:H$20,2,FALSE)*E65/1000000</f>
        <v>0</v>
      </c>
      <c r="H65" s="483" t="s">
        <v>23</v>
      </c>
      <c r="I65" s="335">
        <v>102.55500000000001</v>
      </c>
      <c r="J65" s="335">
        <f>VLOOKUP(A65,'market px'!$G$2:$I$20,3,FALSE)</f>
        <v>108.84</v>
      </c>
      <c r="K65" s="336">
        <f t="shared" si="9"/>
        <v>0</v>
      </c>
    </row>
    <row r="66" spans="1:11">
      <c r="A66" s="325" t="s">
        <v>287</v>
      </c>
      <c r="B66" s="328">
        <v>39224</v>
      </c>
      <c r="C66" s="329" t="s">
        <v>21</v>
      </c>
      <c r="D66" s="542"/>
      <c r="E66" s="330">
        <f>100000*0</f>
        <v>0</v>
      </c>
      <c r="F66" s="330"/>
      <c r="G66" s="332">
        <f>-VLOOKUP(A66,'market px'!G$2:H$20,2,FALSE)*E66/1000000</f>
        <v>0</v>
      </c>
      <c r="H66" s="483"/>
      <c r="I66" s="335">
        <v>102.89</v>
      </c>
      <c r="J66" s="335">
        <f>VLOOKUP(A66,'market px'!$G$2:$I$20,3,FALSE)</f>
        <v>108.84</v>
      </c>
      <c r="K66" s="336">
        <f t="shared" si="9"/>
        <v>0</v>
      </c>
    </row>
    <row r="67" spans="1:11">
      <c r="A67" s="349" t="s">
        <v>166</v>
      </c>
      <c r="B67" s="350"/>
      <c r="C67" s="351"/>
      <c r="D67" s="545"/>
      <c r="E67" s="352">
        <f>SUM(E61:E66)</f>
        <v>0</v>
      </c>
      <c r="F67" s="352"/>
      <c r="G67" s="354">
        <f>SUM(G61:G66)</f>
        <v>0</v>
      </c>
      <c r="H67" s="486"/>
      <c r="I67" s="356"/>
      <c r="J67" s="357"/>
      <c r="K67" s="358">
        <f>SUM(K61:K66)</f>
        <v>0</v>
      </c>
    </row>
    <row r="68" spans="1:11">
      <c r="A68" s="65"/>
      <c r="B68" s="108"/>
      <c r="C68" s="275"/>
      <c r="D68" s="546"/>
      <c r="E68" s="70"/>
      <c r="F68" s="70"/>
      <c r="G68" s="105"/>
      <c r="H68" s="487"/>
      <c r="I68" s="204"/>
      <c r="J68" s="205"/>
      <c r="K68" s="106"/>
    </row>
    <row r="69" spans="1:11">
      <c r="G69" s="14"/>
      <c r="H69" s="488"/>
    </row>
    <row r="70" spans="1:11">
      <c r="G70" s="14"/>
      <c r="H70" s="488"/>
    </row>
    <row r="71" spans="1:11">
      <c r="G71" s="14"/>
      <c r="H71" s="488"/>
    </row>
    <row r="72" spans="1:11">
      <c r="G72" s="14"/>
      <c r="H72" s="488"/>
    </row>
    <row r="73" spans="1:11">
      <c r="G73" s="14"/>
      <c r="H73" s="488"/>
    </row>
    <row r="74" spans="1:11">
      <c r="G74" s="14"/>
      <c r="H74" s="488"/>
    </row>
    <row r="75" spans="1:11">
      <c r="G75" s="14"/>
      <c r="H75" s="488"/>
    </row>
    <row r="76" spans="1:11">
      <c r="G76" s="14"/>
      <c r="H76" s="488"/>
    </row>
    <row r="77" spans="1:11">
      <c r="G77" s="14"/>
      <c r="H77" s="488"/>
    </row>
    <row r="78" spans="1:11">
      <c r="G78" s="14"/>
      <c r="H78" s="488"/>
    </row>
    <row r="79" spans="1:11">
      <c r="G79" s="14"/>
      <c r="H79" s="488"/>
    </row>
    <row r="80" spans="1:11">
      <c r="G80" s="14"/>
      <c r="H80" s="488"/>
    </row>
    <row r="81" spans="7:8">
      <c r="G81" s="14"/>
      <c r="H81" s="488"/>
    </row>
    <row r="82" spans="7:8">
      <c r="G82" s="14"/>
      <c r="H82" s="488"/>
    </row>
    <row r="83" spans="7:8">
      <c r="G83" s="14"/>
      <c r="H83" s="488"/>
    </row>
    <row r="84" spans="7:8">
      <c r="G84" s="14"/>
      <c r="H84" s="488"/>
    </row>
    <row r="85" spans="7:8">
      <c r="G85" s="14"/>
      <c r="H85" s="488"/>
    </row>
    <row r="86" spans="7:8">
      <c r="G86" s="14"/>
      <c r="H86" s="488"/>
    </row>
    <row r="87" spans="7:8">
      <c r="G87" s="14"/>
      <c r="H87" s="488"/>
    </row>
    <row r="88" spans="7:8">
      <c r="G88" s="14"/>
      <c r="H88" s="488"/>
    </row>
    <row r="89" spans="7:8">
      <c r="G89" s="14"/>
      <c r="H89" s="488"/>
    </row>
    <row r="90" spans="7:8">
      <c r="G90" s="14"/>
      <c r="H90" s="488"/>
    </row>
    <row r="91" spans="7:8">
      <c r="G91" s="14"/>
      <c r="H91" s="488"/>
    </row>
    <row r="92" spans="7:8">
      <c r="G92" s="14"/>
      <c r="H92" s="488"/>
    </row>
    <row r="93" spans="7:8">
      <c r="G93" s="14"/>
      <c r="H93" s="488"/>
    </row>
    <row r="94" spans="7:8">
      <c r="G94" s="14"/>
      <c r="H94" s="488"/>
    </row>
    <row r="95" spans="7:8">
      <c r="G95" s="14"/>
      <c r="H95" s="489"/>
    </row>
    <row r="96" spans="7:8">
      <c r="G96" s="14"/>
      <c r="H96" s="489"/>
    </row>
    <row r="97" spans="7:8">
      <c r="G97" s="14"/>
      <c r="H97" s="489"/>
    </row>
    <row r="98" spans="7:8">
      <c r="G98" s="14"/>
      <c r="H98" s="489"/>
    </row>
    <row r="99" spans="7:8">
      <c r="G99" s="14"/>
      <c r="H99" s="489"/>
    </row>
    <row r="100" spans="7:8">
      <c r="G100" s="14"/>
      <c r="H100" s="489"/>
    </row>
    <row r="101" spans="7:8">
      <c r="G101" s="14"/>
      <c r="H101" s="489"/>
    </row>
    <row r="102" spans="7:8">
      <c r="G102" s="14"/>
      <c r="H102" s="489"/>
    </row>
    <row r="103" spans="7:8">
      <c r="G103" s="14"/>
      <c r="H103" s="489"/>
    </row>
    <row r="104" spans="7:8">
      <c r="G104" s="14"/>
      <c r="H104" s="489"/>
    </row>
    <row r="105" spans="7:8">
      <c r="G105" s="14"/>
      <c r="H105" s="489"/>
    </row>
    <row r="106" spans="7:8">
      <c r="G106" s="14"/>
      <c r="H106" s="489"/>
    </row>
    <row r="107" spans="7:8">
      <c r="G107" s="14"/>
      <c r="H107" s="489"/>
    </row>
    <row r="108" spans="7:8">
      <c r="G108" s="14"/>
      <c r="H108" s="489"/>
    </row>
    <row r="109" spans="7:8">
      <c r="G109" s="14"/>
      <c r="H109" s="489"/>
    </row>
    <row r="110" spans="7:8">
      <c r="G110" s="14"/>
      <c r="H110" s="489"/>
    </row>
    <row r="111" spans="7:8">
      <c r="G111" s="14"/>
      <c r="H111" s="489"/>
    </row>
    <row r="112" spans="7:8">
      <c r="G112" s="14"/>
      <c r="H112" s="489"/>
    </row>
    <row r="113" spans="7:8">
      <c r="G113" s="14"/>
      <c r="H113" s="489"/>
    </row>
    <row r="114" spans="7:8">
      <c r="G114" s="14"/>
      <c r="H114" s="489"/>
    </row>
    <row r="115" spans="7:8">
      <c r="G115" s="14"/>
      <c r="H115" s="489"/>
    </row>
    <row r="116" spans="7:8">
      <c r="G116" s="14"/>
      <c r="H116" s="489"/>
    </row>
    <row r="117" spans="7:8">
      <c r="G117" s="14"/>
      <c r="H117" s="489"/>
    </row>
    <row r="118" spans="7:8">
      <c r="G118" s="14"/>
      <c r="H118" s="489"/>
    </row>
    <row r="119" spans="7:8">
      <c r="G119" s="14"/>
      <c r="H119" s="489"/>
    </row>
    <row r="120" spans="7:8">
      <c r="G120" s="14"/>
      <c r="H120" s="489"/>
    </row>
    <row r="121" spans="7:8">
      <c r="G121" s="14"/>
      <c r="H121" s="489"/>
    </row>
    <row r="122" spans="7:8">
      <c r="G122" s="14"/>
      <c r="H122" s="489"/>
    </row>
    <row r="123" spans="7:8">
      <c r="G123" s="14"/>
      <c r="H123" s="489"/>
    </row>
    <row r="124" spans="7:8">
      <c r="G124" s="14"/>
      <c r="H124" s="489"/>
    </row>
    <row r="125" spans="7:8">
      <c r="G125" s="14"/>
      <c r="H125" s="489"/>
    </row>
    <row r="126" spans="7:8">
      <c r="G126" s="14"/>
      <c r="H126" s="489"/>
    </row>
    <row r="127" spans="7:8">
      <c r="G127" s="14"/>
      <c r="H127" s="489"/>
    </row>
    <row r="128" spans="7:8">
      <c r="G128" s="14"/>
      <c r="H128" s="489"/>
    </row>
    <row r="129" spans="7:8">
      <c r="G129" s="14"/>
      <c r="H129" s="489"/>
    </row>
    <row r="130" spans="7:8">
      <c r="G130" s="14"/>
      <c r="H130" s="489"/>
    </row>
    <row r="131" spans="7:8">
      <c r="G131" s="14"/>
      <c r="H131" s="489"/>
    </row>
    <row r="132" spans="7:8">
      <c r="G132" s="14"/>
      <c r="H132" s="489"/>
    </row>
    <row r="133" spans="7:8">
      <c r="G133" s="14"/>
      <c r="H133" s="489"/>
    </row>
    <row r="134" spans="7:8">
      <c r="G134" s="14"/>
      <c r="H134" s="489"/>
    </row>
    <row r="135" spans="7:8">
      <c r="G135" s="14"/>
      <c r="H135" s="489"/>
    </row>
    <row r="136" spans="7:8">
      <c r="G136" s="14"/>
      <c r="H136" s="489"/>
    </row>
    <row r="137" spans="7:8">
      <c r="G137" s="14"/>
      <c r="H137" s="489"/>
    </row>
    <row r="138" spans="7:8">
      <c r="G138" s="14"/>
      <c r="H138" s="489"/>
    </row>
    <row r="139" spans="7:8">
      <c r="G139" s="14"/>
      <c r="H139" s="489"/>
    </row>
    <row r="140" spans="7:8">
      <c r="G140" s="14"/>
      <c r="H140" s="489"/>
    </row>
    <row r="141" spans="7:8">
      <c r="G141" s="14"/>
      <c r="H141" s="489"/>
    </row>
    <row r="142" spans="7:8">
      <c r="G142" s="14"/>
      <c r="H142" s="489"/>
    </row>
    <row r="143" spans="7:8">
      <c r="G143" s="14"/>
      <c r="H143" s="489"/>
    </row>
    <row r="144" spans="7:8">
      <c r="G144" s="14"/>
      <c r="H144" s="489"/>
    </row>
    <row r="145" spans="7:8">
      <c r="G145" s="14"/>
      <c r="H145" s="489"/>
    </row>
    <row r="146" spans="7:8">
      <c r="G146" s="14"/>
      <c r="H146" s="489"/>
    </row>
    <row r="147" spans="7:8">
      <c r="G147" s="14"/>
      <c r="H147" s="489"/>
    </row>
    <row r="148" spans="7:8">
      <c r="G148" s="14"/>
      <c r="H148" s="489"/>
    </row>
    <row r="149" spans="7:8">
      <c r="G149" s="14"/>
      <c r="H149" s="489"/>
    </row>
    <row r="150" spans="7:8">
      <c r="G150" s="14"/>
      <c r="H150" s="489"/>
    </row>
    <row r="151" spans="7:8">
      <c r="G151" s="14"/>
      <c r="H151" s="489"/>
    </row>
    <row r="152" spans="7:8">
      <c r="G152" s="14"/>
      <c r="H152" s="489"/>
    </row>
    <row r="153" spans="7:8">
      <c r="G153" s="14"/>
      <c r="H153" s="489"/>
    </row>
    <row r="154" spans="7:8">
      <c r="G154" s="14"/>
      <c r="H154" s="489"/>
    </row>
    <row r="155" spans="7:8">
      <c r="G155" s="14"/>
      <c r="H155" s="489"/>
    </row>
    <row r="156" spans="7:8">
      <c r="G156" s="14"/>
      <c r="H156" s="489"/>
    </row>
    <row r="157" spans="7:8">
      <c r="G157" s="14"/>
      <c r="H157" s="489"/>
    </row>
    <row r="158" spans="7:8">
      <c r="G158" s="14"/>
      <c r="H158" s="489"/>
    </row>
    <row r="159" spans="7:8">
      <c r="G159" s="14"/>
      <c r="H159" s="489"/>
    </row>
    <row r="160" spans="7:8">
      <c r="G160" s="14"/>
      <c r="H160" s="489"/>
    </row>
    <row r="161" spans="7:8">
      <c r="G161" s="14"/>
      <c r="H161" s="489"/>
    </row>
    <row r="162" spans="7:8">
      <c r="G162" s="14"/>
      <c r="H162" s="489"/>
    </row>
    <row r="163" spans="7:8">
      <c r="G163" s="14"/>
      <c r="H163" s="489"/>
    </row>
    <row r="164" spans="7:8">
      <c r="G164" s="14"/>
      <c r="H164" s="489"/>
    </row>
    <row r="165" spans="7:8">
      <c r="G165" s="14"/>
      <c r="H165" s="489"/>
    </row>
    <row r="166" spans="7:8">
      <c r="G166" s="14"/>
      <c r="H166" s="489"/>
    </row>
    <row r="167" spans="7:8">
      <c r="G167" s="14"/>
      <c r="H167" s="489"/>
    </row>
    <row r="168" spans="7:8">
      <c r="G168" s="14"/>
      <c r="H168" s="489"/>
    </row>
    <row r="169" spans="7:8">
      <c r="G169" s="14"/>
      <c r="H169" s="489"/>
    </row>
    <row r="170" spans="7:8">
      <c r="G170" s="14"/>
      <c r="H170" s="489"/>
    </row>
    <row r="171" spans="7:8">
      <c r="G171" s="14"/>
      <c r="H171" s="489"/>
    </row>
    <row r="172" spans="7:8">
      <c r="G172" s="14"/>
      <c r="H172" s="489"/>
    </row>
    <row r="173" spans="7:8">
      <c r="G173" s="14"/>
      <c r="H173" s="489"/>
    </row>
    <row r="174" spans="7:8">
      <c r="G174" s="14"/>
      <c r="H174" s="489"/>
    </row>
    <row r="175" spans="7:8">
      <c r="G175" s="14"/>
      <c r="H175" s="489"/>
    </row>
    <row r="176" spans="7:8">
      <c r="G176" s="14"/>
      <c r="H176" s="489"/>
    </row>
    <row r="177" spans="7:8">
      <c r="G177" s="14"/>
      <c r="H177" s="489"/>
    </row>
    <row r="178" spans="7:8">
      <c r="G178" s="14"/>
      <c r="H178" s="489"/>
    </row>
    <row r="179" spans="7:8">
      <c r="G179" s="14"/>
      <c r="H179" s="489"/>
    </row>
    <row r="180" spans="7:8">
      <c r="G180" s="14"/>
      <c r="H180" s="489"/>
    </row>
    <row r="181" spans="7:8">
      <c r="G181" s="14"/>
      <c r="H181" s="489"/>
    </row>
    <row r="182" spans="7:8">
      <c r="G182" s="14"/>
      <c r="H182" s="489"/>
    </row>
    <row r="183" spans="7:8">
      <c r="G183" s="14"/>
      <c r="H183" s="489"/>
    </row>
    <row r="184" spans="7:8">
      <c r="G184" s="14"/>
      <c r="H184" s="489"/>
    </row>
    <row r="185" spans="7:8">
      <c r="G185" s="14"/>
      <c r="H185" s="489"/>
    </row>
    <row r="186" spans="7:8">
      <c r="G186" s="14"/>
      <c r="H186" s="489"/>
    </row>
    <row r="187" spans="7:8">
      <c r="G187" s="14"/>
      <c r="H187" s="489"/>
    </row>
    <row r="188" spans="7:8">
      <c r="G188" s="14"/>
      <c r="H188" s="489"/>
    </row>
    <row r="189" spans="7:8">
      <c r="G189" s="14"/>
      <c r="H189" s="489"/>
    </row>
    <row r="190" spans="7:8">
      <c r="G190" s="14"/>
      <c r="H190" s="489"/>
    </row>
    <row r="191" spans="7:8">
      <c r="G191" s="14"/>
      <c r="H191" s="489"/>
    </row>
    <row r="192" spans="7:8">
      <c r="G192" s="14"/>
      <c r="H192" s="489"/>
    </row>
    <row r="193" spans="7:8">
      <c r="G193" s="14"/>
      <c r="H193" s="489"/>
    </row>
    <row r="194" spans="7:8">
      <c r="G194" s="14"/>
      <c r="H194" s="489"/>
    </row>
    <row r="195" spans="7:8">
      <c r="G195" s="14"/>
      <c r="H195" s="489"/>
    </row>
    <row r="196" spans="7:8">
      <c r="G196" s="14"/>
      <c r="H196" s="489"/>
    </row>
    <row r="197" spans="7:8">
      <c r="G197" s="14"/>
      <c r="H197" s="489"/>
    </row>
    <row r="198" spans="7:8">
      <c r="G198" s="14"/>
      <c r="H198" s="489"/>
    </row>
    <row r="199" spans="7:8">
      <c r="G199" s="14"/>
      <c r="H199" s="489"/>
    </row>
    <row r="200" spans="7:8">
      <c r="G200" s="14"/>
      <c r="H200" s="489"/>
    </row>
    <row r="201" spans="7:8">
      <c r="G201" s="14"/>
      <c r="H201" s="489"/>
    </row>
    <row r="202" spans="7:8">
      <c r="G202" s="14"/>
      <c r="H202" s="489"/>
    </row>
    <row r="203" spans="7:8">
      <c r="G203" s="14"/>
      <c r="H203" s="489"/>
    </row>
    <row r="204" spans="7:8">
      <c r="G204" s="14"/>
      <c r="H204" s="489"/>
    </row>
    <row r="205" spans="7:8">
      <c r="G205" s="14"/>
      <c r="H205" s="489"/>
    </row>
    <row r="206" spans="7:8">
      <c r="G206" s="14"/>
      <c r="H206" s="489"/>
    </row>
    <row r="207" spans="7:8">
      <c r="G207" s="14"/>
      <c r="H207" s="489"/>
    </row>
    <row r="208" spans="7:8">
      <c r="G208" s="14"/>
      <c r="H208" s="489"/>
    </row>
    <row r="209" spans="7:8">
      <c r="G209" s="14"/>
      <c r="H209" s="489"/>
    </row>
    <row r="210" spans="7:8">
      <c r="G210" s="14"/>
      <c r="H210" s="489"/>
    </row>
    <row r="211" spans="7:8">
      <c r="G211" s="14"/>
      <c r="H211" s="489"/>
    </row>
    <row r="212" spans="7:8">
      <c r="G212" s="14"/>
      <c r="H212" s="489"/>
    </row>
    <row r="213" spans="7:8">
      <c r="G213" s="14"/>
      <c r="H213" s="489"/>
    </row>
    <row r="214" spans="7:8">
      <c r="G214" s="14"/>
      <c r="H214" s="489"/>
    </row>
    <row r="215" spans="7:8">
      <c r="G215" s="14"/>
      <c r="H215" s="489"/>
    </row>
    <row r="216" spans="7:8">
      <c r="G216" s="14"/>
      <c r="H216" s="489"/>
    </row>
    <row r="217" spans="7:8">
      <c r="G217" s="14"/>
      <c r="H217" s="489"/>
    </row>
    <row r="218" spans="7:8">
      <c r="G218" s="14"/>
      <c r="H218" s="489"/>
    </row>
    <row r="219" spans="7:8">
      <c r="G219" s="14"/>
      <c r="H219" s="489"/>
    </row>
    <row r="220" spans="7:8">
      <c r="G220" s="14"/>
      <c r="H220" s="489"/>
    </row>
    <row r="221" spans="7:8">
      <c r="G221" s="14"/>
      <c r="H221" s="489"/>
    </row>
    <row r="222" spans="7:8">
      <c r="G222" s="14"/>
      <c r="H222" s="489"/>
    </row>
    <row r="223" spans="7:8">
      <c r="G223" s="14"/>
      <c r="H223" s="489"/>
    </row>
    <row r="224" spans="7:8">
      <c r="G224" s="14"/>
      <c r="H224" s="489"/>
    </row>
    <row r="225" spans="7:8">
      <c r="G225" s="14"/>
      <c r="H225" s="489"/>
    </row>
    <row r="226" spans="7:8">
      <c r="G226" s="14"/>
      <c r="H226" s="489"/>
    </row>
    <row r="227" spans="7:8">
      <c r="G227" s="14"/>
      <c r="H227" s="489"/>
    </row>
    <row r="228" spans="7:8">
      <c r="G228" s="14"/>
      <c r="H228" s="489"/>
    </row>
    <row r="229" spans="7:8">
      <c r="G229" s="14"/>
      <c r="H229" s="489"/>
    </row>
    <row r="230" spans="7:8">
      <c r="G230" s="14"/>
      <c r="H230" s="489"/>
    </row>
    <row r="231" spans="7:8">
      <c r="G231" s="14"/>
      <c r="H231" s="489"/>
    </row>
    <row r="232" spans="7:8">
      <c r="G232" s="14"/>
      <c r="H232" s="489"/>
    </row>
    <row r="233" spans="7:8">
      <c r="G233" s="14"/>
      <c r="H233" s="489"/>
    </row>
    <row r="234" spans="7:8">
      <c r="G234" s="14"/>
      <c r="H234" s="489"/>
    </row>
    <row r="235" spans="7:8">
      <c r="G235" s="14"/>
      <c r="H235" s="489"/>
    </row>
    <row r="236" spans="7:8">
      <c r="G236" s="14"/>
      <c r="H236" s="489"/>
    </row>
    <row r="237" spans="7:8">
      <c r="G237" s="14"/>
      <c r="H237" s="489"/>
    </row>
    <row r="238" spans="7:8">
      <c r="G238" s="14"/>
      <c r="H238" s="489"/>
    </row>
    <row r="239" spans="7:8">
      <c r="G239" s="14"/>
      <c r="H239" s="489"/>
    </row>
    <row r="240" spans="7:8">
      <c r="G240" s="14"/>
      <c r="H240" s="489"/>
    </row>
    <row r="241" spans="7:8">
      <c r="G241" s="14"/>
      <c r="H241" s="489"/>
    </row>
    <row r="242" spans="7:8">
      <c r="G242" s="14"/>
      <c r="H242" s="489"/>
    </row>
    <row r="243" spans="7:8">
      <c r="G243" s="14"/>
      <c r="H243" s="489"/>
    </row>
    <row r="244" spans="7:8">
      <c r="G244" s="14"/>
      <c r="H244" s="489"/>
    </row>
    <row r="245" spans="7:8">
      <c r="G245" s="14"/>
      <c r="H245" s="489"/>
    </row>
    <row r="246" spans="7:8">
      <c r="G246" s="14"/>
      <c r="H246" s="489"/>
    </row>
    <row r="247" spans="7:8">
      <c r="G247" s="14"/>
      <c r="H247" s="489"/>
    </row>
    <row r="248" spans="7:8">
      <c r="G248" s="14"/>
      <c r="H248" s="489"/>
    </row>
    <row r="249" spans="7:8">
      <c r="G249" s="14"/>
      <c r="H249" s="489"/>
    </row>
    <row r="250" spans="7:8">
      <c r="G250" s="14"/>
      <c r="H250" s="489"/>
    </row>
    <row r="251" spans="7:8">
      <c r="G251" s="14"/>
      <c r="H251" s="489"/>
    </row>
    <row r="252" spans="7:8">
      <c r="G252" s="14"/>
      <c r="H252" s="489"/>
    </row>
    <row r="253" spans="7:8">
      <c r="G253" s="14"/>
      <c r="H253" s="489"/>
    </row>
    <row r="254" spans="7:8">
      <c r="G254" s="14"/>
      <c r="H254" s="489"/>
    </row>
    <row r="255" spans="7:8">
      <c r="G255" s="14"/>
      <c r="H255" s="489"/>
    </row>
    <row r="256" spans="7:8">
      <c r="G256" s="14"/>
      <c r="H256" s="489"/>
    </row>
    <row r="257" spans="7:8">
      <c r="G257" s="14"/>
      <c r="H257" s="489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</row>
    <row r="429" spans="7:8">
      <c r="G429" s="14"/>
    </row>
    <row r="430" spans="7:8">
      <c r="G430" s="14"/>
    </row>
    <row r="431" spans="7:8">
      <c r="G431" s="14"/>
    </row>
    <row r="432" spans="7:8">
      <c r="G432" s="14"/>
    </row>
    <row r="433" spans="7:7">
      <c r="G433" s="14"/>
    </row>
    <row r="434" spans="7:7">
      <c r="G434" s="14"/>
    </row>
    <row r="435" spans="7:7">
      <c r="G435" s="14"/>
    </row>
    <row r="436" spans="7:7">
      <c r="G436" s="14"/>
    </row>
    <row r="437" spans="7:7">
      <c r="G437" s="14"/>
    </row>
    <row r="438" spans="7:7">
      <c r="G438" s="14"/>
    </row>
    <row r="439" spans="7:7">
      <c r="G439" s="14"/>
    </row>
    <row r="440" spans="7:7">
      <c r="G440" s="14"/>
    </row>
    <row r="441" spans="7:7">
      <c r="G441" s="14"/>
    </row>
    <row r="442" spans="7:7">
      <c r="G442" s="14"/>
    </row>
    <row r="443" spans="7:7">
      <c r="G443" s="14"/>
    </row>
    <row r="444" spans="7:7">
      <c r="G444" s="14"/>
    </row>
    <row r="445" spans="7:7">
      <c r="G445" s="14"/>
    </row>
    <row r="446" spans="7:7">
      <c r="G446" s="14"/>
    </row>
    <row r="447" spans="7:7">
      <c r="G447" s="14"/>
    </row>
    <row r="448" spans="7:7">
      <c r="G448" s="14"/>
    </row>
    <row r="449" spans="7:7">
      <c r="G449" s="14"/>
    </row>
    <row r="450" spans="7:7">
      <c r="G450" s="14"/>
    </row>
    <row r="451" spans="7:7">
      <c r="G451" s="14"/>
    </row>
    <row r="452" spans="7:7">
      <c r="G452" s="14"/>
    </row>
    <row r="453" spans="7:7">
      <c r="G453" s="14"/>
    </row>
    <row r="454" spans="7:7">
      <c r="G454" s="14"/>
    </row>
    <row r="455" spans="7:7">
      <c r="G455" s="14"/>
    </row>
    <row r="456" spans="7:7">
      <c r="G456" s="14"/>
    </row>
    <row r="457" spans="7:7">
      <c r="G457" s="14"/>
    </row>
    <row r="458" spans="7:7">
      <c r="G458" s="14"/>
    </row>
    <row r="459" spans="7:7">
      <c r="G459" s="14"/>
    </row>
    <row r="460" spans="7:7">
      <c r="G460" s="14"/>
    </row>
    <row r="461" spans="7:7">
      <c r="G461" s="14"/>
    </row>
    <row r="462" spans="7:7">
      <c r="G462" s="14"/>
    </row>
    <row r="463" spans="7:7">
      <c r="G463" s="14"/>
    </row>
    <row r="464" spans="7:7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</sheetData>
  <phoneticPr fontId="3" type="noConversion"/>
  <conditionalFormatting sqref="G56:G57 G35:G53">
    <cfRule type="expression" dxfId="33" priority="7">
      <formula>AND(IF(E35&lt;&gt;0,1),IF(G35=0,1))</formula>
    </cfRule>
  </conditionalFormatting>
  <conditionalFormatting sqref="K35:K57">
    <cfRule type="expression" dxfId="32" priority="6">
      <formula>LEFT(A35,2)="TU"</formula>
    </cfRule>
  </conditionalFormatting>
  <conditionalFormatting sqref="G54:G55">
    <cfRule type="expression" dxfId="31" priority="1">
      <formula>AND(IF(E54&lt;&gt;0,1),IF(G54=0,1))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FF00"/>
  </sheetPr>
  <dimension ref="A1:S2032"/>
  <sheetViews>
    <sheetView zoomScale="115" zoomScaleNormal="115" workbookViewId="0">
      <pane ySplit="2" topLeftCell="A261" activePane="bottomLeft" state="frozenSplit"/>
      <selection pane="bottomLeft" activeCell="J278" sqref="J278"/>
    </sheetView>
  </sheetViews>
  <sheetFormatPr defaultRowHeight="16.5"/>
  <cols>
    <col min="1" max="1" width="24.25" customWidth="1"/>
    <col min="2" max="2" width="11.6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12.375" style="14" customWidth="1"/>
    <col min="7" max="7" width="12.75" bestFit="1" customWidth="1"/>
    <col min="8" max="8" width="21.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314</v>
      </c>
      <c r="C2" s="207" t="s">
        <v>171</v>
      </c>
      <c r="D2" s="535" t="s">
        <v>305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690" t="s">
        <v>333</v>
      </c>
      <c r="B3" s="691">
        <v>43585</v>
      </c>
      <c r="C3" s="691">
        <v>43585</v>
      </c>
      <c r="D3" s="692">
        <v>201905140003</v>
      </c>
      <c r="E3" s="693"/>
      <c r="F3" s="693"/>
      <c r="G3" s="694">
        <f>-77/2*E3/100000</f>
        <v>0</v>
      </c>
      <c r="H3" s="695">
        <v>201904300011</v>
      </c>
      <c r="I3" s="696">
        <v>99.836272500000007</v>
      </c>
      <c r="J3" s="268">
        <v>100.23403999999999</v>
      </c>
      <c r="K3" s="296">
        <f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690"/>
      <c r="B4" s="691"/>
      <c r="C4" s="691"/>
      <c r="D4" s="692"/>
      <c r="E4" s="693"/>
      <c r="F4" s="693"/>
      <c r="G4" s="694">
        <f>-77*E4/100000</f>
        <v>0</v>
      </c>
      <c r="H4" s="695"/>
      <c r="I4" s="696"/>
      <c r="J4" s="697"/>
      <c r="K4" s="698">
        <f>(J4-I4)/100*E4+L4</f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690"/>
      <c r="B5" s="691"/>
      <c r="C5" s="691"/>
      <c r="D5" s="692"/>
      <c r="E5" s="693"/>
      <c r="F5" s="693"/>
      <c r="G5" s="694">
        <f>-77*E5/100000</f>
        <v>0</v>
      </c>
      <c r="H5" s="695"/>
      <c r="I5" s="696"/>
      <c r="J5" s="697"/>
      <c r="K5" s="698">
        <f>(J5-I5)/100*E5+L5</f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690"/>
      <c r="B6" s="691"/>
      <c r="C6" s="691"/>
      <c r="D6" s="692"/>
      <c r="E6" s="693"/>
      <c r="F6" s="693"/>
      <c r="G6" s="694">
        <f>-77*E6/100000</f>
        <v>0</v>
      </c>
      <c r="H6" s="695"/>
      <c r="I6" s="696"/>
      <c r="J6" s="697"/>
      <c r="K6" s="698">
        <f>(J6-I6)/100*E6+L6</f>
        <v>0</v>
      </c>
      <c r="L6" s="382"/>
      <c r="M6" s="93"/>
      <c r="N6" s="93"/>
      <c r="O6" s="93"/>
      <c r="P6" s="93"/>
      <c r="Q6" s="93"/>
      <c r="S6" s="103"/>
    </row>
    <row r="7" spans="1:19" s="102" customFormat="1">
      <c r="A7" s="690"/>
      <c r="B7" s="691"/>
      <c r="C7" s="691"/>
      <c r="D7" s="692"/>
      <c r="E7" s="693"/>
      <c r="F7" s="693"/>
      <c r="G7" s="694">
        <f>-77*E7/100000</f>
        <v>0</v>
      </c>
      <c r="H7" s="695"/>
      <c r="I7" s="696"/>
      <c r="J7" s="697"/>
      <c r="K7" s="698">
        <f>(J7-I7)/100*E7+L7</f>
        <v>0</v>
      </c>
      <c r="L7" s="382"/>
      <c r="M7" s="93"/>
      <c r="N7" s="93"/>
      <c r="O7" s="93"/>
      <c r="P7" s="93"/>
      <c r="Q7" s="93"/>
      <c r="S7" s="103"/>
    </row>
    <row r="8" spans="1:19" s="102" customFormat="1">
      <c r="A8" s="690"/>
      <c r="B8" s="691"/>
      <c r="C8" s="691"/>
      <c r="D8" s="692"/>
      <c r="E8" s="693"/>
      <c r="F8" s="693"/>
      <c r="G8" s="694">
        <f>-77*E8/100000</f>
        <v>0</v>
      </c>
      <c r="H8" s="695"/>
      <c r="I8" s="696"/>
      <c r="J8" s="319"/>
      <c r="K8" s="296">
        <f>(J8-I8)/100*E8+L8</f>
        <v>0</v>
      </c>
      <c r="L8" s="382"/>
      <c r="M8" s="93"/>
      <c r="N8" s="93"/>
      <c r="O8" s="93"/>
      <c r="P8" s="93"/>
      <c r="Q8" s="93"/>
      <c r="S8" s="103"/>
    </row>
    <row r="9" spans="1:19" s="102" customFormat="1">
      <c r="A9" s="110" t="s">
        <v>160</v>
      </c>
      <c r="B9" s="113">
        <v>38839</v>
      </c>
      <c r="C9" s="113"/>
      <c r="D9" s="538"/>
      <c r="E9" s="114">
        <v>0</v>
      </c>
      <c r="F9" s="113">
        <v>42019</v>
      </c>
      <c r="G9" s="552">
        <v>0</v>
      </c>
      <c r="H9" s="478" t="s">
        <v>23</v>
      </c>
      <c r="I9" s="319">
        <v>99.875</v>
      </c>
      <c r="J9" s="319">
        <v>0</v>
      </c>
      <c r="K9" s="296">
        <f>(J9-I9)*E9/100</f>
        <v>0</v>
      </c>
      <c r="L9" s="382"/>
      <c r="M9" s="93"/>
      <c r="N9" s="93"/>
      <c r="O9" s="93"/>
      <c r="P9" s="93"/>
      <c r="Q9" s="93"/>
      <c r="S9" s="103"/>
    </row>
    <row r="10" spans="1:19" s="102" customFormat="1">
      <c r="A10" s="111" t="s">
        <v>166</v>
      </c>
      <c r="B10" s="313"/>
      <c r="C10" s="313"/>
      <c r="D10" s="539"/>
      <c r="E10" s="314">
        <f>SUM(E3:E9)</f>
        <v>0</v>
      </c>
      <c r="F10" s="313"/>
      <c r="G10" s="316">
        <f>SUM(G3:G9)</f>
        <v>0</v>
      </c>
      <c r="H10" s="479"/>
      <c r="I10" s="323"/>
      <c r="J10" s="318"/>
      <c r="K10" s="316">
        <f>SUM(K3:K9)</f>
        <v>0</v>
      </c>
      <c r="L10" s="382"/>
      <c r="M10" s="93"/>
      <c r="N10" s="93"/>
      <c r="O10" s="93"/>
      <c r="P10" s="93"/>
      <c r="Q10" s="93"/>
      <c r="S10" s="103"/>
    </row>
    <row r="11" spans="1:19" s="102" customFormat="1">
      <c r="A11" s="93" t="s">
        <v>163</v>
      </c>
      <c r="B11" s="97"/>
      <c r="C11" s="97"/>
      <c r="D11" s="540"/>
      <c r="E11" s="100"/>
      <c r="F11" s="97"/>
      <c r="G11" s="93"/>
      <c r="H11" s="480"/>
      <c r="I11" s="99"/>
      <c r="J11" s="99"/>
      <c r="K11" s="93"/>
      <c r="L11" s="382"/>
      <c r="M11" s="93"/>
      <c r="N11" s="93"/>
      <c r="O11" s="93"/>
      <c r="P11" s="93"/>
      <c r="Q11" s="93"/>
      <c r="S11" s="103"/>
    </row>
    <row r="12" spans="1:19" s="102" customFormat="1">
      <c r="A12" s="206" t="s">
        <v>234</v>
      </c>
      <c r="B12" s="207" t="s">
        <v>7</v>
      </c>
      <c r="C12" s="207" t="s">
        <v>171</v>
      </c>
      <c r="D12" s="535" t="s">
        <v>170</v>
      </c>
      <c r="E12" s="208" t="s">
        <v>11</v>
      </c>
      <c r="F12" s="207" t="s">
        <v>2</v>
      </c>
      <c r="G12" s="209" t="s">
        <v>12</v>
      </c>
      <c r="H12" s="482" t="s">
        <v>18</v>
      </c>
      <c r="I12" s="209" t="s">
        <v>210</v>
      </c>
      <c r="J12" s="207" t="s">
        <v>216</v>
      </c>
      <c r="K12" s="260" t="s">
        <v>212</v>
      </c>
      <c r="L12" s="382"/>
      <c r="M12" s="93"/>
      <c r="N12" s="93"/>
      <c r="O12" s="93"/>
      <c r="P12" s="93"/>
      <c r="Q12" s="93"/>
      <c r="S12" s="103"/>
    </row>
    <row r="13" spans="1:19" s="102" customFormat="1">
      <c r="A13" s="87" t="s">
        <v>154</v>
      </c>
      <c r="B13" s="122">
        <v>38898</v>
      </c>
      <c r="C13" s="122"/>
      <c r="D13" s="536"/>
      <c r="E13" s="88">
        <v>0</v>
      </c>
      <c r="F13" s="122">
        <v>42505</v>
      </c>
      <c r="G13" s="124">
        <v>0</v>
      </c>
      <c r="H13" s="475" t="s">
        <v>23</v>
      </c>
      <c r="I13" s="129">
        <v>99.46875</v>
      </c>
      <c r="J13" s="129">
        <v>0</v>
      </c>
      <c r="K13" s="104">
        <f t="shared" ref="K13:K18" si="0">(J13-I13)*E13/100</f>
        <v>0</v>
      </c>
      <c r="L13" s="382"/>
      <c r="M13" s="93"/>
      <c r="N13" s="93"/>
      <c r="O13" s="93"/>
      <c r="P13" s="93"/>
      <c r="Q13" s="93"/>
      <c r="S13" s="103"/>
    </row>
    <row r="14" spans="1:19" s="102" customFormat="1">
      <c r="A14" s="87" t="s">
        <v>154</v>
      </c>
      <c r="B14" s="122">
        <v>38853</v>
      </c>
      <c r="C14" s="122"/>
      <c r="D14" s="536"/>
      <c r="E14" s="88">
        <v>0</v>
      </c>
      <c r="F14" s="122">
        <v>42505</v>
      </c>
      <c r="G14" s="124">
        <v>0</v>
      </c>
      <c r="H14" s="475" t="s">
        <v>23</v>
      </c>
      <c r="I14" s="129">
        <v>95.90234375</v>
      </c>
      <c r="J14" s="129">
        <v>0</v>
      </c>
      <c r="K14" s="104">
        <f t="shared" si="0"/>
        <v>0</v>
      </c>
      <c r="L14" s="382"/>
      <c r="M14" s="93"/>
      <c r="N14" s="93"/>
      <c r="O14" s="93"/>
      <c r="P14" s="93"/>
      <c r="Q14" s="93"/>
      <c r="S14" s="103"/>
    </row>
    <row r="15" spans="1:19" s="102" customFormat="1">
      <c r="A15" s="262" t="s">
        <v>156</v>
      </c>
      <c r="B15" s="265">
        <v>38839</v>
      </c>
      <c r="C15" s="265"/>
      <c r="D15" s="537"/>
      <c r="E15" s="266">
        <v>0</v>
      </c>
      <c r="F15" s="265">
        <v>39568</v>
      </c>
      <c r="G15" s="151">
        <v>0</v>
      </c>
      <c r="H15" s="476"/>
      <c r="I15" s="268">
        <v>99.875</v>
      </c>
      <c r="J15" s="268">
        <v>0</v>
      </c>
      <c r="K15" s="269">
        <f t="shared" si="0"/>
        <v>0</v>
      </c>
      <c r="L15" s="382"/>
      <c r="M15" s="93"/>
      <c r="N15" s="93"/>
      <c r="O15" s="93"/>
      <c r="P15" s="93"/>
      <c r="Q15" s="93"/>
      <c r="S15" s="103"/>
    </row>
    <row r="16" spans="1:19" s="102" customFormat="1">
      <c r="A16" s="262" t="s">
        <v>156</v>
      </c>
      <c r="B16" s="265">
        <v>38839</v>
      </c>
      <c r="C16" s="265"/>
      <c r="D16" s="537"/>
      <c r="E16" s="266">
        <v>0</v>
      </c>
      <c r="F16" s="265">
        <v>39568</v>
      </c>
      <c r="G16" s="151">
        <v>0</v>
      </c>
      <c r="H16" s="476" t="s">
        <v>21</v>
      </c>
      <c r="I16" s="268">
        <v>99.875</v>
      </c>
      <c r="J16" s="268">
        <v>0</v>
      </c>
      <c r="K16" s="269">
        <f t="shared" si="0"/>
        <v>0</v>
      </c>
      <c r="L16" s="382"/>
      <c r="M16" s="93"/>
      <c r="N16" s="93"/>
      <c r="O16" s="93"/>
      <c r="P16" s="93"/>
      <c r="Q16" s="93"/>
      <c r="S16" s="103"/>
    </row>
    <row r="17" spans="1:19" s="102" customFormat="1">
      <c r="A17" s="110" t="s">
        <v>155</v>
      </c>
      <c r="B17" s="113">
        <v>38839</v>
      </c>
      <c r="C17" s="113"/>
      <c r="D17" s="538"/>
      <c r="E17" s="114">
        <v>0</v>
      </c>
      <c r="F17" s="113">
        <v>39568</v>
      </c>
      <c r="G17" s="118">
        <v>0</v>
      </c>
      <c r="H17" s="477" t="s">
        <v>23</v>
      </c>
      <c r="I17" s="319">
        <v>99.875</v>
      </c>
      <c r="J17" s="319">
        <v>0</v>
      </c>
      <c r="K17" s="261">
        <f t="shared" si="0"/>
        <v>0</v>
      </c>
      <c r="L17" s="382"/>
      <c r="M17" s="93"/>
      <c r="N17" s="93"/>
      <c r="O17" s="93"/>
      <c r="P17" s="93"/>
      <c r="Q17" s="93"/>
      <c r="S17" s="103"/>
    </row>
    <row r="18" spans="1:19" s="102" customFormat="1">
      <c r="A18" s="110" t="s">
        <v>155</v>
      </c>
      <c r="B18" s="113">
        <v>38839</v>
      </c>
      <c r="C18" s="113"/>
      <c r="D18" s="538"/>
      <c r="E18" s="114">
        <v>0</v>
      </c>
      <c r="F18" s="113">
        <v>42019</v>
      </c>
      <c r="G18" s="118">
        <v>0</v>
      </c>
      <c r="H18" s="478" t="s">
        <v>23</v>
      </c>
      <c r="I18" s="319">
        <v>99.875</v>
      </c>
      <c r="J18" s="319">
        <v>0</v>
      </c>
      <c r="K18" s="261">
        <f t="shared" si="0"/>
        <v>0</v>
      </c>
      <c r="L18" s="382"/>
      <c r="M18" s="93"/>
      <c r="N18" s="93"/>
      <c r="O18" s="93"/>
      <c r="P18" s="93"/>
      <c r="Q18" s="93"/>
      <c r="S18" s="103"/>
    </row>
    <row r="19" spans="1:19" s="270" customFormat="1" ht="17.25" thickBot="1">
      <c r="A19" s="361" t="s">
        <v>166</v>
      </c>
      <c r="B19" s="363"/>
      <c r="C19" s="363"/>
      <c r="D19" s="541"/>
      <c r="E19" s="364">
        <f>SUM(E13:E18)</f>
        <v>0</v>
      </c>
      <c r="F19" s="363"/>
      <c r="G19" s="365">
        <f>SUM(G13:G18)</f>
        <v>0</v>
      </c>
      <c r="H19" s="481"/>
      <c r="I19" s="367"/>
      <c r="J19" s="366"/>
      <c r="K19" s="365">
        <f>SUM(K13:K18)</f>
        <v>0</v>
      </c>
      <c r="L19" s="381"/>
    </row>
    <row r="20" spans="1:19" s="102" customFormat="1" ht="17.25" thickTop="1">
      <c r="A20" s="324" t="s">
        <v>164</v>
      </c>
      <c r="B20" s="313"/>
      <c r="C20" s="313"/>
      <c r="D20" s="539"/>
      <c r="E20" s="314"/>
      <c r="F20" s="313"/>
      <c r="G20" s="316"/>
      <c r="H20" s="479"/>
      <c r="I20" s="323"/>
      <c r="J20" s="318"/>
      <c r="K20" s="316"/>
      <c r="L20" s="382"/>
      <c r="M20" s="93"/>
      <c r="N20" s="93"/>
      <c r="O20" s="93"/>
      <c r="P20" s="93"/>
      <c r="Q20" s="93"/>
      <c r="S20" s="103"/>
    </row>
    <row r="21" spans="1:19" s="102" customFormat="1">
      <c r="A21" s="206" t="s">
        <v>99</v>
      </c>
      <c r="B21" s="207" t="s">
        <v>7</v>
      </c>
      <c r="C21" s="207" t="s">
        <v>171</v>
      </c>
      <c r="D21" s="535" t="s">
        <v>170</v>
      </c>
      <c r="E21" s="208" t="s">
        <v>11</v>
      </c>
      <c r="F21" s="207" t="s">
        <v>2</v>
      </c>
      <c r="G21" s="209" t="s">
        <v>12</v>
      </c>
      <c r="H21" s="482" t="s">
        <v>18</v>
      </c>
      <c r="I21" s="209" t="s">
        <v>210</v>
      </c>
      <c r="J21" s="207" t="s">
        <v>216</v>
      </c>
      <c r="K21" s="260" t="s">
        <v>212</v>
      </c>
      <c r="L21" s="382"/>
      <c r="M21" s="93"/>
      <c r="N21" s="93"/>
      <c r="O21" s="93"/>
      <c r="P21" s="93"/>
      <c r="Q21" s="93"/>
      <c r="S21" s="103"/>
    </row>
    <row r="22" spans="1:19" s="102" customFormat="1">
      <c r="A22" s="867" t="s">
        <v>629</v>
      </c>
      <c r="B22" s="863" t="s">
        <v>680</v>
      </c>
      <c r="C22" s="863" t="s">
        <v>339</v>
      </c>
      <c r="D22" s="868" t="s">
        <v>339</v>
      </c>
      <c r="E22" s="869">
        <v>50</v>
      </c>
      <c r="F22" s="870" t="s">
        <v>638</v>
      </c>
      <c r="G22" s="871">
        <v>0</v>
      </c>
      <c r="H22" s="864" t="s">
        <v>682</v>
      </c>
      <c r="I22" s="865">
        <v>112.84375</v>
      </c>
      <c r="J22" s="295">
        <v>112.859375</v>
      </c>
      <c r="K22" s="296">
        <f t="shared" ref="K22:K73" si="1">IF(LEFT(A22,2)="TU",(J22-I22)*E22/100*100000*2,(J22-I22)*E22/100*100000)</f>
        <v>781.25</v>
      </c>
      <c r="L22" s="382"/>
      <c r="M22" s="93"/>
      <c r="N22" s="93"/>
      <c r="O22" s="93"/>
      <c r="P22" s="93"/>
      <c r="Q22" s="93"/>
      <c r="S22" s="103"/>
    </row>
    <row r="23" spans="1:19" s="102" customFormat="1">
      <c r="A23" s="867" t="s">
        <v>629</v>
      </c>
      <c r="B23" s="863" t="s">
        <v>687</v>
      </c>
      <c r="C23" s="863" t="s">
        <v>339</v>
      </c>
      <c r="D23" s="868" t="s">
        <v>339</v>
      </c>
      <c r="E23" s="869">
        <v>50</v>
      </c>
      <c r="F23" s="870" t="s">
        <v>638</v>
      </c>
      <c r="G23" s="871">
        <v>0</v>
      </c>
      <c r="H23" s="864" t="s">
        <v>692</v>
      </c>
      <c r="I23" s="865">
        <v>113.109375</v>
      </c>
      <c r="J23" s="295">
        <v>112.953125</v>
      </c>
      <c r="K23" s="296">
        <f t="shared" si="1"/>
        <v>-7812.5</v>
      </c>
      <c r="L23" s="382"/>
      <c r="M23" s="93"/>
      <c r="N23" s="93"/>
      <c r="O23" s="93"/>
      <c r="P23" s="93"/>
      <c r="Q23" s="93"/>
      <c r="S23" s="103"/>
    </row>
    <row r="24" spans="1:19" s="102" customFormat="1">
      <c r="A24" s="867" t="s">
        <v>629</v>
      </c>
      <c r="B24" s="863" t="s">
        <v>687</v>
      </c>
      <c r="C24" s="863" t="s">
        <v>339</v>
      </c>
      <c r="D24" s="868" t="s">
        <v>339</v>
      </c>
      <c r="E24" s="869">
        <v>50</v>
      </c>
      <c r="F24" s="870" t="s">
        <v>638</v>
      </c>
      <c r="G24" s="871">
        <v>0</v>
      </c>
      <c r="H24" s="864" t="s">
        <v>693</v>
      </c>
      <c r="I24" s="865">
        <v>113.34375</v>
      </c>
      <c r="J24" s="295">
        <v>113.28125</v>
      </c>
      <c r="K24" s="296">
        <f t="shared" si="1"/>
        <v>-3125</v>
      </c>
      <c r="L24" s="382"/>
      <c r="M24" s="93"/>
      <c r="N24" s="93"/>
      <c r="O24" s="93"/>
      <c r="P24" s="93"/>
      <c r="Q24" s="93"/>
      <c r="S24" s="103"/>
    </row>
    <row r="25" spans="1:19" s="102" customFormat="1">
      <c r="A25" s="867" t="s">
        <v>629</v>
      </c>
      <c r="B25" s="863" t="s">
        <v>705</v>
      </c>
      <c r="C25" s="863" t="s">
        <v>339</v>
      </c>
      <c r="D25" s="868" t="s">
        <v>339</v>
      </c>
      <c r="E25" s="869">
        <v>30</v>
      </c>
      <c r="F25" s="870" t="s">
        <v>638</v>
      </c>
      <c r="G25" s="871">
        <v>0</v>
      </c>
      <c r="H25" s="864" t="s">
        <v>710</v>
      </c>
      <c r="I25" s="865">
        <v>113.125</v>
      </c>
      <c r="J25" s="295">
        <v>113.1875</v>
      </c>
      <c r="K25" s="296">
        <f t="shared" si="1"/>
        <v>1875</v>
      </c>
      <c r="L25" s="382"/>
      <c r="M25" s="93"/>
      <c r="N25" s="93"/>
      <c r="O25" s="93"/>
      <c r="P25" s="93"/>
      <c r="Q25" s="93"/>
      <c r="S25" s="103"/>
    </row>
    <row r="26" spans="1:19" s="102" customFormat="1">
      <c r="A26" s="867" t="s">
        <v>629</v>
      </c>
      <c r="B26" s="863" t="s">
        <v>705</v>
      </c>
      <c r="C26" s="863" t="s">
        <v>339</v>
      </c>
      <c r="D26" s="868" t="s">
        <v>339</v>
      </c>
      <c r="E26" s="869">
        <v>20</v>
      </c>
      <c r="F26" s="870" t="s">
        <v>638</v>
      </c>
      <c r="G26" s="871">
        <v>0</v>
      </c>
      <c r="H26" s="864" t="s">
        <v>711</v>
      </c>
      <c r="I26" s="865">
        <v>113.21875</v>
      </c>
      <c r="J26" s="295">
        <v>113.1875</v>
      </c>
      <c r="K26" s="296">
        <f t="shared" si="1"/>
        <v>-625</v>
      </c>
      <c r="L26" s="382"/>
      <c r="M26" s="93"/>
      <c r="N26" s="93"/>
      <c r="O26" s="93"/>
      <c r="P26" s="93"/>
      <c r="Q26" s="93"/>
      <c r="S26" s="103"/>
    </row>
    <row r="27" spans="1:19" s="102" customFormat="1">
      <c r="A27" s="867" t="s">
        <v>629</v>
      </c>
      <c r="B27" s="863" t="s">
        <v>705</v>
      </c>
      <c r="C27" s="863" t="s">
        <v>339</v>
      </c>
      <c r="D27" s="868" t="s">
        <v>339</v>
      </c>
      <c r="E27" s="869">
        <v>-20</v>
      </c>
      <c r="F27" s="870" t="s">
        <v>638</v>
      </c>
      <c r="G27" s="871">
        <v>770</v>
      </c>
      <c r="H27" s="864" t="s">
        <v>712</v>
      </c>
      <c r="I27" s="865">
        <v>112.671875</v>
      </c>
      <c r="J27" s="295">
        <v>113</v>
      </c>
      <c r="K27" s="296">
        <f t="shared" si="1"/>
        <v>-6562.5</v>
      </c>
      <c r="L27" s="382"/>
      <c r="M27" s="93"/>
      <c r="N27" s="93"/>
      <c r="O27" s="93"/>
      <c r="P27" s="93"/>
      <c r="Q27" s="93"/>
      <c r="S27" s="103"/>
    </row>
    <row r="28" spans="1:19" s="102" customFormat="1">
      <c r="A28" s="867" t="s">
        <v>629</v>
      </c>
      <c r="B28" s="863" t="s">
        <v>705</v>
      </c>
      <c r="C28" s="863" t="s">
        <v>339</v>
      </c>
      <c r="D28" s="868" t="s">
        <v>339</v>
      </c>
      <c r="E28" s="869">
        <v>-20</v>
      </c>
      <c r="F28" s="870" t="s">
        <v>638</v>
      </c>
      <c r="G28" s="871">
        <v>770</v>
      </c>
      <c r="H28" s="864" t="s">
        <v>712</v>
      </c>
      <c r="I28" s="865">
        <v>112.671875</v>
      </c>
      <c r="J28" s="295">
        <v>113.03125</v>
      </c>
      <c r="K28" s="296">
        <f t="shared" si="1"/>
        <v>-7187.4999999999991</v>
      </c>
      <c r="L28" s="382"/>
      <c r="M28" s="93"/>
      <c r="N28" s="93"/>
      <c r="O28" s="93"/>
      <c r="P28" s="93"/>
      <c r="Q28" s="93"/>
      <c r="S28" s="103"/>
    </row>
    <row r="29" spans="1:19" s="102" customFormat="1">
      <c r="A29" s="855" t="s">
        <v>629</v>
      </c>
      <c r="B29" s="856" t="s">
        <v>723</v>
      </c>
      <c r="C29" s="856" t="s">
        <v>339</v>
      </c>
      <c r="D29" s="857" t="s">
        <v>339</v>
      </c>
      <c r="E29" s="858">
        <v>30</v>
      </c>
      <c r="F29" s="858" t="s">
        <v>304</v>
      </c>
      <c r="G29" s="860">
        <v>-2310</v>
      </c>
      <c r="H29" s="862" t="s">
        <v>726</v>
      </c>
      <c r="I29" s="861">
        <v>113.21875</v>
      </c>
      <c r="J29" s="295">
        <v>114.0625</v>
      </c>
      <c r="K29" s="296">
        <f t="shared" si="1"/>
        <v>25312.5</v>
      </c>
      <c r="L29" s="382"/>
      <c r="M29" s="93"/>
      <c r="N29" s="93"/>
      <c r="O29" s="93"/>
      <c r="P29" s="93"/>
      <c r="Q29" s="93"/>
      <c r="S29" s="103"/>
    </row>
    <row r="30" spans="1:19" s="102" customFormat="1">
      <c r="A30" s="855" t="s">
        <v>629</v>
      </c>
      <c r="B30" s="856" t="s">
        <v>723</v>
      </c>
      <c r="C30" s="856" t="s">
        <v>339</v>
      </c>
      <c r="D30" s="857" t="s">
        <v>339</v>
      </c>
      <c r="E30" s="858">
        <v>20</v>
      </c>
      <c r="F30" s="858" t="s">
        <v>304</v>
      </c>
      <c r="G30" s="860">
        <v>-1540</v>
      </c>
      <c r="H30" s="862" t="s">
        <v>727</v>
      </c>
      <c r="I30" s="861">
        <v>113.921875</v>
      </c>
      <c r="J30" s="295">
        <v>114.0625</v>
      </c>
      <c r="K30" s="296">
        <f t="shared" si="1"/>
        <v>2812.5</v>
      </c>
      <c r="L30" s="382"/>
      <c r="M30" s="93"/>
      <c r="N30" s="93"/>
      <c r="O30" s="93"/>
      <c r="P30" s="93"/>
      <c r="Q30" s="93"/>
      <c r="S30" s="103"/>
    </row>
    <row r="31" spans="1:19" s="102" customFormat="1">
      <c r="A31" s="855" t="s">
        <v>629</v>
      </c>
      <c r="B31" s="856" t="s">
        <v>732</v>
      </c>
      <c r="C31" s="856" t="s">
        <v>339</v>
      </c>
      <c r="D31" s="857" t="s">
        <v>339</v>
      </c>
      <c r="E31" s="858">
        <v>30</v>
      </c>
      <c r="F31" s="858" t="s">
        <v>304</v>
      </c>
      <c r="G31" s="860">
        <v>-2310</v>
      </c>
      <c r="H31" s="862" t="s">
        <v>733</v>
      </c>
      <c r="I31" s="861">
        <v>114.25</v>
      </c>
      <c r="J31" s="295">
        <v>114.453125</v>
      </c>
      <c r="K31" s="296">
        <f t="shared" si="1"/>
        <v>6093.75</v>
      </c>
      <c r="L31" s="382"/>
      <c r="M31" s="93"/>
      <c r="N31" s="93"/>
      <c r="O31" s="93"/>
      <c r="P31" s="93"/>
      <c r="Q31" s="93"/>
      <c r="S31" s="103"/>
    </row>
    <row r="32" spans="1:19" s="102" customFormat="1">
      <c r="A32" s="855" t="s">
        <v>629</v>
      </c>
      <c r="B32" s="856" t="s">
        <v>737</v>
      </c>
      <c r="C32" s="856" t="s">
        <v>339</v>
      </c>
      <c r="D32" s="857" t="s">
        <v>339</v>
      </c>
      <c r="E32" s="858">
        <v>-30</v>
      </c>
      <c r="F32" s="858" t="s">
        <v>304</v>
      </c>
      <c r="G32" s="860">
        <v>0</v>
      </c>
      <c r="H32" s="862" t="s">
        <v>738</v>
      </c>
      <c r="I32" s="861">
        <v>114.078125</v>
      </c>
      <c r="J32" s="295">
        <v>114.171875</v>
      </c>
      <c r="K32" s="296">
        <f t="shared" si="1"/>
        <v>-2812.5</v>
      </c>
      <c r="L32" s="382"/>
      <c r="M32" s="93"/>
      <c r="N32" s="93"/>
      <c r="O32" s="93"/>
      <c r="P32" s="93"/>
      <c r="Q32" s="93"/>
      <c r="S32" s="103"/>
    </row>
    <row r="33" spans="1:19" s="102" customFormat="1">
      <c r="A33" s="855" t="s">
        <v>629</v>
      </c>
      <c r="B33" s="856" t="s">
        <v>737</v>
      </c>
      <c r="C33" s="856" t="s">
        <v>339</v>
      </c>
      <c r="D33" s="857" t="s">
        <v>339</v>
      </c>
      <c r="E33" s="858">
        <v>-20</v>
      </c>
      <c r="F33" s="858" t="s">
        <v>638</v>
      </c>
      <c r="G33" s="860">
        <v>0</v>
      </c>
      <c r="H33" s="862" t="s">
        <v>739</v>
      </c>
      <c r="I33" s="861">
        <v>114.5</v>
      </c>
      <c r="J33" s="295">
        <v>114.21875</v>
      </c>
      <c r="K33" s="296">
        <f t="shared" si="1"/>
        <v>5625</v>
      </c>
      <c r="L33" s="382"/>
      <c r="M33" s="93"/>
      <c r="N33" s="93"/>
      <c r="O33" s="93"/>
      <c r="P33" s="93"/>
      <c r="Q33" s="93"/>
      <c r="S33" s="103"/>
    </row>
    <row r="34" spans="1:19" s="102" customFormat="1">
      <c r="A34" s="855" t="s">
        <v>629</v>
      </c>
      <c r="B34" s="856" t="s">
        <v>705</v>
      </c>
      <c r="C34" s="856" t="s">
        <v>339</v>
      </c>
      <c r="D34" s="857" t="s">
        <v>339</v>
      </c>
      <c r="E34" s="858">
        <v>-10</v>
      </c>
      <c r="F34" s="859" t="s">
        <v>638</v>
      </c>
      <c r="G34" s="860">
        <v>770</v>
      </c>
      <c r="H34" s="857" t="s">
        <v>712</v>
      </c>
      <c r="I34" s="861">
        <v>112.671875</v>
      </c>
      <c r="J34" s="295">
        <v>114.21875</v>
      </c>
      <c r="K34" s="296">
        <f t="shared" si="1"/>
        <v>-15468.75</v>
      </c>
      <c r="L34" s="382"/>
      <c r="M34" s="93"/>
      <c r="N34" s="93"/>
      <c r="O34" s="93"/>
      <c r="P34" s="93"/>
      <c r="Q34" s="93"/>
      <c r="S34" s="103"/>
    </row>
    <row r="35" spans="1:19" s="102" customFormat="1">
      <c r="A35" s="855" t="s">
        <v>629</v>
      </c>
      <c r="B35" s="856" t="s">
        <v>744</v>
      </c>
      <c r="C35" s="856" t="s">
        <v>339</v>
      </c>
      <c r="D35" s="857" t="s">
        <v>339</v>
      </c>
      <c r="E35" s="858">
        <v>30</v>
      </c>
      <c r="F35" s="858" t="s">
        <v>638</v>
      </c>
      <c r="G35" s="860">
        <v>0</v>
      </c>
      <c r="H35" s="862" t="s">
        <v>754</v>
      </c>
      <c r="I35" s="861">
        <v>114.25</v>
      </c>
      <c r="J35" s="295">
        <v>115.109375</v>
      </c>
      <c r="K35" s="296">
        <f t="shared" si="1"/>
        <v>25781.25</v>
      </c>
      <c r="L35" s="382"/>
      <c r="M35" s="93"/>
      <c r="N35" s="93"/>
      <c r="O35" s="93"/>
      <c r="P35" s="93"/>
      <c r="Q35" s="93"/>
      <c r="S35" s="103"/>
    </row>
    <row r="36" spans="1:19" s="102" customFormat="1">
      <c r="A36" s="867" t="s">
        <v>629</v>
      </c>
      <c r="B36" s="863" t="s">
        <v>744</v>
      </c>
      <c r="C36" s="856" t="s">
        <v>339</v>
      </c>
      <c r="D36" s="857" t="s">
        <v>339</v>
      </c>
      <c r="E36" s="869">
        <v>30</v>
      </c>
      <c r="F36" s="869" t="s">
        <v>638</v>
      </c>
      <c r="G36" s="871">
        <v>0</v>
      </c>
      <c r="H36" s="864" t="s">
        <v>755</v>
      </c>
      <c r="I36" s="865">
        <v>114.765625</v>
      </c>
      <c r="J36" s="295">
        <v>114.46875</v>
      </c>
      <c r="K36" s="296">
        <f t="shared" si="1"/>
        <v>-8906.25</v>
      </c>
      <c r="L36" s="382"/>
      <c r="M36" s="93"/>
      <c r="N36" s="93"/>
      <c r="O36" s="93"/>
      <c r="P36" s="93"/>
      <c r="Q36" s="93"/>
      <c r="S36" s="103"/>
    </row>
    <row r="37" spans="1:19" s="102" customFormat="1">
      <c r="A37" s="855" t="s">
        <v>629</v>
      </c>
      <c r="B37" s="856" t="s">
        <v>741</v>
      </c>
      <c r="C37" s="856" t="s">
        <v>339</v>
      </c>
      <c r="D37" s="857" t="s">
        <v>339</v>
      </c>
      <c r="E37" s="858">
        <v>30</v>
      </c>
      <c r="F37" s="859" t="s">
        <v>638</v>
      </c>
      <c r="G37" s="860">
        <v>-2310</v>
      </c>
      <c r="H37" s="857" t="s">
        <v>747</v>
      </c>
      <c r="I37" s="861">
        <v>114.421875</v>
      </c>
      <c r="J37" s="295">
        <v>114.484375</v>
      </c>
      <c r="K37" s="296">
        <f t="shared" si="1"/>
        <v>1875</v>
      </c>
      <c r="L37" s="382"/>
      <c r="M37" s="93"/>
      <c r="N37" s="93"/>
      <c r="O37" s="93"/>
      <c r="P37" s="93"/>
      <c r="Q37" s="93"/>
      <c r="S37" s="103"/>
    </row>
    <row r="38" spans="1:19" s="102" customFormat="1">
      <c r="A38" s="855" t="s">
        <v>629</v>
      </c>
      <c r="B38" s="856" t="s">
        <v>757</v>
      </c>
      <c r="C38" s="856" t="s">
        <v>339</v>
      </c>
      <c r="D38" s="857" t="s">
        <v>339</v>
      </c>
      <c r="E38" s="858">
        <v>30</v>
      </c>
      <c r="F38" s="859" t="s">
        <v>304</v>
      </c>
      <c r="G38" s="860">
        <v>0</v>
      </c>
      <c r="H38" s="857" t="s">
        <v>758</v>
      </c>
      <c r="I38" s="861">
        <v>115.46875</v>
      </c>
      <c r="J38" s="295">
        <v>114.8125</v>
      </c>
      <c r="K38" s="296">
        <f t="shared" si="1"/>
        <v>-19687.5</v>
      </c>
      <c r="L38" s="382"/>
      <c r="M38" s="93"/>
      <c r="N38" s="93"/>
      <c r="O38" s="93"/>
      <c r="P38" s="93"/>
      <c r="Q38" s="93"/>
      <c r="S38" s="103"/>
    </row>
    <row r="39" spans="1:19" s="102" customFormat="1">
      <c r="A39" s="855" t="s">
        <v>629</v>
      </c>
      <c r="B39" s="856" t="s">
        <v>744</v>
      </c>
      <c r="C39" s="856" t="s">
        <v>339</v>
      </c>
      <c r="D39" s="857" t="s">
        <v>339</v>
      </c>
      <c r="E39" s="858">
        <v>30</v>
      </c>
      <c r="F39" s="858" t="s">
        <v>304</v>
      </c>
      <c r="G39" s="860">
        <v>-3850</v>
      </c>
      <c r="H39" s="862" t="s">
        <v>745</v>
      </c>
      <c r="I39" s="861">
        <v>114.65625</v>
      </c>
      <c r="J39" s="295">
        <v>115.0625</v>
      </c>
      <c r="K39" s="296">
        <f t="shared" si="1"/>
        <v>12187.5</v>
      </c>
      <c r="L39" s="382"/>
      <c r="M39" s="93"/>
      <c r="N39" s="93"/>
      <c r="O39" s="93"/>
      <c r="P39" s="93"/>
      <c r="Q39" s="93"/>
      <c r="S39" s="103"/>
    </row>
    <row r="40" spans="1:19" s="102" customFormat="1">
      <c r="A40" s="855" t="s">
        <v>629</v>
      </c>
      <c r="B40" s="856" t="s">
        <v>744</v>
      </c>
      <c r="C40" s="856" t="s">
        <v>339</v>
      </c>
      <c r="D40" s="857" t="s">
        <v>339</v>
      </c>
      <c r="E40" s="858">
        <v>20</v>
      </c>
      <c r="F40" s="858" t="s">
        <v>304</v>
      </c>
      <c r="G40" s="860">
        <v>-3850</v>
      </c>
      <c r="H40" s="862" t="s">
        <v>745</v>
      </c>
      <c r="I40" s="861">
        <v>114.65625</v>
      </c>
      <c r="J40" s="295">
        <v>115.21875</v>
      </c>
      <c r="K40" s="296">
        <f t="shared" si="1"/>
        <v>11250</v>
      </c>
      <c r="L40" s="382"/>
      <c r="M40" s="93"/>
      <c r="N40" s="93"/>
      <c r="O40" s="93"/>
      <c r="P40" s="93"/>
      <c r="Q40" s="93"/>
      <c r="S40" s="103"/>
    </row>
    <row r="41" spans="1:19" s="102" customFormat="1">
      <c r="A41" s="855" t="s">
        <v>629</v>
      </c>
      <c r="B41" s="856" t="s">
        <v>744</v>
      </c>
      <c r="C41" s="856" t="s">
        <v>339</v>
      </c>
      <c r="D41" s="857" t="s">
        <v>339</v>
      </c>
      <c r="E41" s="858">
        <v>10</v>
      </c>
      <c r="F41" s="858" t="s">
        <v>304</v>
      </c>
      <c r="G41" s="860">
        <v>-770</v>
      </c>
      <c r="H41" s="862" t="s">
        <v>756</v>
      </c>
      <c r="I41" s="861">
        <v>114.90625</v>
      </c>
      <c r="J41" s="295">
        <v>115.21875</v>
      </c>
      <c r="K41" s="296">
        <f t="shared" si="1"/>
        <v>3125</v>
      </c>
      <c r="L41" s="382"/>
      <c r="M41" s="93"/>
      <c r="N41" s="93"/>
      <c r="O41" s="93"/>
      <c r="P41" s="93"/>
      <c r="Q41" s="93"/>
      <c r="S41" s="103"/>
    </row>
    <row r="42" spans="1:19" s="102" customFormat="1">
      <c r="A42" s="855" t="s">
        <v>629</v>
      </c>
      <c r="B42" s="856" t="s">
        <v>741</v>
      </c>
      <c r="C42" s="856" t="s">
        <v>339</v>
      </c>
      <c r="D42" s="857" t="s">
        <v>339</v>
      </c>
      <c r="E42" s="858">
        <v>30</v>
      </c>
      <c r="F42" s="858" t="s">
        <v>638</v>
      </c>
      <c r="G42" s="860">
        <v>-3850</v>
      </c>
      <c r="H42" s="862" t="s">
        <v>746</v>
      </c>
      <c r="I42" s="861">
        <v>114.25</v>
      </c>
      <c r="J42" s="295">
        <v>114.71875</v>
      </c>
      <c r="K42" s="296">
        <f t="shared" si="1"/>
        <v>14062.5</v>
      </c>
      <c r="L42" s="382"/>
      <c r="M42" s="93"/>
      <c r="N42" s="93"/>
      <c r="O42" s="93"/>
      <c r="P42" s="93"/>
      <c r="Q42" s="93"/>
      <c r="S42" s="103"/>
    </row>
    <row r="43" spans="1:19" s="102" customFormat="1">
      <c r="A43" s="855" t="s">
        <v>629</v>
      </c>
      <c r="B43" s="856" t="s">
        <v>741</v>
      </c>
      <c r="C43" s="856" t="s">
        <v>339</v>
      </c>
      <c r="D43" s="857" t="s">
        <v>339</v>
      </c>
      <c r="E43" s="858">
        <v>20</v>
      </c>
      <c r="F43" s="858" t="s">
        <v>638</v>
      </c>
      <c r="G43" s="860">
        <v>-1540</v>
      </c>
      <c r="H43" s="862" t="s">
        <v>746</v>
      </c>
      <c r="I43" s="861">
        <v>114.25</v>
      </c>
      <c r="J43" s="295">
        <v>114.640625</v>
      </c>
      <c r="K43" s="296">
        <f t="shared" si="1"/>
        <v>7812.5</v>
      </c>
      <c r="L43" s="382"/>
      <c r="M43" s="93"/>
      <c r="N43" s="93"/>
      <c r="O43" s="93"/>
      <c r="P43" s="93"/>
      <c r="Q43" s="93"/>
      <c r="S43" s="103"/>
    </row>
    <row r="44" spans="1:19" s="102" customFormat="1">
      <c r="A44" s="855" t="s">
        <v>629</v>
      </c>
      <c r="B44" s="856" t="s">
        <v>757</v>
      </c>
      <c r="C44" s="856" t="s">
        <v>339</v>
      </c>
      <c r="D44" s="857" t="s">
        <v>339</v>
      </c>
      <c r="E44" s="858">
        <v>20</v>
      </c>
      <c r="F44" s="858" t="s">
        <v>304</v>
      </c>
      <c r="G44" s="860">
        <v>-2310</v>
      </c>
      <c r="H44" s="862" t="s">
        <v>758</v>
      </c>
      <c r="I44" s="861">
        <v>115.46875</v>
      </c>
      <c r="J44" s="295">
        <v>114.515625</v>
      </c>
      <c r="K44" s="296">
        <f t="shared" si="1"/>
        <v>-19062.5</v>
      </c>
      <c r="L44" s="382"/>
      <c r="M44" s="93"/>
      <c r="N44" s="93"/>
      <c r="O44" s="93"/>
      <c r="P44" s="93"/>
      <c r="Q44" s="93"/>
      <c r="S44" s="103"/>
    </row>
    <row r="45" spans="1:19" s="102" customFormat="1">
      <c r="A45" s="855" t="s">
        <v>629</v>
      </c>
      <c r="B45" s="856" t="s">
        <v>757</v>
      </c>
      <c r="C45" s="856" t="s">
        <v>339</v>
      </c>
      <c r="D45" s="857" t="s">
        <v>339</v>
      </c>
      <c r="E45" s="858">
        <v>10</v>
      </c>
      <c r="F45" s="858" t="s">
        <v>304</v>
      </c>
      <c r="G45" s="860">
        <v>-770</v>
      </c>
      <c r="H45" s="862" t="s">
        <v>758</v>
      </c>
      <c r="I45" s="861">
        <v>115.46875</v>
      </c>
      <c r="J45" s="295">
        <v>115.21875</v>
      </c>
      <c r="K45" s="296">
        <f t="shared" si="1"/>
        <v>-2500</v>
      </c>
      <c r="L45" s="382"/>
      <c r="M45" s="93"/>
      <c r="N45" s="93"/>
      <c r="O45" s="93"/>
      <c r="P45" s="93"/>
      <c r="Q45" s="93"/>
      <c r="S45" s="103"/>
    </row>
    <row r="46" spans="1:19" s="102" customFormat="1">
      <c r="A46" s="855" t="s">
        <v>629</v>
      </c>
      <c r="B46" s="856" t="s">
        <v>786</v>
      </c>
      <c r="C46" s="856" t="s">
        <v>339</v>
      </c>
      <c r="D46" s="857" t="s">
        <v>339</v>
      </c>
      <c r="E46" s="858">
        <v>20</v>
      </c>
      <c r="F46" s="858" t="s">
        <v>304</v>
      </c>
      <c r="G46" s="860">
        <v>-2310</v>
      </c>
      <c r="H46" s="862" t="s">
        <v>796</v>
      </c>
      <c r="I46" s="861">
        <v>115.703125</v>
      </c>
      <c r="J46" s="295">
        <v>115.8125</v>
      </c>
      <c r="K46" s="296">
        <f t="shared" si="1"/>
        <v>2187.5</v>
      </c>
      <c r="L46" s="382"/>
      <c r="M46" s="93"/>
      <c r="N46" s="93"/>
      <c r="O46" s="93"/>
      <c r="P46" s="93"/>
      <c r="Q46" s="93"/>
      <c r="S46" s="103"/>
    </row>
    <row r="47" spans="1:19" s="102" customFormat="1">
      <c r="A47" s="855" t="s">
        <v>629</v>
      </c>
      <c r="B47" s="856" t="s">
        <v>797</v>
      </c>
      <c r="C47" s="856" t="s">
        <v>339</v>
      </c>
      <c r="D47" s="857" t="s">
        <v>339</v>
      </c>
      <c r="E47" s="858">
        <v>20</v>
      </c>
      <c r="F47" s="858" t="s">
        <v>304</v>
      </c>
      <c r="G47" s="860">
        <v>-2310</v>
      </c>
      <c r="H47" s="862" t="s">
        <v>798</v>
      </c>
      <c r="I47" s="861">
        <v>115.96875</v>
      </c>
      <c r="J47" s="295">
        <v>115.546875</v>
      </c>
      <c r="K47" s="296">
        <f t="shared" si="1"/>
        <v>-8437.5</v>
      </c>
      <c r="L47" s="382"/>
      <c r="M47" s="93"/>
      <c r="N47" s="93"/>
      <c r="O47" s="93"/>
      <c r="P47" s="93"/>
      <c r="Q47" s="93"/>
      <c r="S47" s="103"/>
    </row>
    <row r="48" spans="1:19">
      <c r="A48" s="855" t="s">
        <v>629</v>
      </c>
      <c r="B48" s="856" t="s">
        <v>797</v>
      </c>
      <c r="C48" s="863" t="s">
        <v>339</v>
      </c>
      <c r="D48" s="864" t="s">
        <v>339</v>
      </c>
      <c r="E48" s="858">
        <v>20</v>
      </c>
      <c r="F48" s="858" t="s">
        <v>304</v>
      </c>
      <c r="G48" s="860">
        <v>-1540</v>
      </c>
      <c r="H48" s="864" t="s">
        <v>799</v>
      </c>
      <c r="I48" s="865">
        <v>116.0625</v>
      </c>
      <c r="J48" s="295">
        <v>115.625</v>
      </c>
      <c r="K48" s="296">
        <f t="shared" si="1"/>
        <v>-8750</v>
      </c>
      <c r="L48"/>
    </row>
    <row r="49" spans="1:12">
      <c r="A49" s="855" t="s">
        <v>629</v>
      </c>
      <c r="B49" s="856" t="s">
        <v>797</v>
      </c>
      <c r="C49" s="856" t="s">
        <v>339</v>
      </c>
      <c r="D49" s="857" t="s">
        <v>339</v>
      </c>
      <c r="E49" s="858">
        <v>30</v>
      </c>
      <c r="F49" s="858" t="s">
        <v>304</v>
      </c>
      <c r="G49" s="860">
        <v>-2310</v>
      </c>
      <c r="H49" s="862" t="s">
        <v>800</v>
      </c>
      <c r="I49" s="861">
        <v>116.15625</v>
      </c>
      <c r="J49" s="295">
        <v>115.625</v>
      </c>
      <c r="K49" s="296">
        <f t="shared" si="1"/>
        <v>-15937.499999999998</v>
      </c>
      <c r="L49"/>
    </row>
    <row r="50" spans="1:12">
      <c r="A50" s="855" t="s">
        <v>629</v>
      </c>
      <c r="B50" s="856" t="s">
        <v>786</v>
      </c>
      <c r="C50" s="856" t="s">
        <v>339</v>
      </c>
      <c r="D50" s="857" t="s">
        <v>339</v>
      </c>
      <c r="E50" s="858">
        <v>10</v>
      </c>
      <c r="F50" s="858" t="s">
        <v>304</v>
      </c>
      <c r="G50" s="860">
        <v>-2310</v>
      </c>
      <c r="H50" s="862" t="s">
        <v>796</v>
      </c>
      <c r="I50" s="861">
        <v>115.703125</v>
      </c>
      <c r="J50" s="295">
        <v>115.21875</v>
      </c>
      <c r="K50" s="296">
        <f t="shared" si="1"/>
        <v>-4843.75</v>
      </c>
      <c r="L50"/>
    </row>
    <row r="51" spans="1:12">
      <c r="A51" s="855" t="s">
        <v>629</v>
      </c>
      <c r="B51" s="856" t="s">
        <v>797</v>
      </c>
      <c r="C51" s="856" t="s">
        <v>339</v>
      </c>
      <c r="D51" s="857" t="s">
        <v>339</v>
      </c>
      <c r="E51" s="858">
        <v>10</v>
      </c>
      <c r="F51" s="858" t="s">
        <v>304</v>
      </c>
      <c r="G51" s="860">
        <v>-2310</v>
      </c>
      <c r="H51" s="862" t="s">
        <v>798</v>
      </c>
      <c r="I51" s="861">
        <v>115.96875</v>
      </c>
      <c r="J51" s="295">
        <v>115.21875</v>
      </c>
      <c r="K51" s="296">
        <f t="shared" si="1"/>
        <v>-7500</v>
      </c>
      <c r="L51"/>
    </row>
    <row r="52" spans="1:12">
      <c r="A52" s="855" t="s">
        <v>629</v>
      </c>
      <c r="B52" s="856" t="s">
        <v>817</v>
      </c>
      <c r="C52" s="856" t="s">
        <v>339</v>
      </c>
      <c r="D52" s="857" t="s">
        <v>339</v>
      </c>
      <c r="E52" s="858">
        <v>30</v>
      </c>
      <c r="F52" s="858" t="s">
        <v>304</v>
      </c>
      <c r="G52" s="860">
        <v>0</v>
      </c>
      <c r="H52" s="862" t="s">
        <v>818</v>
      </c>
      <c r="I52" s="861">
        <v>114.890625</v>
      </c>
      <c r="J52" s="295">
        <v>115.0625</v>
      </c>
      <c r="K52" s="296">
        <f t="shared" si="1"/>
        <v>5156.25</v>
      </c>
      <c r="L52"/>
    </row>
    <row r="53" spans="1:12">
      <c r="A53" s="855" t="s">
        <v>629</v>
      </c>
      <c r="B53" s="856" t="s">
        <v>819</v>
      </c>
      <c r="C53" s="856" t="s">
        <v>339</v>
      </c>
      <c r="D53" s="857" t="s">
        <v>339</v>
      </c>
      <c r="E53" s="858">
        <v>30</v>
      </c>
      <c r="F53" s="858" t="s">
        <v>304</v>
      </c>
      <c r="G53" s="860">
        <v>0</v>
      </c>
      <c r="H53" s="862" t="s">
        <v>820</v>
      </c>
      <c r="I53" s="861">
        <v>114.390625</v>
      </c>
      <c r="J53" s="295">
        <v>115.0625</v>
      </c>
      <c r="K53" s="296">
        <f t="shared" si="1"/>
        <v>20156.25</v>
      </c>
      <c r="L53"/>
    </row>
    <row r="54" spans="1:12">
      <c r="A54" s="855" t="s">
        <v>629</v>
      </c>
      <c r="B54" s="856" t="s">
        <v>797</v>
      </c>
      <c r="C54" s="856" t="s">
        <v>339</v>
      </c>
      <c r="D54" s="857" t="s">
        <v>339</v>
      </c>
      <c r="E54" s="858">
        <v>50</v>
      </c>
      <c r="F54" s="858" t="s">
        <v>304</v>
      </c>
      <c r="G54" s="860">
        <v>0</v>
      </c>
      <c r="H54" s="864" t="s">
        <v>821</v>
      </c>
      <c r="I54" s="865">
        <v>115.75</v>
      </c>
      <c r="J54" s="295">
        <v>115.0625</v>
      </c>
      <c r="K54" s="296">
        <f t="shared" si="1"/>
        <v>-34375</v>
      </c>
      <c r="L54"/>
    </row>
    <row r="55" spans="1:12">
      <c r="A55" s="855" t="s">
        <v>629</v>
      </c>
      <c r="B55" s="856" t="s">
        <v>822</v>
      </c>
      <c r="C55" s="856" t="s">
        <v>339</v>
      </c>
      <c r="D55" s="857" t="s">
        <v>339</v>
      </c>
      <c r="E55" s="858">
        <v>30</v>
      </c>
      <c r="F55" s="858" t="s">
        <v>304</v>
      </c>
      <c r="G55" s="860">
        <v>0</v>
      </c>
      <c r="H55" s="862" t="s">
        <v>823</v>
      </c>
      <c r="I55" s="861">
        <v>115.203125</v>
      </c>
      <c r="J55" s="295">
        <v>115</v>
      </c>
      <c r="K55" s="296">
        <f t="shared" si="1"/>
        <v>-6093.75</v>
      </c>
      <c r="L55"/>
    </row>
    <row r="56" spans="1:12">
      <c r="A56" s="855" t="s">
        <v>629</v>
      </c>
      <c r="B56" s="856" t="s">
        <v>854</v>
      </c>
      <c r="C56" s="856" t="s">
        <v>339</v>
      </c>
      <c r="D56" s="857" t="s">
        <v>339</v>
      </c>
      <c r="E56" s="858">
        <v>30</v>
      </c>
      <c r="F56" s="858" t="s">
        <v>304</v>
      </c>
      <c r="G56" s="860">
        <v>0</v>
      </c>
      <c r="H56" s="862" t="s">
        <v>855</v>
      </c>
      <c r="I56" s="861">
        <v>114.421875</v>
      </c>
      <c r="J56" s="295">
        <v>114.453125</v>
      </c>
      <c r="K56" s="296">
        <f t="shared" si="1"/>
        <v>937.5</v>
      </c>
      <c r="L56"/>
    </row>
    <row r="57" spans="1:12">
      <c r="A57" s="855" t="s">
        <v>629</v>
      </c>
      <c r="B57" s="856" t="s">
        <v>854</v>
      </c>
      <c r="C57" s="856" t="s">
        <v>339</v>
      </c>
      <c r="D57" s="857" t="s">
        <v>339</v>
      </c>
      <c r="E57" s="858">
        <v>20</v>
      </c>
      <c r="F57" s="858" t="s">
        <v>304</v>
      </c>
      <c r="G57" s="860">
        <v>0</v>
      </c>
      <c r="H57" s="862" t="s">
        <v>856</v>
      </c>
      <c r="I57" s="861">
        <v>114.328125</v>
      </c>
      <c r="J57" s="295">
        <v>114.453125</v>
      </c>
      <c r="K57" s="296">
        <f t="shared" si="1"/>
        <v>2500</v>
      </c>
      <c r="L57"/>
    </row>
    <row r="58" spans="1:12">
      <c r="A58" s="855" t="s">
        <v>629</v>
      </c>
      <c r="B58" s="856" t="s">
        <v>854</v>
      </c>
      <c r="C58" s="856" t="s">
        <v>339</v>
      </c>
      <c r="D58" s="857" t="s">
        <v>339</v>
      </c>
      <c r="E58" s="858">
        <v>-30</v>
      </c>
      <c r="F58" s="858" t="s">
        <v>304</v>
      </c>
      <c r="G58" s="860">
        <v>0</v>
      </c>
      <c r="H58" s="862" t="s">
        <v>857</v>
      </c>
      <c r="I58" s="861">
        <v>114.359375</v>
      </c>
      <c r="J58" s="295">
        <v>114.53125</v>
      </c>
      <c r="K58" s="296">
        <f t="shared" si="1"/>
        <v>-5156.25</v>
      </c>
      <c r="L58"/>
    </row>
    <row r="59" spans="1:12">
      <c r="A59" s="855" t="s">
        <v>629</v>
      </c>
      <c r="B59" s="856" t="s">
        <v>819</v>
      </c>
      <c r="C59" s="856" t="s">
        <v>339</v>
      </c>
      <c r="D59" s="857" t="s">
        <v>339</v>
      </c>
      <c r="E59" s="858">
        <v>-20</v>
      </c>
      <c r="F59" s="858" t="s">
        <v>304</v>
      </c>
      <c r="G59" s="860">
        <v>3850</v>
      </c>
      <c r="H59" s="862" t="s">
        <v>824</v>
      </c>
      <c r="I59" s="861">
        <v>114.421875</v>
      </c>
      <c r="J59" s="295">
        <v>114.640625</v>
      </c>
      <c r="K59" s="296">
        <f t="shared" si="1"/>
        <v>-4375</v>
      </c>
      <c r="L59"/>
    </row>
    <row r="60" spans="1:12">
      <c r="A60" s="855" t="s">
        <v>629</v>
      </c>
      <c r="B60" s="856" t="s">
        <v>819</v>
      </c>
      <c r="C60" s="856" t="s">
        <v>339</v>
      </c>
      <c r="D60" s="857" t="s">
        <v>339</v>
      </c>
      <c r="E60" s="858">
        <v>-30</v>
      </c>
      <c r="F60" s="858" t="s">
        <v>304</v>
      </c>
      <c r="G60" s="860">
        <v>2310</v>
      </c>
      <c r="H60" s="864" t="s">
        <v>824</v>
      </c>
      <c r="I60" s="865">
        <v>114.421875</v>
      </c>
      <c r="J60" s="295">
        <v>115.515625</v>
      </c>
      <c r="K60" s="296">
        <f t="shared" si="1"/>
        <v>-32812.5</v>
      </c>
      <c r="L60"/>
    </row>
    <row r="61" spans="1:12">
      <c r="A61" s="855" t="s">
        <v>629</v>
      </c>
      <c r="B61" s="856" t="s">
        <v>862</v>
      </c>
      <c r="C61" s="856" t="s">
        <v>339</v>
      </c>
      <c r="D61" s="857" t="s">
        <v>339</v>
      </c>
      <c r="E61" s="858">
        <v>30</v>
      </c>
      <c r="F61" s="858" t="s">
        <v>638</v>
      </c>
      <c r="G61" s="860">
        <v>-2310</v>
      </c>
      <c r="H61" s="862" t="s">
        <v>871</v>
      </c>
      <c r="I61" s="861">
        <v>114.921875</v>
      </c>
      <c r="J61" s="295">
        <v>115.359375</v>
      </c>
      <c r="K61" s="296">
        <f t="shared" si="1"/>
        <v>13125</v>
      </c>
      <c r="L61"/>
    </row>
    <row r="62" spans="1:12" ht="17.25">
      <c r="A62" s="855" t="s">
        <v>629</v>
      </c>
      <c r="B62" s="856" t="s">
        <v>916</v>
      </c>
      <c r="C62" s="856" t="s">
        <v>339</v>
      </c>
      <c r="D62" s="857" t="s">
        <v>339</v>
      </c>
      <c r="E62" s="858">
        <v>-30</v>
      </c>
      <c r="F62" s="859" t="s">
        <v>304</v>
      </c>
      <c r="G62" s="860">
        <v>0</v>
      </c>
      <c r="H62" s="866" t="s">
        <v>922</v>
      </c>
      <c r="I62" s="861">
        <v>114.921875</v>
      </c>
      <c r="J62" s="295">
        <v>114.8125</v>
      </c>
      <c r="K62" s="296">
        <f t="shared" si="1"/>
        <v>3281.25</v>
      </c>
      <c r="L62"/>
    </row>
    <row r="63" spans="1:12">
      <c r="A63" s="855" t="s">
        <v>629</v>
      </c>
      <c r="B63" s="856" t="s">
        <v>916</v>
      </c>
      <c r="C63" s="856" t="s">
        <v>339</v>
      </c>
      <c r="D63" s="857" t="s">
        <v>339</v>
      </c>
      <c r="E63" s="858">
        <v>-30</v>
      </c>
      <c r="F63" s="858" t="s">
        <v>304</v>
      </c>
      <c r="G63" s="860">
        <v>0</v>
      </c>
      <c r="H63" s="862" t="s">
        <v>923</v>
      </c>
      <c r="I63" s="861">
        <v>114.890625</v>
      </c>
      <c r="J63" s="295">
        <v>114.671875</v>
      </c>
      <c r="K63" s="296">
        <f t="shared" si="1"/>
        <v>6562.5</v>
      </c>
      <c r="L63"/>
    </row>
    <row r="64" spans="1:12">
      <c r="A64" s="855" t="s">
        <v>629</v>
      </c>
      <c r="B64" s="856" t="s">
        <v>916</v>
      </c>
      <c r="C64" s="856" t="s">
        <v>339</v>
      </c>
      <c r="D64" s="857" t="s">
        <v>339</v>
      </c>
      <c r="E64" s="858">
        <v>-50</v>
      </c>
      <c r="F64" s="858" t="s">
        <v>304</v>
      </c>
      <c r="G64" s="860">
        <v>0</v>
      </c>
      <c r="H64" s="862" t="s">
        <v>924</v>
      </c>
      <c r="I64" s="861">
        <v>114.53125</v>
      </c>
      <c r="J64" s="295">
        <v>114.515625</v>
      </c>
      <c r="K64" s="296">
        <f t="shared" si="1"/>
        <v>781.25</v>
      </c>
      <c r="L64"/>
    </row>
    <row r="65" spans="1:12" ht="17.25">
      <c r="A65" s="855" t="s">
        <v>629</v>
      </c>
      <c r="B65" s="856" t="s">
        <v>935</v>
      </c>
      <c r="C65" s="856" t="s">
        <v>339</v>
      </c>
      <c r="D65" s="857" t="s">
        <v>339</v>
      </c>
      <c r="E65" s="858">
        <v>20</v>
      </c>
      <c r="F65" s="859" t="s">
        <v>304</v>
      </c>
      <c r="G65" s="860">
        <v>0</v>
      </c>
      <c r="H65" s="866" t="s">
        <v>937</v>
      </c>
      <c r="I65" s="861">
        <v>113.84375</v>
      </c>
      <c r="J65" s="295">
        <v>114.421875</v>
      </c>
      <c r="K65" s="296">
        <f t="shared" si="1"/>
        <v>11562.5</v>
      </c>
      <c r="L65"/>
    </row>
    <row r="66" spans="1:12">
      <c r="A66" s="855" t="s">
        <v>629</v>
      </c>
      <c r="B66" s="856" t="s">
        <v>935</v>
      </c>
      <c r="C66" s="856" t="s">
        <v>339</v>
      </c>
      <c r="D66" s="857" t="s">
        <v>339</v>
      </c>
      <c r="E66" s="858">
        <v>30</v>
      </c>
      <c r="F66" s="858" t="s">
        <v>304</v>
      </c>
      <c r="G66" s="860">
        <v>0</v>
      </c>
      <c r="H66" s="862" t="s">
        <v>938</v>
      </c>
      <c r="I66" s="861">
        <v>113.328125</v>
      </c>
      <c r="J66" s="295">
        <v>114.1875</v>
      </c>
      <c r="K66" s="296">
        <f t="shared" si="1"/>
        <v>25781.25</v>
      </c>
      <c r="L66"/>
    </row>
    <row r="67" spans="1:12">
      <c r="A67" s="855" t="s">
        <v>629</v>
      </c>
      <c r="B67" s="856" t="s">
        <v>939</v>
      </c>
      <c r="C67" s="856" t="s">
        <v>339</v>
      </c>
      <c r="D67" s="857" t="s">
        <v>339</v>
      </c>
      <c r="E67" s="858">
        <v>10</v>
      </c>
      <c r="F67" s="858" t="s">
        <v>304</v>
      </c>
      <c r="G67" s="860">
        <v>0</v>
      </c>
      <c r="H67" s="862" t="s">
        <v>940</v>
      </c>
      <c r="I67" s="861">
        <v>113.71875</v>
      </c>
      <c r="J67" s="295">
        <v>114.421875</v>
      </c>
      <c r="K67" s="296">
        <f t="shared" si="1"/>
        <v>7031.25</v>
      </c>
      <c r="L67"/>
    </row>
    <row r="68" spans="1:12">
      <c r="A68" s="855" t="s">
        <v>629</v>
      </c>
      <c r="B68" s="856" t="s">
        <v>935</v>
      </c>
      <c r="C68" s="856" t="s">
        <v>339</v>
      </c>
      <c r="D68" s="857" t="s">
        <v>339</v>
      </c>
      <c r="E68" s="858">
        <v>30</v>
      </c>
      <c r="F68" s="858" t="s">
        <v>638</v>
      </c>
      <c r="G68" s="860">
        <v>0</v>
      </c>
      <c r="H68" s="862" t="s">
        <v>941</v>
      </c>
      <c r="I68" s="861">
        <v>113.390625</v>
      </c>
      <c r="J68" s="295">
        <v>113.625</v>
      </c>
      <c r="K68" s="296">
        <f t="shared" si="1"/>
        <v>7031.25</v>
      </c>
      <c r="L68"/>
    </row>
    <row r="69" spans="1:12">
      <c r="A69" s="855" t="s">
        <v>629</v>
      </c>
      <c r="B69" s="856" t="s">
        <v>939</v>
      </c>
      <c r="C69" s="856" t="s">
        <v>339</v>
      </c>
      <c r="D69" s="857" t="s">
        <v>339</v>
      </c>
      <c r="E69" s="858">
        <v>-30</v>
      </c>
      <c r="F69" s="858" t="s">
        <v>304</v>
      </c>
      <c r="G69" s="860">
        <v>0</v>
      </c>
      <c r="H69" s="862" t="s">
        <v>950</v>
      </c>
      <c r="I69" s="861">
        <v>113.375</v>
      </c>
      <c r="J69" s="295">
        <v>113.21875</v>
      </c>
      <c r="K69" s="296">
        <f t="shared" si="1"/>
        <v>4687.5</v>
      </c>
      <c r="L69"/>
    </row>
    <row r="70" spans="1:12">
      <c r="A70" s="855" t="s">
        <v>629</v>
      </c>
      <c r="B70" s="856" t="s">
        <v>939</v>
      </c>
      <c r="C70" s="856" t="s">
        <v>339</v>
      </c>
      <c r="D70" s="857" t="s">
        <v>339</v>
      </c>
      <c r="E70" s="858">
        <v>30</v>
      </c>
      <c r="F70" s="858" t="s">
        <v>304</v>
      </c>
      <c r="G70" s="860">
        <v>0</v>
      </c>
      <c r="H70" s="862" t="s">
        <v>951</v>
      </c>
      <c r="I70" s="861">
        <v>113.1875</v>
      </c>
      <c r="J70" s="295">
        <v>113.421875</v>
      </c>
      <c r="K70" s="296">
        <f t="shared" si="1"/>
        <v>7031.25</v>
      </c>
      <c r="L70"/>
    </row>
    <row r="71" spans="1:12">
      <c r="A71" s="855" t="s">
        <v>629</v>
      </c>
      <c r="B71" s="856" t="s">
        <v>939</v>
      </c>
      <c r="C71" s="856" t="s">
        <v>339</v>
      </c>
      <c r="D71" s="857" t="s">
        <v>339</v>
      </c>
      <c r="E71" s="858">
        <v>30</v>
      </c>
      <c r="F71" s="859" t="s">
        <v>638</v>
      </c>
      <c r="G71" s="860">
        <v>0</v>
      </c>
      <c r="H71" s="857" t="s">
        <v>954</v>
      </c>
      <c r="I71" s="861">
        <v>113.65625</v>
      </c>
      <c r="J71" s="295">
        <v>113.640625</v>
      </c>
      <c r="K71" s="296">
        <f t="shared" si="1"/>
        <v>-468.75</v>
      </c>
      <c r="L71"/>
    </row>
    <row r="72" spans="1:12">
      <c r="A72" s="855" t="s">
        <v>629</v>
      </c>
      <c r="B72" s="856" t="s">
        <v>939</v>
      </c>
      <c r="C72" s="856" t="s">
        <v>339</v>
      </c>
      <c r="D72" s="857" t="s">
        <v>339</v>
      </c>
      <c r="E72" s="858">
        <v>20</v>
      </c>
      <c r="F72" s="859" t="s">
        <v>638</v>
      </c>
      <c r="G72" s="860">
        <v>0</v>
      </c>
      <c r="H72" s="857" t="s">
        <v>955</v>
      </c>
      <c r="I72" s="861">
        <v>113.609375</v>
      </c>
      <c r="J72" s="295">
        <v>113.640625</v>
      </c>
      <c r="K72" s="296">
        <f t="shared" si="1"/>
        <v>625</v>
      </c>
      <c r="L72"/>
    </row>
    <row r="73" spans="1:12">
      <c r="A73" s="855" t="s">
        <v>629</v>
      </c>
      <c r="B73" s="856" t="s">
        <v>961</v>
      </c>
      <c r="C73" s="856" t="s">
        <v>339</v>
      </c>
      <c r="D73" s="857" t="s">
        <v>339</v>
      </c>
      <c r="E73" s="858">
        <v>30</v>
      </c>
      <c r="F73" s="858" t="s">
        <v>638</v>
      </c>
      <c r="G73" s="860">
        <v>0</v>
      </c>
      <c r="H73" s="862" t="s">
        <v>962</v>
      </c>
      <c r="I73" s="861">
        <v>113.421875</v>
      </c>
      <c r="J73" s="295">
        <v>113.453125</v>
      </c>
      <c r="K73" s="296">
        <f t="shared" si="1"/>
        <v>937.5</v>
      </c>
      <c r="L73"/>
    </row>
    <row r="74" spans="1:12">
      <c r="A74" s="855" t="s">
        <v>639</v>
      </c>
      <c r="B74" s="856" t="s">
        <v>961</v>
      </c>
      <c r="C74" s="856" t="s">
        <v>339</v>
      </c>
      <c r="D74" s="857" t="s">
        <v>339</v>
      </c>
      <c r="E74" s="858">
        <v>30</v>
      </c>
      <c r="F74" s="858" t="s">
        <v>638</v>
      </c>
      <c r="G74" s="860">
        <v>0</v>
      </c>
      <c r="H74" s="862" t="s">
        <v>972</v>
      </c>
      <c r="I74" s="861">
        <v>102.390625</v>
      </c>
      <c r="J74" s="295">
        <v>102.39453125</v>
      </c>
      <c r="K74" s="296">
        <f t="shared" ref="K74:K136" si="2">IF(LEFT(A74,2)="TU",(J74-I74)*E74/100*100000*2,(J74-I74)*E74/100*100000)</f>
        <v>234.375</v>
      </c>
      <c r="L74"/>
    </row>
    <row r="75" spans="1:12">
      <c r="A75" s="855" t="s">
        <v>629</v>
      </c>
      <c r="B75" s="856" t="s">
        <v>961</v>
      </c>
      <c r="C75" s="856" t="s">
        <v>339</v>
      </c>
      <c r="D75" s="857" t="s">
        <v>339</v>
      </c>
      <c r="E75" s="858">
        <v>20</v>
      </c>
      <c r="F75" s="859" t="s">
        <v>304</v>
      </c>
      <c r="G75" s="860">
        <v>0</v>
      </c>
      <c r="H75" s="857" t="s">
        <v>973</v>
      </c>
      <c r="I75" s="861">
        <v>113.65625</v>
      </c>
      <c r="J75" s="295">
        <v>113.734375</v>
      </c>
      <c r="K75" s="296">
        <f t="shared" si="2"/>
        <v>1562.5</v>
      </c>
      <c r="L75"/>
    </row>
    <row r="76" spans="1:12">
      <c r="A76" s="855" t="s">
        <v>629</v>
      </c>
      <c r="B76" s="856" t="s">
        <v>961</v>
      </c>
      <c r="C76" s="856" t="s">
        <v>339</v>
      </c>
      <c r="D76" s="857" t="s">
        <v>339</v>
      </c>
      <c r="E76" s="858">
        <v>20</v>
      </c>
      <c r="F76" s="859" t="s">
        <v>304</v>
      </c>
      <c r="G76" s="860">
        <v>0</v>
      </c>
      <c r="H76" s="857" t="s">
        <v>974</v>
      </c>
      <c r="I76" s="861">
        <v>113.609375</v>
      </c>
      <c r="J76" s="295">
        <v>113.03125</v>
      </c>
      <c r="K76" s="296">
        <f t="shared" si="2"/>
        <v>-11562.5</v>
      </c>
      <c r="L76"/>
    </row>
    <row r="77" spans="1:12">
      <c r="A77" s="855" t="s">
        <v>629</v>
      </c>
      <c r="B77" s="856" t="s">
        <v>952</v>
      </c>
      <c r="C77" s="856" t="s">
        <v>339</v>
      </c>
      <c r="D77" s="857" t="s">
        <v>339</v>
      </c>
      <c r="E77" s="858">
        <v>-30</v>
      </c>
      <c r="F77" s="858" t="s">
        <v>304</v>
      </c>
      <c r="G77" s="860">
        <v>2310</v>
      </c>
      <c r="H77" s="862" t="s">
        <v>959</v>
      </c>
      <c r="I77" s="861">
        <v>113.453125</v>
      </c>
      <c r="J77" s="295">
        <v>112.90625</v>
      </c>
      <c r="K77" s="296">
        <f t="shared" si="2"/>
        <v>16406.25</v>
      </c>
      <c r="L77"/>
    </row>
    <row r="78" spans="1:12">
      <c r="A78" s="855" t="s">
        <v>629</v>
      </c>
      <c r="B78" s="856" t="s">
        <v>952</v>
      </c>
      <c r="C78" s="856" t="s">
        <v>339</v>
      </c>
      <c r="D78" s="857" t="s">
        <v>339</v>
      </c>
      <c r="E78" s="858">
        <v>-20</v>
      </c>
      <c r="F78" s="858" t="s">
        <v>304</v>
      </c>
      <c r="G78" s="860">
        <v>1540</v>
      </c>
      <c r="H78" s="862" t="s">
        <v>960</v>
      </c>
      <c r="I78" s="861">
        <v>113.390625</v>
      </c>
      <c r="J78" s="295">
        <v>112.9375</v>
      </c>
      <c r="K78" s="296">
        <f t="shared" si="2"/>
        <v>9062.5</v>
      </c>
      <c r="L78"/>
    </row>
    <row r="79" spans="1:12">
      <c r="A79" s="855" t="s">
        <v>629</v>
      </c>
      <c r="B79" s="856" t="s">
        <v>975</v>
      </c>
      <c r="C79" s="856" t="s">
        <v>339</v>
      </c>
      <c r="D79" s="857" t="s">
        <v>339</v>
      </c>
      <c r="E79" s="858">
        <v>-30</v>
      </c>
      <c r="F79" s="858" t="s">
        <v>304</v>
      </c>
      <c r="G79" s="860">
        <v>2310</v>
      </c>
      <c r="H79" s="862" t="s">
        <v>976</v>
      </c>
      <c r="I79" s="861">
        <v>113.03125</v>
      </c>
      <c r="J79" s="295">
        <v>113.015625</v>
      </c>
      <c r="K79" s="296">
        <f t="shared" si="2"/>
        <v>468.75</v>
      </c>
      <c r="L79"/>
    </row>
    <row r="80" spans="1:12">
      <c r="A80" s="855" t="s">
        <v>629</v>
      </c>
      <c r="B80" s="856" t="s">
        <v>952</v>
      </c>
      <c r="C80" s="856" t="s">
        <v>339</v>
      </c>
      <c r="D80" s="857" t="s">
        <v>339</v>
      </c>
      <c r="E80" s="858">
        <v>-20</v>
      </c>
      <c r="F80" s="859" t="s">
        <v>304</v>
      </c>
      <c r="G80" s="860">
        <v>1540</v>
      </c>
      <c r="H80" s="857" t="s">
        <v>953</v>
      </c>
      <c r="I80" s="861">
        <v>113.421875</v>
      </c>
      <c r="J80" s="295">
        <v>112.640625</v>
      </c>
      <c r="K80" s="296">
        <f t="shared" si="2"/>
        <v>15625</v>
      </c>
      <c r="L80"/>
    </row>
    <row r="81" spans="1:12">
      <c r="A81" s="855" t="s">
        <v>629</v>
      </c>
      <c r="B81" s="856" t="s">
        <v>994</v>
      </c>
      <c r="C81" s="856" t="s">
        <v>339</v>
      </c>
      <c r="D81" s="857" t="s">
        <v>339</v>
      </c>
      <c r="E81" s="858">
        <v>30</v>
      </c>
      <c r="F81" s="859" t="s">
        <v>304</v>
      </c>
      <c r="G81" s="860">
        <v>0</v>
      </c>
      <c r="H81" s="857" t="s">
        <v>999</v>
      </c>
      <c r="I81" s="861">
        <v>113.34375</v>
      </c>
      <c r="J81" s="295">
        <v>112.609375</v>
      </c>
      <c r="K81" s="296">
        <f t="shared" si="2"/>
        <v>-22031.25</v>
      </c>
      <c r="L81"/>
    </row>
    <row r="82" spans="1:12">
      <c r="A82" s="855" t="s">
        <v>629</v>
      </c>
      <c r="B82" s="856" t="s">
        <v>994</v>
      </c>
      <c r="C82" s="856" t="s">
        <v>339</v>
      </c>
      <c r="D82" s="857" t="s">
        <v>339</v>
      </c>
      <c r="E82" s="858">
        <v>20</v>
      </c>
      <c r="F82" s="859" t="s">
        <v>304</v>
      </c>
      <c r="G82" s="860">
        <v>0</v>
      </c>
      <c r="H82" s="857" t="s">
        <v>1000</v>
      </c>
      <c r="I82" s="861">
        <v>113.140625</v>
      </c>
      <c r="J82" s="295">
        <v>112.40625</v>
      </c>
      <c r="K82" s="296">
        <f t="shared" si="2"/>
        <v>-14687.5</v>
      </c>
      <c r="L82"/>
    </row>
    <row r="83" spans="1:12">
      <c r="A83" s="855" t="s">
        <v>629</v>
      </c>
      <c r="B83" s="856" t="s">
        <v>994</v>
      </c>
      <c r="C83" s="856" t="s">
        <v>339</v>
      </c>
      <c r="D83" s="857" t="s">
        <v>339</v>
      </c>
      <c r="E83" s="858">
        <v>30</v>
      </c>
      <c r="F83" s="859" t="s">
        <v>304</v>
      </c>
      <c r="G83" s="860">
        <v>0</v>
      </c>
      <c r="H83" s="857" t="s">
        <v>1001</v>
      </c>
      <c r="I83" s="861">
        <v>112.5625</v>
      </c>
      <c r="J83" s="295">
        <v>112.40625</v>
      </c>
      <c r="K83" s="296">
        <f t="shared" si="2"/>
        <v>-4687.5</v>
      </c>
      <c r="L83"/>
    </row>
    <row r="84" spans="1:12">
      <c r="A84" s="855" t="s">
        <v>629</v>
      </c>
      <c r="B84" s="856" t="s">
        <v>994</v>
      </c>
      <c r="C84" s="856" t="s">
        <v>339</v>
      </c>
      <c r="D84" s="857" t="s">
        <v>339</v>
      </c>
      <c r="E84" s="858">
        <v>-20</v>
      </c>
      <c r="F84" s="859" t="s">
        <v>304</v>
      </c>
      <c r="G84" s="860">
        <v>1540</v>
      </c>
      <c r="H84" s="857" t="s">
        <v>1002</v>
      </c>
      <c r="I84" s="861">
        <v>112.40625</v>
      </c>
      <c r="J84" s="295">
        <v>112.28125</v>
      </c>
      <c r="K84" s="296">
        <f t="shared" si="2"/>
        <v>2500</v>
      </c>
      <c r="L84"/>
    </row>
    <row r="85" spans="1:12">
      <c r="A85" s="855" t="s">
        <v>629</v>
      </c>
      <c r="B85" s="856" t="s">
        <v>994</v>
      </c>
      <c r="C85" s="856" t="s">
        <v>339</v>
      </c>
      <c r="D85" s="857" t="s">
        <v>339</v>
      </c>
      <c r="E85" s="858">
        <v>30</v>
      </c>
      <c r="F85" s="859" t="s">
        <v>638</v>
      </c>
      <c r="G85" s="860">
        <v>-3850</v>
      </c>
      <c r="H85" s="857" t="s">
        <v>1003</v>
      </c>
      <c r="I85" s="861">
        <v>112.796875</v>
      </c>
      <c r="J85" s="295">
        <v>112.375</v>
      </c>
      <c r="K85" s="296">
        <f t="shared" si="2"/>
        <v>-12656.25</v>
      </c>
      <c r="L85"/>
    </row>
    <row r="86" spans="1:12">
      <c r="A86" s="855" t="s">
        <v>629</v>
      </c>
      <c r="B86" s="856" t="s">
        <v>1020</v>
      </c>
      <c r="C86" s="856" t="s">
        <v>339</v>
      </c>
      <c r="D86" s="857" t="s">
        <v>339</v>
      </c>
      <c r="E86" s="858">
        <v>50</v>
      </c>
      <c r="F86" s="859" t="s">
        <v>638</v>
      </c>
      <c r="G86" s="860">
        <v>0</v>
      </c>
      <c r="H86" s="857" t="s">
        <v>1025</v>
      </c>
      <c r="I86" s="861">
        <v>112.09375</v>
      </c>
      <c r="J86" s="295">
        <v>111.9375</v>
      </c>
      <c r="K86" s="296">
        <f t="shared" si="2"/>
        <v>-7812.5</v>
      </c>
      <c r="L86"/>
    </row>
    <row r="87" spans="1:12">
      <c r="A87" s="855" t="s">
        <v>629</v>
      </c>
      <c r="B87" s="856" t="s">
        <v>1026</v>
      </c>
      <c r="C87" s="856" t="s">
        <v>339</v>
      </c>
      <c r="D87" s="857" t="s">
        <v>339</v>
      </c>
      <c r="E87" s="858">
        <v>50</v>
      </c>
      <c r="F87" s="859" t="s">
        <v>304</v>
      </c>
      <c r="G87" s="860">
        <v>0</v>
      </c>
      <c r="H87" s="857" t="s">
        <v>1027</v>
      </c>
      <c r="I87" s="861">
        <v>111.53125</v>
      </c>
      <c r="J87" s="295">
        <v>111.390625</v>
      </c>
      <c r="K87" s="296">
        <f t="shared" si="2"/>
        <v>-7031.25</v>
      </c>
      <c r="L87"/>
    </row>
    <row r="88" spans="1:12">
      <c r="A88" s="855" t="s">
        <v>629</v>
      </c>
      <c r="B88" s="856" t="s">
        <v>1005</v>
      </c>
      <c r="C88" s="856" t="s">
        <v>339</v>
      </c>
      <c r="D88" s="857" t="s">
        <v>339</v>
      </c>
      <c r="E88" s="858">
        <v>10</v>
      </c>
      <c r="F88" s="859" t="s">
        <v>304</v>
      </c>
      <c r="G88" s="860">
        <v>-3850</v>
      </c>
      <c r="H88" s="857" t="s">
        <v>1015</v>
      </c>
      <c r="I88" s="861">
        <v>112.28125</v>
      </c>
      <c r="J88" s="295">
        <v>111.859375</v>
      </c>
      <c r="K88" s="296">
        <f t="shared" si="2"/>
        <v>-4218.75</v>
      </c>
      <c r="L88"/>
    </row>
    <row r="89" spans="1:12">
      <c r="A89" s="855" t="s">
        <v>629</v>
      </c>
      <c r="B89" s="856" t="s">
        <v>1020</v>
      </c>
      <c r="C89" s="856" t="s">
        <v>339</v>
      </c>
      <c r="D89" s="857" t="s">
        <v>339</v>
      </c>
      <c r="E89" s="858">
        <v>20</v>
      </c>
      <c r="F89" s="859" t="s">
        <v>304</v>
      </c>
      <c r="G89" s="860">
        <v>0</v>
      </c>
      <c r="H89" s="857" t="s">
        <v>1028</v>
      </c>
      <c r="I89" s="861">
        <v>112.03125</v>
      </c>
      <c r="J89" s="295">
        <v>111.859375</v>
      </c>
      <c r="K89" s="296">
        <f t="shared" si="2"/>
        <v>-3437.5000000000005</v>
      </c>
      <c r="L89"/>
    </row>
    <row r="90" spans="1:12">
      <c r="A90" s="855" t="s">
        <v>629</v>
      </c>
      <c r="B90" s="856" t="s">
        <v>1020</v>
      </c>
      <c r="C90" s="856" t="s">
        <v>339</v>
      </c>
      <c r="D90" s="857" t="s">
        <v>339</v>
      </c>
      <c r="E90" s="858">
        <v>30</v>
      </c>
      <c r="F90" s="859" t="s">
        <v>304</v>
      </c>
      <c r="G90" s="860">
        <v>0</v>
      </c>
      <c r="H90" s="857" t="s">
        <v>1028</v>
      </c>
      <c r="I90" s="861">
        <v>112.03125</v>
      </c>
      <c r="J90" s="295">
        <v>111.859375</v>
      </c>
      <c r="K90" s="296">
        <f t="shared" si="2"/>
        <v>-5156.25</v>
      </c>
      <c r="L90"/>
    </row>
    <row r="91" spans="1:12">
      <c r="A91" s="855" t="s">
        <v>629</v>
      </c>
      <c r="B91" s="856" t="s">
        <v>1005</v>
      </c>
      <c r="C91" s="856" t="s">
        <v>339</v>
      </c>
      <c r="D91" s="857" t="s">
        <v>339</v>
      </c>
      <c r="E91" s="858">
        <v>30</v>
      </c>
      <c r="F91" s="859" t="s">
        <v>304</v>
      </c>
      <c r="G91" s="860">
        <v>-3850</v>
      </c>
      <c r="H91" s="857" t="s">
        <v>1015</v>
      </c>
      <c r="I91" s="861">
        <v>112.28125</v>
      </c>
      <c r="J91" s="295">
        <v>111.671875</v>
      </c>
      <c r="K91" s="296">
        <f t="shared" si="2"/>
        <v>-18281.25</v>
      </c>
      <c r="L91"/>
    </row>
    <row r="92" spans="1:12">
      <c r="A92" s="855" t="s">
        <v>629</v>
      </c>
      <c r="B92" s="856" t="s">
        <v>994</v>
      </c>
      <c r="C92" s="856" t="s">
        <v>339</v>
      </c>
      <c r="D92" s="857" t="s">
        <v>339</v>
      </c>
      <c r="E92" s="858">
        <v>20</v>
      </c>
      <c r="F92" s="859" t="s">
        <v>638</v>
      </c>
      <c r="G92" s="860">
        <v>-1540</v>
      </c>
      <c r="H92" s="857" t="s">
        <v>1003</v>
      </c>
      <c r="I92" s="861">
        <v>112.796875</v>
      </c>
      <c r="J92" s="295">
        <v>111.65625</v>
      </c>
      <c r="K92" s="296">
        <f t="shared" si="2"/>
        <v>-22812.5</v>
      </c>
      <c r="L92"/>
    </row>
    <row r="93" spans="1:12">
      <c r="A93" s="855" t="s">
        <v>629</v>
      </c>
      <c r="B93" s="856" t="s">
        <v>1026</v>
      </c>
      <c r="C93" s="856" t="s">
        <v>339</v>
      </c>
      <c r="D93" s="857" t="s">
        <v>339</v>
      </c>
      <c r="E93" s="858">
        <v>20</v>
      </c>
      <c r="F93" s="859" t="s">
        <v>304</v>
      </c>
      <c r="G93" s="860">
        <v>-2310</v>
      </c>
      <c r="H93" s="857" t="s">
        <v>1036</v>
      </c>
      <c r="I93" s="861">
        <v>111.65625</v>
      </c>
      <c r="J93" s="295">
        <v>111.859375</v>
      </c>
      <c r="K93" s="296">
        <f t="shared" si="2"/>
        <v>4062.5</v>
      </c>
      <c r="L93"/>
    </row>
    <row r="94" spans="1:12">
      <c r="A94" s="855" t="s">
        <v>643</v>
      </c>
      <c r="B94" s="856" t="s">
        <v>1042</v>
      </c>
      <c r="C94" s="856" t="s">
        <v>339</v>
      </c>
      <c r="D94" s="857" t="s">
        <v>339</v>
      </c>
      <c r="E94" s="858">
        <v>-1</v>
      </c>
      <c r="F94" s="859" t="s">
        <v>304</v>
      </c>
      <c r="G94" s="860">
        <v>0</v>
      </c>
      <c r="H94" s="857" t="s">
        <v>1047</v>
      </c>
      <c r="I94" s="861">
        <v>111.65625</v>
      </c>
      <c r="J94" s="295">
        <v>111.75</v>
      </c>
      <c r="K94" s="296">
        <f t="shared" si="2"/>
        <v>-93.75</v>
      </c>
      <c r="L94"/>
    </row>
    <row r="95" spans="1:12">
      <c r="A95" s="855" t="s">
        <v>643</v>
      </c>
      <c r="B95" s="856" t="s">
        <v>1042</v>
      </c>
      <c r="C95" s="856" t="s">
        <v>339</v>
      </c>
      <c r="D95" s="857" t="s">
        <v>339</v>
      </c>
      <c r="E95" s="858">
        <v>-19</v>
      </c>
      <c r="F95" s="859" t="s">
        <v>304</v>
      </c>
      <c r="G95" s="860">
        <v>0</v>
      </c>
      <c r="H95" s="857" t="s">
        <v>1048</v>
      </c>
      <c r="I95" s="861">
        <v>111.671875</v>
      </c>
      <c r="J95" s="295">
        <v>111.75</v>
      </c>
      <c r="K95" s="296">
        <f t="shared" si="2"/>
        <v>-1484.375</v>
      </c>
      <c r="L95"/>
    </row>
    <row r="96" spans="1:12">
      <c r="A96" s="855" t="s">
        <v>643</v>
      </c>
      <c r="B96" s="856" t="s">
        <v>1049</v>
      </c>
      <c r="C96" s="856" t="s">
        <v>339</v>
      </c>
      <c r="D96" s="857" t="s">
        <v>339</v>
      </c>
      <c r="E96" s="858">
        <v>15</v>
      </c>
      <c r="F96" s="859" t="s">
        <v>304</v>
      </c>
      <c r="G96" s="860">
        <v>0</v>
      </c>
      <c r="H96" s="857" t="s">
        <v>1050</v>
      </c>
      <c r="I96" s="861">
        <v>111.71875</v>
      </c>
      <c r="J96" s="295">
        <v>111.703125</v>
      </c>
      <c r="K96" s="296">
        <f t="shared" si="2"/>
        <v>-234.375</v>
      </c>
      <c r="L96"/>
    </row>
    <row r="97" spans="1:12">
      <c r="A97" s="855" t="s">
        <v>643</v>
      </c>
      <c r="B97" s="856" t="s">
        <v>1049</v>
      </c>
      <c r="C97" s="856" t="s">
        <v>339</v>
      </c>
      <c r="D97" s="857" t="s">
        <v>339</v>
      </c>
      <c r="E97" s="858">
        <v>30</v>
      </c>
      <c r="F97" s="859" t="s">
        <v>304</v>
      </c>
      <c r="G97" s="860">
        <v>0</v>
      </c>
      <c r="H97" s="857" t="s">
        <v>1051</v>
      </c>
      <c r="I97" s="861">
        <v>111.734375</v>
      </c>
      <c r="J97" s="295">
        <v>111.71875</v>
      </c>
      <c r="K97" s="296">
        <f t="shared" si="2"/>
        <v>-468.75</v>
      </c>
      <c r="L97"/>
    </row>
    <row r="98" spans="1:12">
      <c r="A98" s="855" t="s">
        <v>643</v>
      </c>
      <c r="B98" s="856" t="s">
        <v>1049</v>
      </c>
      <c r="C98" s="856" t="s">
        <v>339</v>
      </c>
      <c r="D98" s="857" t="s">
        <v>339</v>
      </c>
      <c r="E98" s="858">
        <v>5</v>
      </c>
      <c r="F98" s="859" t="s">
        <v>304</v>
      </c>
      <c r="G98" s="860">
        <v>0</v>
      </c>
      <c r="H98" s="857" t="s">
        <v>1051</v>
      </c>
      <c r="I98" s="861">
        <v>111.734375</v>
      </c>
      <c r="J98" s="295">
        <v>111.703125</v>
      </c>
      <c r="K98" s="296">
        <f t="shared" si="2"/>
        <v>-156.25</v>
      </c>
      <c r="L98"/>
    </row>
    <row r="99" spans="1:12">
      <c r="A99" s="855" t="s">
        <v>643</v>
      </c>
      <c r="B99" s="856" t="s">
        <v>1042</v>
      </c>
      <c r="C99" s="856" t="s">
        <v>339</v>
      </c>
      <c r="D99" s="857" t="s">
        <v>339</v>
      </c>
      <c r="E99" s="858">
        <v>50</v>
      </c>
      <c r="F99" s="859" t="s">
        <v>638</v>
      </c>
      <c r="G99" s="860">
        <v>-3850</v>
      </c>
      <c r="H99" s="857" t="s">
        <v>1052</v>
      </c>
      <c r="I99" s="861">
        <v>112.3125</v>
      </c>
      <c r="J99" s="295">
        <v>111.515625</v>
      </c>
      <c r="K99" s="296">
        <f t="shared" si="2"/>
        <v>-39843.75</v>
      </c>
      <c r="L99"/>
    </row>
    <row r="100" spans="1:12">
      <c r="A100" s="855" t="s">
        <v>629</v>
      </c>
      <c r="B100" s="856" t="s">
        <v>1060</v>
      </c>
      <c r="C100" s="856" t="s">
        <v>339</v>
      </c>
      <c r="D100" s="857" t="s">
        <v>339</v>
      </c>
      <c r="E100" s="858">
        <v>20</v>
      </c>
      <c r="F100" s="859" t="s">
        <v>304</v>
      </c>
      <c r="G100" s="860">
        <v>0</v>
      </c>
      <c r="H100" s="857" t="s">
        <v>1066</v>
      </c>
      <c r="I100" s="861">
        <v>110.921875</v>
      </c>
      <c r="J100" s="295">
        <v>110.96875</v>
      </c>
      <c r="K100" s="296">
        <f t="shared" si="2"/>
        <v>937.5</v>
      </c>
      <c r="L100"/>
    </row>
    <row r="101" spans="1:12">
      <c r="A101" s="855" t="s">
        <v>643</v>
      </c>
      <c r="B101" s="856" t="s">
        <v>1060</v>
      </c>
      <c r="C101" s="856" t="s">
        <v>339</v>
      </c>
      <c r="D101" s="857" t="s">
        <v>339</v>
      </c>
      <c r="E101" s="858">
        <v>30</v>
      </c>
      <c r="F101" s="859" t="s">
        <v>304</v>
      </c>
      <c r="G101" s="860">
        <v>0</v>
      </c>
      <c r="H101" s="857" t="s">
        <v>1067</v>
      </c>
      <c r="I101" s="861">
        <v>111.40625</v>
      </c>
      <c r="J101" s="295">
        <v>111.5625</v>
      </c>
      <c r="K101" s="296">
        <f t="shared" si="2"/>
        <v>4687.5</v>
      </c>
      <c r="L101"/>
    </row>
    <row r="102" spans="1:12">
      <c r="A102" s="855" t="s">
        <v>643</v>
      </c>
      <c r="B102" s="856" t="s">
        <v>1060</v>
      </c>
      <c r="C102" s="856" t="s">
        <v>339</v>
      </c>
      <c r="D102" s="857" t="s">
        <v>339</v>
      </c>
      <c r="E102" s="858">
        <v>-30</v>
      </c>
      <c r="F102" s="859" t="s">
        <v>304</v>
      </c>
      <c r="G102" s="860">
        <v>4620</v>
      </c>
      <c r="H102" s="857" t="s">
        <v>1061</v>
      </c>
      <c r="I102" s="861">
        <v>111.6875</v>
      </c>
      <c r="J102" s="295">
        <v>111.796875</v>
      </c>
      <c r="K102" s="296">
        <f t="shared" si="2"/>
        <v>-3281.25</v>
      </c>
      <c r="L102"/>
    </row>
    <row r="103" spans="1:12">
      <c r="A103" s="855" t="s">
        <v>643</v>
      </c>
      <c r="B103" s="856" t="s">
        <v>1060</v>
      </c>
      <c r="C103" s="856" t="s">
        <v>339</v>
      </c>
      <c r="D103" s="857" t="s">
        <v>339</v>
      </c>
      <c r="E103" s="858">
        <v>-30</v>
      </c>
      <c r="F103" s="859" t="s">
        <v>304</v>
      </c>
      <c r="G103" s="860">
        <v>4620</v>
      </c>
      <c r="H103" s="857" t="s">
        <v>1061</v>
      </c>
      <c r="I103" s="861">
        <v>111.6875</v>
      </c>
      <c r="J103" s="295">
        <v>111.984375</v>
      </c>
      <c r="K103" s="296">
        <f t="shared" si="2"/>
        <v>-8906.25</v>
      </c>
      <c r="L103"/>
    </row>
    <row r="104" spans="1:12">
      <c r="A104" s="855" t="s">
        <v>643</v>
      </c>
      <c r="B104" s="856" t="s">
        <v>1075</v>
      </c>
      <c r="C104" s="856" t="s">
        <v>339</v>
      </c>
      <c r="D104" s="857" t="s">
        <v>339</v>
      </c>
      <c r="E104" s="858">
        <v>50</v>
      </c>
      <c r="F104" s="859" t="s">
        <v>304</v>
      </c>
      <c r="G104" s="860">
        <v>0</v>
      </c>
      <c r="H104" s="857" t="s">
        <v>1076</v>
      </c>
      <c r="I104" s="861">
        <v>111.71875</v>
      </c>
      <c r="J104" s="295">
        <v>111.21875</v>
      </c>
      <c r="K104" s="296">
        <f t="shared" si="2"/>
        <v>-25000</v>
      </c>
      <c r="L104"/>
    </row>
    <row r="105" spans="1:12">
      <c r="A105" s="855" t="s">
        <v>643</v>
      </c>
      <c r="B105" s="856" t="s">
        <v>1097</v>
      </c>
      <c r="C105" s="856" t="s">
        <v>339</v>
      </c>
      <c r="D105" s="857" t="s">
        <v>339</v>
      </c>
      <c r="E105" s="858">
        <v>-30</v>
      </c>
      <c r="F105" s="859" t="s">
        <v>304</v>
      </c>
      <c r="G105" s="860">
        <v>0</v>
      </c>
      <c r="H105" s="857" t="s">
        <v>1100</v>
      </c>
      <c r="I105" s="861">
        <v>111</v>
      </c>
      <c r="J105" s="295">
        <v>111.546875</v>
      </c>
      <c r="K105" s="296">
        <f t="shared" si="2"/>
        <v>-16406.25</v>
      </c>
      <c r="L105"/>
    </row>
    <row r="106" spans="1:12">
      <c r="A106" s="855" t="s">
        <v>643</v>
      </c>
      <c r="B106" s="856" t="s">
        <v>1071</v>
      </c>
      <c r="C106" s="856" t="s">
        <v>339</v>
      </c>
      <c r="D106" s="857" t="s">
        <v>339</v>
      </c>
      <c r="E106" s="858">
        <v>-30</v>
      </c>
      <c r="F106" s="859" t="s">
        <v>304</v>
      </c>
      <c r="G106" s="860">
        <v>2310</v>
      </c>
      <c r="H106" s="857" t="s">
        <v>1077</v>
      </c>
      <c r="I106" s="861">
        <v>111.21875</v>
      </c>
      <c r="J106" s="295">
        <v>111.546875</v>
      </c>
      <c r="K106" s="296">
        <f t="shared" si="2"/>
        <v>-9843.75</v>
      </c>
      <c r="L106"/>
    </row>
    <row r="107" spans="1:12">
      <c r="A107" s="855" t="s">
        <v>643</v>
      </c>
      <c r="B107" s="856" t="s">
        <v>1101</v>
      </c>
      <c r="C107" s="856" t="s">
        <v>339</v>
      </c>
      <c r="D107" s="857" t="s">
        <v>339</v>
      </c>
      <c r="E107" s="858">
        <v>30</v>
      </c>
      <c r="F107" s="859" t="s">
        <v>638</v>
      </c>
      <c r="G107" s="860">
        <v>0</v>
      </c>
      <c r="H107" s="857" t="s">
        <v>1102</v>
      </c>
      <c r="I107" s="861">
        <v>110.890625</v>
      </c>
      <c r="J107" s="295">
        <v>111.375</v>
      </c>
      <c r="K107" s="296">
        <f t="shared" si="2"/>
        <v>14531.250000000002</v>
      </c>
      <c r="L107"/>
    </row>
    <row r="108" spans="1:12">
      <c r="A108" s="855" t="s">
        <v>643</v>
      </c>
      <c r="B108" s="856" t="s">
        <v>1101</v>
      </c>
      <c r="C108" s="856" t="s">
        <v>339</v>
      </c>
      <c r="D108" s="857" t="s">
        <v>339</v>
      </c>
      <c r="E108" s="858">
        <v>30</v>
      </c>
      <c r="F108" s="859" t="s">
        <v>638</v>
      </c>
      <c r="G108" s="860">
        <v>0</v>
      </c>
      <c r="H108" s="857" t="s">
        <v>1103</v>
      </c>
      <c r="I108" s="861">
        <v>110.828125</v>
      </c>
      <c r="J108" s="295">
        <v>110.90625</v>
      </c>
      <c r="K108" s="296">
        <f t="shared" si="2"/>
        <v>2343.75</v>
      </c>
      <c r="L108"/>
    </row>
    <row r="109" spans="1:12">
      <c r="A109" s="855" t="s">
        <v>643</v>
      </c>
      <c r="B109" s="856" t="s">
        <v>1097</v>
      </c>
      <c r="C109" s="856" t="s">
        <v>339</v>
      </c>
      <c r="D109" s="857" t="s">
        <v>339</v>
      </c>
      <c r="E109" s="858">
        <v>30</v>
      </c>
      <c r="F109" s="859" t="s">
        <v>638</v>
      </c>
      <c r="G109" s="860">
        <v>0</v>
      </c>
      <c r="H109" s="857" t="s">
        <v>1104</v>
      </c>
      <c r="I109" s="861">
        <v>111.359375</v>
      </c>
      <c r="J109" s="295">
        <v>110.703125</v>
      </c>
      <c r="K109" s="296">
        <f t="shared" si="2"/>
        <v>-19687.5</v>
      </c>
      <c r="L109"/>
    </row>
    <row r="110" spans="1:12">
      <c r="A110" s="855" t="s">
        <v>643</v>
      </c>
      <c r="B110" s="856" t="s">
        <v>1101</v>
      </c>
      <c r="C110" s="856" t="s">
        <v>339</v>
      </c>
      <c r="D110" s="857" t="s">
        <v>339</v>
      </c>
      <c r="E110" s="858">
        <v>-50</v>
      </c>
      <c r="F110" s="859" t="s">
        <v>638</v>
      </c>
      <c r="G110" s="860">
        <v>0</v>
      </c>
      <c r="H110" s="857" t="s">
        <v>1105</v>
      </c>
      <c r="I110" s="861">
        <v>110.671875</v>
      </c>
      <c r="J110" s="295">
        <v>110.734375</v>
      </c>
      <c r="K110" s="296">
        <f t="shared" si="2"/>
        <v>-3125</v>
      </c>
      <c r="L110"/>
    </row>
    <row r="111" spans="1:12">
      <c r="A111" s="855" t="s">
        <v>643</v>
      </c>
      <c r="B111" s="856" t="s">
        <v>1101</v>
      </c>
      <c r="C111" s="856" t="s">
        <v>339</v>
      </c>
      <c r="D111" s="857" t="s">
        <v>339</v>
      </c>
      <c r="E111" s="858">
        <v>50</v>
      </c>
      <c r="F111" s="859" t="s">
        <v>638</v>
      </c>
      <c r="G111" s="860">
        <v>-3850</v>
      </c>
      <c r="H111" s="857" t="s">
        <v>1106</v>
      </c>
      <c r="I111" s="861">
        <v>110.734375</v>
      </c>
      <c r="J111" s="295">
        <v>110.890625</v>
      </c>
      <c r="K111" s="296">
        <f t="shared" si="2"/>
        <v>7812.5</v>
      </c>
      <c r="L111"/>
    </row>
    <row r="112" spans="1:12">
      <c r="A112" s="855" t="s">
        <v>643</v>
      </c>
      <c r="B112" s="856" t="s">
        <v>1115</v>
      </c>
      <c r="C112" s="856" t="s">
        <v>339</v>
      </c>
      <c r="D112" s="857" t="s">
        <v>339</v>
      </c>
      <c r="E112" s="858">
        <v>30</v>
      </c>
      <c r="F112" s="859" t="s">
        <v>638</v>
      </c>
      <c r="G112" s="860">
        <v>0</v>
      </c>
      <c r="H112" s="857" t="s">
        <v>1114</v>
      </c>
      <c r="I112" s="861">
        <v>110.71875</v>
      </c>
      <c r="J112" s="295">
        <v>110.75</v>
      </c>
      <c r="K112" s="296">
        <f t="shared" si="2"/>
        <v>937.5</v>
      </c>
      <c r="L112"/>
    </row>
    <row r="113" spans="1:12">
      <c r="A113" s="855" t="s">
        <v>643</v>
      </c>
      <c r="B113" s="856" t="s">
        <v>1132</v>
      </c>
      <c r="C113" s="856" t="s">
        <v>339</v>
      </c>
      <c r="D113" s="857" t="s">
        <v>339</v>
      </c>
      <c r="E113" s="858">
        <v>30</v>
      </c>
      <c r="F113" s="859" t="s">
        <v>304</v>
      </c>
      <c r="G113" s="860">
        <v>0</v>
      </c>
      <c r="H113" s="857" t="s">
        <v>1138</v>
      </c>
      <c r="I113" s="861">
        <v>111.1875</v>
      </c>
      <c r="J113" s="295">
        <v>111.21875</v>
      </c>
      <c r="K113" s="296">
        <f t="shared" si="2"/>
        <v>937.5</v>
      </c>
      <c r="L113"/>
    </row>
    <row r="114" spans="1:12">
      <c r="A114" s="855" t="s">
        <v>643</v>
      </c>
      <c r="B114" s="856" t="s">
        <v>1115</v>
      </c>
      <c r="C114" s="856" t="s">
        <v>339</v>
      </c>
      <c r="D114" s="857" t="s">
        <v>339</v>
      </c>
      <c r="E114" s="858">
        <v>25</v>
      </c>
      <c r="F114" s="859" t="s">
        <v>638</v>
      </c>
      <c r="G114" s="860">
        <v>-1925</v>
      </c>
      <c r="H114" s="857" t="s">
        <v>1127</v>
      </c>
      <c r="I114" s="861">
        <v>110.796875</v>
      </c>
      <c r="J114" s="295">
        <v>111.40625</v>
      </c>
      <c r="K114" s="296">
        <f t="shared" si="2"/>
        <v>15234.375</v>
      </c>
      <c r="L114"/>
    </row>
    <row r="115" spans="1:12">
      <c r="A115" s="855" t="s">
        <v>643</v>
      </c>
      <c r="B115" s="856" t="s">
        <v>1115</v>
      </c>
      <c r="C115" s="856" t="s">
        <v>339</v>
      </c>
      <c r="D115" s="857" t="s">
        <v>339</v>
      </c>
      <c r="E115" s="858">
        <v>1</v>
      </c>
      <c r="F115" s="859" t="s">
        <v>638</v>
      </c>
      <c r="G115" s="860">
        <v>-77</v>
      </c>
      <c r="H115" s="857" t="s">
        <v>1128</v>
      </c>
      <c r="I115" s="861">
        <v>110.796875</v>
      </c>
      <c r="J115" s="295">
        <v>111.40625</v>
      </c>
      <c r="K115" s="296">
        <f t="shared" si="2"/>
        <v>609.375</v>
      </c>
      <c r="L115"/>
    </row>
    <row r="116" spans="1:12">
      <c r="A116" s="855" t="s">
        <v>643</v>
      </c>
      <c r="B116" s="856" t="s">
        <v>1115</v>
      </c>
      <c r="C116" s="856" t="s">
        <v>339</v>
      </c>
      <c r="D116" s="857" t="s">
        <v>339</v>
      </c>
      <c r="E116" s="858">
        <v>4</v>
      </c>
      <c r="F116" s="859" t="s">
        <v>638</v>
      </c>
      <c r="G116" s="860">
        <v>-308</v>
      </c>
      <c r="H116" s="857" t="s">
        <v>1129</v>
      </c>
      <c r="I116" s="861">
        <v>110.796875</v>
      </c>
      <c r="J116" s="295">
        <v>111.40625</v>
      </c>
      <c r="K116" s="296">
        <f t="shared" si="2"/>
        <v>2437.5</v>
      </c>
      <c r="L116"/>
    </row>
    <row r="117" spans="1:12">
      <c r="A117" s="855" t="s">
        <v>643</v>
      </c>
      <c r="B117" s="856" t="s">
        <v>1115</v>
      </c>
      <c r="C117" s="856" t="s">
        <v>339</v>
      </c>
      <c r="D117" s="857" t="s">
        <v>339</v>
      </c>
      <c r="E117" s="858">
        <v>20</v>
      </c>
      <c r="F117" s="859" t="s">
        <v>638</v>
      </c>
      <c r="G117" s="860">
        <v>-1540</v>
      </c>
      <c r="H117" s="857" t="s">
        <v>1130</v>
      </c>
      <c r="I117" s="861">
        <v>111.0625</v>
      </c>
      <c r="J117" s="295">
        <v>111.40625</v>
      </c>
      <c r="K117" s="296">
        <f t="shared" si="2"/>
        <v>6875.0000000000009</v>
      </c>
      <c r="L117"/>
    </row>
    <row r="118" spans="1:12">
      <c r="A118" s="855" t="s">
        <v>643</v>
      </c>
      <c r="B118" s="856" t="s">
        <v>1140</v>
      </c>
      <c r="C118" s="856" t="s">
        <v>339</v>
      </c>
      <c r="D118" s="857" t="s">
        <v>339</v>
      </c>
      <c r="E118" s="858">
        <v>-5</v>
      </c>
      <c r="F118" s="859" t="s">
        <v>304</v>
      </c>
      <c r="G118" s="860">
        <v>0</v>
      </c>
      <c r="H118" s="857" t="s">
        <v>1144</v>
      </c>
      <c r="I118" s="861">
        <v>110.78125</v>
      </c>
      <c r="J118" s="295">
        <v>111.234375</v>
      </c>
      <c r="K118" s="296">
        <f t="shared" si="2"/>
        <v>-2265.625</v>
      </c>
      <c r="L118"/>
    </row>
    <row r="119" spans="1:12">
      <c r="A119" s="855" t="s">
        <v>643</v>
      </c>
      <c r="B119" s="856" t="s">
        <v>1140</v>
      </c>
      <c r="C119" s="856" t="s">
        <v>339</v>
      </c>
      <c r="D119" s="857" t="s">
        <v>339</v>
      </c>
      <c r="E119" s="858">
        <v>-45</v>
      </c>
      <c r="F119" s="859" t="s">
        <v>304</v>
      </c>
      <c r="G119" s="860">
        <v>0</v>
      </c>
      <c r="H119" s="857" t="s">
        <v>1145</v>
      </c>
      <c r="I119" s="861">
        <v>110.796875</v>
      </c>
      <c r="J119" s="295">
        <v>111.234375</v>
      </c>
      <c r="K119" s="296">
        <f t="shared" si="2"/>
        <v>-19687.5</v>
      </c>
      <c r="L119"/>
    </row>
    <row r="120" spans="1:12">
      <c r="A120" s="855" t="s">
        <v>643</v>
      </c>
      <c r="B120" s="856" t="s">
        <v>1140</v>
      </c>
      <c r="C120" s="856" t="s">
        <v>339</v>
      </c>
      <c r="D120" s="857" t="s">
        <v>339</v>
      </c>
      <c r="E120" s="858">
        <v>19</v>
      </c>
      <c r="F120" s="859" t="s">
        <v>638</v>
      </c>
      <c r="G120" s="860">
        <v>0</v>
      </c>
      <c r="H120" s="857" t="s">
        <v>1146</v>
      </c>
      <c r="I120" s="861">
        <v>110.921875</v>
      </c>
      <c r="J120" s="295">
        <v>111.40625</v>
      </c>
      <c r="K120" s="296">
        <f t="shared" si="2"/>
        <v>9203.125</v>
      </c>
      <c r="L120"/>
    </row>
    <row r="121" spans="1:12">
      <c r="A121" s="855" t="s">
        <v>643</v>
      </c>
      <c r="B121" s="856" t="s">
        <v>1140</v>
      </c>
      <c r="C121" s="856" t="s">
        <v>339</v>
      </c>
      <c r="D121" s="857" t="s">
        <v>339</v>
      </c>
      <c r="E121" s="858">
        <v>31</v>
      </c>
      <c r="F121" s="859" t="s">
        <v>638</v>
      </c>
      <c r="G121" s="860">
        <v>0</v>
      </c>
      <c r="H121" s="857" t="s">
        <v>1147</v>
      </c>
      <c r="I121" s="861">
        <v>110.921875</v>
      </c>
      <c r="J121" s="295">
        <v>111.40625</v>
      </c>
      <c r="K121" s="296">
        <f t="shared" si="2"/>
        <v>15015.625</v>
      </c>
      <c r="L121"/>
    </row>
    <row r="122" spans="1:12">
      <c r="A122" s="855" t="s">
        <v>643</v>
      </c>
      <c r="B122" s="856" t="s">
        <v>1148</v>
      </c>
      <c r="C122" s="856" t="s">
        <v>339</v>
      </c>
      <c r="D122" s="857" t="s">
        <v>339</v>
      </c>
      <c r="E122" s="858">
        <v>30</v>
      </c>
      <c r="F122" s="859" t="s">
        <v>638</v>
      </c>
      <c r="G122" s="860">
        <v>0</v>
      </c>
      <c r="H122" s="857" t="s">
        <v>1149</v>
      </c>
      <c r="I122" s="861">
        <v>110.78125</v>
      </c>
      <c r="J122" s="295">
        <v>110.875</v>
      </c>
      <c r="K122" s="296">
        <f t="shared" si="2"/>
        <v>2812.5</v>
      </c>
      <c r="L122"/>
    </row>
    <row r="123" spans="1:12">
      <c r="A123" s="855" t="s">
        <v>643</v>
      </c>
      <c r="B123" s="856" t="s">
        <v>1148</v>
      </c>
      <c r="C123" s="856" t="s">
        <v>339</v>
      </c>
      <c r="D123" s="857" t="s">
        <v>339</v>
      </c>
      <c r="E123" s="858">
        <v>7</v>
      </c>
      <c r="F123" s="859" t="s">
        <v>638</v>
      </c>
      <c r="G123" s="860">
        <v>0</v>
      </c>
      <c r="H123" s="857" t="s">
        <v>1149</v>
      </c>
      <c r="I123" s="861">
        <v>110.78125</v>
      </c>
      <c r="J123" s="295">
        <v>110.875</v>
      </c>
      <c r="K123" s="296">
        <f t="shared" si="2"/>
        <v>656.25</v>
      </c>
      <c r="L123"/>
    </row>
    <row r="124" spans="1:12">
      <c r="A124" s="855" t="s">
        <v>643</v>
      </c>
      <c r="B124" s="856" t="s">
        <v>1148</v>
      </c>
      <c r="C124" s="856" t="s">
        <v>339</v>
      </c>
      <c r="D124" s="857" t="s">
        <v>339</v>
      </c>
      <c r="E124" s="858">
        <v>13</v>
      </c>
      <c r="F124" s="859" t="s">
        <v>638</v>
      </c>
      <c r="G124" s="860">
        <v>0</v>
      </c>
      <c r="H124" s="857" t="s">
        <v>1150</v>
      </c>
      <c r="I124" s="861">
        <v>110.78125</v>
      </c>
      <c r="J124" s="295">
        <v>110.875</v>
      </c>
      <c r="K124" s="296">
        <f t="shared" si="2"/>
        <v>1218.75</v>
      </c>
      <c r="L124"/>
    </row>
    <row r="125" spans="1:12">
      <c r="A125" s="855" t="s">
        <v>643</v>
      </c>
      <c r="B125" s="856" t="s">
        <v>1148</v>
      </c>
      <c r="C125" s="856" t="s">
        <v>339</v>
      </c>
      <c r="D125" s="857" t="s">
        <v>339</v>
      </c>
      <c r="E125" s="858">
        <v>-10</v>
      </c>
      <c r="F125" s="859" t="s">
        <v>638</v>
      </c>
      <c r="G125" s="860">
        <v>770</v>
      </c>
      <c r="H125" s="857" t="s">
        <v>1151</v>
      </c>
      <c r="I125" s="861">
        <v>110.859375</v>
      </c>
      <c r="J125" s="295">
        <v>112.328125</v>
      </c>
      <c r="K125" s="296">
        <f t="shared" si="2"/>
        <v>-14687.5</v>
      </c>
      <c r="L125"/>
    </row>
    <row r="126" spans="1:12">
      <c r="A126" s="855" t="s">
        <v>643</v>
      </c>
      <c r="B126" s="856" t="s">
        <v>1148</v>
      </c>
      <c r="C126" s="856" t="s">
        <v>339</v>
      </c>
      <c r="D126" s="857" t="s">
        <v>339</v>
      </c>
      <c r="E126" s="858">
        <v>-30</v>
      </c>
      <c r="F126" s="859" t="s">
        <v>638</v>
      </c>
      <c r="G126" s="860">
        <v>2310</v>
      </c>
      <c r="H126" s="857" t="s">
        <v>1159</v>
      </c>
      <c r="I126" s="861">
        <v>110.9375</v>
      </c>
      <c r="J126" s="295">
        <v>112.125</v>
      </c>
      <c r="K126" s="296">
        <f t="shared" si="2"/>
        <v>-35625</v>
      </c>
      <c r="L126"/>
    </row>
    <row r="127" spans="1:12">
      <c r="A127" s="855" t="s">
        <v>643</v>
      </c>
      <c r="B127" s="856" t="s">
        <v>1174</v>
      </c>
      <c r="C127" s="856" t="s">
        <v>339</v>
      </c>
      <c r="D127" s="857" t="s">
        <v>339</v>
      </c>
      <c r="E127" s="858">
        <v>20</v>
      </c>
      <c r="F127" s="859" t="s">
        <v>304</v>
      </c>
      <c r="G127" s="860">
        <v>0</v>
      </c>
      <c r="H127" s="857" t="s">
        <v>1186</v>
      </c>
      <c r="I127" s="861">
        <v>112.578125</v>
      </c>
      <c r="J127" s="295">
        <v>112.8125</v>
      </c>
      <c r="K127" s="296">
        <f t="shared" si="2"/>
        <v>4687.5</v>
      </c>
      <c r="L127"/>
    </row>
    <row r="128" spans="1:12">
      <c r="A128" s="855" t="s">
        <v>647</v>
      </c>
      <c r="B128" s="856" t="s">
        <v>1213</v>
      </c>
      <c r="C128" s="856" t="s">
        <v>339</v>
      </c>
      <c r="D128" s="857" t="s">
        <v>339</v>
      </c>
      <c r="E128" s="858">
        <v>50</v>
      </c>
      <c r="F128" s="859" t="s">
        <v>638</v>
      </c>
      <c r="G128" s="860">
        <v>0</v>
      </c>
      <c r="H128" s="857" t="s">
        <v>1214</v>
      </c>
      <c r="I128" s="861">
        <v>108.2578125</v>
      </c>
      <c r="J128" s="295">
        <v>108.4453125</v>
      </c>
      <c r="K128" s="296">
        <f t="shared" si="2"/>
        <v>9375</v>
      </c>
      <c r="L128"/>
    </row>
    <row r="129" spans="1:12">
      <c r="A129" s="855" t="s">
        <v>647</v>
      </c>
      <c r="B129" s="856" t="s">
        <v>1213</v>
      </c>
      <c r="C129" s="856" t="s">
        <v>339</v>
      </c>
      <c r="D129" s="857" t="s">
        <v>339</v>
      </c>
      <c r="E129" s="858">
        <v>4</v>
      </c>
      <c r="F129" s="859" t="s">
        <v>638</v>
      </c>
      <c r="G129" s="860">
        <v>0</v>
      </c>
      <c r="H129" s="857" t="s">
        <v>1215</v>
      </c>
      <c r="I129" s="861">
        <v>108.3046875</v>
      </c>
      <c r="J129" s="295">
        <v>108.3671875</v>
      </c>
      <c r="K129" s="296">
        <f t="shared" si="2"/>
        <v>250</v>
      </c>
      <c r="L129"/>
    </row>
    <row r="130" spans="1:12">
      <c r="A130" s="855" t="s">
        <v>647</v>
      </c>
      <c r="B130" s="856" t="s">
        <v>1213</v>
      </c>
      <c r="C130" s="856" t="s">
        <v>339</v>
      </c>
      <c r="D130" s="857" t="s">
        <v>339</v>
      </c>
      <c r="E130" s="858">
        <v>26</v>
      </c>
      <c r="F130" s="859" t="s">
        <v>638</v>
      </c>
      <c r="G130" s="860">
        <v>0</v>
      </c>
      <c r="H130" s="857" t="s">
        <v>1216</v>
      </c>
      <c r="I130" s="861">
        <v>108.3125</v>
      </c>
      <c r="J130" s="295">
        <v>108.3671875</v>
      </c>
      <c r="K130" s="296">
        <f t="shared" si="2"/>
        <v>1421.875</v>
      </c>
      <c r="L130"/>
    </row>
    <row r="131" spans="1:12">
      <c r="A131" s="855" t="s">
        <v>647</v>
      </c>
      <c r="B131" s="856" t="s">
        <v>1213</v>
      </c>
      <c r="C131" s="856" t="s">
        <v>339</v>
      </c>
      <c r="D131" s="857" t="s">
        <v>339</v>
      </c>
      <c r="E131" s="858">
        <v>50</v>
      </c>
      <c r="F131" s="859" t="s">
        <v>638</v>
      </c>
      <c r="G131" s="860">
        <v>0</v>
      </c>
      <c r="H131" s="857" t="s">
        <v>1217</v>
      </c>
      <c r="I131" s="861">
        <v>108.3203125</v>
      </c>
      <c r="J131" s="295">
        <v>108.359375</v>
      </c>
      <c r="K131" s="296">
        <f t="shared" si="2"/>
        <v>1953.125</v>
      </c>
      <c r="L131"/>
    </row>
    <row r="132" spans="1:12">
      <c r="A132" s="855" t="s">
        <v>647</v>
      </c>
      <c r="B132" s="856" t="s">
        <v>1213</v>
      </c>
      <c r="C132" s="856" t="s">
        <v>339</v>
      </c>
      <c r="D132" s="857" t="s">
        <v>339</v>
      </c>
      <c r="E132" s="858">
        <v>30</v>
      </c>
      <c r="F132" s="859" t="s">
        <v>638</v>
      </c>
      <c r="G132" s="860">
        <v>0</v>
      </c>
      <c r="H132" s="857" t="s">
        <v>1218</v>
      </c>
      <c r="I132" s="861">
        <v>108.3671875</v>
      </c>
      <c r="J132" s="295">
        <v>108.359375</v>
      </c>
      <c r="K132" s="296">
        <f t="shared" si="2"/>
        <v>-234.375</v>
      </c>
      <c r="L132"/>
    </row>
    <row r="133" spans="1:12">
      <c r="A133" s="855" t="s">
        <v>647</v>
      </c>
      <c r="B133" s="856" t="s">
        <v>1213</v>
      </c>
      <c r="C133" s="856" t="s">
        <v>339</v>
      </c>
      <c r="D133" s="857" t="s">
        <v>339</v>
      </c>
      <c r="E133" s="858">
        <v>20</v>
      </c>
      <c r="F133" s="859" t="s">
        <v>638</v>
      </c>
      <c r="G133" s="860">
        <v>0</v>
      </c>
      <c r="H133" s="857" t="s">
        <v>1216</v>
      </c>
      <c r="I133" s="861">
        <v>108.3125</v>
      </c>
      <c r="J133" s="295">
        <v>108.4453125</v>
      </c>
      <c r="K133" s="296">
        <f t="shared" si="2"/>
        <v>2656.25</v>
      </c>
      <c r="L133"/>
    </row>
    <row r="134" spans="1:12">
      <c r="A134" s="855" t="s">
        <v>643</v>
      </c>
      <c r="B134" s="856" t="s">
        <v>1213</v>
      </c>
      <c r="C134" s="856" t="s">
        <v>339</v>
      </c>
      <c r="D134" s="857" t="s">
        <v>339</v>
      </c>
      <c r="E134" s="858">
        <v>-10</v>
      </c>
      <c r="F134" s="859" t="s">
        <v>304</v>
      </c>
      <c r="G134" s="860">
        <v>0</v>
      </c>
      <c r="H134" s="857" t="s">
        <v>1220</v>
      </c>
      <c r="I134" s="861">
        <v>113.328125</v>
      </c>
      <c r="J134" s="295">
        <v>113.625</v>
      </c>
      <c r="K134" s="296">
        <f t="shared" si="2"/>
        <v>-2968.75</v>
      </c>
      <c r="L134"/>
    </row>
    <row r="135" spans="1:12">
      <c r="A135" s="855" t="s">
        <v>643</v>
      </c>
      <c r="B135" s="856" t="s">
        <v>1213</v>
      </c>
      <c r="C135" s="856" t="s">
        <v>339</v>
      </c>
      <c r="D135" s="857" t="s">
        <v>339</v>
      </c>
      <c r="E135" s="858">
        <v>-10</v>
      </c>
      <c r="F135" s="859" t="s">
        <v>304</v>
      </c>
      <c r="G135" s="860">
        <v>0</v>
      </c>
      <c r="H135" s="857" t="s">
        <v>1221</v>
      </c>
      <c r="I135" s="861">
        <v>113.28125</v>
      </c>
      <c r="J135" s="295">
        <v>113.625</v>
      </c>
      <c r="K135" s="296">
        <f t="shared" si="2"/>
        <v>-3437.5000000000005</v>
      </c>
      <c r="L135"/>
    </row>
    <row r="136" spans="1:12">
      <c r="A136" s="855" t="s">
        <v>643</v>
      </c>
      <c r="B136" s="856" t="s">
        <v>1213</v>
      </c>
      <c r="C136" s="856" t="s">
        <v>339</v>
      </c>
      <c r="D136" s="857" t="s">
        <v>339</v>
      </c>
      <c r="E136" s="858">
        <v>-20</v>
      </c>
      <c r="F136" s="859" t="s">
        <v>638</v>
      </c>
      <c r="G136" s="860">
        <v>0</v>
      </c>
      <c r="H136" s="857" t="s">
        <v>1222</v>
      </c>
      <c r="I136" s="861">
        <v>112.84375</v>
      </c>
      <c r="J136" s="295">
        <v>113.578125</v>
      </c>
      <c r="K136" s="296">
        <f t="shared" si="2"/>
        <v>-14687.5</v>
      </c>
      <c r="L136"/>
    </row>
    <row r="137" spans="1:12">
      <c r="A137" s="855" t="s">
        <v>643</v>
      </c>
      <c r="B137" s="856" t="s">
        <v>1213</v>
      </c>
      <c r="C137" s="856" t="s">
        <v>339</v>
      </c>
      <c r="D137" s="857" t="s">
        <v>339</v>
      </c>
      <c r="E137" s="858">
        <v>-20</v>
      </c>
      <c r="F137" s="859" t="s">
        <v>638</v>
      </c>
      <c r="G137" s="860">
        <v>0</v>
      </c>
      <c r="H137" s="857" t="s">
        <v>1223</v>
      </c>
      <c r="I137" s="861">
        <v>112.84375</v>
      </c>
      <c r="J137" s="295">
        <v>112.328125</v>
      </c>
      <c r="K137" s="296">
        <f t="shared" ref="K137:K200" si="3">IF(LEFT(A137,2)="TU",(J137-I137)*E137/100*100000*2,(J137-I137)*E137/100*100000)</f>
        <v>10312.5</v>
      </c>
      <c r="L137"/>
    </row>
    <row r="138" spans="1:12">
      <c r="A138" s="855" t="s">
        <v>643</v>
      </c>
      <c r="B138" s="856" t="s">
        <v>1213</v>
      </c>
      <c r="C138" s="856" t="s">
        <v>339</v>
      </c>
      <c r="D138" s="857" t="s">
        <v>339</v>
      </c>
      <c r="E138" s="858">
        <v>-10</v>
      </c>
      <c r="F138" s="859" t="s">
        <v>304</v>
      </c>
      <c r="G138" s="860">
        <v>0</v>
      </c>
      <c r="H138" s="857" t="s">
        <v>1224</v>
      </c>
      <c r="I138" s="861">
        <v>112.796875</v>
      </c>
      <c r="J138" s="295">
        <v>113.671875</v>
      </c>
      <c r="K138" s="296">
        <f t="shared" si="3"/>
        <v>-8750</v>
      </c>
      <c r="L138"/>
    </row>
    <row r="139" spans="1:12">
      <c r="A139" s="855" t="s">
        <v>647</v>
      </c>
      <c r="B139" s="856" t="s">
        <v>1213</v>
      </c>
      <c r="C139" s="856" t="s">
        <v>339</v>
      </c>
      <c r="D139" s="857" t="s">
        <v>339</v>
      </c>
      <c r="E139" s="858">
        <v>-30</v>
      </c>
      <c r="F139" s="859" t="s">
        <v>304</v>
      </c>
      <c r="G139" s="860">
        <v>0</v>
      </c>
      <c r="H139" s="857" t="s">
        <v>1231</v>
      </c>
      <c r="I139" s="861">
        <v>108.8203125</v>
      </c>
      <c r="J139" s="295">
        <v>108.765625</v>
      </c>
      <c r="K139" s="296">
        <f t="shared" si="3"/>
        <v>1640.625</v>
      </c>
      <c r="L139"/>
    </row>
    <row r="140" spans="1:12">
      <c r="A140" s="855" t="s">
        <v>647</v>
      </c>
      <c r="B140" s="856" t="s">
        <v>1213</v>
      </c>
      <c r="C140" s="856" t="s">
        <v>339</v>
      </c>
      <c r="D140" s="857" t="s">
        <v>339</v>
      </c>
      <c r="E140" s="858">
        <v>-20</v>
      </c>
      <c r="F140" s="859" t="s">
        <v>304</v>
      </c>
      <c r="G140" s="860">
        <v>0</v>
      </c>
      <c r="H140" s="857" t="s">
        <v>1232</v>
      </c>
      <c r="I140" s="861">
        <v>109.5625</v>
      </c>
      <c r="J140" s="295">
        <v>108.765625</v>
      </c>
      <c r="K140" s="296">
        <f t="shared" si="3"/>
        <v>15937.499999999998</v>
      </c>
      <c r="L140"/>
    </row>
    <row r="141" spans="1:12">
      <c r="A141" s="855" t="s">
        <v>647</v>
      </c>
      <c r="B141" s="856" t="s">
        <v>1213</v>
      </c>
      <c r="C141" s="856" t="s">
        <v>339</v>
      </c>
      <c r="D141" s="857" t="s">
        <v>339</v>
      </c>
      <c r="E141" s="858">
        <v>-20</v>
      </c>
      <c r="F141" s="859" t="s">
        <v>304</v>
      </c>
      <c r="G141" s="860">
        <v>0</v>
      </c>
      <c r="H141" s="857" t="s">
        <v>1233</v>
      </c>
      <c r="I141" s="861">
        <v>109.3125</v>
      </c>
      <c r="J141" s="295">
        <v>108.953125</v>
      </c>
      <c r="K141" s="296">
        <f t="shared" si="3"/>
        <v>7187.4999999999991</v>
      </c>
      <c r="L141"/>
    </row>
    <row r="142" spans="1:12">
      <c r="A142" s="855" t="s">
        <v>647</v>
      </c>
      <c r="B142" s="856" t="s">
        <v>1213</v>
      </c>
      <c r="C142" s="856" t="s">
        <v>339</v>
      </c>
      <c r="D142" s="857" t="s">
        <v>339</v>
      </c>
      <c r="E142" s="858">
        <v>-30</v>
      </c>
      <c r="F142" s="859" t="s">
        <v>304</v>
      </c>
      <c r="G142" s="860">
        <v>0</v>
      </c>
      <c r="H142" s="857" t="s">
        <v>1234</v>
      </c>
      <c r="I142" s="861">
        <v>109.15625</v>
      </c>
      <c r="J142" s="295">
        <v>108.953125</v>
      </c>
      <c r="K142" s="296">
        <f t="shared" si="3"/>
        <v>6093.75</v>
      </c>
      <c r="L142"/>
    </row>
    <row r="143" spans="1:12">
      <c r="A143" s="855" t="s">
        <v>647</v>
      </c>
      <c r="B143" s="856" t="s">
        <v>1213</v>
      </c>
      <c r="C143" s="856" t="s">
        <v>339</v>
      </c>
      <c r="D143" s="857" t="s">
        <v>339</v>
      </c>
      <c r="E143" s="858">
        <v>-30</v>
      </c>
      <c r="F143" s="859" t="s">
        <v>304</v>
      </c>
      <c r="G143" s="860">
        <v>0</v>
      </c>
      <c r="H143" s="857" t="s">
        <v>1235</v>
      </c>
      <c r="I143" s="861">
        <v>109.3515625</v>
      </c>
      <c r="J143" s="295">
        <v>109.2421875</v>
      </c>
      <c r="K143" s="296">
        <f t="shared" si="3"/>
        <v>3281.25</v>
      </c>
      <c r="L143"/>
    </row>
    <row r="144" spans="1:12">
      <c r="A144" s="855" t="s">
        <v>647</v>
      </c>
      <c r="B144" s="856" t="s">
        <v>1213</v>
      </c>
      <c r="C144" s="856" t="s">
        <v>339</v>
      </c>
      <c r="D144" s="857" t="s">
        <v>339</v>
      </c>
      <c r="E144" s="858">
        <v>-30</v>
      </c>
      <c r="F144" s="859" t="s">
        <v>638</v>
      </c>
      <c r="G144" s="860">
        <v>0</v>
      </c>
      <c r="H144" s="857" t="s">
        <v>1236</v>
      </c>
      <c r="I144" s="861">
        <v>109.8203125</v>
      </c>
      <c r="J144" s="295">
        <v>109.4609375</v>
      </c>
      <c r="K144" s="296">
        <f t="shared" si="3"/>
        <v>10781.25</v>
      </c>
      <c r="L144"/>
    </row>
    <row r="145" spans="1:12">
      <c r="A145" s="855" t="s">
        <v>647</v>
      </c>
      <c r="B145" s="856" t="s">
        <v>1213</v>
      </c>
      <c r="C145" s="856" t="s">
        <v>339</v>
      </c>
      <c r="D145" s="857" t="s">
        <v>339</v>
      </c>
      <c r="E145" s="858">
        <v>-71</v>
      </c>
      <c r="F145" s="859" t="s">
        <v>638</v>
      </c>
      <c r="G145" s="860">
        <v>0</v>
      </c>
      <c r="H145" s="857" t="s">
        <v>1237</v>
      </c>
      <c r="I145" s="861">
        <v>109.5234375</v>
      </c>
      <c r="J145" s="295">
        <v>109.828125</v>
      </c>
      <c r="K145" s="296">
        <f t="shared" si="3"/>
        <v>-21632.8125</v>
      </c>
      <c r="L145"/>
    </row>
    <row r="146" spans="1:12">
      <c r="A146" s="855" t="s">
        <v>647</v>
      </c>
      <c r="B146" s="856" t="s">
        <v>1213</v>
      </c>
      <c r="C146" s="856" t="s">
        <v>339</v>
      </c>
      <c r="D146" s="857" t="s">
        <v>339</v>
      </c>
      <c r="E146" s="858">
        <v>-9</v>
      </c>
      <c r="F146" s="859" t="s">
        <v>638</v>
      </c>
      <c r="G146" s="860">
        <v>0</v>
      </c>
      <c r="H146" s="857" t="s">
        <v>1238</v>
      </c>
      <c r="I146" s="861">
        <v>109.515625</v>
      </c>
      <c r="J146" s="295">
        <v>109.828125</v>
      </c>
      <c r="K146" s="296">
        <f t="shared" si="3"/>
        <v>-2812.5</v>
      </c>
      <c r="L146"/>
    </row>
    <row r="147" spans="1:12">
      <c r="A147" s="855" t="s">
        <v>647</v>
      </c>
      <c r="B147" s="856" t="s">
        <v>1239</v>
      </c>
      <c r="C147" s="856" t="s">
        <v>339</v>
      </c>
      <c r="D147" s="857" t="s">
        <v>339</v>
      </c>
      <c r="E147" s="858">
        <v>3</v>
      </c>
      <c r="F147" s="859" t="s">
        <v>638</v>
      </c>
      <c r="G147" s="860">
        <v>0</v>
      </c>
      <c r="H147" s="857" t="s">
        <v>1240</v>
      </c>
      <c r="I147" s="861">
        <v>109.8828125</v>
      </c>
      <c r="J147" s="295">
        <v>109.5</v>
      </c>
      <c r="K147" s="296">
        <f t="shared" si="3"/>
        <v>-1148.4375</v>
      </c>
      <c r="L147"/>
    </row>
    <row r="148" spans="1:12">
      <c r="A148" s="855" t="s">
        <v>647</v>
      </c>
      <c r="B148" s="856" t="s">
        <v>1239</v>
      </c>
      <c r="C148" s="856" t="s">
        <v>339</v>
      </c>
      <c r="D148" s="857" t="s">
        <v>339</v>
      </c>
      <c r="E148" s="858">
        <v>27</v>
      </c>
      <c r="F148" s="859" t="s">
        <v>638</v>
      </c>
      <c r="G148" s="860">
        <v>0</v>
      </c>
      <c r="H148" s="857" t="s">
        <v>1241</v>
      </c>
      <c r="I148" s="861">
        <v>109.890625</v>
      </c>
      <c r="J148" s="295">
        <v>109.5</v>
      </c>
      <c r="K148" s="296">
        <f t="shared" si="3"/>
        <v>-10546.875</v>
      </c>
      <c r="L148"/>
    </row>
    <row r="149" spans="1:12">
      <c r="A149" s="855" t="s">
        <v>647</v>
      </c>
      <c r="B149" s="856" t="s">
        <v>1239</v>
      </c>
      <c r="C149" s="856" t="s">
        <v>339</v>
      </c>
      <c r="D149" s="857" t="s">
        <v>339</v>
      </c>
      <c r="E149" s="858">
        <v>-20</v>
      </c>
      <c r="F149" s="859" t="s">
        <v>638</v>
      </c>
      <c r="G149" s="860">
        <v>0</v>
      </c>
      <c r="H149" s="857" t="s">
        <v>1242</v>
      </c>
      <c r="I149" s="861">
        <v>109.2421875</v>
      </c>
      <c r="J149" s="295">
        <v>109.6328125</v>
      </c>
      <c r="K149" s="296">
        <f t="shared" si="3"/>
        <v>-7812.5</v>
      </c>
      <c r="L149"/>
    </row>
    <row r="150" spans="1:12">
      <c r="A150" s="855" t="s">
        <v>647</v>
      </c>
      <c r="B150" s="856" t="s">
        <v>1239</v>
      </c>
      <c r="C150" s="856" t="s">
        <v>339</v>
      </c>
      <c r="D150" s="857" t="s">
        <v>339</v>
      </c>
      <c r="E150" s="858">
        <v>-10</v>
      </c>
      <c r="F150" s="859" t="s">
        <v>638</v>
      </c>
      <c r="G150" s="860">
        <v>0</v>
      </c>
      <c r="H150" s="857" t="s">
        <v>1243</v>
      </c>
      <c r="I150" s="861">
        <v>109.0546875</v>
      </c>
      <c r="J150" s="295">
        <v>109.6328125</v>
      </c>
      <c r="K150" s="296">
        <f t="shared" si="3"/>
        <v>-5781.25</v>
      </c>
      <c r="L150"/>
    </row>
    <row r="151" spans="1:12">
      <c r="A151" s="855" t="s">
        <v>647</v>
      </c>
      <c r="B151" s="856" t="s">
        <v>1239</v>
      </c>
      <c r="C151" s="856" t="s">
        <v>339</v>
      </c>
      <c r="D151" s="857" t="s">
        <v>339</v>
      </c>
      <c r="E151" s="858">
        <v>-10</v>
      </c>
      <c r="F151" s="859" t="s">
        <v>638</v>
      </c>
      <c r="G151" s="860">
        <v>0</v>
      </c>
      <c r="H151" s="857" t="s">
        <v>1243</v>
      </c>
      <c r="I151" s="861">
        <v>109.0546875</v>
      </c>
      <c r="J151" s="295">
        <v>108.4765625</v>
      </c>
      <c r="K151" s="296">
        <f t="shared" si="3"/>
        <v>5781.25</v>
      </c>
      <c r="L151"/>
    </row>
    <row r="152" spans="1:12">
      <c r="A152" s="855" t="s">
        <v>643</v>
      </c>
      <c r="B152" s="856" t="s">
        <v>1148</v>
      </c>
      <c r="C152" s="856" t="s">
        <v>339</v>
      </c>
      <c r="D152" s="857" t="s">
        <v>339</v>
      </c>
      <c r="E152" s="858">
        <v>20</v>
      </c>
      <c r="F152" s="859" t="s">
        <v>304</v>
      </c>
      <c r="G152" s="860">
        <v>-2310</v>
      </c>
      <c r="H152" s="857" t="s">
        <v>1160</v>
      </c>
      <c r="I152" s="861">
        <v>111.234375</v>
      </c>
      <c r="J152" s="295">
        <v>114.46875</v>
      </c>
      <c r="K152" s="296">
        <f t="shared" si="3"/>
        <v>64687.5</v>
      </c>
      <c r="L152"/>
    </row>
    <row r="153" spans="1:12">
      <c r="A153" s="855" t="s">
        <v>643</v>
      </c>
      <c r="B153" s="856" t="s">
        <v>1174</v>
      </c>
      <c r="C153" s="856" t="s">
        <v>339</v>
      </c>
      <c r="D153" s="857" t="s">
        <v>339</v>
      </c>
      <c r="E153" s="858">
        <v>10</v>
      </c>
      <c r="F153" s="859" t="s">
        <v>304</v>
      </c>
      <c r="G153" s="860">
        <v>-770</v>
      </c>
      <c r="H153" s="857" t="s">
        <v>1186</v>
      </c>
      <c r="I153" s="861">
        <v>112.578125</v>
      </c>
      <c r="J153" s="295">
        <v>114.875</v>
      </c>
      <c r="K153" s="296">
        <f t="shared" si="3"/>
        <v>22968.75</v>
      </c>
      <c r="L153"/>
    </row>
    <row r="154" spans="1:12">
      <c r="A154" s="855" t="s">
        <v>643</v>
      </c>
      <c r="B154" s="856" t="s">
        <v>1174</v>
      </c>
      <c r="C154" s="856" t="s">
        <v>339</v>
      </c>
      <c r="D154" s="857" t="s">
        <v>339</v>
      </c>
      <c r="E154" s="858">
        <v>20</v>
      </c>
      <c r="F154" s="859" t="s">
        <v>304</v>
      </c>
      <c r="G154" s="860">
        <v>-2310</v>
      </c>
      <c r="H154" s="857" t="s">
        <v>1188</v>
      </c>
      <c r="I154" s="861">
        <v>113.0625</v>
      </c>
      <c r="J154" s="295">
        <v>114.5</v>
      </c>
      <c r="K154" s="296">
        <f t="shared" si="3"/>
        <v>28749.999999999996</v>
      </c>
      <c r="L154"/>
    </row>
    <row r="155" spans="1:12">
      <c r="A155" s="855" t="s">
        <v>643</v>
      </c>
      <c r="B155" s="856" t="s">
        <v>1148</v>
      </c>
      <c r="C155" s="856" t="s">
        <v>339</v>
      </c>
      <c r="D155" s="857" t="s">
        <v>339</v>
      </c>
      <c r="E155" s="858">
        <v>10</v>
      </c>
      <c r="F155" s="859" t="s">
        <v>304</v>
      </c>
      <c r="G155" s="860">
        <v>-2310</v>
      </c>
      <c r="H155" s="857" t="s">
        <v>1160</v>
      </c>
      <c r="I155" s="861">
        <v>111.234375</v>
      </c>
      <c r="J155" s="295">
        <v>114.3125</v>
      </c>
      <c r="K155" s="296">
        <f t="shared" si="3"/>
        <v>30781.25</v>
      </c>
      <c r="L155"/>
    </row>
    <row r="156" spans="1:12">
      <c r="A156" s="855" t="s">
        <v>643</v>
      </c>
      <c r="B156" s="856" t="s">
        <v>1174</v>
      </c>
      <c r="C156" s="856" t="s">
        <v>339</v>
      </c>
      <c r="D156" s="857" t="s">
        <v>339</v>
      </c>
      <c r="E156" s="858">
        <v>10</v>
      </c>
      <c r="F156" s="859" t="s">
        <v>304</v>
      </c>
      <c r="G156" s="860">
        <v>-2310</v>
      </c>
      <c r="H156" s="857" t="s">
        <v>1188</v>
      </c>
      <c r="I156" s="861">
        <v>113.0625</v>
      </c>
      <c r="J156" s="295">
        <v>114.3125</v>
      </c>
      <c r="K156" s="296">
        <f t="shared" si="3"/>
        <v>12500</v>
      </c>
      <c r="L156"/>
    </row>
    <row r="157" spans="1:12">
      <c r="A157" s="855" t="s">
        <v>643</v>
      </c>
      <c r="B157" s="856" t="s">
        <v>1239</v>
      </c>
      <c r="C157" s="856" t="s">
        <v>339</v>
      </c>
      <c r="D157" s="857" t="s">
        <v>339</v>
      </c>
      <c r="E157" s="858">
        <v>-30</v>
      </c>
      <c r="F157" s="859" t="s">
        <v>638</v>
      </c>
      <c r="G157" s="860">
        <v>0</v>
      </c>
      <c r="H157" s="857" t="s">
        <v>1244</v>
      </c>
      <c r="I157" s="861">
        <v>114.234375</v>
      </c>
      <c r="J157" s="295">
        <v>114.21875</v>
      </c>
      <c r="K157" s="296">
        <f t="shared" si="3"/>
        <v>468.75</v>
      </c>
      <c r="L157"/>
    </row>
    <row r="158" spans="1:12">
      <c r="A158" s="855" t="s">
        <v>643</v>
      </c>
      <c r="B158" s="856" t="s">
        <v>1239</v>
      </c>
      <c r="C158" s="856" t="s">
        <v>339</v>
      </c>
      <c r="D158" s="857" t="s">
        <v>339</v>
      </c>
      <c r="E158" s="858">
        <v>-10</v>
      </c>
      <c r="F158" s="859" t="s">
        <v>638</v>
      </c>
      <c r="G158" s="860">
        <v>0</v>
      </c>
      <c r="H158" s="857" t="s">
        <v>1245</v>
      </c>
      <c r="I158" s="861">
        <v>114.171875</v>
      </c>
      <c r="J158" s="295">
        <v>114.765625</v>
      </c>
      <c r="K158" s="296">
        <f t="shared" si="3"/>
        <v>-5937.5</v>
      </c>
      <c r="L158"/>
    </row>
    <row r="159" spans="1:12">
      <c r="A159" s="855" t="s">
        <v>647</v>
      </c>
      <c r="B159" s="856" t="s">
        <v>1213</v>
      </c>
      <c r="C159" s="856" t="s">
        <v>339</v>
      </c>
      <c r="D159" s="857" t="s">
        <v>339</v>
      </c>
      <c r="E159" s="858">
        <v>20</v>
      </c>
      <c r="F159" s="859" t="s">
        <v>638</v>
      </c>
      <c r="G159" s="860">
        <v>-854</v>
      </c>
      <c r="H159" s="857" t="s">
        <v>1219</v>
      </c>
      <c r="I159" s="861">
        <v>108.4765625</v>
      </c>
      <c r="J159" s="295">
        <v>108.828125</v>
      </c>
      <c r="K159" s="296">
        <f t="shared" si="3"/>
        <v>7031.25</v>
      </c>
      <c r="L159"/>
    </row>
    <row r="160" spans="1:12">
      <c r="A160" s="855" t="s">
        <v>647</v>
      </c>
      <c r="B160" s="856" t="s">
        <v>1239</v>
      </c>
      <c r="C160" s="856" t="s">
        <v>339</v>
      </c>
      <c r="D160" s="857" t="s">
        <v>339</v>
      </c>
      <c r="E160" s="858">
        <v>20</v>
      </c>
      <c r="F160" s="859" t="s">
        <v>304</v>
      </c>
      <c r="G160" s="860">
        <v>0</v>
      </c>
      <c r="H160" s="857" t="s">
        <v>1257</v>
      </c>
      <c r="I160" s="861">
        <v>108.328125</v>
      </c>
      <c r="J160" s="295">
        <v>108.359375</v>
      </c>
      <c r="K160" s="296">
        <f t="shared" si="3"/>
        <v>625</v>
      </c>
      <c r="L160"/>
    </row>
    <row r="161" spans="1:12">
      <c r="A161" s="855" t="s">
        <v>647</v>
      </c>
      <c r="B161" s="856" t="s">
        <v>1239</v>
      </c>
      <c r="C161" s="856" t="s">
        <v>339</v>
      </c>
      <c r="D161" s="857" t="s">
        <v>339</v>
      </c>
      <c r="E161" s="858">
        <v>30</v>
      </c>
      <c r="F161" s="859" t="s">
        <v>304</v>
      </c>
      <c r="G161" s="860">
        <v>0</v>
      </c>
      <c r="H161" s="857" t="s">
        <v>1258</v>
      </c>
      <c r="I161" s="861">
        <v>108.34375</v>
      </c>
      <c r="J161" s="295">
        <v>108.359375</v>
      </c>
      <c r="K161" s="296">
        <f t="shared" si="3"/>
        <v>468.75</v>
      </c>
      <c r="L161"/>
    </row>
    <row r="162" spans="1:12">
      <c r="A162" s="855" t="s">
        <v>647</v>
      </c>
      <c r="B162" s="856" t="s">
        <v>1239</v>
      </c>
      <c r="C162" s="856" t="s">
        <v>339</v>
      </c>
      <c r="D162" s="857" t="s">
        <v>339</v>
      </c>
      <c r="E162" s="858">
        <v>50</v>
      </c>
      <c r="F162" s="859" t="s">
        <v>304</v>
      </c>
      <c r="G162" s="860">
        <v>0</v>
      </c>
      <c r="H162" s="857" t="s">
        <v>1259</v>
      </c>
      <c r="I162" s="861">
        <v>108.4921875</v>
      </c>
      <c r="J162" s="295">
        <v>108.5234375</v>
      </c>
      <c r="K162" s="296">
        <f t="shared" si="3"/>
        <v>1562.5</v>
      </c>
      <c r="L162"/>
    </row>
    <row r="163" spans="1:12">
      <c r="A163" s="855" t="s">
        <v>643</v>
      </c>
      <c r="B163" s="856" t="s">
        <v>1174</v>
      </c>
      <c r="C163" s="856" t="s">
        <v>339</v>
      </c>
      <c r="D163" s="857" t="s">
        <v>339</v>
      </c>
      <c r="E163" s="858">
        <v>10</v>
      </c>
      <c r="F163" s="859" t="s">
        <v>304</v>
      </c>
      <c r="G163" s="860">
        <v>-770</v>
      </c>
      <c r="H163" s="857" t="s">
        <v>1187</v>
      </c>
      <c r="I163" s="861">
        <v>112.78125</v>
      </c>
      <c r="J163" s="295">
        <v>114.03125</v>
      </c>
      <c r="K163" s="296">
        <f t="shared" si="3"/>
        <v>12500</v>
      </c>
      <c r="L163"/>
    </row>
    <row r="164" spans="1:12">
      <c r="A164" s="855" t="s">
        <v>643</v>
      </c>
      <c r="B164" s="856" t="s">
        <v>1213</v>
      </c>
      <c r="C164" s="856" t="s">
        <v>339</v>
      </c>
      <c r="D164" s="857" t="s">
        <v>339</v>
      </c>
      <c r="E164" s="858">
        <v>10</v>
      </c>
      <c r="F164" s="859" t="s">
        <v>304</v>
      </c>
      <c r="G164" s="860">
        <v>-2310</v>
      </c>
      <c r="H164" s="857" t="s">
        <v>1225</v>
      </c>
      <c r="I164" s="861">
        <v>113.671875</v>
      </c>
      <c r="J164" s="295">
        <v>114.03125</v>
      </c>
      <c r="K164" s="296">
        <f t="shared" si="3"/>
        <v>3593.7499999999995</v>
      </c>
      <c r="L164"/>
    </row>
    <row r="165" spans="1:12">
      <c r="A165" s="855" t="s">
        <v>647</v>
      </c>
      <c r="B165" s="856" t="s">
        <v>1263</v>
      </c>
      <c r="C165" s="856" t="s">
        <v>339</v>
      </c>
      <c r="D165" s="857" t="s">
        <v>339</v>
      </c>
      <c r="E165" s="858">
        <v>30</v>
      </c>
      <c r="F165" s="859" t="s">
        <v>638</v>
      </c>
      <c r="G165" s="860">
        <v>-1281</v>
      </c>
      <c r="H165" s="857" t="s">
        <v>1270</v>
      </c>
      <c r="I165" s="861">
        <v>108.5078125</v>
      </c>
      <c r="J165" s="295">
        <v>108.328125</v>
      </c>
      <c r="K165" s="296">
        <f t="shared" si="3"/>
        <v>-5390.625</v>
      </c>
      <c r="L165"/>
    </row>
    <row r="166" spans="1:12">
      <c r="A166" s="855" t="s">
        <v>647</v>
      </c>
      <c r="B166" s="856" t="s">
        <v>1263</v>
      </c>
      <c r="C166" s="856" t="s">
        <v>339</v>
      </c>
      <c r="D166" s="857" t="s">
        <v>339</v>
      </c>
      <c r="E166" s="858">
        <v>50</v>
      </c>
      <c r="F166" s="859" t="s">
        <v>304</v>
      </c>
      <c r="G166" s="860">
        <v>0</v>
      </c>
      <c r="H166" s="857" t="s">
        <v>1315</v>
      </c>
      <c r="I166" s="861">
        <v>108.484375</v>
      </c>
      <c r="J166" s="295">
        <v>108.921875</v>
      </c>
      <c r="K166" s="296">
        <f t="shared" si="3"/>
        <v>21875</v>
      </c>
      <c r="L166"/>
    </row>
    <row r="167" spans="1:12">
      <c r="A167" s="855" t="s">
        <v>647</v>
      </c>
      <c r="B167" s="856" t="s">
        <v>1263</v>
      </c>
      <c r="C167" s="856" t="s">
        <v>339</v>
      </c>
      <c r="D167" s="857" t="s">
        <v>339</v>
      </c>
      <c r="E167" s="858">
        <v>30</v>
      </c>
      <c r="F167" s="859" t="s">
        <v>304</v>
      </c>
      <c r="G167" s="860">
        <v>0</v>
      </c>
      <c r="H167" s="857" t="s">
        <v>1319</v>
      </c>
      <c r="I167" s="861">
        <v>110.0234375</v>
      </c>
      <c r="J167" s="295">
        <v>109.8828125</v>
      </c>
      <c r="K167" s="296">
        <f t="shared" si="3"/>
        <v>-4218.75</v>
      </c>
      <c r="L167"/>
    </row>
    <row r="168" spans="1:12">
      <c r="A168" s="855" t="s">
        <v>647</v>
      </c>
      <c r="B168" s="856" t="s">
        <v>1263</v>
      </c>
      <c r="C168" s="856" t="s">
        <v>339</v>
      </c>
      <c r="D168" s="857" t="s">
        <v>339</v>
      </c>
      <c r="E168" s="858">
        <v>-20</v>
      </c>
      <c r="F168" s="859" t="s">
        <v>304</v>
      </c>
      <c r="G168" s="860">
        <v>0</v>
      </c>
      <c r="H168" s="857" t="s">
        <v>1318</v>
      </c>
      <c r="I168" s="861">
        <v>109.6640625</v>
      </c>
      <c r="J168" s="295">
        <v>109.3984375</v>
      </c>
      <c r="K168" s="296">
        <f t="shared" si="3"/>
        <v>5312.5</v>
      </c>
      <c r="L168"/>
    </row>
    <row r="169" spans="1:12">
      <c r="A169" s="855" t="s">
        <v>647</v>
      </c>
      <c r="B169" s="856" t="s">
        <v>1263</v>
      </c>
      <c r="C169" s="856" t="s">
        <v>339</v>
      </c>
      <c r="D169" s="857" t="s">
        <v>339</v>
      </c>
      <c r="E169" s="858">
        <v>-30</v>
      </c>
      <c r="F169" s="859" t="s">
        <v>304</v>
      </c>
      <c r="G169" s="860">
        <v>1281</v>
      </c>
      <c r="H169" s="857" t="s">
        <v>1264</v>
      </c>
      <c r="I169" s="861">
        <v>108.453125</v>
      </c>
      <c r="J169" s="295">
        <v>109.9375</v>
      </c>
      <c r="K169" s="296">
        <f t="shared" si="3"/>
        <v>-44531.25</v>
      </c>
      <c r="L169"/>
    </row>
    <row r="170" spans="1:12">
      <c r="A170" s="855" t="s">
        <v>647</v>
      </c>
      <c r="B170" s="856" t="s">
        <v>1239</v>
      </c>
      <c r="C170" s="856" t="s">
        <v>339</v>
      </c>
      <c r="D170" s="857" t="s">
        <v>339</v>
      </c>
      <c r="E170" s="858">
        <v>-30</v>
      </c>
      <c r="F170" s="859" t="s">
        <v>304</v>
      </c>
      <c r="G170" s="860">
        <v>1281</v>
      </c>
      <c r="H170" s="857" t="s">
        <v>1260</v>
      </c>
      <c r="I170" s="861">
        <v>108.5546875</v>
      </c>
      <c r="J170" s="295">
        <v>110.015625</v>
      </c>
      <c r="K170" s="296">
        <f t="shared" si="3"/>
        <v>-43828.125</v>
      </c>
      <c r="L170"/>
    </row>
    <row r="171" spans="1:12">
      <c r="A171" s="855" t="s">
        <v>647</v>
      </c>
      <c r="B171" s="856" t="s">
        <v>1239</v>
      </c>
      <c r="C171" s="856" t="s">
        <v>339</v>
      </c>
      <c r="D171" s="857" t="s">
        <v>339</v>
      </c>
      <c r="E171" s="858">
        <v>-10</v>
      </c>
      <c r="F171" s="859" t="s">
        <v>304</v>
      </c>
      <c r="G171" s="860">
        <v>427</v>
      </c>
      <c r="H171" s="857" t="s">
        <v>1261</v>
      </c>
      <c r="I171" s="861">
        <v>108.3671875</v>
      </c>
      <c r="J171" s="295">
        <v>108.75</v>
      </c>
      <c r="K171" s="296">
        <f t="shared" si="3"/>
        <v>-3828.1250000000005</v>
      </c>
      <c r="L171"/>
    </row>
    <row r="172" spans="1:12">
      <c r="A172" s="855" t="s">
        <v>647</v>
      </c>
      <c r="B172" s="856" t="s">
        <v>1239</v>
      </c>
      <c r="C172" s="856" t="s">
        <v>339</v>
      </c>
      <c r="D172" s="857" t="s">
        <v>339</v>
      </c>
      <c r="E172" s="858">
        <v>-30</v>
      </c>
      <c r="F172" s="859" t="s">
        <v>304</v>
      </c>
      <c r="G172" s="860">
        <v>1281</v>
      </c>
      <c r="H172" s="857" t="s">
        <v>1262</v>
      </c>
      <c r="I172" s="861">
        <v>108.375</v>
      </c>
      <c r="J172" s="295">
        <v>108.671875</v>
      </c>
      <c r="K172" s="296">
        <f t="shared" si="3"/>
        <v>-8906.25</v>
      </c>
      <c r="L172"/>
    </row>
    <row r="173" spans="1:12">
      <c r="A173" s="855" t="s">
        <v>647</v>
      </c>
      <c r="B173" s="856" t="s">
        <v>1263</v>
      </c>
      <c r="C173" s="856" t="s">
        <v>339</v>
      </c>
      <c r="D173" s="857" t="s">
        <v>339</v>
      </c>
      <c r="E173" s="858">
        <v>-50</v>
      </c>
      <c r="F173" s="859" t="s">
        <v>304</v>
      </c>
      <c r="G173" s="860">
        <v>2135</v>
      </c>
      <c r="H173" s="857" t="s">
        <v>1265</v>
      </c>
      <c r="I173" s="861">
        <v>108.3125</v>
      </c>
      <c r="J173" s="295">
        <v>108.671875</v>
      </c>
      <c r="K173" s="296">
        <f t="shared" si="3"/>
        <v>-17968.75</v>
      </c>
      <c r="L173"/>
    </row>
    <row r="174" spans="1:12">
      <c r="A174" s="855" t="s">
        <v>647</v>
      </c>
      <c r="B174" s="856" t="s">
        <v>1263</v>
      </c>
      <c r="C174" s="856" t="s">
        <v>339</v>
      </c>
      <c r="D174" s="857" t="s">
        <v>339</v>
      </c>
      <c r="E174" s="858">
        <v>-33</v>
      </c>
      <c r="F174" s="859" t="s">
        <v>304</v>
      </c>
      <c r="G174" s="860">
        <v>2135</v>
      </c>
      <c r="H174" s="857" t="s">
        <v>1266</v>
      </c>
      <c r="I174" s="861">
        <v>108.296875</v>
      </c>
      <c r="J174" s="295">
        <v>108.5234375</v>
      </c>
      <c r="K174" s="296">
        <f t="shared" si="3"/>
        <v>-7476.5625</v>
      </c>
      <c r="L174"/>
    </row>
    <row r="175" spans="1:12">
      <c r="A175" s="855" t="s">
        <v>647</v>
      </c>
      <c r="B175" s="856" t="s">
        <v>1263</v>
      </c>
      <c r="C175" s="856" t="s">
        <v>339</v>
      </c>
      <c r="D175" s="857" t="s">
        <v>339</v>
      </c>
      <c r="E175" s="858">
        <v>-17</v>
      </c>
      <c r="F175" s="859" t="s">
        <v>304</v>
      </c>
      <c r="G175" s="860">
        <v>2135</v>
      </c>
      <c r="H175" s="857" t="s">
        <v>1266</v>
      </c>
      <c r="I175" s="861">
        <v>108.296875</v>
      </c>
      <c r="J175" s="295">
        <v>108.53125</v>
      </c>
      <c r="K175" s="296">
        <f t="shared" si="3"/>
        <v>-3984.3749999999995</v>
      </c>
      <c r="L175"/>
    </row>
    <row r="176" spans="1:12">
      <c r="A176" s="855" t="s">
        <v>647</v>
      </c>
      <c r="B176" s="856" t="s">
        <v>1263</v>
      </c>
      <c r="C176" s="856" t="s">
        <v>339</v>
      </c>
      <c r="D176" s="857" t="s">
        <v>339</v>
      </c>
      <c r="E176" s="858">
        <v>28</v>
      </c>
      <c r="F176" s="859" t="s">
        <v>304</v>
      </c>
      <c r="G176" s="860">
        <v>-2926</v>
      </c>
      <c r="H176" s="857" t="s">
        <v>1320</v>
      </c>
      <c r="I176" s="861">
        <v>108.75</v>
      </c>
      <c r="J176" s="295">
        <v>109.546875</v>
      </c>
      <c r="K176" s="296">
        <f t="shared" si="3"/>
        <v>22312.5</v>
      </c>
      <c r="L176"/>
    </row>
    <row r="177" spans="1:12">
      <c r="A177" s="855" t="s">
        <v>647</v>
      </c>
      <c r="B177" s="856" t="s">
        <v>1263</v>
      </c>
      <c r="C177" s="856" t="s">
        <v>339</v>
      </c>
      <c r="D177" s="857" t="s">
        <v>339</v>
      </c>
      <c r="E177" s="858">
        <v>2</v>
      </c>
      <c r="F177" s="859" t="s">
        <v>304</v>
      </c>
      <c r="G177" s="860">
        <v>-154</v>
      </c>
      <c r="H177" s="857" t="s">
        <v>1321</v>
      </c>
      <c r="I177" s="861">
        <v>108.7578125</v>
      </c>
      <c r="J177" s="295">
        <v>109.546875</v>
      </c>
      <c r="K177" s="296">
        <f t="shared" si="3"/>
        <v>1578.125</v>
      </c>
      <c r="L177"/>
    </row>
    <row r="178" spans="1:12">
      <c r="A178" s="855" t="s">
        <v>643</v>
      </c>
      <c r="B178" s="856" t="s">
        <v>1263</v>
      </c>
      <c r="C178" s="856" t="s">
        <v>339</v>
      </c>
      <c r="D178" s="857" t="s">
        <v>339</v>
      </c>
      <c r="E178" s="858">
        <v>50</v>
      </c>
      <c r="F178" s="859" t="s">
        <v>304</v>
      </c>
      <c r="G178" s="860">
        <v>-2310</v>
      </c>
      <c r="H178" s="857" t="s">
        <v>1335</v>
      </c>
      <c r="I178" s="861">
        <v>115.828125</v>
      </c>
      <c r="J178" s="295">
        <v>115.03125</v>
      </c>
      <c r="K178" s="296">
        <f t="shared" si="3"/>
        <v>-39843.75</v>
      </c>
      <c r="L178"/>
    </row>
    <row r="179" spans="1:12">
      <c r="A179" s="855" t="s">
        <v>643</v>
      </c>
      <c r="B179" s="856" t="s">
        <v>1263</v>
      </c>
      <c r="C179" s="856" t="s">
        <v>339</v>
      </c>
      <c r="D179" s="857" t="s">
        <v>339</v>
      </c>
      <c r="E179" s="858">
        <v>30</v>
      </c>
      <c r="F179" s="859" t="s">
        <v>304</v>
      </c>
      <c r="G179" s="860">
        <v>-2310</v>
      </c>
      <c r="H179" s="857" t="s">
        <v>1324</v>
      </c>
      <c r="I179" s="861">
        <v>115.921875</v>
      </c>
      <c r="J179" s="295">
        <v>115.03125</v>
      </c>
      <c r="K179" s="296">
        <f t="shared" si="3"/>
        <v>-26718.750000000004</v>
      </c>
      <c r="L179"/>
    </row>
    <row r="180" spans="1:12">
      <c r="A180" s="855" t="s">
        <v>643</v>
      </c>
      <c r="B180" s="856" t="s">
        <v>1263</v>
      </c>
      <c r="C180" s="856" t="s">
        <v>339</v>
      </c>
      <c r="D180" s="857" t="s">
        <v>339</v>
      </c>
      <c r="E180" s="858">
        <v>27</v>
      </c>
      <c r="F180" s="859" t="s">
        <v>304</v>
      </c>
      <c r="G180" s="860">
        <v>-2310</v>
      </c>
      <c r="H180" s="857" t="s">
        <v>1336</v>
      </c>
      <c r="I180" s="861">
        <v>115.421875</v>
      </c>
      <c r="J180" s="295">
        <v>115.03125</v>
      </c>
      <c r="K180" s="296">
        <f t="shared" si="3"/>
        <v>-10546.875</v>
      </c>
      <c r="L180"/>
    </row>
    <row r="181" spans="1:12">
      <c r="A181" s="855" t="s">
        <v>643</v>
      </c>
      <c r="B181" s="856" t="s">
        <v>1263</v>
      </c>
      <c r="C181" s="856" t="s">
        <v>339</v>
      </c>
      <c r="D181" s="857" t="s">
        <v>339</v>
      </c>
      <c r="E181" s="858">
        <v>3</v>
      </c>
      <c r="F181" s="859" t="s">
        <v>304</v>
      </c>
      <c r="G181" s="860">
        <v>-2310</v>
      </c>
      <c r="H181" s="857" t="s">
        <v>1336</v>
      </c>
      <c r="I181" s="861">
        <v>115.421875</v>
      </c>
      <c r="J181" s="295">
        <v>115.015625</v>
      </c>
      <c r="K181" s="296">
        <f t="shared" si="3"/>
        <v>-1218.75</v>
      </c>
      <c r="L181"/>
    </row>
    <row r="182" spans="1:12">
      <c r="A182" s="855" t="s">
        <v>647</v>
      </c>
      <c r="B182" s="856" t="s">
        <v>1263</v>
      </c>
      <c r="C182" s="856" t="s">
        <v>339</v>
      </c>
      <c r="D182" s="857" t="s">
        <v>339</v>
      </c>
      <c r="E182" s="858">
        <v>30</v>
      </c>
      <c r="F182" s="859" t="s">
        <v>304</v>
      </c>
      <c r="G182" s="860">
        <v>-1622.6000000000001</v>
      </c>
      <c r="H182" s="857" t="s">
        <v>1322</v>
      </c>
      <c r="I182" s="861">
        <v>108.8125</v>
      </c>
      <c r="J182" s="295">
        <v>109.15625</v>
      </c>
      <c r="K182" s="296">
        <f t="shared" si="3"/>
        <v>10312.5</v>
      </c>
      <c r="L182"/>
    </row>
    <row r="183" spans="1:12">
      <c r="A183" s="855" t="s">
        <v>647</v>
      </c>
      <c r="B183" s="856" t="s">
        <v>1263</v>
      </c>
      <c r="C183" s="856" t="s">
        <v>339</v>
      </c>
      <c r="D183" s="857" t="s">
        <v>339</v>
      </c>
      <c r="E183" s="858">
        <v>10</v>
      </c>
      <c r="F183" s="859" t="s">
        <v>304</v>
      </c>
      <c r="G183" s="860">
        <v>-512.40000000000009</v>
      </c>
      <c r="H183" s="857" t="s">
        <v>1323</v>
      </c>
      <c r="I183" s="861">
        <v>108.8203125</v>
      </c>
      <c r="J183" s="295">
        <v>108.90625</v>
      </c>
      <c r="K183" s="296">
        <f t="shared" si="3"/>
        <v>859.37500000000011</v>
      </c>
      <c r="L183"/>
    </row>
    <row r="184" spans="1:12">
      <c r="A184" s="855" t="s">
        <v>647</v>
      </c>
      <c r="B184" s="856" t="s">
        <v>1263</v>
      </c>
      <c r="C184" s="856" t="s">
        <v>339</v>
      </c>
      <c r="D184" s="857" t="s">
        <v>339</v>
      </c>
      <c r="E184" s="858">
        <v>20</v>
      </c>
      <c r="F184" s="859" t="s">
        <v>304</v>
      </c>
      <c r="G184" s="860">
        <v>-1024.8000000000002</v>
      </c>
      <c r="H184" s="857" t="s">
        <v>1316</v>
      </c>
      <c r="I184" s="861">
        <v>110.28125</v>
      </c>
      <c r="J184" s="295">
        <v>108.90625</v>
      </c>
      <c r="K184" s="296">
        <f t="shared" si="3"/>
        <v>-27500.000000000004</v>
      </c>
      <c r="L184"/>
    </row>
    <row r="185" spans="1:12">
      <c r="A185" s="855" t="s">
        <v>647</v>
      </c>
      <c r="B185" s="856" t="s">
        <v>1263</v>
      </c>
      <c r="C185" s="856" t="s">
        <v>339</v>
      </c>
      <c r="D185" s="857" t="s">
        <v>339</v>
      </c>
      <c r="E185" s="858">
        <v>8</v>
      </c>
      <c r="F185" s="859" t="s">
        <v>304</v>
      </c>
      <c r="G185" s="860">
        <v>-1622.6000000000001</v>
      </c>
      <c r="H185" s="857" t="s">
        <v>1322</v>
      </c>
      <c r="I185" s="861">
        <v>108.8125</v>
      </c>
      <c r="J185" s="295">
        <v>109.203125</v>
      </c>
      <c r="K185" s="296">
        <f t="shared" si="3"/>
        <v>3125</v>
      </c>
      <c r="L185"/>
    </row>
    <row r="186" spans="1:12">
      <c r="A186" s="855" t="s">
        <v>647</v>
      </c>
      <c r="B186" s="856" t="s">
        <v>1263</v>
      </c>
      <c r="C186" s="856" t="s">
        <v>339</v>
      </c>
      <c r="D186" s="857" t="s">
        <v>339</v>
      </c>
      <c r="E186" s="858">
        <v>2</v>
      </c>
      <c r="F186" s="859" t="s">
        <v>304</v>
      </c>
      <c r="G186" s="860">
        <v>-512.40000000000009</v>
      </c>
      <c r="H186" s="857" t="s">
        <v>1323</v>
      </c>
      <c r="I186" s="861">
        <v>108.8203125</v>
      </c>
      <c r="J186" s="295">
        <v>109.203125</v>
      </c>
      <c r="K186" s="296">
        <f t="shared" si="3"/>
        <v>765.625</v>
      </c>
      <c r="L186"/>
    </row>
    <row r="187" spans="1:12">
      <c r="A187" s="855" t="s">
        <v>643</v>
      </c>
      <c r="B187" s="856" t="s">
        <v>1337</v>
      </c>
      <c r="C187" s="856" t="s">
        <v>339</v>
      </c>
      <c r="D187" s="857" t="s">
        <v>339</v>
      </c>
      <c r="E187" s="858">
        <v>-30</v>
      </c>
      <c r="F187" s="859" t="s">
        <v>304</v>
      </c>
      <c r="G187" s="860">
        <v>2310</v>
      </c>
      <c r="H187" s="857" t="s">
        <v>1338</v>
      </c>
      <c r="I187" s="861">
        <v>114.90625</v>
      </c>
      <c r="J187" s="295">
        <v>115.46875</v>
      </c>
      <c r="K187" s="296">
        <f t="shared" si="3"/>
        <v>-16875</v>
      </c>
      <c r="L187"/>
    </row>
    <row r="188" spans="1:12">
      <c r="A188" s="855" t="s">
        <v>643</v>
      </c>
      <c r="B188" s="856" t="s">
        <v>1352</v>
      </c>
      <c r="C188" s="856" t="s">
        <v>339</v>
      </c>
      <c r="D188" s="857" t="s">
        <v>339</v>
      </c>
      <c r="E188" s="858">
        <v>-30</v>
      </c>
      <c r="F188" s="859" t="s">
        <v>638</v>
      </c>
      <c r="G188" s="860">
        <v>0</v>
      </c>
      <c r="H188" s="857" t="s">
        <v>1353</v>
      </c>
      <c r="I188" s="861">
        <v>116.359375</v>
      </c>
      <c r="J188" s="295">
        <v>116.59375</v>
      </c>
      <c r="K188" s="296">
        <f t="shared" si="3"/>
        <v>-7031.25</v>
      </c>
      <c r="L188"/>
    </row>
    <row r="189" spans="1:12">
      <c r="A189" s="855" t="s">
        <v>643</v>
      </c>
      <c r="B189" s="856" t="s">
        <v>1352</v>
      </c>
      <c r="C189" s="856" t="s">
        <v>339</v>
      </c>
      <c r="D189" s="857" t="s">
        <v>339</v>
      </c>
      <c r="E189" s="858">
        <v>-23</v>
      </c>
      <c r="F189" s="859" t="s">
        <v>304</v>
      </c>
      <c r="G189" s="860">
        <v>0</v>
      </c>
      <c r="H189" s="857" t="s">
        <v>1370</v>
      </c>
      <c r="I189" s="861">
        <v>115.203125</v>
      </c>
      <c r="J189" s="295">
        <v>115.546875</v>
      </c>
      <c r="K189" s="296">
        <f t="shared" si="3"/>
        <v>-7906.2499999999991</v>
      </c>
      <c r="L189"/>
    </row>
    <row r="190" spans="1:12">
      <c r="A190" s="855" t="s">
        <v>643</v>
      </c>
      <c r="B190" s="856" t="s">
        <v>1352</v>
      </c>
      <c r="C190" s="856" t="s">
        <v>339</v>
      </c>
      <c r="D190" s="857" t="s">
        <v>339</v>
      </c>
      <c r="E190" s="858">
        <v>-7</v>
      </c>
      <c r="F190" s="859" t="s">
        <v>304</v>
      </c>
      <c r="G190" s="860">
        <v>0</v>
      </c>
      <c r="H190" s="857" t="s">
        <v>1371</v>
      </c>
      <c r="I190" s="861">
        <v>115.21875</v>
      </c>
      <c r="J190" s="295">
        <v>115.546875</v>
      </c>
      <c r="K190" s="296">
        <f t="shared" si="3"/>
        <v>-2296.875</v>
      </c>
      <c r="L190"/>
    </row>
    <row r="191" spans="1:12">
      <c r="A191" s="855" t="s">
        <v>643</v>
      </c>
      <c r="B191" s="856" t="s">
        <v>1352</v>
      </c>
      <c r="C191" s="856" t="s">
        <v>339</v>
      </c>
      <c r="D191" s="857" t="s">
        <v>339</v>
      </c>
      <c r="E191" s="858">
        <v>-30</v>
      </c>
      <c r="F191" s="859" t="s">
        <v>638</v>
      </c>
      <c r="G191" s="860">
        <v>0</v>
      </c>
      <c r="H191" s="857" t="s">
        <v>1373</v>
      </c>
      <c r="I191" s="861">
        <v>116.5</v>
      </c>
      <c r="J191" s="295">
        <v>116.125</v>
      </c>
      <c r="K191" s="296">
        <f t="shared" si="3"/>
        <v>11250</v>
      </c>
      <c r="L191"/>
    </row>
    <row r="192" spans="1:12">
      <c r="A192" s="855" t="s">
        <v>643</v>
      </c>
      <c r="B192" s="856" t="s">
        <v>1374</v>
      </c>
      <c r="C192" s="856" t="s">
        <v>339</v>
      </c>
      <c r="D192" s="857" t="s">
        <v>339</v>
      </c>
      <c r="E192" s="858">
        <v>-20</v>
      </c>
      <c r="F192" s="859" t="s">
        <v>638</v>
      </c>
      <c r="G192" s="860">
        <v>0</v>
      </c>
      <c r="H192" s="857" t="s">
        <v>1375</v>
      </c>
      <c r="I192" s="861">
        <v>114.953125</v>
      </c>
      <c r="J192" s="295">
        <v>116.125</v>
      </c>
      <c r="K192" s="296">
        <f t="shared" si="3"/>
        <v>-23437.5</v>
      </c>
      <c r="L192"/>
    </row>
    <row r="193" spans="1:12">
      <c r="A193" s="855" t="s">
        <v>643</v>
      </c>
      <c r="B193" s="856" t="s">
        <v>1374</v>
      </c>
      <c r="C193" s="856" t="s">
        <v>339</v>
      </c>
      <c r="D193" s="857" t="s">
        <v>339</v>
      </c>
      <c r="E193" s="858">
        <v>-20</v>
      </c>
      <c r="F193" s="859" t="s">
        <v>638</v>
      </c>
      <c r="G193" s="860">
        <v>0</v>
      </c>
      <c r="H193" s="857" t="s">
        <v>1376</v>
      </c>
      <c r="I193" s="861">
        <v>114.84375</v>
      </c>
      <c r="J193" s="295">
        <v>116.5625</v>
      </c>
      <c r="K193" s="296">
        <f t="shared" si="3"/>
        <v>-34375</v>
      </c>
      <c r="L193"/>
    </row>
    <row r="194" spans="1:12">
      <c r="A194" s="855" t="s">
        <v>643</v>
      </c>
      <c r="B194" s="856" t="s">
        <v>1374</v>
      </c>
      <c r="C194" s="856" t="s">
        <v>339</v>
      </c>
      <c r="D194" s="857" t="s">
        <v>339</v>
      </c>
      <c r="E194" s="858">
        <v>-10</v>
      </c>
      <c r="F194" s="859" t="s">
        <v>304</v>
      </c>
      <c r="G194" s="860">
        <v>0</v>
      </c>
      <c r="H194" s="857" t="s">
        <v>1381</v>
      </c>
      <c r="I194" s="861">
        <v>114.265625</v>
      </c>
      <c r="J194" s="295">
        <v>114.21875</v>
      </c>
      <c r="K194" s="296">
        <f t="shared" si="3"/>
        <v>468.75</v>
      </c>
      <c r="L194"/>
    </row>
    <row r="195" spans="1:12">
      <c r="A195" s="855" t="s">
        <v>643</v>
      </c>
      <c r="B195" s="856" t="s">
        <v>1352</v>
      </c>
      <c r="C195" s="856" t="s">
        <v>339</v>
      </c>
      <c r="D195" s="857" t="s">
        <v>339</v>
      </c>
      <c r="E195" s="858">
        <v>-20</v>
      </c>
      <c r="F195" s="859" t="s">
        <v>304</v>
      </c>
      <c r="G195" s="860">
        <v>1540</v>
      </c>
      <c r="H195" s="857" t="s">
        <v>1372</v>
      </c>
      <c r="I195" s="861">
        <v>115</v>
      </c>
      <c r="J195" s="295">
        <v>114.21875</v>
      </c>
      <c r="K195" s="296">
        <f t="shared" si="3"/>
        <v>15625</v>
      </c>
      <c r="L195"/>
    </row>
    <row r="196" spans="1:12">
      <c r="A196" s="855" t="s">
        <v>647</v>
      </c>
      <c r="B196" s="856" t="s">
        <v>1263</v>
      </c>
      <c r="C196" s="856" t="s">
        <v>339</v>
      </c>
      <c r="D196" s="857" t="s">
        <v>339</v>
      </c>
      <c r="E196" s="858">
        <v>4</v>
      </c>
      <c r="F196" s="859" t="s">
        <v>304</v>
      </c>
      <c r="G196" s="860">
        <v>-170.8</v>
      </c>
      <c r="H196" s="857" t="s">
        <v>1316</v>
      </c>
      <c r="I196" s="861">
        <v>110.28125</v>
      </c>
      <c r="J196" s="295">
        <v>109.796875</v>
      </c>
      <c r="K196" s="296">
        <f t="shared" si="3"/>
        <v>-1937.5</v>
      </c>
      <c r="L196"/>
    </row>
    <row r="197" spans="1:12">
      <c r="A197" s="855" t="s">
        <v>647</v>
      </c>
      <c r="B197" s="856" t="s">
        <v>1263</v>
      </c>
      <c r="C197" s="856" t="s">
        <v>339</v>
      </c>
      <c r="D197" s="857" t="s">
        <v>339</v>
      </c>
      <c r="E197" s="858">
        <v>26</v>
      </c>
      <c r="F197" s="859" t="s">
        <v>304</v>
      </c>
      <c r="G197" s="860">
        <v>-1110.2</v>
      </c>
      <c r="H197" s="857" t="s">
        <v>1317</v>
      </c>
      <c r="I197" s="861">
        <v>110.2890625</v>
      </c>
      <c r="J197" s="295">
        <v>109.796875</v>
      </c>
      <c r="K197" s="296">
        <f t="shared" si="3"/>
        <v>-12796.875</v>
      </c>
      <c r="L197"/>
    </row>
    <row r="198" spans="1:12">
      <c r="A198" s="855" t="s">
        <v>647</v>
      </c>
      <c r="B198" s="856" t="s">
        <v>1382</v>
      </c>
      <c r="C198" s="856" t="s">
        <v>339</v>
      </c>
      <c r="D198" s="857" t="s">
        <v>339</v>
      </c>
      <c r="E198" s="858">
        <v>30</v>
      </c>
      <c r="F198" s="859" t="s">
        <v>304</v>
      </c>
      <c r="G198" s="860">
        <v>0</v>
      </c>
      <c r="H198" s="857" t="s">
        <v>1387</v>
      </c>
      <c r="I198" s="861">
        <v>109.0234375</v>
      </c>
      <c r="J198" s="295">
        <v>109.78125</v>
      </c>
      <c r="K198" s="296">
        <f t="shared" si="3"/>
        <v>22734.375</v>
      </c>
      <c r="L198"/>
    </row>
    <row r="199" spans="1:12">
      <c r="A199" s="855" t="s">
        <v>647</v>
      </c>
      <c r="B199" s="856" t="s">
        <v>1388</v>
      </c>
      <c r="C199" s="856" t="s">
        <v>339</v>
      </c>
      <c r="D199" s="857" t="s">
        <v>339</v>
      </c>
      <c r="E199" s="858">
        <v>20</v>
      </c>
      <c r="F199" s="859" t="s">
        <v>638</v>
      </c>
      <c r="G199" s="860">
        <v>0</v>
      </c>
      <c r="H199" s="857" t="s">
        <v>1389</v>
      </c>
      <c r="I199" s="861">
        <v>110.09375</v>
      </c>
      <c r="J199" s="295">
        <v>108.734375</v>
      </c>
      <c r="K199" s="296">
        <f t="shared" si="3"/>
        <v>-27187.499999999996</v>
      </c>
      <c r="L199"/>
    </row>
    <row r="200" spans="1:12">
      <c r="A200" s="855" t="s">
        <v>647</v>
      </c>
      <c r="B200" s="856" t="s">
        <v>1388</v>
      </c>
      <c r="C200" s="856" t="s">
        <v>339</v>
      </c>
      <c r="D200" s="857" t="s">
        <v>339</v>
      </c>
      <c r="E200" s="858">
        <v>20</v>
      </c>
      <c r="F200" s="859" t="s">
        <v>638</v>
      </c>
      <c r="G200" s="860">
        <v>0</v>
      </c>
      <c r="H200" s="857" t="s">
        <v>1390</v>
      </c>
      <c r="I200" s="861">
        <v>110.1171875</v>
      </c>
      <c r="J200" s="295">
        <v>108.734375</v>
      </c>
      <c r="K200" s="296">
        <f t="shared" si="3"/>
        <v>-27656.25</v>
      </c>
      <c r="L200"/>
    </row>
    <row r="201" spans="1:12">
      <c r="A201" s="855" t="s">
        <v>643</v>
      </c>
      <c r="B201" s="856" t="s">
        <v>1382</v>
      </c>
      <c r="C201" s="856" t="s">
        <v>339</v>
      </c>
      <c r="D201" s="857" t="s">
        <v>339</v>
      </c>
      <c r="E201" s="858">
        <v>20</v>
      </c>
      <c r="F201" s="859" t="s">
        <v>304</v>
      </c>
      <c r="G201" s="860">
        <v>0</v>
      </c>
      <c r="H201" s="857" t="s">
        <v>1391</v>
      </c>
      <c r="I201" s="861">
        <v>114.65625</v>
      </c>
      <c r="J201" s="295">
        <v>115.1875</v>
      </c>
      <c r="K201" s="296">
        <f t="shared" ref="K201:K264" si="4">IF(LEFT(A201,2)="TU",(J201-I201)*E201/100*100000*2,(J201-I201)*E201/100*100000)</f>
        <v>10625</v>
      </c>
      <c r="L201"/>
    </row>
    <row r="202" spans="1:12">
      <c r="A202" s="855" t="s">
        <v>643</v>
      </c>
      <c r="B202" s="856" t="s">
        <v>1388</v>
      </c>
      <c r="C202" s="856" t="s">
        <v>339</v>
      </c>
      <c r="D202" s="857" t="s">
        <v>339</v>
      </c>
      <c r="E202" s="858">
        <v>20</v>
      </c>
      <c r="F202" s="859" t="s">
        <v>304</v>
      </c>
      <c r="G202" s="860">
        <v>0</v>
      </c>
      <c r="H202" s="857" t="s">
        <v>1392</v>
      </c>
      <c r="I202" s="861">
        <v>115.5</v>
      </c>
      <c r="J202" s="295">
        <v>115.28125</v>
      </c>
      <c r="K202" s="296">
        <f t="shared" si="4"/>
        <v>-4375</v>
      </c>
      <c r="L202"/>
    </row>
    <row r="203" spans="1:12">
      <c r="A203" s="855" t="s">
        <v>647</v>
      </c>
      <c r="B203" s="856" t="s">
        <v>1388</v>
      </c>
      <c r="C203" s="856" t="s">
        <v>339</v>
      </c>
      <c r="D203" s="857" t="s">
        <v>339</v>
      </c>
      <c r="E203" s="858">
        <v>20</v>
      </c>
      <c r="F203" s="859" t="s">
        <v>304</v>
      </c>
      <c r="G203" s="860">
        <v>0</v>
      </c>
      <c r="H203" s="857" t="s">
        <v>1405</v>
      </c>
      <c r="I203" s="861">
        <v>110.140625</v>
      </c>
      <c r="J203" s="295">
        <v>109.796875</v>
      </c>
      <c r="K203" s="296">
        <f t="shared" si="4"/>
        <v>-6875.0000000000009</v>
      </c>
      <c r="L203"/>
    </row>
    <row r="204" spans="1:12">
      <c r="A204" s="855" t="s">
        <v>647</v>
      </c>
      <c r="B204" s="856" t="s">
        <v>1406</v>
      </c>
      <c r="C204" s="856" t="s">
        <v>339</v>
      </c>
      <c r="D204" s="857" t="s">
        <v>339</v>
      </c>
      <c r="E204" s="858">
        <v>20</v>
      </c>
      <c r="F204" s="859" t="s">
        <v>304</v>
      </c>
      <c r="G204" s="860">
        <v>0</v>
      </c>
      <c r="H204" s="857" t="s">
        <v>1407</v>
      </c>
      <c r="I204" s="861">
        <v>110.890625</v>
      </c>
      <c r="J204" s="295">
        <v>109.796875</v>
      </c>
      <c r="K204" s="296">
        <f t="shared" si="4"/>
        <v>-21875</v>
      </c>
      <c r="L204"/>
    </row>
    <row r="205" spans="1:12">
      <c r="A205" s="855" t="s">
        <v>647</v>
      </c>
      <c r="B205" s="856" t="s">
        <v>1406</v>
      </c>
      <c r="C205" s="856" t="s">
        <v>339</v>
      </c>
      <c r="D205" s="857" t="s">
        <v>339</v>
      </c>
      <c r="E205" s="858">
        <v>30</v>
      </c>
      <c r="F205" s="859" t="s">
        <v>304</v>
      </c>
      <c r="G205" s="860">
        <v>0</v>
      </c>
      <c r="H205" s="857" t="s">
        <v>1407</v>
      </c>
      <c r="I205" s="861">
        <v>110.890625</v>
      </c>
      <c r="J205" s="295">
        <v>110.4375</v>
      </c>
      <c r="K205" s="296">
        <f t="shared" si="4"/>
        <v>-13593.749999999998</v>
      </c>
      <c r="L205"/>
    </row>
    <row r="206" spans="1:12">
      <c r="A206" s="855" t="s">
        <v>647</v>
      </c>
      <c r="B206" s="856" t="s">
        <v>1239</v>
      </c>
      <c r="C206" s="856" t="s">
        <v>339</v>
      </c>
      <c r="D206" s="857" t="s">
        <v>339</v>
      </c>
      <c r="E206" s="858">
        <v>-8</v>
      </c>
      <c r="F206" s="859" t="s">
        <v>638</v>
      </c>
      <c r="G206" s="860">
        <v>427</v>
      </c>
      <c r="H206" s="857" t="s">
        <v>1267</v>
      </c>
      <c r="I206" s="861">
        <v>108.734375</v>
      </c>
      <c r="J206" s="295">
        <v>110.453125</v>
      </c>
      <c r="K206" s="296">
        <f t="shared" si="4"/>
        <v>-13750.000000000002</v>
      </c>
      <c r="L206"/>
    </row>
    <row r="207" spans="1:12">
      <c r="A207" s="855" t="s">
        <v>647</v>
      </c>
      <c r="B207" s="856" t="s">
        <v>1239</v>
      </c>
      <c r="C207" s="856" t="s">
        <v>339</v>
      </c>
      <c r="D207" s="857" t="s">
        <v>339</v>
      </c>
      <c r="E207" s="858">
        <v>-20</v>
      </c>
      <c r="F207" s="859" t="s">
        <v>638</v>
      </c>
      <c r="G207" s="860">
        <v>854</v>
      </c>
      <c r="H207" s="857" t="s">
        <v>1268</v>
      </c>
      <c r="I207" s="861">
        <v>108.6484375</v>
      </c>
      <c r="J207" s="295">
        <v>110.453125</v>
      </c>
      <c r="K207" s="296">
        <f t="shared" si="4"/>
        <v>-36093.75</v>
      </c>
      <c r="L207"/>
    </row>
    <row r="208" spans="1:12">
      <c r="A208" s="855" t="s">
        <v>647</v>
      </c>
      <c r="B208" s="856" t="s">
        <v>1263</v>
      </c>
      <c r="C208" s="856" t="s">
        <v>339</v>
      </c>
      <c r="D208" s="857" t="s">
        <v>339</v>
      </c>
      <c r="E208" s="858">
        <v>-30</v>
      </c>
      <c r="F208" s="859" t="s">
        <v>638</v>
      </c>
      <c r="G208" s="860">
        <v>1281</v>
      </c>
      <c r="H208" s="857" t="s">
        <v>1269</v>
      </c>
      <c r="I208" s="861">
        <v>108.5</v>
      </c>
      <c r="J208" s="295">
        <v>110.4765625</v>
      </c>
      <c r="K208" s="296">
        <f t="shared" si="4"/>
        <v>-59296.875000000007</v>
      </c>
      <c r="L208"/>
    </row>
    <row r="209" spans="1:12">
      <c r="A209" s="855" t="s">
        <v>647</v>
      </c>
      <c r="B209" s="856" t="s">
        <v>1239</v>
      </c>
      <c r="C209" s="856" t="s">
        <v>339</v>
      </c>
      <c r="D209" s="857" t="s">
        <v>339</v>
      </c>
      <c r="E209" s="858">
        <v>-2</v>
      </c>
      <c r="F209" s="859" t="s">
        <v>638</v>
      </c>
      <c r="G209" s="860">
        <v>427</v>
      </c>
      <c r="H209" s="857" t="s">
        <v>1267</v>
      </c>
      <c r="I209" s="861">
        <v>108.734375</v>
      </c>
      <c r="J209" s="295">
        <v>110.453125</v>
      </c>
      <c r="K209" s="296">
        <f t="shared" si="4"/>
        <v>-3437.5000000000005</v>
      </c>
      <c r="L209"/>
    </row>
    <row r="210" spans="1:12">
      <c r="A210" s="855" t="s">
        <v>643</v>
      </c>
      <c r="B210" s="856" t="s">
        <v>1388</v>
      </c>
      <c r="C210" s="856" t="s">
        <v>339</v>
      </c>
      <c r="D210" s="857" t="s">
        <v>339</v>
      </c>
      <c r="E210" s="858">
        <v>-30</v>
      </c>
      <c r="F210" s="859" t="s">
        <v>304</v>
      </c>
      <c r="G210" s="860">
        <v>0</v>
      </c>
      <c r="H210" s="857" t="s">
        <v>1409</v>
      </c>
      <c r="I210" s="861">
        <v>115.21875</v>
      </c>
      <c r="J210" s="295">
        <v>115.765625</v>
      </c>
      <c r="K210" s="296">
        <f t="shared" si="4"/>
        <v>-16406.25</v>
      </c>
      <c r="L210"/>
    </row>
    <row r="211" spans="1:12">
      <c r="A211" s="855" t="s">
        <v>643</v>
      </c>
      <c r="B211" s="856" t="s">
        <v>1388</v>
      </c>
      <c r="C211" s="856" t="s">
        <v>339</v>
      </c>
      <c r="D211" s="857" t="s">
        <v>339</v>
      </c>
      <c r="E211" s="858">
        <v>-30</v>
      </c>
      <c r="F211" s="859" t="s">
        <v>304</v>
      </c>
      <c r="G211" s="860">
        <v>2310</v>
      </c>
      <c r="H211" s="857" t="s">
        <v>1393</v>
      </c>
      <c r="I211" s="861">
        <v>115.390625</v>
      </c>
      <c r="J211" s="295">
        <v>115.765625</v>
      </c>
      <c r="K211" s="296">
        <f t="shared" si="4"/>
        <v>-11250</v>
      </c>
      <c r="L211"/>
    </row>
    <row r="212" spans="1:12">
      <c r="A212" s="855" t="s">
        <v>643</v>
      </c>
      <c r="B212" s="856" t="s">
        <v>1406</v>
      </c>
      <c r="C212" s="856" t="s">
        <v>339</v>
      </c>
      <c r="D212" s="857" t="s">
        <v>339</v>
      </c>
      <c r="E212" s="858">
        <v>20</v>
      </c>
      <c r="F212" s="859" t="s">
        <v>638</v>
      </c>
      <c r="G212" s="860">
        <v>0</v>
      </c>
      <c r="H212" s="857" t="s">
        <v>1412</v>
      </c>
      <c r="I212" s="861">
        <v>115.953125</v>
      </c>
      <c r="J212" s="295">
        <v>116.09375</v>
      </c>
      <c r="K212" s="296">
        <f t="shared" si="4"/>
        <v>2812.5</v>
      </c>
      <c r="L212"/>
    </row>
    <row r="213" spans="1:12">
      <c r="A213" s="855" t="s">
        <v>643</v>
      </c>
      <c r="B213" s="856" t="s">
        <v>1406</v>
      </c>
      <c r="C213" s="856" t="s">
        <v>339</v>
      </c>
      <c r="D213" s="857" t="s">
        <v>339</v>
      </c>
      <c r="E213" s="858">
        <v>20</v>
      </c>
      <c r="F213" s="859" t="s">
        <v>638</v>
      </c>
      <c r="G213" s="860">
        <v>0</v>
      </c>
      <c r="H213" s="857" t="s">
        <v>1413</v>
      </c>
      <c r="I213" s="861">
        <v>116.09375</v>
      </c>
      <c r="J213" s="295">
        <v>116.078125</v>
      </c>
      <c r="K213" s="296">
        <f t="shared" si="4"/>
        <v>-312.5</v>
      </c>
      <c r="L213"/>
    </row>
    <row r="214" spans="1:12">
      <c r="A214" s="855" t="s">
        <v>647</v>
      </c>
      <c r="B214" s="856" t="s">
        <v>1406</v>
      </c>
      <c r="C214" s="856" t="s">
        <v>339</v>
      </c>
      <c r="D214" s="857" t="s">
        <v>339</v>
      </c>
      <c r="E214" s="858">
        <v>3</v>
      </c>
      <c r="F214" s="859" t="s">
        <v>304</v>
      </c>
      <c r="G214" s="860">
        <v>0</v>
      </c>
      <c r="H214" s="857" t="s">
        <v>1422</v>
      </c>
      <c r="I214" s="861">
        <v>111.0078125</v>
      </c>
      <c r="J214" s="295">
        <v>111.1953125</v>
      </c>
      <c r="K214" s="296">
        <f t="shared" si="4"/>
        <v>562.5</v>
      </c>
      <c r="L214" s="834"/>
    </row>
    <row r="215" spans="1:12">
      <c r="A215" s="855" t="s">
        <v>647</v>
      </c>
      <c r="B215" s="856" t="s">
        <v>1406</v>
      </c>
      <c r="C215" s="856" t="s">
        <v>339</v>
      </c>
      <c r="D215" s="857" t="s">
        <v>339</v>
      </c>
      <c r="E215" s="858">
        <v>27</v>
      </c>
      <c r="F215" s="859" t="s">
        <v>304</v>
      </c>
      <c r="G215" s="860">
        <v>0</v>
      </c>
      <c r="H215" s="857" t="s">
        <v>1423</v>
      </c>
      <c r="I215" s="861">
        <v>111.015625</v>
      </c>
      <c r="J215" s="295">
        <v>111.1953125</v>
      </c>
      <c r="K215" s="296">
        <f t="shared" si="4"/>
        <v>4851.5625</v>
      </c>
      <c r="L215"/>
    </row>
    <row r="216" spans="1:12">
      <c r="A216" s="855" t="s">
        <v>647</v>
      </c>
      <c r="B216" s="856" t="s">
        <v>1406</v>
      </c>
      <c r="C216" s="856" t="s">
        <v>339</v>
      </c>
      <c r="D216" s="857" t="s">
        <v>339</v>
      </c>
      <c r="E216" s="858">
        <v>-30</v>
      </c>
      <c r="F216" s="859" t="s">
        <v>304</v>
      </c>
      <c r="G216" s="860">
        <v>0</v>
      </c>
      <c r="H216" s="857" t="s">
        <v>1424</v>
      </c>
      <c r="I216" s="861">
        <v>111.078125</v>
      </c>
      <c r="J216" s="295">
        <v>111.0234375</v>
      </c>
      <c r="K216" s="296">
        <f t="shared" si="4"/>
        <v>1640.625</v>
      </c>
      <c r="L216"/>
    </row>
    <row r="217" spans="1:12">
      <c r="A217" s="855" t="s">
        <v>647</v>
      </c>
      <c r="B217" s="856" t="s">
        <v>1406</v>
      </c>
      <c r="C217" s="856" t="s">
        <v>339</v>
      </c>
      <c r="D217" s="857" t="s">
        <v>339</v>
      </c>
      <c r="E217" s="858">
        <v>20</v>
      </c>
      <c r="F217" s="859" t="s">
        <v>304</v>
      </c>
      <c r="G217" s="860">
        <v>0</v>
      </c>
      <c r="H217" s="857" t="s">
        <v>1425</v>
      </c>
      <c r="I217" s="861">
        <v>111.171875</v>
      </c>
      <c r="J217" s="295">
        <v>111.0390625</v>
      </c>
      <c r="K217" s="296">
        <f t="shared" si="4"/>
        <v>-2656.25</v>
      </c>
      <c r="L217"/>
    </row>
    <row r="218" spans="1:12">
      <c r="A218" s="855" t="s">
        <v>647</v>
      </c>
      <c r="B218" s="856" t="s">
        <v>1406</v>
      </c>
      <c r="C218" s="856" t="s">
        <v>339</v>
      </c>
      <c r="D218" s="857" t="s">
        <v>339</v>
      </c>
      <c r="E218" s="858">
        <v>-50</v>
      </c>
      <c r="F218" s="859" t="s">
        <v>304</v>
      </c>
      <c r="G218" s="860">
        <v>0</v>
      </c>
      <c r="H218" s="857" t="s">
        <v>1426</v>
      </c>
      <c r="I218" s="861">
        <v>111.046875</v>
      </c>
      <c r="J218" s="295">
        <v>110.9921875</v>
      </c>
      <c r="K218" s="296">
        <f t="shared" si="4"/>
        <v>2734.375</v>
      </c>
      <c r="L218"/>
    </row>
    <row r="219" spans="1:12">
      <c r="A219" s="855" t="s">
        <v>647</v>
      </c>
      <c r="B219" s="856" t="s">
        <v>1406</v>
      </c>
      <c r="C219" s="856" t="s">
        <v>339</v>
      </c>
      <c r="D219" s="857" t="s">
        <v>339</v>
      </c>
      <c r="E219" s="858">
        <v>-20</v>
      </c>
      <c r="F219" s="859" t="s">
        <v>304</v>
      </c>
      <c r="G219" s="860">
        <v>0</v>
      </c>
      <c r="H219" s="857" t="s">
        <v>1427</v>
      </c>
      <c r="I219" s="861">
        <v>111.0390625</v>
      </c>
      <c r="J219" s="295">
        <v>110.7265625</v>
      </c>
      <c r="K219" s="296">
        <f t="shared" si="4"/>
        <v>6250</v>
      </c>
      <c r="L219"/>
    </row>
    <row r="220" spans="1:12">
      <c r="A220" s="855" t="s">
        <v>647</v>
      </c>
      <c r="B220" s="856" t="s">
        <v>1406</v>
      </c>
      <c r="C220" s="856" t="s">
        <v>339</v>
      </c>
      <c r="D220" s="857" t="s">
        <v>339</v>
      </c>
      <c r="E220" s="858">
        <v>-30</v>
      </c>
      <c r="F220" s="859" t="s">
        <v>304</v>
      </c>
      <c r="G220" s="860">
        <v>0</v>
      </c>
      <c r="H220" s="857" t="s">
        <v>1428</v>
      </c>
      <c r="I220" s="861">
        <v>110.75</v>
      </c>
      <c r="J220" s="295">
        <v>110.609375</v>
      </c>
      <c r="K220" s="296">
        <f t="shared" si="4"/>
        <v>4218.75</v>
      </c>
      <c r="L220"/>
    </row>
    <row r="221" spans="1:12">
      <c r="A221" s="855" t="s">
        <v>647</v>
      </c>
      <c r="B221" s="856" t="s">
        <v>1406</v>
      </c>
      <c r="C221" s="856" t="s">
        <v>339</v>
      </c>
      <c r="D221" s="857" t="s">
        <v>339</v>
      </c>
      <c r="E221" s="858">
        <v>-13</v>
      </c>
      <c r="F221" s="859" t="s">
        <v>304</v>
      </c>
      <c r="G221" s="860">
        <v>0</v>
      </c>
      <c r="H221" s="857" t="s">
        <v>1429</v>
      </c>
      <c r="I221" s="861">
        <v>110.7734375</v>
      </c>
      <c r="J221" s="295">
        <v>110.7265625</v>
      </c>
      <c r="K221" s="296">
        <f t="shared" si="4"/>
        <v>609.375</v>
      </c>
      <c r="L221"/>
    </row>
    <row r="222" spans="1:12">
      <c r="A222" s="855" t="s">
        <v>647</v>
      </c>
      <c r="B222" s="856" t="s">
        <v>1406</v>
      </c>
      <c r="C222" s="856" t="s">
        <v>339</v>
      </c>
      <c r="D222" s="857" t="s">
        <v>339</v>
      </c>
      <c r="E222" s="858">
        <v>-17</v>
      </c>
      <c r="F222" s="859" t="s">
        <v>304</v>
      </c>
      <c r="G222" s="860">
        <v>0</v>
      </c>
      <c r="H222" s="857" t="s">
        <v>1430</v>
      </c>
      <c r="I222" s="861">
        <v>110.765625</v>
      </c>
      <c r="J222" s="295">
        <v>110.7265625</v>
      </c>
      <c r="K222" s="296">
        <f t="shared" si="4"/>
        <v>664.0625</v>
      </c>
      <c r="L222"/>
    </row>
    <row r="223" spans="1:12">
      <c r="A223" s="855" t="s">
        <v>647</v>
      </c>
      <c r="B223" s="856" t="s">
        <v>1344</v>
      </c>
      <c r="C223" s="856" t="s">
        <v>339</v>
      </c>
      <c r="D223" s="857" t="s">
        <v>339</v>
      </c>
      <c r="E223" s="858">
        <v>30</v>
      </c>
      <c r="F223" s="859" t="s">
        <v>304</v>
      </c>
      <c r="G223" s="860">
        <v>-1281</v>
      </c>
      <c r="H223" s="857" t="s">
        <v>1350</v>
      </c>
      <c r="I223" s="861">
        <v>109.78125</v>
      </c>
      <c r="J223" s="295">
        <v>110.7578125</v>
      </c>
      <c r="K223" s="296">
        <f t="shared" si="4"/>
        <v>29296.875</v>
      </c>
      <c r="L223"/>
    </row>
    <row r="224" spans="1:12">
      <c r="A224" s="855" t="s">
        <v>643</v>
      </c>
      <c r="B224" s="856" t="s">
        <v>1388</v>
      </c>
      <c r="C224" s="856" t="s">
        <v>339</v>
      </c>
      <c r="D224" s="857" t="s">
        <v>339</v>
      </c>
      <c r="E224" s="858">
        <v>20</v>
      </c>
      <c r="F224" s="859" t="s">
        <v>304</v>
      </c>
      <c r="G224" s="860">
        <v>-1540</v>
      </c>
      <c r="H224" s="857" t="s">
        <v>1410</v>
      </c>
      <c r="I224" s="861">
        <v>115.703125</v>
      </c>
      <c r="J224" s="295">
        <v>116.078125</v>
      </c>
      <c r="K224" s="296">
        <f t="shared" si="4"/>
        <v>7500</v>
      </c>
      <c r="L224"/>
    </row>
    <row r="225" spans="1:12">
      <c r="A225" s="855" t="s">
        <v>643</v>
      </c>
      <c r="B225" s="856" t="s">
        <v>1406</v>
      </c>
      <c r="C225" s="856" t="s">
        <v>339</v>
      </c>
      <c r="D225" s="857" t="s">
        <v>339</v>
      </c>
      <c r="E225" s="858">
        <v>20</v>
      </c>
      <c r="F225" s="859" t="s">
        <v>304</v>
      </c>
      <c r="G225" s="860">
        <v>-1540</v>
      </c>
      <c r="H225" s="857" t="s">
        <v>1411</v>
      </c>
      <c r="I225" s="861">
        <v>116.140625</v>
      </c>
      <c r="J225" s="295">
        <v>116.078125</v>
      </c>
      <c r="K225" s="296">
        <f t="shared" si="4"/>
        <v>-1250</v>
      </c>
      <c r="L225"/>
    </row>
    <row r="226" spans="1:12">
      <c r="A226" s="855" t="s">
        <v>647</v>
      </c>
      <c r="B226" s="856" t="s">
        <v>1450</v>
      </c>
      <c r="C226" s="856" t="s">
        <v>339</v>
      </c>
      <c r="D226" s="857" t="s">
        <v>339</v>
      </c>
      <c r="E226" s="858">
        <v>-20</v>
      </c>
      <c r="F226" s="859" t="s">
        <v>304</v>
      </c>
      <c r="G226" s="860">
        <v>0</v>
      </c>
      <c r="H226" s="857" t="s">
        <v>1451</v>
      </c>
      <c r="I226" s="861">
        <v>110.4140625</v>
      </c>
      <c r="J226" s="295">
        <v>110.171875</v>
      </c>
      <c r="K226" s="296">
        <f t="shared" si="4"/>
        <v>4843.75</v>
      </c>
      <c r="L226"/>
    </row>
    <row r="227" spans="1:12">
      <c r="A227" s="855" t="s">
        <v>647</v>
      </c>
      <c r="B227" s="856" t="s">
        <v>1450</v>
      </c>
      <c r="C227" s="856" t="s">
        <v>339</v>
      </c>
      <c r="D227" s="857" t="s">
        <v>339</v>
      </c>
      <c r="E227" s="858">
        <v>-20</v>
      </c>
      <c r="F227" s="859" t="s">
        <v>304</v>
      </c>
      <c r="G227" s="860">
        <v>0</v>
      </c>
      <c r="H227" s="857" t="s">
        <v>1452</v>
      </c>
      <c r="I227" s="861">
        <v>110.4140625</v>
      </c>
      <c r="J227" s="295">
        <v>110.171875</v>
      </c>
      <c r="K227" s="296">
        <f t="shared" si="4"/>
        <v>4843.75</v>
      </c>
      <c r="L227"/>
    </row>
    <row r="228" spans="1:12">
      <c r="A228" s="855" t="s">
        <v>647</v>
      </c>
      <c r="B228" s="856" t="s">
        <v>1450</v>
      </c>
      <c r="C228" s="856" t="s">
        <v>339</v>
      </c>
      <c r="D228" s="857" t="s">
        <v>339</v>
      </c>
      <c r="E228" s="858">
        <v>16</v>
      </c>
      <c r="F228" s="859" t="s">
        <v>304</v>
      </c>
      <c r="G228" s="860">
        <v>0</v>
      </c>
      <c r="H228" s="857" t="s">
        <v>1453</v>
      </c>
      <c r="I228" s="861">
        <v>110.375</v>
      </c>
      <c r="J228" s="295">
        <v>110.1875</v>
      </c>
      <c r="K228" s="296">
        <f t="shared" si="4"/>
        <v>-3000</v>
      </c>
      <c r="L228"/>
    </row>
    <row r="229" spans="1:12">
      <c r="A229" s="855" t="s">
        <v>647</v>
      </c>
      <c r="B229" s="856" t="s">
        <v>1450</v>
      </c>
      <c r="C229" s="856" t="s">
        <v>339</v>
      </c>
      <c r="D229" s="857" t="s">
        <v>339</v>
      </c>
      <c r="E229" s="858">
        <v>34</v>
      </c>
      <c r="F229" s="859" t="s">
        <v>304</v>
      </c>
      <c r="G229" s="860">
        <v>0</v>
      </c>
      <c r="H229" s="857" t="s">
        <v>1454</v>
      </c>
      <c r="I229" s="861">
        <v>110.3828125</v>
      </c>
      <c r="J229" s="295">
        <v>110.1875</v>
      </c>
      <c r="K229" s="296">
        <f t="shared" si="4"/>
        <v>-6640.625</v>
      </c>
      <c r="L229"/>
    </row>
    <row r="230" spans="1:12">
      <c r="A230" s="855" t="s">
        <v>647</v>
      </c>
      <c r="B230" s="856" t="s">
        <v>1450</v>
      </c>
      <c r="C230" s="856" t="s">
        <v>339</v>
      </c>
      <c r="D230" s="857" t="s">
        <v>339</v>
      </c>
      <c r="E230" s="858">
        <v>30</v>
      </c>
      <c r="F230" s="859" t="s">
        <v>304</v>
      </c>
      <c r="G230" s="860">
        <v>0</v>
      </c>
      <c r="H230" s="857" t="s">
        <v>1455</v>
      </c>
      <c r="I230" s="861">
        <v>110.2578125</v>
      </c>
      <c r="J230" s="295">
        <v>110.515625</v>
      </c>
      <c r="K230" s="296">
        <f t="shared" si="4"/>
        <v>7734.375</v>
      </c>
      <c r="L230"/>
    </row>
    <row r="231" spans="1:12">
      <c r="A231" s="855" t="s">
        <v>647</v>
      </c>
      <c r="B231" s="856" t="s">
        <v>1450</v>
      </c>
      <c r="C231" s="856" t="s">
        <v>339</v>
      </c>
      <c r="D231" s="857" t="s">
        <v>339</v>
      </c>
      <c r="E231" s="858">
        <v>25</v>
      </c>
      <c r="F231" s="859" t="s">
        <v>304</v>
      </c>
      <c r="G231" s="860">
        <v>0</v>
      </c>
      <c r="H231" s="857" t="s">
        <v>1456</v>
      </c>
      <c r="I231" s="861">
        <v>110.203125</v>
      </c>
      <c r="J231" s="295">
        <v>110.296875</v>
      </c>
      <c r="K231" s="296">
        <f t="shared" si="4"/>
        <v>2343.75</v>
      </c>
      <c r="L231"/>
    </row>
    <row r="232" spans="1:12">
      <c r="A232" s="855" t="s">
        <v>647</v>
      </c>
      <c r="B232" s="856" t="s">
        <v>1450</v>
      </c>
      <c r="C232" s="856" t="s">
        <v>339</v>
      </c>
      <c r="D232" s="857" t="s">
        <v>339</v>
      </c>
      <c r="E232" s="858">
        <v>10</v>
      </c>
      <c r="F232" s="859" t="s">
        <v>304</v>
      </c>
      <c r="G232" s="860">
        <v>0</v>
      </c>
      <c r="H232" s="857" t="s">
        <v>1456</v>
      </c>
      <c r="I232" s="861">
        <v>110.203125</v>
      </c>
      <c r="J232" s="295">
        <v>110.1875</v>
      </c>
      <c r="K232" s="296">
        <f t="shared" si="4"/>
        <v>-156.25</v>
      </c>
      <c r="L232"/>
    </row>
    <row r="233" spans="1:12">
      <c r="A233" s="855" t="s">
        <v>647</v>
      </c>
      <c r="B233" s="856" t="s">
        <v>1263</v>
      </c>
      <c r="C233" s="856" t="s">
        <v>339</v>
      </c>
      <c r="D233" s="857" t="s">
        <v>339</v>
      </c>
      <c r="E233" s="858">
        <v>10</v>
      </c>
      <c r="F233" s="859" t="s">
        <v>304</v>
      </c>
      <c r="G233" s="860">
        <v>-427</v>
      </c>
      <c r="H233" s="857" t="s">
        <v>1320</v>
      </c>
      <c r="I233" s="861">
        <v>108.75</v>
      </c>
      <c r="J233" s="295">
        <v>110.1875</v>
      </c>
      <c r="K233" s="296">
        <f t="shared" si="4"/>
        <v>14374.999999999998</v>
      </c>
      <c r="L233"/>
    </row>
    <row r="234" spans="1:12">
      <c r="A234" s="855" t="s">
        <v>647</v>
      </c>
      <c r="B234" s="856" t="s">
        <v>1388</v>
      </c>
      <c r="C234" s="856" t="s">
        <v>339</v>
      </c>
      <c r="D234" s="857" t="s">
        <v>339</v>
      </c>
      <c r="E234" s="858">
        <v>10</v>
      </c>
      <c r="F234" s="859" t="s">
        <v>304</v>
      </c>
      <c r="G234" s="860">
        <v>-2562</v>
      </c>
      <c r="H234" s="857" t="s">
        <v>1408</v>
      </c>
      <c r="I234" s="861">
        <v>110.09375</v>
      </c>
      <c r="J234" s="295">
        <v>110.1875</v>
      </c>
      <c r="K234" s="296">
        <f t="shared" si="4"/>
        <v>937.5</v>
      </c>
      <c r="L234"/>
    </row>
    <row r="235" spans="1:12">
      <c r="A235" s="855" t="s">
        <v>647</v>
      </c>
      <c r="B235" s="856" t="s">
        <v>1388</v>
      </c>
      <c r="C235" s="856" t="s">
        <v>339</v>
      </c>
      <c r="D235" s="857" t="s">
        <v>339</v>
      </c>
      <c r="E235" s="858">
        <v>24</v>
      </c>
      <c r="F235" s="859" t="s">
        <v>304</v>
      </c>
      <c r="G235" s="860">
        <v>-2562</v>
      </c>
      <c r="H235" s="857" t="s">
        <v>1408</v>
      </c>
      <c r="I235" s="861">
        <v>110.09375</v>
      </c>
      <c r="J235" s="295">
        <v>110.25</v>
      </c>
      <c r="K235" s="296">
        <f t="shared" si="4"/>
        <v>3750</v>
      </c>
      <c r="L235"/>
    </row>
    <row r="236" spans="1:12">
      <c r="A236" s="855" t="s">
        <v>647</v>
      </c>
      <c r="B236" s="856" t="s">
        <v>1388</v>
      </c>
      <c r="C236" s="856" t="s">
        <v>339</v>
      </c>
      <c r="D236" s="857" t="s">
        <v>339</v>
      </c>
      <c r="E236" s="858">
        <v>26</v>
      </c>
      <c r="F236" s="859" t="s">
        <v>304</v>
      </c>
      <c r="G236" s="860">
        <v>-2562</v>
      </c>
      <c r="H236" s="857" t="s">
        <v>1408</v>
      </c>
      <c r="I236" s="861">
        <v>110.09375</v>
      </c>
      <c r="J236" s="295">
        <v>110.2578125</v>
      </c>
      <c r="K236" s="296">
        <f t="shared" si="4"/>
        <v>4265.625</v>
      </c>
      <c r="L236"/>
    </row>
    <row r="237" spans="1:12">
      <c r="A237" s="855" t="s">
        <v>647</v>
      </c>
      <c r="B237" s="856" t="s">
        <v>1450</v>
      </c>
      <c r="C237" s="856" t="s">
        <v>339</v>
      </c>
      <c r="D237" s="857" t="s">
        <v>339</v>
      </c>
      <c r="E237" s="858">
        <v>5</v>
      </c>
      <c r="F237" s="859" t="s">
        <v>638</v>
      </c>
      <c r="G237" s="860">
        <v>0</v>
      </c>
      <c r="H237" s="857" t="s">
        <v>1458</v>
      </c>
      <c r="I237" s="861">
        <v>110.1328125</v>
      </c>
      <c r="J237" s="295">
        <v>110.1484375</v>
      </c>
      <c r="K237" s="296">
        <f t="shared" si="4"/>
        <v>78.125</v>
      </c>
      <c r="L237"/>
    </row>
    <row r="238" spans="1:12">
      <c r="A238" s="855" t="s">
        <v>647</v>
      </c>
      <c r="B238" s="856" t="s">
        <v>1450</v>
      </c>
      <c r="C238" s="856" t="s">
        <v>339</v>
      </c>
      <c r="D238" s="857" t="s">
        <v>339</v>
      </c>
      <c r="E238" s="858">
        <v>25</v>
      </c>
      <c r="F238" s="859" t="s">
        <v>638</v>
      </c>
      <c r="G238" s="860">
        <v>0</v>
      </c>
      <c r="H238" s="857" t="s">
        <v>1459</v>
      </c>
      <c r="I238" s="861">
        <v>110.1328125</v>
      </c>
      <c r="J238" s="295">
        <v>110.1484375</v>
      </c>
      <c r="K238" s="296">
        <f t="shared" si="4"/>
        <v>390.625</v>
      </c>
      <c r="L238"/>
    </row>
    <row r="239" spans="1:12">
      <c r="A239" s="855" t="s">
        <v>647</v>
      </c>
      <c r="B239" s="856" t="s">
        <v>1406</v>
      </c>
      <c r="C239" s="856" t="s">
        <v>339</v>
      </c>
      <c r="D239" s="857" t="s">
        <v>339</v>
      </c>
      <c r="E239" s="858">
        <v>20</v>
      </c>
      <c r="F239" s="859" t="s">
        <v>638</v>
      </c>
      <c r="G239" s="860">
        <v>-854</v>
      </c>
      <c r="H239" s="857" t="s">
        <v>1431</v>
      </c>
      <c r="I239" s="861">
        <v>111.03125</v>
      </c>
      <c r="J239" s="295">
        <v>110.203125</v>
      </c>
      <c r="K239" s="296">
        <f t="shared" si="4"/>
        <v>-16562.5</v>
      </c>
      <c r="L239"/>
    </row>
    <row r="240" spans="1:12">
      <c r="A240" s="855" t="s">
        <v>647</v>
      </c>
      <c r="B240" s="856" t="s">
        <v>1450</v>
      </c>
      <c r="C240" s="856" t="s">
        <v>339</v>
      </c>
      <c r="D240" s="857" t="s">
        <v>339</v>
      </c>
      <c r="E240" s="858">
        <v>-19</v>
      </c>
      <c r="F240" s="859" t="s">
        <v>304</v>
      </c>
      <c r="G240" s="860">
        <v>0</v>
      </c>
      <c r="H240" s="857" t="s">
        <v>1465</v>
      </c>
      <c r="I240" s="861">
        <v>109.8359375</v>
      </c>
      <c r="J240" s="295">
        <v>109.734375</v>
      </c>
      <c r="K240" s="296">
        <f t="shared" si="4"/>
        <v>1929.6875000000002</v>
      </c>
      <c r="L240"/>
    </row>
    <row r="241" spans="1:12">
      <c r="A241" s="855" t="s">
        <v>647</v>
      </c>
      <c r="B241" s="856" t="s">
        <v>1450</v>
      </c>
      <c r="C241" s="856" t="s">
        <v>339</v>
      </c>
      <c r="D241" s="857" t="s">
        <v>339</v>
      </c>
      <c r="E241" s="858">
        <v>-31</v>
      </c>
      <c r="F241" s="859" t="s">
        <v>304</v>
      </c>
      <c r="G241" s="860">
        <v>0</v>
      </c>
      <c r="H241" s="857" t="s">
        <v>1466</v>
      </c>
      <c r="I241" s="861">
        <v>109.84375</v>
      </c>
      <c r="J241" s="295">
        <v>109.734375</v>
      </c>
      <c r="K241" s="296">
        <f t="shared" si="4"/>
        <v>3390.625</v>
      </c>
      <c r="L241"/>
    </row>
    <row r="242" spans="1:12">
      <c r="A242" s="855" t="s">
        <v>647</v>
      </c>
      <c r="B242" s="856" t="s">
        <v>1450</v>
      </c>
      <c r="C242" s="856" t="s">
        <v>339</v>
      </c>
      <c r="D242" s="857" t="s">
        <v>339</v>
      </c>
      <c r="E242" s="858">
        <v>20</v>
      </c>
      <c r="F242" s="859" t="s">
        <v>304</v>
      </c>
      <c r="G242" s="860">
        <v>0</v>
      </c>
      <c r="H242" s="857" t="s">
        <v>1467</v>
      </c>
      <c r="I242" s="861">
        <v>109.8359375</v>
      </c>
      <c r="J242" s="295">
        <v>109.734375</v>
      </c>
      <c r="K242" s="296">
        <f t="shared" si="4"/>
        <v>-2031.25</v>
      </c>
      <c r="L242"/>
    </row>
    <row r="243" spans="1:12">
      <c r="A243" s="855" t="s">
        <v>647</v>
      </c>
      <c r="B243" s="856" t="s">
        <v>1450</v>
      </c>
      <c r="C243" s="856" t="s">
        <v>339</v>
      </c>
      <c r="D243" s="857" t="s">
        <v>339</v>
      </c>
      <c r="E243" s="858">
        <v>20</v>
      </c>
      <c r="F243" s="859" t="s">
        <v>304</v>
      </c>
      <c r="G243" s="860">
        <v>0</v>
      </c>
      <c r="H243" s="857" t="s">
        <v>1468</v>
      </c>
      <c r="I243" s="861">
        <v>109.8828125</v>
      </c>
      <c r="J243" s="295">
        <v>109.734375</v>
      </c>
      <c r="K243" s="296">
        <f t="shared" si="4"/>
        <v>-2968.75</v>
      </c>
      <c r="L243"/>
    </row>
    <row r="244" spans="1:12">
      <c r="A244" s="855" t="s">
        <v>647</v>
      </c>
      <c r="B244" s="856" t="s">
        <v>1450</v>
      </c>
      <c r="C244" s="856" t="s">
        <v>339</v>
      </c>
      <c r="D244" s="857" t="s">
        <v>339</v>
      </c>
      <c r="E244" s="858">
        <v>20</v>
      </c>
      <c r="F244" s="859" t="s">
        <v>304</v>
      </c>
      <c r="G244" s="860">
        <v>0</v>
      </c>
      <c r="H244" s="857" t="s">
        <v>1469</v>
      </c>
      <c r="I244" s="861">
        <v>109.8046875</v>
      </c>
      <c r="J244" s="295">
        <v>109.734375</v>
      </c>
      <c r="K244" s="296">
        <f t="shared" si="4"/>
        <v>-1406.25</v>
      </c>
      <c r="L244"/>
    </row>
    <row r="245" spans="1:12">
      <c r="A245" s="855" t="s">
        <v>647</v>
      </c>
      <c r="B245" s="856" t="s">
        <v>1450</v>
      </c>
      <c r="C245" s="856" t="s">
        <v>339</v>
      </c>
      <c r="D245" s="857" t="s">
        <v>339</v>
      </c>
      <c r="E245" s="858">
        <v>-50</v>
      </c>
      <c r="F245" s="859" t="s">
        <v>304</v>
      </c>
      <c r="G245" s="860">
        <v>0</v>
      </c>
      <c r="H245" s="857" t="s">
        <v>1470</v>
      </c>
      <c r="I245" s="861">
        <v>109.7578125</v>
      </c>
      <c r="J245" s="295">
        <v>109.703125</v>
      </c>
      <c r="K245" s="296">
        <f t="shared" si="4"/>
        <v>2734.375</v>
      </c>
      <c r="L245"/>
    </row>
    <row r="246" spans="1:12">
      <c r="A246" s="855" t="s">
        <v>647</v>
      </c>
      <c r="B246" s="856" t="s">
        <v>1450</v>
      </c>
      <c r="C246" s="856" t="s">
        <v>339</v>
      </c>
      <c r="D246" s="857" t="s">
        <v>339</v>
      </c>
      <c r="E246" s="858">
        <v>20</v>
      </c>
      <c r="F246" s="859" t="s">
        <v>304</v>
      </c>
      <c r="G246" s="860">
        <v>0</v>
      </c>
      <c r="H246" s="857" t="s">
        <v>1471</v>
      </c>
      <c r="I246" s="861">
        <v>109.8125</v>
      </c>
      <c r="J246" s="295">
        <v>110.078125</v>
      </c>
      <c r="K246" s="296">
        <f t="shared" si="4"/>
        <v>5312.5</v>
      </c>
      <c r="L246"/>
    </row>
    <row r="247" spans="1:12">
      <c r="A247" s="855" t="s">
        <v>647</v>
      </c>
      <c r="B247" s="856" t="s">
        <v>1472</v>
      </c>
      <c r="C247" s="856" t="s">
        <v>339</v>
      </c>
      <c r="D247" s="857" t="s">
        <v>339</v>
      </c>
      <c r="E247" s="858">
        <v>10</v>
      </c>
      <c r="F247" s="859" t="s">
        <v>304</v>
      </c>
      <c r="G247" s="860">
        <v>0</v>
      </c>
      <c r="H247" s="857" t="s">
        <v>1473</v>
      </c>
      <c r="I247" s="861">
        <v>109.75</v>
      </c>
      <c r="J247" s="295">
        <v>110.078125</v>
      </c>
      <c r="K247" s="296">
        <f t="shared" si="4"/>
        <v>3281.25</v>
      </c>
      <c r="L247"/>
    </row>
    <row r="248" spans="1:12">
      <c r="A248" s="855" t="s">
        <v>647</v>
      </c>
      <c r="B248" s="856" t="s">
        <v>1450</v>
      </c>
      <c r="C248" s="856" t="s">
        <v>339</v>
      </c>
      <c r="D248" s="857" t="s">
        <v>339</v>
      </c>
      <c r="E248" s="858">
        <v>50</v>
      </c>
      <c r="F248" s="859" t="s">
        <v>304</v>
      </c>
      <c r="G248" s="860">
        <v>0</v>
      </c>
      <c r="H248" s="857" t="s">
        <v>1474</v>
      </c>
      <c r="I248" s="861">
        <v>109.703125</v>
      </c>
      <c r="J248" s="295">
        <v>109.3984375</v>
      </c>
      <c r="K248" s="296">
        <f t="shared" si="4"/>
        <v>-15234.375</v>
      </c>
      <c r="L248"/>
    </row>
    <row r="249" spans="1:12">
      <c r="A249" s="855" t="s">
        <v>647</v>
      </c>
      <c r="B249" s="856" t="s">
        <v>1450</v>
      </c>
      <c r="C249" s="856" t="s">
        <v>339</v>
      </c>
      <c r="D249" s="857" t="s">
        <v>339</v>
      </c>
      <c r="E249" s="858">
        <v>-20</v>
      </c>
      <c r="F249" s="859" t="s">
        <v>638</v>
      </c>
      <c r="G249" s="860">
        <v>854</v>
      </c>
      <c r="H249" s="857" t="s">
        <v>1461</v>
      </c>
      <c r="I249" s="861">
        <v>110.2421875</v>
      </c>
      <c r="J249" s="295">
        <v>109.6875</v>
      </c>
      <c r="K249" s="296">
        <f t="shared" si="4"/>
        <v>11093.75</v>
      </c>
      <c r="L249"/>
    </row>
    <row r="250" spans="1:12">
      <c r="A250" s="855" t="s">
        <v>647</v>
      </c>
      <c r="B250" s="856" t="s">
        <v>1450</v>
      </c>
      <c r="C250" s="856" t="s">
        <v>339</v>
      </c>
      <c r="D250" s="857" t="s">
        <v>339</v>
      </c>
      <c r="E250" s="858">
        <v>-30</v>
      </c>
      <c r="F250" s="859" t="s">
        <v>638</v>
      </c>
      <c r="G250" s="860">
        <v>1281</v>
      </c>
      <c r="H250" s="857" t="s">
        <v>1460</v>
      </c>
      <c r="I250" s="861">
        <v>110.203125</v>
      </c>
      <c r="J250" s="295">
        <v>109.6875</v>
      </c>
      <c r="K250" s="296">
        <f t="shared" si="4"/>
        <v>15468.75</v>
      </c>
      <c r="L250"/>
    </row>
    <row r="251" spans="1:12">
      <c r="A251" s="855" t="s">
        <v>647</v>
      </c>
      <c r="B251" s="856" t="s">
        <v>1472</v>
      </c>
      <c r="C251" s="856" t="s">
        <v>339</v>
      </c>
      <c r="D251" s="857" t="s">
        <v>339</v>
      </c>
      <c r="E251" s="858">
        <v>-50</v>
      </c>
      <c r="F251" s="859" t="s">
        <v>638</v>
      </c>
      <c r="G251" s="860">
        <v>0</v>
      </c>
      <c r="H251" s="857" t="s">
        <v>1477</v>
      </c>
      <c r="I251" s="861">
        <v>109.484375</v>
      </c>
      <c r="J251" s="295">
        <v>109.46875</v>
      </c>
      <c r="K251" s="296">
        <f t="shared" si="4"/>
        <v>781.25</v>
      </c>
      <c r="L251"/>
    </row>
    <row r="252" spans="1:12">
      <c r="A252" s="855" t="s">
        <v>647</v>
      </c>
      <c r="B252" s="856" t="s">
        <v>1491</v>
      </c>
      <c r="C252" s="856" t="s">
        <v>339</v>
      </c>
      <c r="D252" s="857" t="s">
        <v>339</v>
      </c>
      <c r="E252" s="858">
        <v>-7</v>
      </c>
      <c r="F252" s="859" t="s">
        <v>304</v>
      </c>
      <c r="G252" s="860">
        <v>0</v>
      </c>
      <c r="H252" s="857" t="s">
        <v>1492</v>
      </c>
      <c r="I252" s="861">
        <v>109.1875</v>
      </c>
      <c r="J252" s="295">
        <v>109.375</v>
      </c>
      <c r="K252" s="296">
        <f t="shared" si="4"/>
        <v>-1312.5</v>
      </c>
      <c r="L252"/>
    </row>
    <row r="253" spans="1:12">
      <c r="A253" s="855" t="s">
        <v>647</v>
      </c>
      <c r="B253" s="856" t="s">
        <v>1491</v>
      </c>
      <c r="C253" s="856" t="s">
        <v>339</v>
      </c>
      <c r="D253" s="857" t="s">
        <v>339</v>
      </c>
      <c r="E253" s="858">
        <v>-31</v>
      </c>
      <c r="F253" s="859" t="s">
        <v>304</v>
      </c>
      <c r="G253" s="860">
        <v>0</v>
      </c>
      <c r="H253" s="857" t="s">
        <v>1493</v>
      </c>
      <c r="I253" s="861">
        <v>109.1953125</v>
      </c>
      <c r="J253" s="295">
        <v>109.375</v>
      </c>
      <c r="K253" s="296">
        <f t="shared" si="4"/>
        <v>-5570.3125</v>
      </c>
      <c r="L253"/>
    </row>
    <row r="254" spans="1:12">
      <c r="A254" s="855" t="s">
        <v>647</v>
      </c>
      <c r="B254" s="856" t="s">
        <v>1472</v>
      </c>
      <c r="C254" s="856" t="s">
        <v>339</v>
      </c>
      <c r="D254" s="857" t="s">
        <v>339</v>
      </c>
      <c r="E254" s="858">
        <v>-50</v>
      </c>
      <c r="F254" s="859" t="s">
        <v>304</v>
      </c>
      <c r="G254" s="860">
        <v>0</v>
      </c>
      <c r="H254" s="857" t="s">
        <v>1494</v>
      </c>
      <c r="I254" s="861">
        <v>109.2734375</v>
      </c>
      <c r="J254" s="295">
        <v>109.375</v>
      </c>
      <c r="K254" s="296">
        <f t="shared" si="4"/>
        <v>-5078.125</v>
      </c>
      <c r="L254"/>
    </row>
    <row r="255" spans="1:12">
      <c r="A255" s="855" t="s">
        <v>647</v>
      </c>
      <c r="B255" s="856" t="s">
        <v>1491</v>
      </c>
      <c r="C255" s="856" t="s">
        <v>339</v>
      </c>
      <c r="D255" s="857" t="s">
        <v>339</v>
      </c>
      <c r="E255" s="858">
        <v>-12</v>
      </c>
      <c r="F255" s="859" t="s">
        <v>304</v>
      </c>
      <c r="G255" s="860">
        <v>0</v>
      </c>
      <c r="H255" s="857" t="s">
        <v>1492</v>
      </c>
      <c r="I255" s="861">
        <v>109.1875</v>
      </c>
      <c r="J255" s="295">
        <v>109.3671875</v>
      </c>
      <c r="K255" s="296">
        <f t="shared" si="4"/>
        <v>-2156.25</v>
      </c>
      <c r="L255"/>
    </row>
    <row r="256" spans="1:12">
      <c r="A256" s="855" t="s">
        <v>647</v>
      </c>
      <c r="B256" s="856" t="s">
        <v>1472</v>
      </c>
      <c r="C256" s="856" t="s">
        <v>339</v>
      </c>
      <c r="D256" s="857" t="s">
        <v>339</v>
      </c>
      <c r="E256" s="858">
        <v>30</v>
      </c>
      <c r="F256" s="859" t="s">
        <v>304</v>
      </c>
      <c r="G256" s="860">
        <v>0</v>
      </c>
      <c r="H256" s="857" t="s">
        <v>1495</v>
      </c>
      <c r="I256" s="861">
        <v>109.3359375</v>
      </c>
      <c r="J256" s="295">
        <v>109.3671875</v>
      </c>
      <c r="K256" s="296">
        <f t="shared" si="4"/>
        <v>937.5</v>
      </c>
      <c r="L256"/>
    </row>
    <row r="257" spans="1:12">
      <c r="A257" s="855" t="s">
        <v>647</v>
      </c>
      <c r="B257" s="856" t="s">
        <v>1472</v>
      </c>
      <c r="C257" s="856" t="s">
        <v>339</v>
      </c>
      <c r="D257" s="857" t="s">
        <v>339</v>
      </c>
      <c r="E257" s="858">
        <v>-37</v>
      </c>
      <c r="F257" s="859" t="s">
        <v>304</v>
      </c>
      <c r="G257" s="860">
        <v>3416</v>
      </c>
      <c r="H257" s="857" t="s">
        <v>1476</v>
      </c>
      <c r="I257" s="861">
        <v>109.34375</v>
      </c>
      <c r="J257" s="295">
        <v>109.65625</v>
      </c>
      <c r="K257" s="296">
        <f t="shared" si="4"/>
        <v>-11562.5</v>
      </c>
      <c r="L257"/>
    </row>
    <row r="258" spans="1:12">
      <c r="A258" s="855" t="s">
        <v>647</v>
      </c>
      <c r="B258" s="856" t="s">
        <v>1450</v>
      </c>
      <c r="C258" s="856" t="s">
        <v>339</v>
      </c>
      <c r="D258" s="857" t="s">
        <v>339</v>
      </c>
      <c r="E258" s="858">
        <v>-30</v>
      </c>
      <c r="F258" s="859" t="s">
        <v>304</v>
      </c>
      <c r="G258" s="860">
        <v>1281</v>
      </c>
      <c r="H258" s="857" t="s">
        <v>1475</v>
      </c>
      <c r="I258" s="861">
        <v>109.9296875</v>
      </c>
      <c r="J258" s="295">
        <v>109.3828125</v>
      </c>
      <c r="K258" s="296">
        <f t="shared" si="4"/>
        <v>16406.25</v>
      </c>
      <c r="L258"/>
    </row>
    <row r="259" spans="1:12">
      <c r="A259" s="855" t="s">
        <v>647</v>
      </c>
      <c r="B259" s="856" t="s">
        <v>1450</v>
      </c>
      <c r="C259" s="856" t="s">
        <v>339</v>
      </c>
      <c r="D259" s="857" t="s">
        <v>339</v>
      </c>
      <c r="E259" s="858">
        <v>-20</v>
      </c>
      <c r="F259" s="859" t="s">
        <v>304</v>
      </c>
      <c r="G259" s="860">
        <v>854</v>
      </c>
      <c r="H259" s="857" t="s">
        <v>1457</v>
      </c>
      <c r="I259" s="861">
        <v>110.1875</v>
      </c>
      <c r="J259" s="295">
        <v>109.34375</v>
      </c>
      <c r="K259" s="296">
        <f t="shared" si="4"/>
        <v>16875</v>
      </c>
      <c r="L259"/>
    </row>
    <row r="260" spans="1:12">
      <c r="A260" s="855" t="s">
        <v>647</v>
      </c>
      <c r="B260" s="856" t="s">
        <v>1472</v>
      </c>
      <c r="C260" s="856" t="s">
        <v>339</v>
      </c>
      <c r="D260" s="857" t="s">
        <v>339</v>
      </c>
      <c r="E260" s="858">
        <v>-13</v>
      </c>
      <c r="F260" s="859" t="s">
        <v>304</v>
      </c>
      <c r="G260" s="860">
        <v>3416</v>
      </c>
      <c r="H260" s="857" t="s">
        <v>1476</v>
      </c>
      <c r="I260" s="861">
        <v>109.34375</v>
      </c>
      <c r="J260" s="295">
        <v>109.6640625</v>
      </c>
      <c r="K260" s="296">
        <f t="shared" si="4"/>
        <v>-4164.0625</v>
      </c>
      <c r="L260"/>
    </row>
    <row r="261" spans="1:12">
      <c r="A261" s="855" t="s">
        <v>647</v>
      </c>
      <c r="B261" s="856" t="s">
        <v>1472</v>
      </c>
      <c r="C261" s="856" t="s">
        <v>339</v>
      </c>
      <c r="D261" s="857" t="s">
        <v>339</v>
      </c>
      <c r="E261" s="858">
        <v>-50</v>
      </c>
      <c r="F261" s="859" t="s">
        <v>304</v>
      </c>
      <c r="G261" s="860">
        <v>3416</v>
      </c>
      <c r="H261" s="857" t="s">
        <v>1476</v>
      </c>
      <c r="I261" s="861">
        <v>109.34375</v>
      </c>
      <c r="J261" s="295">
        <v>109.3515625</v>
      </c>
      <c r="K261" s="296">
        <f t="shared" si="4"/>
        <v>-390.625</v>
      </c>
      <c r="L261"/>
    </row>
    <row r="262" spans="1:12">
      <c r="A262" s="855" t="s">
        <v>647</v>
      </c>
      <c r="B262" s="856" t="s">
        <v>1491</v>
      </c>
      <c r="C262" s="856" t="s">
        <v>339</v>
      </c>
      <c r="D262" s="857" t="s">
        <v>339</v>
      </c>
      <c r="E262" s="858">
        <v>50</v>
      </c>
      <c r="F262" s="859" t="s">
        <v>638</v>
      </c>
      <c r="G262" s="860">
        <v>0</v>
      </c>
      <c r="H262" s="857" t="s">
        <v>1498</v>
      </c>
      <c r="I262" s="861">
        <v>109.1796875</v>
      </c>
      <c r="J262" s="295">
        <v>109.25</v>
      </c>
      <c r="K262" s="296">
        <f t="shared" si="4"/>
        <v>3515.625</v>
      </c>
      <c r="L262"/>
    </row>
    <row r="263" spans="1:12">
      <c r="A263" s="855" t="s">
        <v>647</v>
      </c>
      <c r="B263" s="856" t="s">
        <v>1491</v>
      </c>
      <c r="C263" s="856" t="s">
        <v>339</v>
      </c>
      <c r="D263" s="857" t="s">
        <v>339</v>
      </c>
      <c r="E263" s="858">
        <v>-50</v>
      </c>
      <c r="F263" s="859" t="s">
        <v>304</v>
      </c>
      <c r="G263" s="860">
        <v>0</v>
      </c>
      <c r="H263" s="857" t="s">
        <v>1510</v>
      </c>
      <c r="I263" s="861">
        <v>109.265625</v>
      </c>
      <c r="J263" s="295">
        <v>109.15625</v>
      </c>
      <c r="K263" s="296">
        <f t="shared" si="4"/>
        <v>5468.75</v>
      </c>
      <c r="L263"/>
    </row>
    <row r="264" spans="1:12">
      <c r="A264" s="855" t="s">
        <v>647</v>
      </c>
      <c r="B264" s="856" t="s">
        <v>1491</v>
      </c>
      <c r="C264" s="856" t="s">
        <v>339</v>
      </c>
      <c r="D264" s="857" t="s">
        <v>339</v>
      </c>
      <c r="E264" s="858">
        <v>-30</v>
      </c>
      <c r="F264" s="859" t="s">
        <v>304</v>
      </c>
      <c r="G264" s="860">
        <v>0</v>
      </c>
      <c r="H264" s="857" t="s">
        <v>1511</v>
      </c>
      <c r="I264" s="861">
        <v>109.0859375</v>
      </c>
      <c r="J264" s="295">
        <v>109.125</v>
      </c>
      <c r="K264" s="296">
        <f t="shared" si="4"/>
        <v>-1171.875</v>
      </c>
      <c r="L264"/>
    </row>
    <row r="265" spans="1:12">
      <c r="A265" s="855" t="s">
        <v>647</v>
      </c>
      <c r="B265" s="856" t="s">
        <v>1491</v>
      </c>
      <c r="C265" s="856" t="s">
        <v>339</v>
      </c>
      <c r="D265" s="857" t="s">
        <v>339</v>
      </c>
      <c r="E265" s="858">
        <v>-30</v>
      </c>
      <c r="F265" s="859" t="s">
        <v>304</v>
      </c>
      <c r="G265" s="860">
        <v>0</v>
      </c>
      <c r="H265" s="857" t="s">
        <v>1512</v>
      </c>
      <c r="I265" s="861">
        <v>109.1328125</v>
      </c>
      <c r="J265" s="295">
        <v>109.125</v>
      </c>
      <c r="K265" s="296">
        <f t="shared" ref="K265:K328" si="5">IF(LEFT(A265,2)="TU",(J265-I265)*E265/100*100000*2,(J265-I265)*E265/100*100000)</f>
        <v>234.375</v>
      </c>
      <c r="L265"/>
    </row>
    <row r="266" spans="1:12">
      <c r="A266" s="855" t="s">
        <v>647</v>
      </c>
      <c r="B266" s="856" t="s">
        <v>1491</v>
      </c>
      <c r="C266" s="856" t="s">
        <v>339</v>
      </c>
      <c r="D266" s="857" t="s">
        <v>339</v>
      </c>
      <c r="E266" s="858">
        <v>30</v>
      </c>
      <c r="F266" s="859" t="s">
        <v>304</v>
      </c>
      <c r="G266" s="860">
        <v>0</v>
      </c>
      <c r="H266" s="857" t="s">
        <v>1513</v>
      </c>
      <c r="I266" s="861">
        <v>109.09375</v>
      </c>
      <c r="J266" s="295">
        <v>109.0390625</v>
      </c>
      <c r="K266" s="296">
        <f t="shared" si="5"/>
        <v>-1640.625</v>
      </c>
      <c r="L266"/>
    </row>
    <row r="267" spans="1:12">
      <c r="A267" s="855" t="s">
        <v>647</v>
      </c>
      <c r="B267" s="856" t="s">
        <v>1491</v>
      </c>
      <c r="C267" s="856" t="s">
        <v>339</v>
      </c>
      <c r="D267" s="857" t="s">
        <v>339</v>
      </c>
      <c r="E267" s="858">
        <v>30</v>
      </c>
      <c r="F267" s="859" t="s">
        <v>304</v>
      </c>
      <c r="G267" s="860">
        <v>0</v>
      </c>
      <c r="H267" s="857" t="s">
        <v>1514</v>
      </c>
      <c r="I267" s="861">
        <v>109.0546875</v>
      </c>
      <c r="J267" s="295">
        <v>109.1484375</v>
      </c>
      <c r="K267" s="296">
        <f t="shared" si="5"/>
        <v>2812.5</v>
      </c>
      <c r="L267"/>
    </row>
    <row r="268" spans="1:12">
      <c r="A268" s="855" t="s">
        <v>647</v>
      </c>
      <c r="B268" s="856" t="s">
        <v>1515</v>
      </c>
      <c r="C268" s="856" t="s">
        <v>339</v>
      </c>
      <c r="D268" s="857" t="s">
        <v>339</v>
      </c>
      <c r="E268" s="858">
        <v>10</v>
      </c>
      <c r="F268" s="859" t="s">
        <v>304</v>
      </c>
      <c r="G268" s="860">
        <v>0</v>
      </c>
      <c r="H268" s="857" t="s">
        <v>1516</v>
      </c>
      <c r="I268" s="861">
        <v>109.3203125</v>
      </c>
      <c r="J268" s="295">
        <v>109.1796875</v>
      </c>
      <c r="K268" s="296">
        <f t="shared" si="5"/>
        <v>-1406.25</v>
      </c>
      <c r="L268"/>
    </row>
    <row r="269" spans="1:12">
      <c r="A269" s="855" t="s">
        <v>647</v>
      </c>
      <c r="B269" s="856" t="s">
        <v>1515</v>
      </c>
      <c r="C269" s="856" t="s">
        <v>339</v>
      </c>
      <c r="D269" s="857" t="s">
        <v>339</v>
      </c>
      <c r="E269" s="858">
        <v>10</v>
      </c>
      <c r="F269" s="859" t="s">
        <v>304</v>
      </c>
      <c r="G269" s="860">
        <v>0</v>
      </c>
      <c r="H269" s="857" t="s">
        <v>1517</v>
      </c>
      <c r="I269" s="861">
        <v>109.34375</v>
      </c>
      <c r="J269" s="295">
        <v>109.2578125</v>
      </c>
      <c r="K269" s="296">
        <f t="shared" si="5"/>
        <v>-859.37500000000011</v>
      </c>
      <c r="L269"/>
    </row>
    <row r="270" spans="1:12">
      <c r="A270" s="855" t="s">
        <v>647</v>
      </c>
      <c r="B270" s="856" t="s">
        <v>1491</v>
      </c>
      <c r="C270" s="856" t="s">
        <v>339</v>
      </c>
      <c r="D270" s="857" t="s">
        <v>339</v>
      </c>
      <c r="E270" s="858">
        <v>20</v>
      </c>
      <c r="F270" s="859" t="s">
        <v>304</v>
      </c>
      <c r="G270" s="860">
        <v>0</v>
      </c>
      <c r="H270" s="857" t="s">
        <v>1518</v>
      </c>
      <c r="I270" s="861">
        <v>109.015625</v>
      </c>
      <c r="J270" s="295">
        <v>109.2578125</v>
      </c>
      <c r="K270" s="296">
        <f t="shared" si="5"/>
        <v>4843.75</v>
      </c>
      <c r="L270"/>
    </row>
    <row r="271" spans="1:12">
      <c r="A271" s="855" t="s">
        <v>647</v>
      </c>
      <c r="B271" s="856" t="s">
        <v>1491</v>
      </c>
      <c r="C271" s="856" t="s">
        <v>339</v>
      </c>
      <c r="D271" s="857" t="s">
        <v>339</v>
      </c>
      <c r="E271" s="858">
        <v>64</v>
      </c>
      <c r="F271" s="859" t="s">
        <v>304</v>
      </c>
      <c r="G271" s="860">
        <v>0</v>
      </c>
      <c r="H271" s="857" t="s">
        <v>1519</v>
      </c>
      <c r="I271" s="861">
        <v>109.34375</v>
      </c>
      <c r="J271" s="295">
        <v>109.140625</v>
      </c>
      <c r="K271" s="296">
        <f t="shared" si="5"/>
        <v>-13000</v>
      </c>
      <c r="L271"/>
    </row>
    <row r="272" spans="1:12">
      <c r="A272" s="855" t="s">
        <v>647</v>
      </c>
      <c r="B272" s="856" t="s">
        <v>1491</v>
      </c>
      <c r="C272" s="856" t="s">
        <v>339</v>
      </c>
      <c r="D272" s="857" t="s">
        <v>339</v>
      </c>
      <c r="E272" s="858">
        <v>16</v>
      </c>
      <c r="F272" s="859" t="s">
        <v>304</v>
      </c>
      <c r="G272" s="860">
        <v>0</v>
      </c>
      <c r="H272" s="857" t="s">
        <v>1519</v>
      </c>
      <c r="I272" s="861">
        <v>109.34375</v>
      </c>
      <c r="J272" s="295">
        <v>109.1484375</v>
      </c>
      <c r="K272" s="296">
        <f t="shared" si="5"/>
        <v>-3125</v>
      </c>
      <c r="L272"/>
    </row>
    <row r="273" spans="1:12">
      <c r="A273" s="855" t="s">
        <v>647</v>
      </c>
      <c r="B273" s="856" t="s">
        <v>1491</v>
      </c>
      <c r="C273" s="856" t="s">
        <v>339</v>
      </c>
      <c r="D273" s="857" t="s">
        <v>339</v>
      </c>
      <c r="E273" s="858">
        <v>20</v>
      </c>
      <c r="F273" s="859" t="s">
        <v>304</v>
      </c>
      <c r="G273" s="860">
        <v>0</v>
      </c>
      <c r="H273" s="857" t="s">
        <v>1519</v>
      </c>
      <c r="I273" s="861">
        <v>109.34375</v>
      </c>
      <c r="J273" s="295">
        <v>109.1796875</v>
      </c>
      <c r="K273" s="296">
        <f t="shared" si="5"/>
        <v>-3281.25</v>
      </c>
      <c r="L273"/>
    </row>
    <row r="274" spans="1:12">
      <c r="A274" s="855" t="s">
        <v>647</v>
      </c>
      <c r="B274" s="856" t="s">
        <v>1472</v>
      </c>
      <c r="C274" s="856" t="s">
        <v>339</v>
      </c>
      <c r="D274" s="857" t="s">
        <v>339</v>
      </c>
      <c r="E274" s="858">
        <v>39</v>
      </c>
      <c r="F274" s="859" t="s">
        <v>304</v>
      </c>
      <c r="G274" s="860">
        <v>-1665.3000000000002</v>
      </c>
      <c r="H274" s="857" t="s">
        <v>1497</v>
      </c>
      <c r="I274" s="861">
        <v>109.34375</v>
      </c>
      <c r="J274" s="295">
        <v>109.1796875</v>
      </c>
      <c r="K274" s="296">
        <f t="shared" si="5"/>
        <v>-6398.4375</v>
      </c>
      <c r="L274"/>
    </row>
    <row r="275" spans="1:12">
      <c r="A275" s="855" t="s">
        <v>647</v>
      </c>
      <c r="B275" s="856" t="s">
        <v>1472</v>
      </c>
      <c r="C275" s="856" t="s">
        <v>339</v>
      </c>
      <c r="D275" s="857" t="s">
        <v>339</v>
      </c>
      <c r="E275" s="858">
        <v>11</v>
      </c>
      <c r="F275" s="859" t="s">
        <v>304</v>
      </c>
      <c r="G275" s="860">
        <v>-469.70000000000005</v>
      </c>
      <c r="H275" s="857" t="s">
        <v>1496</v>
      </c>
      <c r="I275" s="861">
        <v>109.3515625</v>
      </c>
      <c r="J275" s="295">
        <v>109.1796875</v>
      </c>
      <c r="K275" s="296">
        <f t="shared" si="5"/>
        <v>-1890.625</v>
      </c>
      <c r="L275"/>
    </row>
    <row r="276" spans="1:12">
      <c r="A276" s="855" t="s">
        <v>647</v>
      </c>
      <c r="B276" s="856" t="s">
        <v>1491</v>
      </c>
      <c r="C276" s="856" t="s">
        <v>339</v>
      </c>
      <c r="D276" s="857" t="s">
        <v>339</v>
      </c>
      <c r="E276" s="858">
        <v>-50</v>
      </c>
      <c r="F276" s="859" t="s">
        <v>304</v>
      </c>
      <c r="G276" s="860">
        <v>2135</v>
      </c>
      <c r="H276" s="857" t="s">
        <v>1520</v>
      </c>
      <c r="I276" s="861">
        <v>109.03125</v>
      </c>
      <c r="J276" s="295">
        <v>110.7890625</v>
      </c>
      <c r="K276" s="296">
        <f t="shared" si="5"/>
        <v>-87890.625</v>
      </c>
      <c r="L276"/>
    </row>
    <row r="277" spans="1:12">
      <c r="A277" s="855" t="s">
        <v>647</v>
      </c>
      <c r="B277" s="856" t="s">
        <v>1515</v>
      </c>
      <c r="C277" s="856" t="s">
        <v>339</v>
      </c>
      <c r="D277" s="857" t="s">
        <v>339</v>
      </c>
      <c r="E277" s="858">
        <v>-30</v>
      </c>
      <c r="F277" s="859" t="s">
        <v>304</v>
      </c>
      <c r="G277" s="860">
        <v>1281</v>
      </c>
      <c r="H277" s="857" t="s">
        <v>1531</v>
      </c>
      <c r="I277" s="861">
        <v>109.1328125</v>
      </c>
      <c r="J277" s="295">
        <v>110.7890625</v>
      </c>
      <c r="K277" s="296">
        <f t="shared" si="5"/>
        <v>-49687.5</v>
      </c>
      <c r="L277"/>
    </row>
    <row r="278" spans="1:12">
      <c r="A278" s="855" t="s">
        <v>647</v>
      </c>
      <c r="B278" s="856" t="s">
        <v>1491</v>
      </c>
      <c r="C278" s="856" t="s">
        <v>339</v>
      </c>
      <c r="D278" s="857" t="s">
        <v>339</v>
      </c>
      <c r="E278" s="858">
        <v>30</v>
      </c>
      <c r="F278" s="859" t="s">
        <v>638</v>
      </c>
      <c r="G278" s="860">
        <v>-1281</v>
      </c>
      <c r="H278" s="857" t="s">
        <v>1521</v>
      </c>
      <c r="I278" s="861">
        <v>109.484375</v>
      </c>
      <c r="J278" s="295">
        <v>110.859375</v>
      </c>
      <c r="K278" s="296">
        <f t="shared" si="5"/>
        <v>41250</v>
      </c>
      <c r="L278"/>
    </row>
    <row r="279" spans="1:12">
      <c r="A279" s="855" t="s">
        <v>564</v>
      </c>
      <c r="B279" s="856"/>
      <c r="C279" s="856"/>
      <c r="D279" s="857"/>
      <c r="E279" s="858"/>
      <c r="F279" s="859"/>
      <c r="G279" s="860"/>
      <c r="H279" s="857"/>
      <c r="I279" s="861"/>
      <c r="J279" s="295"/>
      <c r="K279" s="296">
        <f t="shared" si="5"/>
        <v>0</v>
      </c>
      <c r="L279"/>
    </row>
    <row r="280" spans="1:12">
      <c r="A280" s="855" t="s">
        <v>564</v>
      </c>
      <c r="B280" s="856"/>
      <c r="C280" s="856"/>
      <c r="D280" s="857"/>
      <c r="E280" s="858"/>
      <c r="F280" s="859"/>
      <c r="G280" s="860"/>
      <c r="H280" s="857"/>
      <c r="I280" s="861"/>
      <c r="J280" s="295"/>
      <c r="K280" s="296">
        <f t="shared" si="5"/>
        <v>0</v>
      </c>
      <c r="L280"/>
    </row>
    <row r="281" spans="1:12">
      <c r="A281" s="855" t="s">
        <v>564</v>
      </c>
      <c r="B281" s="856"/>
      <c r="C281" s="856"/>
      <c r="D281" s="857"/>
      <c r="E281" s="858"/>
      <c r="F281" s="859"/>
      <c r="G281" s="860"/>
      <c r="H281" s="857"/>
      <c r="I281" s="861"/>
      <c r="J281" s="295"/>
      <c r="K281" s="296">
        <f t="shared" si="5"/>
        <v>0</v>
      </c>
      <c r="L281"/>
    </row>
    <row r="282" spans="1:12">
      <c r="A282" s="855" t="s">
        <v>564</v>
      </c>
      <c r="B282" s="856"/>
      <c r="C282" s="856"/>
      <c r="D282" s="857"/>
      <c r="E282" s="858"/>
      <c r="F282" s="859"/>
      <c r="G282" s="860"/>
      <c r="H282" s="857"/>
      <c r="I282" s="861"/>
      <c r="J282" s="295"/>
      <c r="K282" s="296">
        <f t="shared" si="5"/>
        <v>0</v>
      </c>
      <c r="L282"/>
    </row>
    <row r="283" spans="1:12">
      <c r="A283" s="855" t="s">
        <v>564</v>
      </c>
      <c r="B283" s="856"/>
      <c r="C283" s="856"/>
      <c r="D283" s="857"/>
      <c r="E283" s="858"/>
      <c r="F283" s="859"/>
      <c r="G283" s="860"/>
      <c r="H283" s="857"/>
      <c r="I283" s="861"/>
      <c r="J283" s="295"/>
      <c r="K283" s="296">
        <f t="shared" si="5"/>
        <v>0</v>
      </c>
      <c r="L283"/>
    </row>
    <row r="284" spans="1:12">
      <c r="A284" s="855" t="s">
        <v>564</v>
      </c>
      <c r="B284" s="856"/>
      <c r="C284" s="856"/>
      <c r="D284" s="857"/>
      <c r="E284" s="858"/>
      <c r="F284" s="859"/>
      <c r="G284" s="860"/>
      <c r="H284" s="857"/>
      <c r="I284" s="861"/>
      <c r="J284" s="295"/>
      <c r="K284" s="296">
        <f t="shared" si="5"/>
        <v>0</v>
      </c>
      <c r="L284"/>
    </row>
    <row r="285" spans="1:12">
      <c r="A285" s="855" t="s">
        <v>565</v>
      </c>
      <c r="B285" s="856"/>
      <c r="C285" s="856"/>
      <c r="D285" s="857"/>
      <c r="E285" s="858"/>
      <c r="F285" s="859"/>
      <c r="G285" s="860"/>
      <c r="H285" s="857"/>
      <c r="I285" s="861"/>
      <c r="J285" s="295"/>
      <c r="K285" s="296">
        <f t="shared" si="5"/>
        <v>0</v>
      </c>
      <c r="L285"/>
    </row>
    <row r="286" spans="1:12">
      <c r="A286" s="855" t="s">
        <v>565</v>
      </c>
      <c r="B286" s="856"/>
      <c r="C286" s="856"/>
      <c r="D286" s="857"/>
      <c r="E286" s="858"/>
      <c r="F286" s="859"/>
      <c r="G286" s="860"/>
      <c r="H286" s="857"/>
      <c r="I286" s="861"/>
      <c r="J286" s="295"/>
      <c r="K286" s="296">
        <f t="shared" si="5"/>
        <v>0</v>
      </c>
      <c r="L286"/>
    </row>
    <row r="287" spans="1:12">
      <c r="A287" s="855" t="s">
        <v>565</v>
      </c>
      <c r="B287" s="856"/>
      <c r="C287" s="856"/>
      <c r="D287" s="857"/>
      <c r="E287" s="858"/>
      <c r="F287" s="859"/>
      <c r="G287" s="860"/>
      <c r="H287" s="857"/>
      <c r="I287" s="861"/>
      <c r="J287" s="295"/>
      <c r="K287" s="296">
        <f t="shared" si="5"/>
        <v>0</v>
      </c>
      <c r="L287" t="s">
        <v>349</v>
      </c>
    </row>
    <row r="288" spans="1:12">
      <c r="A288" s="855" t="s">
        <v>565</v>
      </c>
      <c r="B288" s="856"/>
      <c r="C288" s="856"/>
      <c r="D288" s="857"/>
      <c r="E288" s="858"/>
      <c r="F288" s="859"/>
      <c r="G288" s="860"/>
      <c r="H288" s="857"/>
      <c r="I288" s="861"/>
      <c r="J288" s="295"/>
      <c r="K288" s="296">
        <f t="shared" si="5"/>
        <v>0</v>
      </c>
      <c r="L288"/>
    </row>
    <row r="289" spans="1:12">
      <c r="A289" s="855" t="s">
        <v>579</v>
      </c>
      <c r="B289" s="856"/>
      <c r="C289" s="856"/>
      <c r="D289" s="857"/>
      <c r="E289" s="858"/>
      <c r="F289" s="859"/>
      <c r="G289" s="860"/>
      <c r="H289" s="857"/>
      <c r="I289" s="861"/>
      <c r="J289" s="295"/>
      <c r="K289" s="296">
        <f t="shared" si="5"/>
        <v>0</v>
      </c>
      <c r="L289"/>
    </row>
    <row r="290" spans="1:12">
      <c r="A290" s="855" t="s">
        <v>579</v>
      </c>
      <c r="B290" s="856"/>
      <c r="C290" s="856"/>
      <c r="D290" s="857"/>
      <c r="E290" s="858"/>
      <c r="F290" s="859"/>
      <c r="G290" s="860"/>
      <c r="H290" s="857"/>
      <c r="I290" s="861"/>
      <c r="J290" s="295"/>
      <c r="K290" s="296">
        <f t="shared" si="5"/>
        <v>0</v>
      </c>
      <c r="L290"/>
    </row>
    <row r="291" spans="1:12">
      <c r="A291" s="855" t="s">
        <v>565</v>
      </c>
      <c r="B291" s="856"/>
      <c r="C291" s="856"/>
      <c r="D291" s="857"/>
      <c r="E291" s="858"/>
      <c r="F291" s="859"/>
      <c r="G291" s="860"/>
      <c r="H291" s="857"/>
      <c r="I291" s="861"/>
      <c r="J291" s="295"/>
      <c r="K291" s="296">
        <f t="shared" si="5"/>
        <v>0</v>
      </c>
      <c r="L291"/>
    </row>
    <row r="292" spans="1:12">
      <c r="A292" s="855" t="s">
        <v>565</v>
      </c>
      <c r="B292" s="856"/>
      <c r="C292" s="856"/>
      <c r="D292" s="857"/>
      <c r="E292" s="858"/>
      <c r="F292" s="859"/>
      <c r="G292" s="860"/>
      <c r="H292" s="857"/>
      <c r="I292" s="861"/>
      <c r="J292" s="295"/>
      <c r="K292" s="296">
        <f t="shared" si="5"/>
        <v>0</v>
      </c>
      <c r="L292"/>
    </row>
    <row r="293" spans="1:12">
      <c r="A293" s="855" t="s">
        <v>565</v>
      </c>
      <c r="B293" s="856"/>
      <c r="C293" s="856"/>
      <c r="D293" s="857"/>
      <c r="E293" s="858"/>
      <c r="F293" s="859"/>
      <c r="G293" s="860"/>
      <c r="H293" s="857"/>
      <c r="I293" s="861"/>
      <c r="J293" s="295"/>
      <c r="K293" s="296">
        <f t="shared" si="5"/>
        <v>0</v>
      </c>
      <c r="L293"/>
    </row>
    <row r="294" spans="1:12">
      <c r="A294" s="855" t="s">
        <v>565</v>
      </c>
      <c r="B294" s="856"/>
      <c r="C294" s="856"/>
      <c r="D294" s="857"/>
      <c r="E294" s="858"/>
      <c r="F294" s="859"/>
      <c r="G294" s="860"/>
      <c r="H294" s="857"/>
      <c r="I294" s="861"/>
      <c r="J294" s="295"/>
      <c r="K294" s="296">
        <f t="shared" si="5"/>
        <v>0</v>
      </c>
      <c r="L294"/>
    </row>
    <row r="295" spans="1:12">
      <c r="A295" s="855" t="s">
        <v>565</v>
      </c>
      <c r="B295" s="856"/>
      <c r="C295" s="856"/>
      <c r="D295" s="857"/>
      <c r="E295" s="858"/>
      <c r="F295" s="859"/>
      <c r="G295" s="860"/>
      <c r="H295" s="857"/>
      <c r="I295" s="861"/>
      <c r="J295" s="295"/>
      <c r="K295" s="296">
        <f t="shared" si="5"/>
        <v>0</v>
      </c>
      <c r="L295"/>
    </row>
    <row r="296" spans="1:12">
      <c r="A296" s="855" t="s">
        <v>565</v>
      </c>
      <c r="B296" s="856"/>
      <c r="C296" s="856"/>
      <c r="D296" s="857"/>
      <c r="E296" s="858"/>
      <c r="F296" s="859"/>
      <c r="G296" s="860"/>
      <c r="H296" s="857"/>
      <c r="I296" s="861"/>
      <c r="J296" s="295"/>
      <c r="K296" s="296">
        <f t="shared" si="5"/>
        <v>0</v>
      </c>
      <c r="L296"/>
    </row>
    <row r="297" spans="1:12">
      <c r="A297" s="855" t="s">
        <v>565</v>
      </c>
      <c r="B297" s="856"/>
      <c r="C297" s="856"/>
      <c r="D297" s="857"/>
      <c r="E297" s="858"/>
      <c r="F297" s="859"/>
      <c r="G297" s="860"/>
      <c r="H297" s="857"/>
      <c r="I297" s="861"/>
      <c r="J297" s="295"/>
      <c r="K297" s="296">
        <f t="shared" si="5"/>
        <v>0</v>
      </c>
      <c r="L297"/>
    </row>
    <row r="298" spans="1:12">
      <c r="A298" s="855" t="s">
        <v>565</v>
      </c>
      <c r="B298" s="856"/>
      <c r="C298" s="856"/>
      <c r="D298" s="857"/>
      <c r="E298" s="858"/>
      <c r="F298" s="859"/>
      <c r="G298" s="860"/>
      <c r="H298" s="857"/>
      <c r="I298" s="861"/>
      <c r="J298" s="295"/>
      <c r="K298" s="296">
        <f t="shared" si="5"/>
        <v>0</v>
      </c>
      <c r="L298"/>
    </row>
    <row r="299" spans="1:12">
      <c r="A299" s="855" t="s">
        <v>579</v>
      </c>
      <c r="B299" s="856"/>
      <c r="C299" s="856"/>
      <c r="D299" s="857"/>
      <c r="E299" s="858"/>
      <c r="F299" s="859"/>
      <c r="G299" s="860"/>
      <c r="H299" s="857"/>
      <c r="I299" s="861"/>
      <c r="J299" s="295"/>
      <c r="K299" s="296">
        <f t="shared" si="5"/>
        <v>0</v>
      </c>
      <c r="L299"/>
    </row>
    <row r="300" spans="1:12">
      <c r="A300" s="855" t="s">
        <v>579</v>
      </c>
      <c r="B300" s="856"/>
      <c r="C300" s="856"/>
      <c r="D300" s="857"/>
      <c r="E300" s="858"/>
      <c r="F300" s="859"/>
      <c r="G300" s="860"/>
      <c r="H300" s="857"/>
      <c r="I300" s="861"/>
      <c r="J300" s="295"/>
      <c r="K300" s="296">
        <f t="shared" si="5"/>
        <v>0</v>
      </c>
      <c r="L300"/>
    </row>
    <row r="301" spans="1:12">
      <c r="A301" s="855" t="s">
        <v>564</v>
      </c>
      <c r="B301" s="856"/>
      <c r="C301" s="856"/>
      <c r="D301" s="857"/>
      <c r="E301" s="858"/>
      <c r="F301" s="859"/>
      <c r="G301" s="860"/>
      <c r="H301" s="857"/>
      <c r="I301" s="861"/>
      <c r="J301" s="295"/>
      <c r="K301" s="296">
        <f t="shared" si="5"/>
        <v>0</v>
      </c>
      <c r="L301"/>
    </row>
    <row r="302" spans="1:12">
      <c r="A302" s="855" t="s">
        <v>565</v>
      </c>
      <c r="B302" s="856"/>
      <c r="C302" s="856"/>
      <c r="D302" s="857"/>
      <c r="E302" s="858"/>
      <c r="F302" s="859"/>
      <c r="G302" s="860"/>
      <c r="H302" s="857"/>
      <c r="I302" s="861"/>
      <c r="J302" s="295"/>
      <c r="K302" s="296">
        <f t="shared" si="5"/>
        <v>0</v>
      </c>
      <c r="L302"/>
    </row>
    <row r="303" spans="1:12">
      <c r="A303" s="855" t="s">
        <v>565</v>
      </c>
      <c r="B303" s="856"/>
      <c r="C303" s="856"/>
      <c r="D303" s="857"/>
      <c r="E303" s="858"/>
      <c r="F303" s="859"/>
      <c r="G303" s="860"/>
      <c r="H303" s="857"/>
      <c r="I303" s="861"/>
      <c r="J303" s="295"/>
      <c r="K303" s="296">
        <f t="shared" si="5"/>
        <v>0</v>
      </c>
      <c r="L303"/>
    </row>
    <row r="304" spans="1:12">
      <c r="A304" s="855" t="s">
        <v>565</v>
      </c>
      <c r="B304" s="856"/>
      <c r="C304" s="856"/>
      <c r="D304" s="857"/>
      <c r="E304" s="858"/>
      <c r="F304" s="859"/>
      <c r="G304" s="860"/>
      <c r="H304" s="857"/>
      <c r="I304" s="861"/>
      <c r="J304" s="295"/>
      <c r="K304" s="296">
        <f t="shared" si="5"/>
        <v>0</v>
      </c>
      <c r="L304"/>
    </row>
    <row r="305" spans="1:12">
      <c r="A305" s="855" t="s">
        <v>565</v>
      </c>
      <c r="B305" s="856"/>
      <c r="C305" s="856"/>
      <c r="D305" s="857"/>
      <c r="E305" s="858"/>
      <c r="F305" s="859"/>
      <c r="G305" s="860"/>
      <c r="H305" s="857"/>
      <c r="I305" s="861"/>
      <c r="J305" s="295"/>
      <c r="K305" s="296">
        <f t="shared" si="5"/>
        <v>0</v>
      </c>
      <c r="L305"/>
    </row>
    <row r="306" spans="1:12">
      <c r="A306" s="855" t="s">
        <v>565</v>
      </c>
      <c r="B306" s="856"/>
      <c r="C306" s="856"/>
      <c r="D306" s="857"/>
      <c r="E306" s="858"/>
      <c r="F306" s="859"/>
      <c r="G306" s="860"/>
      <c r="H306" s="857"/>
      <c r="I306" s="861"/>
      <c r="J306" s="295"/>
      <c r="K306" s="296">
        <f t="shared" si="5"/>
        <v>0</v>
      </c>
      <c r="L306"/>
    </row>
    <row r="307" spans="1:12">
      <c r="A307" s="855" t="s">
        <v>565</v>
      </c>
      <c r="B307" s="856"/>
      <c r="C307" s="856"/>
      <c r="D307" s="857"/>
      <c r="E307" s="858"/>
      <c r="F307" s="859"/>
      <c r="G307" s="860"/>
      <c r="H307" s="857"/>
      <c r="I307" s="861"/>
      <c r="J307" s="295"/>
      <c r="K307" s="296">
        <f t="shared" si="5"/>
        <v>0</v>
      </c>
      <c r="L307"/>
    </row>
    <row r="308" spans="1:12">
      <c r="A308" s="855" t="s">
        <v>565</v>
      </c>
      <c r="B308" s="856"/>
      <c r="C308" s="856"/>
      <c r="D308" s="857"/>
      <c r="E308" s="858"/>
      <c r="F308" s="859"/>
      <c r="G308" s="860"/>
      <c r="H308" s="857"/>
      <c r="I308" s="861"/>
      <c r="J308" s="295"/>
      <c r="K308" s="296">
        <f t="shared" si="5"/>
        <v>0</v>
      </c>
      <c r="L308"/>
    </row>
    <row r="309" spans="1:12">
      <c r="A309" s="855" t="s">
        <v>565</v>
      </c>
      <c r="B309" s="856"/>
      <c r="C309" s="856"/>
      <c r="D309" s="857"/>
      <c r="E309" s="858"/>
      <c r="F309" s="859"/>
      <c r="G309" s="860"/>
      <c r="H309" s="857"/>
      <c r="I309" s="861"/>
      <c r="J309" s="295"/>
      <c r="K309" s="296">
        <f t="shared" si="5"/>
        <v>0</v>
      </c>
      <c r="L309"/>
    </row>
    <row r="310" spans="1:12">
      <c r="A310" s="855" t="s">
        <v>565</v>
      </c>
      <c r="B310" s="856"/>
      <c r="C310" s="856"/>
      <c r="D310" s="857"/>
      <c r="E310" s="858"/>
      <c r="F310" s="859"/>
      <c r="G310" s="860"/>
      <c r="H310" s="857"/>
      <c r="I310" s="861"/>
      <c r="J310" s="295"/>
      <c r="K310" s="296">
        <f t="shared" si="5"/>
        <v>0</v>
      </c>
      <c r="L310"/>
    </row>
    <row r="311" spans="1:12">
      <c r="A311" s="855" t="s">
        <v>565</v>
      </c>
      <c r="B311" s="856"/>
      <c r="C311" s="856"/>
      <c r="D311" s="857"/>
      <c r="E311" s="858"/>
      <c r="F311" s="859"/>
      <c r="G311" s="860"/>
      <c r="H311" s="857"/>
      <c r="I311" s="861"/>
      <c r="J311" s="295"/>
      <c r="K311" s="296">
        <f t="shared" si="5"/>
        <v>0</v>
      </c>
      <c r="L311"/>
    </row>
    <row r="312" spans="1:12">
      <c r="A312" s="855" t="s">
        <v>565</v>
      </c>
      <c r="B312" s="856"/>
      <c r="C312" s="856"/>
      <c r="D312" s="857"/>
      <c r="E312" s="858"/>
      <c r="F312" s="859"/>
      <c r="G312" s="860"/>
      <c r="H312" s="857"/>
      <c r="I312" s="861"/>
      <c r="J312" s="295"/>
      <c r="K312" s="296">
        <f t="shared" si="5"/>
        <v>0</v>
      </c>
      <c r="L312"/>
    </row>
    <row r="313" spans="1:12">
      <c r="A313" s="855" t="s">
        <v>565</v>
      </c>
      <c r="B313" s="856"/>
      <c r="C313" s="856"/>
      <c r="D313" s="857"/>
      <c r="E313" s="858"/>
      <c r="F313" s="859"/>
      <c r="G313" s="860"/>
      <c r="H313" s="857"/>
      <c r="I313" s="861"/>
      <c r="J313" s="295"/>
      <c r="K313" s="296">
        <f t="shared" si="5"/>
        <v>0</v>
      </c>
      <c r="L313"/>
    </row>
    <row r="314" spans="1:12">
      <c r="A314" s="855" t="s">
        <v>565</v>
      </c>
      <c r="B314" s="856"/>
      <c r="C314" s="856"/>
      <c r="D314" s="857"/>
      <c r="E314" s="858"/>
      <c r="F314" s="859"/>
      <c r="G314" s="860"/>
      <c r="H314" s="857"/>
      <c r="I314" s="861"/>
      <c r="J314" s="295"/>
      <c r="K314" s="296">
        <f t="shared" si="5"/>
        <v>0</v>
      </c>
      <c r="L314"/>
    </row>
    <row r="315" spans="1:12">
      <c r="A315" s="855" t="s">
        <v>579</v>
      </c>
      <c r="B315" s="856"/>
      <c r="C315" s="856"/>
      <c r="D315" s="857"/>
      <c r="E315" s="858"/>
      <c r="F315" s="859"/>
      <c r="G315" s="860"/>
      <c r="H315" s="857"/>
      <c r="I315" s="861"/>
      <c r="J315" s="295"/>
      <c r="K315" s="296">
        <f t="shared" si="5"/>
        <v>0</v>
      </c>
      <c r="L315"/>
    </row>
    <row r="316" spans="1:12">
      <c r="A316" s="855" t="s">
        <v>579</v>
      </c>
      <c r="B316" s="856"/>
      <c r="C316" s="856"/>
      <c r="D316" s="857"/>
      <c r="E316" s="858"/>
      <c r="F316" s="859"/>
      <c r="G316" s="860"/>
      <c r="H316" s="857"/>
      <c r="I316" s="861"/>
      <c r="J316" s="295"/>
      <c r="K316" s="296">
        <f t="shared" si="5"/>
        <v>0</v>
      </c>
      <c r="L316"/>
    </row>
    <row r="317" spans="1:12">
      <c r="A317" s="855" t="s">
        <v>579</v>
      </c>
      <c r="B317" s="856"/>
      <c r="C317" s="856"/>
      <c r="D317" s="857"/>
      <c r="E317" s="858"/>
      <c r="F317" s="859"/>
      <c r="G317" s="860"/>
      <c r="H317" s="857"/>
      <c r="I317" s="861"/>
      <c r="J317" s="295"/>
      <c r="K317" s="296">
        <f t="shared" si="5"/>
        <v>0</v>
      </c>
      <c r="L317"/>
    </row>
    <row r="318" spans="1:12">
      <c r="A318" s="855" t="s">
        <v>579</v>
      </c>
      <c r="B318" s="856"/>
      <c r="C318" s="856"/>
      <c r="D318" s="857"/>
      <c r="E318" s="858"/>
      <c r="F318" s="859"/>
      <c r="G318" s="860"/>
      <c r="H318" s="857"/>
      <c r="I318" s="861"/>
      <c r="J318" s="295"/>
      <c r="K318" s="296">
        <f t="shared" si="5"/>
        <v>0</v>
      </c>
      <c r="L318"/>
    </row>
    <row r="319" spans="1:12">
      <c r="A319" s="855" t="s">
        <v>579</v>
      </c>
      <c r="B319" s="856"/>
      <c r="C319" s="856"/>
      <c r="D319" s="857"/>
      <c r="E319" s="858"/>
      <c r="F319" s="859"/>
      <c r="G319" s="860"/>
      <c r="H319" s="857"/>
      <c r="I319" s="861"/>
      <c r="J319" s="295"/>
      <c r="K319" s="296">
        <f t="shared" si="5"/>
        <v>0</v>
      </c>
      <c r="L319"/>
    </row>
    <row r="320" spans="1:12">
      <c r="A320" s="855" t="s">
        <v>579</v>
      </c>
      <c r="B320" s="856"/>
      <c r="C320" s="856"/>
      <c r="D320" s="857"/>
      <c r="E320" s="858"/>
      <c r="F320" s="859"/>
      <c r="G320" s="860"/>
      <c r="H320" s="857"/>
      <c r="I320" s="861"/>
      <c r="J320" s="295"/>
      <c r="K320" s="296">
        <f t="shared" si="5"/>
        <v>0</v>
      </c>
      <c r="L320"/>
    </row>
    <row r="321" spans="1:12">
      <c r="A321" s="855" t="s">
        <v>579</v>
      </c>
      <c r="B321" s="856"/>
      <c r="C321" s="856"/>
      <c r="D321" s="857"/>
      <c r="E321" s="858"/>
      <c r="F321" s="859"/>
      <c r="G321" s="860"/>
      <c r="H321" s="857"/>
      <c r="I321" s="861"/>
      <c r="J321" s="295"/>
      <c r="K321" s="296">
        <f t="shared" si="5"/>
        <v>0</v>
      </c>
      <c r="L321"/>
    </row>
    <row r="322" spans="1:12">
      <c r="A322" s="855" t="s">
        <v>579</v>
      </c>
      <c r="B322" s="856"/>
      <c r="C322" s="856"/>
      <c r="D322" s="857"/>
      <c r="E322" s="858"/>
      <c r="F322" s="859"/>
      <c r="G322" s="860"/>
      <c r="H322" s="857"/>
      <c r="I322" s="861"/>
      <c r="J322" s="295"/>
      <c r="K322" s="296">
        <f t="shared" si="5"/>
        <v>0</v>
      </c>
      <c r="L322"/>
    </row>
    <row r="323" spans="1:12">
      <c r="A323" s="855" t="s">
        <v>579</v>
      </c>
      <c r="B323" s="856"/>
      <c r="C323" s="856"/>
      <c r="D323" s="857"/>
      <c r="E323" s="858"/>
      <c r="F323" s="859"/>
      <c r="G323" s="860"/>
      <c r="H323" s="857"/>
      <c r="I323" s="861"/>
      <c r="J323" s="295"/>
      <c r="K323" s="296">
        <f t="shared" si="5"/>
        <v>0</v>
      </c>
      <c r="L323"/>
    </row>
    <row r="324" spans="1:12">
      <c r="A324" s="855" t="s">
        <v>579</v>
      </c>
      <c r="B324" s="856"/>
      <c r="C324" s="856"/>
      <c r="D324" s="857"/>
      <c r="E324" s="858"/>
      <c r="F324" s="859"/>
      <c r="G324" s="860"/>
      <c r="H324" s="857"/>
      <c r="I324" s="861"/>
      <c r="J324" s="295"/>
      <c r="K324" s="296">
        <f t="shared" si="5"/>
        <v>0</v>
      </c>
      <c r="L324"/>
    </row>
    <row r="325" spans="1:12">
      <c r="A325" s="855" t="s">
        <v>579</v>
      </c>
      <c r="B325" s="856"/>
      <c r="C325" s="856"/>
      <c r="D325" s="857"/>
      <c r="E325" s="858"/>
      <c r="F325" s="859"/>
      <c r="G325" s="860"/>
      <c r="H325" s="857"/>
      <c r="I325" s="861"/>
      <c r="J325" s="295"/>
      <c r="K325" s="296">
        <f t="shared" si="5"/>
        <v>0</v>
      </c>
      <c r="L325"/>
    </row>
    <row r="326" spans="1:12">
      <c r="A326" s="855" t="s">
        <v>579</v>
      </c>
      <c r="B326" s="856"/>
      <c r="C326" s="856"/>
      <c r="D326" s="857"/>
      <c r="E326" s="858"/>
      <c r="F326" s="859"/>
      <c r="G326" s="860"/>
      <c r="H326" s="857"/>
      <c r="I326" s="861"/>
      <c r="J326" s="295"/>
      <c r="K326" s="296">
        <f t="shared" si="5"/>
        <v>0</v>
      </c>
      <c r="L326"/>
    </row>
    <row r="327" spans="1:12">
      <c r="A327" s="855" t="s">
        <v>579</v>
      </c>
      <c r="B327" s="856"/>
      <c r="C327" s="856"/>
      <c r="D327" s="857"/>
      <c r="E327" s="858"/>
      <c r="F327" s="859"/>
      <c r="G327" s="860"/>
      <c r="H327" s="857"/>
      <c r="I327" s="861"/>
      <c r="J327" s="295"/>
      <c r="K327" s="296">
        <f t="shared" si="5"/>
        <v>0</v>
      </c>
      <c r="L327"/>
    </row>
    <row r="328" spans="1:12">
      <c r="A328" s="855" t="s">
        <v>579</v>
      </c>
      <c r="B328" s="856"/>
      <c r="C328" s="856"/>
      <c r="D328" s="857"/>
      <c r="E328" s="858"/>
      <c r="F328" s="859"/>
      <c r="G328" s="860"/>
      <c r="H328" s="857"/>
      <c r="I328" s="861"/>
      <c r="J328" s="295"/>
      <c r="K328" s="296">
        <f t="shared" si="5"/>
        <v>0</v>
      </c>
      <c r="L328"/>
    </row>
    <row r="329" spans="1:12">
      <c r="A329" s="855" t="s">
        <v>565</v>
      </c>
      <c r="B329" s="856"/>
      <c r="C329" s="856"/>
      <c r="D329" s="857"/>
      <c r="E329" s="858"/>
      <c r="F329" s="859"/>
      <c r="G329" s="860"/>
      <c r="H329" s="857"/>
      <c r="I329" s="861"/>
      <c r="J329" s="295"/>
      <c r="K329" s="296">
        <f t="shared" ref="K329:K392" si="6">IF(LEFT(A329,2)="TU",(J329-I329)*E329/100*100000*2,(J329-I329)*E329/100*100000)</f>
        <v>0</v>
      </c>
      <c r="L329"/>
    </row>
    <row r="330" spans="1:12">
      <c r="A330" s="855" t="s">
        <v>565</v>
      </c>
      <c r="B330" s="856"/>
      <c r="C330" s="856"/>
      <c r="D330" s="857"/>
      <c r="E330" s="858"/>
      <c r="F330" s="859"/>
      <c r="G330" s="860"/>
      <c r="H330" s="857"/>
      <c r="I330" s="861"/>
      <c r="J330" s="295"/>
      <c r="K330" s="296">
        <f t="shared" si="6"/>
        <v>0</v>
      </c>
      <c r="L330"/>
    </row>
    <row r="331" spans="1:12">
      <c r="A331" s="855" t="s">
        <v>565</v>
      </c>
      <c r="B331" s="856"/>
      <c r="C331" s="856"/>
      <c r="D331" s="857"/>
      <c r="E331" s="858"/>
      <c r="F331" s="859"/>
      <c r="G331" s="860"/>
      <c r="H331" s="857"/>
      <c r="I331" s="861"/>
      <c r="J331" s="295"/>
      <c r="K331" s="296">
        <f t="shared" si="6"/>
        <v>0</v>
      </c>
      <c r="L331"/>
    </row>
    <row r="332" spans="1:12">
      <c r="A332" s="855" t="s">
        <v>565</v>
      </c>
      <c r="B332" s="856"/>
      <c r="C332" s="856"/>
      <c r="D332" s="857"/>
      <c r="E332" s="858"/>
      <c r="F332" s="859"/>
      <c r="G332" s="860"/>
      <c r="H332" s="857"/>
      <c r="I332" s="861"/>
      <c r="J332" s="295"/>
      <c r="K332" s="296">
        <f t="shared" si="6"/>
        <v>0</v>
      </c>
      <c r="L332"/>
    </row>
    <row r="333" spans="1:12">
      <c r="A333" s="855" t="s">
        <v>565</v>
      </c>
      <c r="B333" s="856"/>
      <c r="C333" s="856"/>
      <c r="D333" s="857"/>
      <c r="E333" s="858"/>
      <c r="F333" s="859"/>
      <c r="G333" s="860"/>
      <c r="H333" s="857"/>
      <c r="I333" s="861"/>
      <c r="J333" s="295"/>
      <c r="K333" s="296">
        <f t="shared" si="6"/>
        <v>0</v>
      </c>
      <c r="L333"/>
    </row>
    <row r="334" spans="1:12">
      <c r="A334" s="855" t="s">
        <v>565</v>
      </c>
      <c r="B334" s="856"/>
      <c r="C334" s="856"/>
      <c r="D334" s="857"/>
      <c r="E334" s="858"/>
      <c r="F334" s="859"/>
      <c r="G334" s="860"/>
      <c r="H334" s="857"/>
      <c r="I334" s="861"/>
      <c r="J334" s="295"/>
      <c r="K334" s="296">
        <f t="shared" si="6"/>
        <v>0</v>
      </c>
      <c r="L334"/>
    </row>
    <row r="335" spans="1:12">
      <c r="A335" s="855" t="s">
        <v>565</v>
      </c>
      <c r="B335" s="856"/>
      <c r="C335" s="856"/>
      <c r="D335" s="857"/>
      <c r="E335" s="858"/>
      <c r="F335" s="859"/>
      <c r="G335" s="860"/>
      <c r="H335" s="857"/>
      <c r="I335" s="861"/>
      <c r="J335" s="295"/>
      <c r="K335" s="296">
        <f t="shared" si="6"/>
        <v>0</v>
      </c>
      <c r="L335"/>
    </row>
    <row r="336" spans="1:12">
      <c r="A336" s="855" t="s">
        <v>565</v>
      </c>
      <c r="B336" s="856"/>
      <c r="C336" s="856"/>
      <c r="D336" s="857"/>
      <c r="E336" s="858"/>
      <c r="F336" s="859"/>
      <c r="G336" s="860"/>
      <c r="H336" s="857"/>
      <c r="I336" s="861"/>
      <c r="J336" s="295"/>
      <c r="K336" s="296">
        <f t="shared" si="6"/>
        <v>0</v>
      </c>
      <c r="L336"/>
    </row>
    <row r="337" spans="1:12">
      <c r="A337" s="855" t="s">
        <v>565</v>
      </c>
      <c r="B337" s="856"/>
      <c r="C337" s="856"/>
      <c r="D337" s="857"/>
      <c r="E337" s="858"/>
      <c r="F337" s="859"/>
      <c r="G337" s="860"/>
      <c r="H337" s="857"/>
      <c r="I337" s="861"/>
      <c r="J337" s="295"/>
      <c r="K337" s="296">
        <f t="shared" si="6"/>
        <v>0</v>
      </c>
      <c r="L337"/>
    </row>
    <row r="338" spans="1:12">
      <c r="A338" s="855" t="s">
        <v>565</v>
      </c>
      <c r="B338" s="856"/>
      <c r="C338" s="856"/>
      <c r="D338" s="857"/>
      <c r="E338" s="858"/>
      <c r="F338" s="859"/>
      <c r="G338" s="860"/>
      <c r="H338" s="857"/>
      <c r="I338" s="861"/>
      <c r="J338" s="295"/>
      <c r="K338" s="296">
        <f t="shared" si="6"/>
        <v>0</v>
      </c>
      <c r="L338"/>
    </row>
    <row r="339" spans="1:12">
      <c r="A339" s="855" t="s">
        <v>565</v>
      </c>
      <c r="B339" s="856"/>
      <c r="C339" s="856"/>
      <c r="D339" s="857"/>
      <c r="E339" s="858"/>
      <c r="F339" s="859"/>
      <c r="G339" s="860"/>
      <c r="H339" s="857"/>
      <c r="I339" s="861"/>
      <c r="J339" s="295"/>
      <c r="K339" s="296">
        <f t="shared" si="6"/>
        <v>0</v>
      </c>
      <c r="L339"/>
    </row>
    <row r="340" spans="1:12">
      <c r="A340" s="855" t="s">
        <v>565</v>
      </c>
      <c r="B340" s="856"/>
      <c r="C340" s="856"/>
      <c r="D340" s="857"/>
      <c r="E340" s="858"/>
      <c r="F340" s="859"/>
      <c r="G340" s="860"/>
      <c r="H340" s="857"/>
      <c r="I340" s="861"/>
      <c r="J340" s="295"/>
      <c r="K340" s="296">
        <f t="shared" si="6"/>
        <v>0</v>
      </c>
      <c r="L340"/>
    </row>
    <row r="341" spans="1:12">
      <c r="A341" s="855" t="s">
        <v>565</v>
      </c>
      <c r="B341" s="856"/>
      <c r="C341" s="856"/>
      <c r="D341" s="857"/>
      <c r="E341" s="858"/>
      <c r="F341" s="859"/>
      <c r="G341" s="860"/>
      <c r="H341" s="857"/>
      <c r="I341" s="861"/>
      <c r="J341" s="295"/>
      <c r="K341" s="296">
        <f t="shared" si="6"/>
        <v>0</v>
      </c>
      <c r="L341"/>
    </row>
    <row r="342" spans="1:12">
      <c r="A342" s="855" t="s">
        <v>565</v>
      </c>
      <c r="B342" s="856"/>
      <c r="C342" s="856"/>
      <c r="D342" s="857"/>
      <c r="E342" s="858"/>
      <c r="F342" s="859"/>
      <c r="G342" s="860"/>
      <c r="H342" s="857"/>
      <c r="I342" s="861"/>
      <c r="J342" s="295"/>
      <c r="K342" s="296">
        <f t="shared" si="6"/>
        <v>0</v>
      </c>
      <c r="L342"/>
    </row>
    <row r="343" spans="1:12">
      <c r="A343" s="855" t="s">
        <v>579</v>
      </c>
      <c r="B343" s="856"/>
      <c r="C343" s="856"/>
      <c r="D343" s="857"/>
      <c r="E343" s="858"/>
      <c r="F343" s="859"/>
      <c r="G343" s="860"/>
      <c r="H343" s="857"/>
      <c r="I343" s="861"/>
      <c r="J343" s="295"/>
      <c r="K343" s="296">
        <f t="shared" si="6"/>
        <v>0</v>
      </c>
      <c r="L343"/>
    </row>
    <row r="344" spans="1:12">
      <c r="A344" s="855" t="s">
        <v>579</v>
      </c>
      <c r="B344" s="856"/>
      <c r="C344" s="856"/>
      <c r="D344" s="857"/>
      <c r="E344" s="858"/>
      <c r="F344" s="859"/>
      <c r="G344" s="860"/>
      <c r="H344" s="857"/>
      <c r="I344" s="861"/>
      <c r="J344" s="295"/>
      <c r="K344" s="296">
        <f t="shared" si="6"/>
        <v>0</v>
      </c>
      <c r="L344"/>
    </row>
    <row r="345" spans="1:12">
      <c r="A345" s="855" t="s">
        <v>564</v>
      </c>
      <c r="B345" s="856"/>
      <c r="C345" s="856"/>
      <c r="D345" s="857"/>
      <c r="E345" s="858"/>
      <c r="F345" s="859"/>
      <c r="G345" s="860"/>
      <c r="H345" s="857"/>
      <c r="I345" s="861"/>
      <c r="J345" s="295"/>
      <c r="K345" s="296">
        <f t="shared" si="6"/>
        <v>0</v>
      </c>
      <c r="L345"/>
    </row>
    <row r="346" spans="1:12">
      <c r="A346" s="855" t="s">
        <v>564</v>
      </c>
      <c r="B346" s="856"/>
      <c r="C346" s="856"/>
      <c r="D346" s="857"/>
      <c r="E346" s="858"/>
      <c r="F346" s="859"/>
      <c r="G346" s="860"/>
      <c r="H346" s="857"/>
      <c r="I346" s="861"/>
      <c r="J346" s="295"/>
      <c r="K346" s="296">
        <f t="shared" si="6"/>
        <v>0</v>
      </c>
      <c r="L346"/>
    </row>
    <row r="347" spans="1:12">
      <c r="A347" s="855" t="s">
        <v>564</v>
      </c>
      <c r="B347" s="856"/>
      <c r="C347" s="856"/>
      <c r="D347" s="857"/>
      <c r="E347" s="858"/>
      <c r="F347" s="859"/>
      <c r="G347" s="860"/>
      <c r="H347" s="857"/>
      <c r="I347" s="861"/>
      <c r="J347" s="295"/>
      <c r="K347" s="296">
        <f t="shared" si="6"/>
        <v>0</v>
      </c>
      <c r="L347"/>
    </row>
    <row r="348" spans="1:12">
      <c r="A348" s="855" t="s">
        <v>564</v>
      </c>
      <c r="B348" s="856"/>
      <c r="C348" s="856"/>
      <c r="D348" s="857"/>
      <c r="E348" s="858"/>
      <c r="F348" s="859"/>
      <c r="G348" s="860"/>
      <c r="H348" s="857"/>
      <c r="I348" s="861"/>
      <c r="J348" s="295"/>
      <c r="K348" s="296">
        <f t="shared" si="6"/>
        <v>0</v>
      </c>
      <c r="L348"/>
    </row>
    <row r="349" spans="1:12">
      <c r="A349" s="855" t="s">
        <v>564</v>
      </c>
      <c r="B349" s="856"/>
      <c r="C349" s="856"/>
      <c r="D349" s="857"/>
      <c r="E349" s="858"/>
      <c r="F349" s="859"/>
      <c r="G349" s="860"/>
      <c r="H349" s="857"/>
      <c r="I349" s="861"/>
      <c r="J349" s="295"/>
      <c r="K349" s="296">
        <f t="shared" si="6"/>
        <v>0</v>
      </c>
      <c r="L349"/>
    </row>
    <row r="350" spans="1:12">
      <c r="A350" s="855" t="s">
        <v>565</v>
      </c>
      <c r="B350" s="856"/>
      <c r="C350" s="856"/>
      <c r="D350" s="857"/>
      <c r="E350" s="858"/>
      <c r="F350" s="859"/>
      <c r="G350" s="860"/>
      <c r="H350" s="857"/>
      <c r="I350" s="861"/>
      <c r="J350" s="295"/>
      <c r="K350" s="296">
        <f t="shared" si="6"/>
        <v>0</v>
      </c>
      <c r="L350"/>
    </row>
    <row r="351" spans="1:12">
      <c r="A351" s="855" t="s">
        <v>565</v>
      </c>
      <c r="B351" s="856"/>
      <c r="C351" s="856"/>
      <c r="D351" s="857"/>
      <c r="E351" s="858"/>
      <c r="F351" s="859"/>
      <c r="G351" s="860"/>
      <c r="H351" s="857"/>
      <c r="I351" s="861"/>
      <c r="J351" s="295"/>
      <c r="K351" s="296">
        <f t="shared" si="6"/>
        <v>0</v>
      </c>
      <c r="L351"/>
    </row>
    <row r="352" spans="1:12">
      <c r="A352" s="855" t="s">
        <v>579</v>
      </c>
      <c r="B352" s="856"/>
      <c r="C352" s="856"/>
      <c r="D352" s="857"/>
      <c r="E352" s="858"/>
      <c r="F352" s="859"/>
      <c r="G352" s="860"/>
      <c r="H352" s="857"/>
      <c r="I352" s="861"/>
      <c r="J352" s="295"/>
      <c r="K352" s="296">
        <f t="shared" si="6"/>
        <v>0</v>
      </c>
      <c r="L352"/>
    </row>
    <row r="353" spans="1:12">
      <c r="A353" s="855" t="s">
        <v>564</v>
      </c>
      <c r="B353" s="856"/>
      <c r="C353" s="856"/>
      <c r="D353" s="857"/>
      <c r="E353" s="858"/>
      <c r="F353" s="859"/>
      <c r="G353" s="860"/>
      <c r="H353" s="857"/>
      <c r="I353" s="861"/>
      <c r="J353" s="295"/>
      <c r="K353" s="296">
        <f t="shared" si="6"/>
        <v>0</v>
      </c>
      <c r="L353"/>
    </row>
    <row r="354" spans="1:12">
      <c r="A354" s="855" t="s">
        <v>564</v>
      </c>
      <c r="B354" s="856"/>
      <c r="C354" s="856"/>
      <c r="D354" s="857"/>
      <c r="E354" s="858"/>
      <c r="F354" s="859"/>
      <c r="G354" s="860"/>
      <c r="H354" s="857"/>
      <c r="I354" s="861"/>
      <c r="J354" s="295"/>
      <c r="K354" s="296">
        <f t="shared" si="6"/>
        <v>0</v>
      </c>
      <c r="L354"/>
    </row>
    <row r="355" spans="1:12">
      <c r="A355" s="855" t="s">
        <v>564</v>
      </c>
      <c r="B355" s="856"/>
      <c r="C355" s="856"/>
      <c r="D355" s="857"/>
      <c r="E355" s="858"/>
      <c r="F355" s="859"/>
      <c r="G355" s="860"/>
      <c r="H355" s="857"/>
      <c r="I355" s="861"/>
      <c r="J355" s="295"/>
      <c r="K355" s="296">
        <f t="shared" si="6"/>
        <v>0</v>
      </c>
      <c r="L355"/>
    </row>
    <row r="356" spans="1:12">
      <c r="A356" s="855" t="s">
        <v>564</v>
      </c>
      <c r="B356" s="856"/>
      <c r="C356" s="856"/>
      <c r="D356" s="857"/>
      <c r="E356" s="858"/>
      <c r="F356" s="859"/>
      <c r="G356" s="860"/>
      <c r="H356" s="857"/>
      <c r="I356" s="861"/>
      <c r="J356" s="295"/>
      <c r="K356" s="296">
        <f t="shared" si="6"/>
        <v>0</v>
      </c>
      <c r="L356"/>
    </row>
    <row r="357" spans="1:12">
      <c r="A357" s="855" t="s">
        <v>564</v>
      </c>
      <c r="B357" s="856"/>
      <c r="C357" s="856"/>
      <c r="D357" s="857"/>
      <c r="E357" s="858"/>
      <c r="F357" s="859"/>
      <c r="G357" s="860"/>
      <c r="H357" s="857"/>
      <c r="I357" s="861"/>
      <c r="J357" s="295"/>
      <c r="K357" s="296">
        <f t="shared" si="6"/>
        <v>0</v>
      </c>
      <c r="L357"/>
    </row>
    <row r="358" spans="1:12">
      <c r="A358" s="855" t="s">
        <v>564</v>
      </c>
      <c r="B358" s="856"/>
      <c r="C358" s="856"/>
      <c r="D358" s="857"/>
      <c r="E358" s="858"/>
      <c r="F358" s="859"/>
      <c r="G358" s="860"/>
      <c r="H358" s="857"/>
      <c r="I358" s="861"/>
      <c r="J358" s="295"/>
      <c r="K358" s="296">
        <f t="shared" si="6"/>
        <v>0</v>
      </c>
      <c r="L358"/>
    </row>
    <row r="359" spans="1:12">
      <c r="A359" s="855" t="s">
        <v>564</v>
      </c>
      <c r="B359" s="856"/>
      <c r="C359" s="856"/>
      <c r="D359" s="857"/>
      <c r="E359" s="858"/>
      <c r="F359" s="859"/>
      <c r="G359" s="860"/>
      <c r="H359" s="857"/>
      <c r="I359" s="861"/>
      <c r="J359" s="295"/>
      <c r="K359" s="296">
        <f t="shared" si="6"/>
        <v>0</v>
      </c>
      <c r="L359"/>
    </row>
    <row r="360" spans="1:12">
      <c r="A360" s="855" t="s">
        <v>564</v>
      </c>
      <c r="B360" s="856"/>
      <c r="C360" s="856"/>
      <c r="D360" s="857"/>
      <c r="E360" s="858"/>
      <c r="F360" s="859"/>
      <c r="G360" s="860"/>
      <c r="H360" s="857"/>
      <c r="I360" s="861"/>
      <c r="J360" s="295"/>
      <c r="K360" s="296">
        <f t="shared" si="6"/>
        <v>0</v>
      </c>
      <c r="L360"/>
    </row>
    <row r="361" spans="1:12">
      <c r="A361" s="855" t="s">
        <v>565</v>
      </c>
      <c r="B361" s="856"/>
      <c r="C361" s="856"/>
      <c r="D361" s="857"/>
      <c r="E361" s="858"/>
      <c r="F361" s="859"/>
      <c r="G361" s="860"/>
      <c r="H361" s="857"/>
      <c r="I361" s="861"/>
      <c r="J361" s="295"/>
      <c r="K361" s="296">
        <f t="shared" si="6"/>
        <v>0</v>
      </c>
      <c r="L361"/>
    </row>
    <row r="362" spans="1:12">
      <c r="A362" s="855" t="s">
        <v>565</v>
      </c>
      <c r="B362" s="856"/>
      <c r="C362" s="856"/>
      <c r="D362" s="857"/>
      <c r="E362" s="858"/>
      <c r="F362" s="859"/>
      <c r="G362" s="860"/>
      <c r="H362" s="857"/>
      <c r="I362" s="861"/>
      <c r="J362" s="295"/>
      <c r="K362" s="296">
        <f t="shared" si="6"/>
        <v>0</v>
      </c>
      <c r="L362"/>
    </row>
    <row r="363" spans="1:12">
      <c r="A363" s="855" t="s">
        <v>565</v>
      </c>
      <c r="B363" s="856"/>
      <c r="C363" s="856"/>
      <c r="D363" s="857"/>
      <c r="E363" s="858"/>
      <c r="F363" s="859"/>
      <c r="G363" s="860"/>
      <c r="H363" s="857"/>
      <c r="I363" s="861"/>
      <c r="J363" s="295"/>
      <c r="K363" s="296">
        <f t="shared" si="6"/>
        <v>0</v>
      </c>
      <c r="L363"/>
    </row>
    <row r="364" spans="1:12">
      <c r="A364" s="855" t="s">
        <v>579</v>
      </c>
      <c r="B364" s="856"/>
      <c r="C364" s="856"/>
      <c r="D364" s="857"/>
      <c r="E364" s="858"/>
      <c r="F364" s="859"/>
      <c r="G364" s="860"/>
      <c r="H364" s="857"/>
      <c r="I364" s="861"/>
      <c r="J364" s="295"/>
      <c r="K364" s="296">
        <f t="shared" si="6"/>
        <v>0</v>
      </c>
      <c r="L364"/>
    </row>
    <row r="365" spans="1:12">
      <c r="A365" s="855" t="s">
        <v>579</v>
      </c>
      <c r="B365" s="856"/>
      <c r="C365" s="856"/>
      <c r="D365" s="857"/>
      <c r="E365" s="858"/>
      <c r="F365" s="859"/>
      <c r="G365" s="860"/>
      <c r="H365" s="857"/>
      <c r="I365" s="861"/>
      <c r="J365" s="295"/>
      <c r="K365" s="296">
        <f t="shared" si="6"/>
        <v>0</v>
      </c>
      <c r="L365"/>
    </row>
    <row r="366" spans="1:12">
      <c r="A366" s="855" t="s">
        <v>579</v>
      </c>
      <c r="B366" s="856"/>
      <c r="C366" s="856"/>
      <c r="D366" s="857"/>
      <c r="E366" s="858"/>
      <c r="F366" s="859"/>
      <c r="G366" s="860"/>
      <c r="H366" s="857"/>
      <c r="I366" s="861"/>
      <c r="J366" s="295"/>
      <c r="K366" s="296">
        <f t="shared" si="6"/>
        <v>0</v>
      </c>
      <c r="L366"/>
    </row>
    <row r="367" spans="1:12">
      <c r="A367" s="855" t="s">
        <v>579</v>
      </c>
      <c r="B367" s="856"/>
      <c r="C367" s="856"/>
      <c r="D367" s="857"/>
      <c r="E367" s="858"/>
      <c r="F367" s="859"/>
      <c r="G367" s="860"/>
      <c r="H367" s="857"/>
      <c r="I367" s="861"/>
      <c r="J367" s="295"/>
      <c r="K367" s="296">
        <f t="shared" si="6"/>
        <v>0</v>
      </c>
      <c r="L367"/>
    </row>
    <row r="368" spans="1:12">
      <c r="A368" s="855" t="s">
        <v>565</v>
      </c>
      <c r="B368" s="856"/>
      <c r="C368" s="856"/>
      <c r="D368" s="857"/>
      <c r="E368" s="858"/>
      <c r="F368" s="859"/>
      <c r="G368" s="860"/>
      <c r="H368" s="857"/>
      <c r="I368" s="861"/>
      <c r="J368" s="295"/>
      <c r="K368" s="296">
        <f t="shared" si="6"/>
        <v>0</v>
      </c>
      <c r="L368"/>
    </row>
    <row r="369" spans="1:12">
      <c r="A369" s="855" t="s">
        <v>565</v>
      </c>
      <c r="B369" s="856"/>
      <c r="C369" s="856"/>
      <c r="D369" s="857"/>
      <c r="E369" s="858"/>
      <c r="F369" s="859"/>
      <c r="G369" s="860"/>
      <c r="H369" s="857"/>
      <c r="I369" s="861"/>
      <c r="J369" s="295"/>
      <c r="K369" s="296">
        <f t="shared" si="6"/>
        <v>0</v>
      </c>
      <c r="L369"/>
    </row>
    <row r="370" spans="1:12">
      <c r="A370" s="855" t="s">
        <v>565</v>
      </c>
      <c r="B370" s="856"/>
      <c r="C370" s="856"/>
      <c r="D370" s="857"/>
      <c r="E370" s="858"/>
      <c r="F370" s="859"/>
      <c r="G370" s="860"/>
      <c r="H370" s="857"/>
      <c r="I370" s="861"/>
      <c r="J370" s="295"/>
      <c r="K370" s="296">
        <f t="shared" si="6"/>
        <v>0</v>
      </c>
      <c r="L370"/>
    </row>
    <row r="371" spans="1:12">
      <c r="A371" s="855" t="s">
        <v>565</v>
      </c>
      <c r="B371" s="856"/>
      <c r="C371" s="856"/>
      <c r="D371" s="857"/>
      <c r="E371" s="858"/>
      <c r="F371" s="859"/>
      <c r="G371" s="860"/>
      <c r="H371" s="857"/>
      <c r="I371" s="861"/>
      <c r="J371" s="295"/>
      <c r="K371" s="296">
        <f t="shared" si="6"/>
        <v>0</v>
      </c>
      <c r="L371"/>
    </row>
    <row r="372" spans="1:12">
      <c r="A372" s="855" t="s">
        <v>565</v>
      </c>
      <c r="B372" s="856"/>
      <c r="C372" s="856"/>
      <c r="D372" s="857"/>
      <c r="E372" s="858"/>
      <c r="F372" s="859"/>
      <c r="G372" s="860"/>
      <c r="H372" s="857"/>
      <c r="I372" s="861"/>
      <c r="J372" s="295"/>
      <c r="K372" s="296">
        <f t="shared" si="6"/>
        <v>0</v>
      </c>
      <c r="L372"/>
    </row>
    <row r="373" spans="1:12">
      <c r="A373" s="855" t="s">
        <v>565</v>
      </c>
      <c r="B373" s="856"/>
      <c r="C373" s="856"/>
      <c r="D373" s="857"/>
      <c r="E373" s="858"/>
      <c r="F373" s="859"/>
      <c r="G373" s="860"/>
      <c r="H373" s="857"/>
      <c r="I373" s="861"/>
      <c r="J373" s="295"/>
      <c r="K373" s="296">
        <f t="shared" si="6"/>
        <v>0</v>
      </c>
      <c r="L373"/>
    </row>
    <row r="374" spans="1:12">
      <c r="A374" s="855" t="s">
        <v>579</v>
      </c>
      <c r="B374" s="856"/>
      <c r="C374" s="856"/>
      <c r="D374" s="857"/>
      <c r="E374" s="858"/>
      <c r="F374" s="859"/>
      <c r="G374" s="860"/>
      <c r="H374" s="857"/>
      <c r="I374" s="861"/>
      <c r="J374" s="295"/>
      <c r="K374" s="296">
        <f t="shared" si="6"/>
        <v>0</v>
      </c>
      <c r="L374"/>
    </row>
    <row r="375" spans="1:12">
      <c r="A375" s="855" t="s">
        <v>579</v>
      </c>
      <c r="B375" s="856"/>
      <c r="C375" s="856"/>
      <c r="D375" s="857"/>
      <c r="E375" s="858"/>
      <c r="F375" s="859"/>
      <c r="G375" s="860"/>
      <c r="H375" s="857"/>
      <c r="I375" s="861"/>
      <c r="J375" s="295"/>
      <c r="K375" s="296">
        <f t="shared" si="6"/>
        <v>0</v>
      </c>
      <c r="L375"/>
    </row>
    <row r="376" spans="1:12">
      <c r="A376" s="855" t="s">
        <v>579</v>
      </c>
      <c r="B376" s="856"/>
      <c r="C376" s="856"/>
      <c r="D376" s="857"/>
      <c r="E376" s="858"/>
      <c r="F376" s="859"/>
      <c r="G376" s="860"/>
      <c r="H376" s="857"/>
      <c r="I376" s="861"/>
      <c r="J376" s="295"/>
      <c r="K376" s="296">
        <f t="shared" si="6"/>
        <v>0</v>
      </c>
      <c r="L376"/>
    </row>
    <row r="377" spans="1:12">
      <c r="A377" s="855" t="s">
        <v>579</v>
      </c>
      <c r="B377" s="856"/>
      <c r="C377" s="856"/>
      <c r="D377" s="857"/>
      <c r="E377" s="858"/>
      <c r="F377" s="859"/>
      <c r="G377" s="860"/>
      <c r="H377" s="857"/>
      <c r="I377" s="861"/>
      <c r="J377" s="295"/>
      <c r="K377" s="296">
        <f t="shared" si="6"/>
        <v>0</v>
      </c>
      <c r="L377"/>
    </row>
    <row r="378" spans="1:12">
      <c r="A378" s="855" t="s">
        <v>579</v>
      </c>
      <c r="B378" s="856"/>
      <c r="C378" s="856"/>
      <c r="D378" s="857"/>
      <c r="E378" s="858"/>
      <c r="F378" s="859"/>
      <c r="G378" s="860"/>
      <c r="H378" s="857"/>
      <c r="I378" s="861"/>
      <c r="J378" s="295"/>
      <c r="K378" s="296">
        <f t="shared" si="6"/>
        <v>0</v>
      </c>
      <c r="L378"/>
    </row>
    <row r="379" spans="1:12">
      <c r="A379" s="855" t="s">
        <v>565</v>
      </c>
      <c r="B379" s="856"/>
      <c r="C379" s="856"/>
      <c r="D379" s="857"/>
      <c r="E379" s="858"/>
      <c r="F379" s="859"/>
      <c r="G379" s="860"/>
      <c r="H379" s="857"/>
      <c r="I379" s="861"/>
      <c r="J379" s="295"/>
      <c r="K379" s="296">
        <f t="shared" si="6"/>
        <v>0</v>
      </c>
      <c r="L379"/>
    </row>
    <row r="380" spans="1:12">
      <c r="A380" s="855" t="s">
        <v>565</v>
      </c>
      <c r="B380" s="856"/>
      <c r="C380" s="856"/>
      <c r="D380" s="857"/>
      <c r="E380" s="858"/>
      <c r="F380" s="859"/>
      <c r="G380" s="860"/>
      <c r="H380" s="857"/>
      <c r="I380" s="861"/>
      <c r="J380" s="295"/>
      <c r="K380" s="296">
        <f t="shared" si="6"/>
        <v>0</v>
      </c>
      <c r="L380"/>
    </row>
    <row r="381" spans="1:12">
      <c r="A381" s="855" t="s">
        <v>565</v>
      </c>
      <c r="B381" s="856"/>
      <c r="C381" s="856"/>
      <c r="D381" s="857"/>
      <c r="E381" s="858"/>
      <c r="F381" s="859"/>
      <c r="G381" s="860"/>
      <c r="H381" s="857"/>
      <c r="I381" s="861"/>
      <c r="J381" s="295"/>
      <c r="K381" s="296">
        <f t="shared" si="6"/>
        <v>0</v>
      </c>
      <c r="L381"/>
    </row>
    <row r="382" spans="1:12">
      <c r="A382" s="855" t="s">
        <v>565</v>
      </c>
      <c r="B382" s="856"/>
      <c r="C382" s="856"/>
      <c r="D382" s="857"/>
      <c r="E382" s="858"/>
      <c r="F382" s="859"/>
      <c r="G382" s="860"/>
      <c r="H382" s="857"/>
      <c r="I382" s="861"/>
      <c r="J382" s="295"/>
      <c r="K382" s="296">
        <f t="shared" si="6"/>
        <v>0</v>
      </c>
      <c r="L382"/>
    </row>
    <row r="383" spans="1:12">
      <c r="A383" s="855" t="s">
        <v>565</v>
      </c>
      <c r="B383" s="856"/>
      <c r="C383" s="856"/>
      <c r="D383" s="857"/>
      <c r="E383" s="858"/>
      <c r="F383" s="859"/>
      <c r="G383" s="860"/>
      <c r="H383" s="857"/>
      <c r="I383" s="861"/>
      <c r="J383" s="295"/>
      <c r="K383" s="296">
        <f t="shared" si="6"/>
        <v>0</v>
      </c>
      <c r="L383"/>
    </row>
    <row r="384" spans="1:12">
      <c r="A384" s="855" t="s">
        <v>565</v>
      </c>
      <c r="B384" s="856"/>
      <c r="C384" s="856"/>
      <c r="D384" s="857"/>
      <c r="E384" s="858"/>
      <c r="F384" s="859"/>
      <c r="G384" s="860"/>
      <c r="H384" s="857"/>
      <c r="I384" s="861"/>
      <c r="J384" s="295"/>
      <c r="K384" s="296">
        <f t="shared" si="6"/>
        <v>0</v>
      </c>
      <c r="L384"/>
    </row>
    <row r="385" spans="1:12">
      <c r="A385" s="855" t="s">
        <v>579</v>
      </c>
      <c r="B385" s="856"/>
      <c r="C385" s="856"/>
      <c r="D385" s="857"/>
      <c r="E385" s="858"/>
      <c r="F385" s="859"/>
      <c r="G385" s="860"/>
      <c r="H385" s="857"/>
      <c r="I385" s="861"/>
      <c r="J385" s="295"/>
      <c r="K385" s="296">
        <f t="shared" si="6"/>
        <v>0</v>
      </c>
      <c r="L385"/>
    </row>
    <row r="386" spans="1:12">
      <c r="A386" s="855" t="s">
        <v>565</v>
      </c>
      <c r="B386" s="856"/>
      <c r="C386" s="856"/>
      <c r="D386" s="857"/>
      <c r="E386" s="858"/>
      <c r="F386" s="859"/>
      <c r="G386" s="860"/>
      <c r="H386" s="857"/>
      <c r="I386" s="861"/>
      <c r="J386" s="295"/>
      <c r="K386" s="296">
        <f t="shared" si="6"/>
        <v>0</v>
      </c>
      <c r="L386"/>
    </row>
    <row r="387" spans="1:12">
      <c r="A387" s="855" t="s">
        <v>565</v>
      </c>
      <c r="B387" s="856"/>
      <c r="C387" s="856"/>
      <c r="D387" s="857"/>
      <c r="E387" s="858"/>
      <c r="F387" s="859"/>
      <c r="G387" s="860"/>
      <c r="H387" s="857"/>
      <c r="I387" s="861"/>
      <c r="J387" s="295"/>
      <c r="K387" s="296">
        <f t="shared" si="6"/>
        <v>0</v>
      </c>
      <c r="L387"/>
    </row>
    <row r="388" spans="1:12">
      <c r="A388" s="855" t="s">
        <v>565</v>
      </c>
      <c r="B388" s="856"/>
      <c r="C388" s="856"/>
      <c r="D388" s="857"/>
      <c r="E388" s="858"/>
      <c r="F388" s="859"/>
      <c r="G388" s="860"/>
      <c r="H388" s="857"/>
      <c r="I388" s="861"/>
      <c r="J388" s="295"/>
      <c r="K388" s="296">
        <f t="shared" si="6"/>
        <v>0</v>
      </c>
      <c r="L388"/>
    </row>
    <row r="389" spans="1:12">
      <c r="A389" s="855" t="s">
        <v>565</v>
      </c>
      <c r="B389" s="856"/>
      <c r="C389" s="856"/>
      <c r="D389" s="857"/>
      <c r="E389" s="858"/>
      <c r="F389" s="859"/>
      <c r="G389" s="860"/>
      <c r="H389" s="857"/>
      <c r="I389" s="861"/>
      <c r="J389" s="295"/>
      <c r="K389" s="296">
        <f t="shared" si="6"/>
        <v>0</v>
      </c>
      <c r="L389"/>
    </row>
    <row r="390" spans="1:12">
      <c r="A390" s="855" t="s">
        <v>565</v>
      </c>
      <c r="B390" s="856"/>
      <c r="C390" s="856"/>
      <c r="D390" s="857"/>
      <c r="E390" s="858"/>
      <c r="F390" s="859"/>
      <c r="G390" s="860"/>
      <c r="H390" s="857"/>
      <c r="I390" s="861"/>
      <c r="J390" s="295"/>
      <c r="K390" s="296">
        <f t="shared" si="6"/>
        <v>0</v>
      </c>
      <c r="L390"/>
    </row>
    <row r="391" spans="1:12">
      <c r="A391" s="855" t="s">
        <v>565</v>
      </c>
      <c r="B391" s="856"/>
      <c r="C391" s="856"/>
      <c r="D391" s="857"/>
      <c r="E391" s="858"/>
      <c r="F391" s="859"/>
      <c r="G391" s="860"/>
      <c r="H391" s="857"/>
      <c r="I391" s="861"/>
      <c r="J391" s="295"/>
      <c r="K391" s="296">
        <f t="shared" si="6"/>
        <v>0</v>
      </c>
      <c r="L391"/>
    </row>
    <row r="392" spans="1:12">
      <c r="A392" s="855" t="s">
        <v>565</v>
      </c>
      <c r="B392" s="856"/>
      <c r="C392" s="856"/>
      <c r="D392" s="857"/>
      <c r="E392" s="858"/>
      <c r="F392" s="859"/>
      <c r="G392" s="860"/>
      <c r="H392" s="857"/>
      <c r="I392" s="861"/>
      <c r="J392" s="295"/>
      <c r="K392" s="296">
        <f t="shared" si="6"/>
        <v>0</v>
      </c>
      <c r="L392"/>
    </row>
    <row r="393" spans="1:12">
      <c r="A393" s="855" t="s">
        <v>565</v>
      </c>
      <c r="B393" s="856"/>
      <c r="C393" s="856"/>
      <c r="D393" s="857"/>
      <c r="E393" s="858"/>
      <c r="F393" s="859"/>
      <c r="G393" s="860"/>
      <c r="H393" s="857"/>
      <c r="I393" s="861"/>
      <c r="J393" s="295"/>
      <c r="K393" s="296">
        <f t="shared" ref="K393:K456" si="7">IF(LEFT(A393,2)="TU",(J393-I393)*E393/100*100000*2,(J393-I393)*E393/100*100000)</f>
        <v>0</v>
      </c>
      <c r="L393"/>
    </row>
    <row r="394" spans="1:12">
      <c r="A394" s="855" t="s">
        <v>565</v>
      </c>
      <c r="B394" s="856"/>
      <c r="C394" s="856"/>
      <c r="D394" s="857"/>
      <c r="E394" s="858"/>
      <c r="F394" s="859"/>
      <c r="G394" s="860"/>
      <c r="H394" s="857"/>
      <c r="I394" s="861"/>
      <c r="J394" s="295"/>
      <c r="K394" s="296">
        <f t="shared" si="7"/>
        <v>0</v>
      </c>
      <c r="L394"/>
    </row>
    <row r="395" spans="1:12">
      <c r="A395" s="855" t="s">
        <v>565</v>
      </c>
      <c r="B395" s="856"/>
      <c r="C395" s="856"/>
      <c r="D395" s="857"/>
      <c r="E395" s="858"/>
      <c r="F395" s="859"/>
      <c r="G395" s="860"/>
      <c r="H395" s="857"/>
      <c r="I395" s="861"/>
      <c r="J395" s="295"/>
      <c r="K395" s="296">
        <f t="shared" si="7"/>
        <v>0</v>
      </c>
      <c r="L395"/>
    </row>
    <row r="396" spans="1:12">
      <c r="A396" s="855" t="s">
        <v>565</v>
      </c>
      <c r="B396" s="856"/>
      <c r="C396" s="856"/>
      <c r="D396" s="857"/>
      <c r="E396" s="858"/>
      <c r="F396" s="859"/>
      <c r="G396" s="860"/>
      <c r="H396" s="857"/>
      <c r="I396" s="861"/>
      <c r="J396" s="295"/>
      <c r="K396" s="296">
        <f t="shared" si="7"/>
        <v>0</v>
      </c>
      <c r="L396"/>
    </row>
    <row r="397" spans="1:12">
      <c r="A397" s="855" t="s">
        <v>565</v>
      </c>
      <c r="B397" s="856"/>
      <c r="C397" s="856"/>
      <c r="D397" s="857"/>
      <c r="E397" s="858"/>
      <c r="F397" s="859"/>
      <c r="G397" s="860"/>
      <c r="H397" s="857"/>
      <c r="I397" s="861"/>
      <c r="J397" s="295"/>
      <c r="K397" s="296">
        <f t="shared" si="7"/>
        <v>0</v>
      </c>
      <c r="L397"/>
    </row>
    <row r="398" spans="1:12">
      <c r="A398" s="855" t="s">
        <v>564</v>
      </c>
      <c r="B398" s="856"/>
      <c r="C398" s="856"/>
      <c r="D398" s="857"/>
      <c r="E398" s="858"/>
      <c r="F398" s="859"/>
      <c r="G398" s="860"/>
      <c r="H398" s="857"/>
      <c r="I398" s="861"/>
      <c r="J398" s="295"/>
      <c r="K398" s="296">
        <f t="shared" si="7"/>
        <v>0</v>
      </c>
      <c r="L398"/>
    </row>
    <row r="399" spans="1:12">
      <c r="A399" s="855" t="s">
        <v>579</v>
      </c>
      <c r="B399" s="856"/>
      <c r="C399" s="856"/>
      <c r="D399" s="857"/>
      <c r="E399" s="858"/>
      <c r="F399" s="859"/>
      <c r="G399" s="860"/>
      <c r="H399" s="857"/>
      <c r="I399" s="861"/>
      <c r="J399" s="295"/>
      <c r="K399" s="296">
        <f t="shared" si="7"/>
        <v>0</v>
      </c>
      <c r="L399"/>
    </row>
    <row r="400" spans="1:12">
      <c r="A400" s="855" t="s">
        <v>565</v>
      </c>
      <c r="B400" s="856"/>
      <c r="C400" s="856"/>
      <c r="D400" s="857"/>
      <c r="E400" s="858"/>
      <c r="F400" s="859"/>
      <c r="G400" s="860"/>
      <c r="H400" s="857"/>
      <c r="I400" s="861"/>
      <c r="J400" s="295"/>
      <c r="K400" s="296">
        <f t="shared" si="7"/>
        <v>0</v>
      </c>
      <c r="L400"/>
    </row>
    <row r="401" spans="1:12">
      <c r="A401" s="855" t="s">
        <v>565</v>
      </c>
      <c r="B401" s="856"/>
      <c r="C401" s="856"/>
      <c r="D401" s="857"/>
      <c r="E401" s="858"/>
      <c r="F401" s="859"/>
      <c r="G401" s="860"/>
      <c r="H401" s="857"/>
      <c r="I401" s="861"/>
      <c r="J401" s="295"/>
      <c r="K401" s="296">
        <f t="shared" si="7"/>
        <v>0</v>
      </c>
      <c r="L401"/>
    </row>
    <row r="402" spans="1:12">
      <c r="A402" s="855" t="s">
        <v>565</v>
      </c>
      <c r="B402" s="856"/>
      <c r="C402" s="856"/>
      <c r="D402" s="857"/>
      <c r="E402" s="858"/>
      <c r="F402" s="859"/>
      <c r="G402" s="860"/>
      <c r="H402" s="857"/>
      <c r="I402" s="861"/>
      <c r="J402" s="295"/>
      <c r="K402" s="296">
        <f t="shared" si="7"/>
        <v>0</v>
      </c>
      <c r="L402"/>
    </row>
    <row r="403" spans="1:12">
      <c r="A403" s="855" t="s">
        <v>565</v>
      </c>
      <c r="B403" s="856"/>
      <c r="C403" s="856"/>
      <c r="D403" s="857"/>
      <c r="E403" s="858"/>
      <c r="F403" s="859"/>
      <c r="G403" s="860"/>
      <c r="H403" s="857"/>
      <c r="I403" s="861"/>
      <c r="J403" s="295"/>
      <c r="K403" s="296">
        <f t="shared" si="7"/>
        <v>0</v>
      </c>
      <c r="L403"/>
    </row>
    <row r="404" spans="1:12">
      <c r="A404" s="855" t="s">
        <v>565</v>
      </c>
      <c r="B404" s="856"/>
      <c r="C404" s="856"/>
      <c r="D404" s="857"/>
      <c r="E404" s="858"/>
      <c r="F404" s="859"/>
      <c r="G404" s="860"/>
      <c r="H404" s="857"/>
      <c r="I404" s="861"/>
      <c r="J404" s="295"/>
      <c r="K404" s="296">
        <f t="shared" si="7"/>
        <v>0</v>
      </c>
      <c r="L404"/>
    </row>
    <row r="405" spans="1:12">
      <c r="A405" s="855" t="s">
        <v>565</v>
      </c>
      <c r="B405" s="856"/>
      <c r="C405" s="856"/>
      <c r="D405" s="857"/>
      <c r="E405" s="858"/>
      <c r="F405" s="859"/>
      <c r="G405" s="860"/>
      <c r="H405" s="857"/>
      <c r="I405" s="861"/>
      <c r="J405" s="295"/>
      <c r="K405" s="296">
        <f t="shared" si="7"/>
        <v>0</v>
      </c>
      <c r="L405"/>
    </row>
    <row r="406" spans="1:12">
      <c r="A406" s="855" t="s">
        <v>565</v>
      </c>
      <c r="B406" s="856"/>
      <c r="C406" s="856"/>
      <c r="D406" s="857"/>
      <c r="E406" s="858"/>
      <c r="F406" s="859"/>
      <c r="G406" s="860"/>
      <c r="H406" s="857"/>
      <c r="I406" s="861"/>
      <c r="J406" s="295"/>
      <c r="K406" s="296">
        <f t="shared" si="7"/>
        <v>0</v>
      </c>
      <c r="L406"/>
    </row>
    <row r="407" spans="1:12">
      <c r="A407" s="855" t="s">
        <v>565</v>
      </c>
      <c r="B407" s="856"/>
      <c r="C407" s="856"/>
      <c r="D407" s="857"/>
      <c r="E407" s="858"/>
      <c r="F407" s="859"/>
      <c r="G407" s="860"/>
      <c r="H407" s="857"/>
      <c r="I407" s="861"/>
      <c r="J407" s="295"/>
      <c r="K407" s="296">
        <f t="shared" si="7"/>
        <v>0</v>
      </c>
      <c r="L407"/>
    </row>
    <row r="408" spans="1:12">
      <c r="A408" s="855" t="s">
        <v>565</v>
      </c>
      <c r="B408" s="856"/>
      <c r="C408" s="856"/>
      <c r="D408" s="857"/>
      <c r="E408" s="858"/>
      <c r="F408" s="859"/>
      <c r="G408" s="860"/>
      <c r="H408" s="857"/>
      <c r="I408" s="861"/>
      <c r="J408" s="295"/>
      <c r="K408" s="296">
        <f t="shared" si="7"/>
        <v>0</v>
      </c>
      <c r="L408"/>
    </row>
    <row r="409" spans="1:12">
      <c r="A409" s="855" t="s">
        <v>565</v>
      </c>
      <c r="B409" s="856"/>
      <c r="C409" s="856"/>
      <c r="D409" s="857"/>
      <c r="E409" s="858"/>
      <c r="F409" s="859"/>
      <c r="G409" s="860"/>
      <c r="H409" s="857"/>
      <c r="I409" s="861"/>
      <c r="J409" s="295"/>
      <c r="K409" s="296">
        <f t="shared" si="7"/>
        <v>0</v>
      </c>
      <c r="L409"/>
    </row>
    <row r="410" spans="1:12">
      <c r="A410" s="855" t="s">
        <v>565</v>
      </c>
      <c r="B410" s="856"/>
      <c r="C410" s="856"/>
      <c r="D410" s="857"/>
      <c r="E410" s="858"/>
      <c r="F410" s="859"/>
      <c r="G410" s="860"/>
      <c r="H410" s="857"/>
      <c r="I410" s="861"/>
      <c r="J410" s="295"/>
      <c r="K410" s="296">
        <f t="shared" si="7"/>
        <v>0</v>
      </c>
      <c r="L410"/>
    </row>
    <row r="411" spans="1:12">
      <c r="A411" s="855" t="s">
        <v>565</v>
      </c>
      <c r="B411" s="856"/>
      <c r="C411" s="856"/>
      <c r="D411" s="857"/>
      <c r="E411" s="858"/>
      <c r="F411" s="859"/>
      <c r="G411" s="860"/>
      <c r="H411" s="857"/>
      <c r="I411" s="861"/>
      <c r="J411" s="295"/>
      <c r="K411" s="296">
        <f t="shared" si="7"/>
        <v>0</v>
      </c>
      <c r="L411"/>
    </row>
    <row r="412" spans="1:12">
      <c r="A412" s="855" t="s">
        <v>565</v>
      </c>
      <c r="B412" s="856"/>
      <c r="C412" s="856"/>
      <c r="D412" s="857"/>
      <c r="E412" s="858"/>
      <c r="F412" s="859"/>
      <c r="G412" s="860"/>
      <c r="H412" s="857"/>
      <c r="I412" s="861"/>
      <c r="J412" s="295"/>
      <c r="K412" s="296">
        <f t="shared" si="7"/>
        <v>0</v>
      </c>
      <c r="L412"/>
    </row>
    <row r="413" spans="1:12">
      <c r="A413" s="855" t="s">
        <v>565</v>
      </c>
      <c r="B413" s="856"/>
      <c r="C413" s="856"/>
      <c r="D413" s="857"/>
      <c r="E413" s="858"/>
      <c r="F413" s="859"/>
      <c r="G413" s="860"/>
      <c r="H413" s="857"/>
      <c r="I413" s="861"/>
      <c r="J413" s="295"/>
      <c r="K413" s="296">
        <f t="shared" si="7"/>
        <v>0</v>
      </c>
      <c r="L413"/>
    </row>
    <row r="414" spans="1:12">
      <c r="A414" s="855" t="s">
        <v>565</v>
      </c>
      <c r="B414" s="856"/>
      <c r="C414" s="856"/>
      <c r="D414" s="857"/>
      <c r="E414" s="858"/>
      <c r="F414" s="859"/>
      <c r="G414" s="860"/>
      <c r="H414" s="857"/>
      <c r="I414" s="861"/>
      <c r="J414" s="295"/>
      <c r="K414" s="296">
        <f t="shared" si="7"/>
        <v>0</v>
      </c>
      <c r="L414"/>
    </row>
    <row r="415" spans="1:12">
      <c r="A415" s="855" t="s">
        <v>565</v>
      </c>
      <c r="B415" s="856"/>
      <c r="C415" s="856"/>
      <c r="D415" s="857"/>
      <c r="E415" s="858"/>
      <c r="F415" s="859"/>
      <c r="G415" s="860"/>
      <c r="H415" s="857"/>
      <c r="I415" s="861"/>
      <c r="J415" s="295"/>
      <c r="K415" s="296">
        <f t="shared" si="7"/>
        <v>0</v>
      </c>
      <c r="L415"/>
    </row>
    <row r="416" spans="1:12">
      <c r="A416" s="855" t="s">
        <v>565</v>
      </c>
      <c r="B416" s="856"/>
      <c r="C416" s="856"/>
      <c r="D416" s="857"/>
      <c r="E416" s="858"/>
      <c r="F416" s="859"/>
      <c r="G416" s="860"/>
      <c r="H416" s="857"/>
      <c r="I416" s="861"/>
      <c r="J416" s="295"/>
      <c r="K416" s="296">
        <f t="shared" si="7"/>
        <v>0</v>
      </c>
      <c r="L416"/>
    </row>
    <row r="417" spans="1:12">
      <c r="A417" s="855" t="s">
        <v>565</v>
      </c>
      <c r="B417" s="856"/>
      <c r="C417" s="856"/>
      <c r="D417" s="857"/>
      <c r="E417" s="858"/>
      <c r="F417" s="859"/>
      <c r="G417" s="860"/>
      <c r="H417" s="857"/>
      <c r="I417" s="861"/>
      <c r="J417" s="295"/>
      <c r="K417" s="296">
        <f t="shared" si="7"/>
        <v>0</v>
      </c>
      <c r="L417"/>
    </row>
    <row r="418" spans="1:12">
      <c r="A418" s="855" t="s">
        <v>565</v>
      </c>
      <c r="B418" s="856"/>
      <c r="C418" s="856"/>
      <c r="D418" s="857"/>
      <c r="E418" s="858"/>
      <c r="F418" s="859"/>
      <c r="G418" s="860"/>
      <c r="H418" s="857"/>
      <c r="I418" s="861"/>
      <c r="J418" s="295"/>
      <c r="K418" s="296">
        <f t="shared" si="7"/>
        <v>0</v>
      </c>
      <c r="L418"/>
    </row>
    <row r="419" spans="1:12">
      <c r="A419" s="855" t="s">
        <v>565</v>
      </c>
      <c r="B419" s="856"/>
      <c r="C419" s="856"/>
      <c r="D419" s="857"/>
      <c r="E419" s="858"/>
      <c r="F419" s="859"/>
      <c r="G419" s="860"/>
      <c r="H419" s="857"/>
      <c r="I419" s="861"/>
      <c r="J419" s="295"/>
      <c r="K419" s="296">
        <f t="shared" si="7"/>
        <v>0</v>
      </c>
      <c r="L419"/>
    </row>
    <row r="420" spans="1:12">
      <c r="A420" s="855" t="s">
        <v>565</v>
      </c>
      <c r="B420" s="856"/>
      <c r="C420" s="856"/>
      <c r="D420" s="857"/>
      <c r="E420" s="858"/>
      <c r="F420" s="859"/>
      <c r="G420" s="860"/>
      <c r="H420" s="857"/>
      <c r="I420" s="861"/>
      <c r="J420" s="295"/>
      <c r="K420" s="296">
        <f t="shared" si="7"/>
        <v>0</v>
      </c>
      <c r="L420"/>
    </row>
    <row r="421" spans="1:12">
      <c r="A421" s="855" t="s">
        <v>565</v>
      </c>
      <c r="B421" s="856"/>
      <c r="C421" s="856"/>
      <c r="D421" s="857"/>
      <c r="E421" s="858"/>
      <c r="F421" s="859"/>
      <c r="G421" s="860"/>
      <c r="H421" s="857"/>
      <c r="I421" s="861"/>
      <c r="J421" s="295"/>
      <c r="K421" s="296">
        <f t="shared" si="7"/>
        <v>0</v>
      </c>
      <c r="L421"/>
    </row>
    <row r="422" spans="1:12">
      <c r="A422" s="855" t="s">
        <v>579</v>
      </c>
      <c r="B422" s="856"/>
      <c r="C422" s="856"/>
      <c r="D422" s="857"/>
      <c r="E422" s="858"/>
      <c r="F422" s="859"/>
      <c r="G422" s="860"/>
      <c r="H422" s="857"/>
      <c r="I422" s="861"/>
      <c r="J422" s="295"/>
      <c r="K422" s="296">
        <f t="shared" si="7"/>
        <v>0</v>
      </c>
      <c r="L422"/>
    </row>
    <row r="423" spans="1:12">
      <c r="A423" s="855" t="s">
        <v>579</v>
      </c>
      <c r="B423" s="856"/>
      <c r="C423" s="856"/>
      <c r="D423" s="857"/>
      <c r="E423" s="858"/>
      <c r="F423" s="859"/>
      <c r="G423" s="860"/>
      <c r="H423" s="857"/>
      <c r="I423" s="861"/>
      <c r="J423" s="295"/>
      <c r="K423" s="296">
        <f t="shared" si="7"/>
        <v>0</v>
      </c>
      <c r="L423"/>
    </row>
    <row r="424" spans="1:12">
      <c r="A424" s="855" t="s">
        <v>579</v>
      </c>
      <c r="B424" s="856"/>
      <c r="C424" s="856"/>
      <c r="D424" s="857"/>
      <c r="E424" s="858"/>
      <c r="F424" s="859"/>
      <c r="G424" s="860"/>
      <c r="H424" s="857"/>
      <c r="I424" s="861"/>
      <c r="J424" s="295"/>
      <c r="K424" s="296">
        <f t="shared" si="7"/>
        <v>0</v>
      </c>
      <c r="L424"/>
    </row>
    <row r="425" spans="1:12">
      <c r="A425" s="855" t="s">
        <v>579</v>
      </c>
      <c r="B425" s="856"/>
      <c r="C425" s="856"/>
      <c r="D425" s="857"/>
      <c r="E425" s="858"/>
      <c r="F425" s="859"/>
      <c r="G425" s="860"/>
      <c r="H425" s="857"/>
      <c r="I425" s="861"/>
      <c r="J425" s="295"/>
      <c r="K425" s="296">
        <f t="shared" si="7"/>
        <v>0</v>
      </c>
      <c r="L425"/>
    </row>
    <row r="426" spans="1:12">
      <c r="A426" s="855" t="s">
        <v>579</v>
      </c>
      <c r="B426" s="856"/>
      <c r="C426" s="856"/>
      <c r="D426" s="857"/>
      <c r="E426" s="858"/>
      <c r="F426" s="859"/>
      <c r="G426" s="860"/>
      <c r="H426" s="857"/>
      <c r="I426" s="861"/>
      <c r="J426" s="295"/>
      <c r="K426" s="296">
        <f t="shared" si="7"/>
        <v>0</v>
      </c>
      <c r="L426"/>
    </row>
    <row r="427" spans="1:12">
      <c r="A427" s="855" t="s">
        <v>579</v>
      </c>
      <c r="B427" s="856"/>
      <c r="C427" s="856"/>
      <c r="D427" s="857"/>
      <c r="E427" s="858"/>
      <c r="F427" s="859"/>
      <c r="G427" s="860"/>
      <c r="H427" s="857"/>
      <c r="I427" s="861"/>
      <c r="J427" s="295"/>
      <c r="K427" s="296">
        <f t="shared" si="7"/>
        <v>0</v>
      </c>
      <c r="L427"/>
    </row>
    <row r="428" spans="1:12">
      <c r="A428" s="855" t="s">
        <v>579</v>
      </c>
      <c r="B428" s="856"/>
      <c r="C428" s="856"/>
      <c r="D428" s="857"/>
      <c r="E428" s="858"/>
      <c r="F428" s="859"/>
      <c r="G428" s="860"/>
      <c r="H428" s="857"/>
      <c r="I428" s="861"/>
      <c r="J428" s="295"/>
      <c r="K428" s="296">
        <f t="shared" si="7"/>
        <v>0</v>
      </c>
      <c r="L428"/>
    </row>
    <row r="429" spans="1:12">
      <c r="A429" s="855" t="s">
        <v>579</v>
      </c>
      <c r="B429" s="856"/>
      <c r="C429" s="856"/>
      <c r="D429" s="857"/>
      <c r="E429" s="858"/>
      <c r="F429" s="859"/>
      <c r="G429" s="860"/>
      <c r="H429" s="857"/>
      <c r="I429" s="861"/>
      <c r="J429" s="295"/>
      <c r="K429" s="296">
        <f t="shared" si="7"/>
        <v>0</v>
      </c>
      <c r="L429"/>
    </row>
    <row r="430" spans="1:12">
      <c r="A430" s="855" t="s">
        <v>565</v>
      </c>
      <c r="B430" s="856"/>
      <c r="C430" s="856"/>
      <c r="D430" s="857"/>
      <c r="E430" s="858"/>
      <c r="F430" s="859"/>
      <c r="G430" s="860"/>
      <c r="H430" s="857"/>
      <c r="I430" s="861"/>
      <c r="J430" s="295"/>
      <c r="K430" s="296">
        <f t="shared" si="7"/>
        <v>0</v>
      </c>
      <c r="L430"/>
    </row>
    <row r="431" spans="1:12">
      <c r="A431" s="855" t="s">
        <v>565</v>
      </c>
      <c r="B431" s="856"/>
      <c r="C431" s="856"/>
      <c r="D431" s="857"/>
      <c r="E431" s="858"/>
      <c r="F431" s="859"/>
      <c r="G431" s="860"/>
      <c r="H431" s="857"/>
      <c r="I431" s="861"/>
      <c r="J431" s="295"/>
      <c r="K431" s="296">
        <f t="shared" si="7"/>
        <v>0</v>
      </c>
      <c r="L431"/>
    </row>
    <row r="432" spans="1:12">
      <c r="A432" s="855" t="s">
        <v>565</v>
      </c>
      <c r="B432" s="856"/>
      <c r="C432" s="856"/>
      <c r="D432" s="857"/>
      <c r="E432" s="858"/>
      <c r="F432" s="859"/>
      <c r="G432" s="860"/>
      <c r="H432" s="857"/>
      <c r="I432" s="861"/>
      <c r="J432" s="295"/>
      <c r="K432" s="296">
        <f t="shared" si="7"/>
        <v>0</v>
      </c>
      <c r="L432"/>
    </row>
    <row r="433" spans="1:12">
      <c r="A433" s="855" t="s">
        <v>565</v>
      </c>
      <c r="B433" s="856"/>
      <c r="C433" s="856"/>
      <c r="D433" s="857"/>
      <c r="E433" s="858"/>
      <c r="F433" s="859"/>
      <c r="G433" s="860"/>
      <c r="H433" s="857"/>
      <c r="I433" s="861"/>
      <c r="J433" s="295"/>
      <c r="K433" s="296">
        <f t="shared" si="7"/>
        <v>0</v>
      </c>
      <c r="L433"/>
    </row>
    <row r="434" spans="1:12">
      <c r="A434" s="855" t="s">
        <v>565</v>
      </c>
      <c r="B434" s="856"/>
      <c r="C434" s="856"/>
      <c r="D434" s="857"/>
      <c r="E434" s="858"/>
      <c r="F434" s="859"/>
      <c r="G434" s="860"/>
      <c r="H434" s="857"/>
      <c r="I434" s="861"/>
      <c r="J434" s="295"/>
      <c r="K434" s="296">
        <f t="shared" si="7"/>
        <v>0</v>
      </c>
      <c r="L434"/>
    </row>
    <row r="435" spans="1:12">
      <c r="A435" s="855" t="s">
        <v>565</v>
      </c>
      <c r="B435" s="856"/>
      <c r="C435" s="856"/>
      <c r="D435" s="857"/>
      <c r="E435" s="858"/>
      <c r="F435" s="859"/>
      <c r="G435" s="860"/>
      <c r="H435" s="857"/>
      <c r="I435" s="861"/>
      <c r="J435" s="295"/>
      <c r="K435" s="296">
        <f t="shared" si="7"/>
        <v>0</v>
      </c>
      <c r="L435"/>
    </row>
    <row r="436" spans="1:12">
      <c r="A436" s="855" t="s">
        <v>565</v>
      </c>
      <c r="B436" s="856"/>
      <c r="C436" s="856"/>
      <c r="D436" s="857"/>
      <c r="E436" s="858"/>
      <c r="F436" s="859"/>
      <c r="G436" s="860"/>
      <c r="H436" s="857"/>
      <c r="I436" s="861"/>
      <c r="J436" s="295"/>
      <c r="K436" s="296">
        <f t="shared" si="7"/>
        <v>0</v>
      </c>
      <c r="L436"/>
    </row>
    <row r="437" spans="1:12">
      <c r="A437" s="855" t="s">
        <v>565</v>
      </c>
      <c r="B437" s="856"/>
      <c r="C437" s="856"/>
      <c r="D437" s="857"/>
      <c r="E437" s="858"/>
      <c r="F437" s="859"/>
      <c r="G437" s="860"/>
      <c r="H437" s="857"/>
      <c r="I437" s="861"/>
      <c r="J437" s="295"/>
      <c r="K437" s="296">
        <f t="shared" si="7"/>
        <v>0</v>
      </c>
      <c r="L437"/>
    </row>
    <row r="438" spans="1:12">
      <c r="A438" s="855" t="s">
        <v>565</v>
      </c>
      <c r="B438" s="856"/>
      <c r="C438" s="856"/>
      <c r="D438" s="857"/>
      <c r="E438" s="858"/>
      <c r="F438" s="859"/>
      <c r="G438" s="860"/>
      <c r="H438" s="857"/>
      <c r="I438" s="861"/>
      <c r="J438" s="295"/>
      <c r="K438" s="296">
        <f t="shared" si="7"/>
        <v>0</v>
      </c>
      <c r="L438"/>
    </row>
    <row r="439" spans="1:12">
      <c r="A439" s="855" t="s">
        <v>579</v>
      </c>
      <c r="B439" s="856"/>
      <c r="C439" s="856"/>
      <c r="D439" s="857"/>
      <c r="E439" s="858"/>
      <c r="F439" s="859"/>
      <c r="G439" s="860"/>
      <c r="H439" s="857"/>
      <c r="I439" s="861"/>
      <c r="J439" s="295"/>
      <c r="K439" s="296">
        <f t="shared" si="7"/>
        <v>0</v>
      </c>
      <c r="L439"/>
    </row>
    <row r="440" spans="1:12">
      <c r="A440" s="855" t="s">
        <v>565</v>
      </c>
      <c r="B440" s="856"/>
      <c r="C440" s="856"/>
      <c r="D440" s="857"/>
      <c r="E440" s="858"/>
      <c r="F440" s="859"/>
      <c r="G440" s="860"/>
      <c r="H440" s="857"/>
      <c r="I440" s="861"/>
      <c r="J440" s="295"/>
      <c r="K440" s="296">
        <f t="shared" si="7"/>
        <v>0</v>
      </c>
      <c r="L440"/>
    </row>
    <row r="441" spans="1:12">
      <c r="A441" s="855" t="s">
        <v>565</v>
      </c>
      <c r="B441" s="856"/>
      <c r="C441" s="856"/>
      <c r="D441" s="857"/>
      <c r="E441" s="858"/>
      <c r="F441" s="859"/>
      <c r="G441" s="860"/>
      <c r="H441" s="857"/>
      <c r="I441" s="861"/>
      <c r="J441" s="295"/>
      <c r="K441" s="296">
        <f t="shared" si="7"/>
        <v>0</v>
      </c>
      <c r="L441"/>
    </row>
    <row r="442" spans="1:12">
      <c r="A442" s="855" t="s">
        <v>565</v>
      </c>
      <c r="B442" s="856"/>
      <c r="C442" s="856"/>
      <c r="D442" s="857"/>
      <c r="E442" s="858"/>
      <c r="F442" s="859"/>
      <c r="G442" s="860"/>
      <c r="H442" s="857"/>
      <c r="I442" s="861"/>
      <c r="J442" s="295"/>
      <c r="K442" s="296">
        <f t="shared" si="7"/>
        <v>0</v>
      </c>
      <c r="L442"/>
    </row>
    <row r="443" spans="1:12">
      <c r="A443" s="855" t="s">
        <v>565</v>
      </c>
      <c r="B443" s="856"/>
      <c r="C443" s="856"/>
      <c r="D443" s="857"/>
      <c r="E443" s="858"/>
      <c r="F443" s="859"/>
      <c r="G443" s="860"/>
      <c r="H443" s="857"/>
      <c r="I443" s="861"/>
      <c r="J443" s="295"/>
      <c r="K443" s="296">
        <f t="shared" si="7"/>
        <v>0</v>
      </c>
      <c r="L443"/>
    </row>
    <row r="444" spans="1:12">
      <c r="A444" s="855" t="s">
        <v>565</v>
      </c>
      <c r="B444" s="856"/>
      <c r="C444" s="856"/>
      <c r="D444" s="857"/>
      <c r="E444" s="858"/>
      <c r="F444" s="859"/>
      <c r="G444" s="860"/>
      <c r="H444" s="857"/>
      <c r="I444" s="861"/>
      <c r="J444" s="295"/>
      <c r="K444" s="296">
        <f t="shared" si="7"/>
        <v>0</v>
      </c>
      <c r="L444"/>
    </row>
    <row r="445" spans="1:12">
      <c r="A445" s="855" t="s">
        <v>565</v>
      </c>
      <c r="B445" s="856"/>
      <c r="C445" s="856"/>
      <c r="D445" s="857"/>
      <c r="E445" s="858"/>
      <c r="F445" s="859"/>
      <c r="G445" s="860"/>
      <c r="H445" s="857"/>
      <c r="I445" s="861"/>
      <c r="J445" s="295"/>
      <c r="K445" s="296">
        <f t="shared" si="7"/>
        <v>0</v>
      </c>
      <c r="L445"/>
    </row>
    <row r="446" spans="1:12">
      <c r="A446" s="855" t="s">
        <v>565</v>
      </c>
      <c r="B446" s="856"/>
      <c r="C446" s="856"/>
      <c r="D446" s="857"/>
      <c r="E446" s="858"/>
      <c r="F446" s="859"/>
      <c r="G446" s="860"/>
      <c r="H446" s="857"/>
      <c r="I446" s="861"/>
      <c r="J446" s="295"/>
      <c r="K446" s="296">
        <f t="shared" si="7"/>
        <v>0</v>
      </c>
      <c r="L446"/>
    </row>
    <row r="447" spans="1:12">
      <c r="A447" s="855" t="s">
        <v>565</v>
      </c>
      <c r="B447" s="856"/>
      <c r="C447" s="856"/>
      <c r="D447" s="857"/>
      <c r="E447" s="858"/>
      <c r="F447" s="859"/>
      <c r="G447" s="860"/>
      <c r="H447" s="857"/>
      <c r="I447" s="861"/>
      <c r="J447" s="295"/>
      <c r="K447" s="296">
        <f t="shared" si="7"/>
        <v>0</v>
      </c>
      <c r="L447"/>
    </row>
    <row r="448" spans="1:12">
      <c r="A448" s="855" t="s">
        <v>565</v>
      </c>
      <c r="B448" s="856"/>
      <c r="C448" s="856"/>
      <c r="D448" s="857"/>
      <c r="E448" s="858"/>
      <c r="F448" s="859"/>
      <c r="G448" s="860"/>
      <c r="H448" s="857"/>
      <c r="I448" s="861"/>
      <c r="J448" s="295"/>
      <c r="K448" s="296">
        <f t="shared" si="7"/>
        <v>0</v>
      </c>
      <c r="L448"/>
    </row>
    <row r="449" spans="1:12">
      <c r="A449" s="855" t="s">
        <v>579</v>
      </c>
      <c r="B449" s="856"/>
      <c r="C449" s="856"/>
      <c r="D449" s="857"/>
      <c r="E449" s="858"/>
      <c r="F449" s="859"/>
      <c r="G449" s="860"/>
      <c r="H449" s="857"/>
      <c r="I449" s="861"/>
      <c r="J449" s="295"/>
      <c r="K449" s="296">
        <f t="shared" si="7"/>
        <v>0</v>
      </c>
      <c r="L449"/>
    </row>
    <row r="450" spans="1:12">
      <c r="A450" s="855" t="s">
        <v>565</v>
      </c>
      <c r="B450" s="856"/>
      <c r="C450" s="856"/>
      <c r="D450" s="857"/>
      <c r="E450" s="858"/>
      <c r="F450" s="859"/>
      <c r="G450" s="860"/>
      <c r="H450" s="857"/>
      <c r="I450" s="861"/>
      <c r="J450" s="295"/>
      <c r="K450" s="296">
        <f t="shared" si="7"/>
        <v>0</v>
      </c>
      <c r="L450"/>
    </row>
    <row r="451" spans="1:12">
      <c r="A451" s="855" t="s">
        <v>565</v>
      </c>
      <c r="B451" s="856"/>
      <c r="C451" s="856"/>
      <c r="D451" s="857"/>
      <c r="E451" s="858"/>
      <c r="F451" s="859"/>
      <c r="G451" s="860"/>
      <c r="H451" s="857"/>
      <c r="I451" s="861"/>
      <c r="J451" s="295"/>
      <c r="K451" s="296">
        <f t="shared" si="7"/>
        <v>0</v>
      </c>
      <c r="L451"/>
    </row>
    <row r="452" spans="1:12">
      <c r="A452" s="855" t="s">
        <v>565</v>
      </c>
      <c r="B452" s="856"/>
      <c r="C452" s="856"/>
      <c r="D452" s="857"/>
      <c r="E452" s="858"/>
      <c r="F452" s="859"/>
      <c r="G452" s="860"/>
      <c r="H452" s="857"/>
      <c r="I452" s="861"/>
      <c r="J452" s="295"/>
      <c r="K452" s="296">
        <f t="shared" si="7"/>
        <v>0</v>
      </c>
      <c r="L452"/>
    </row>
    <row r="453" spans="1:12">
      <c r="A453" s="855" t="s">
        <v>565</v>
      </c>
      <c r="B453" s="856"/>
      <c r="C453" s="856"/>
      <c r="D453" s="857"/>
      <c r="E453" s="858"/>
      <c r="F453" s="859"/>
      <c r="G453" s="860"/>
      <c r="H453" s="857"/>
      <c r="I453" s="861"/>
      <c r="J453" s="295"/>
      <c r="K453" s="296">
        <f t="shared" si="7"/>
        <v>0</v>
      </c>
      <c r="L453"/>
    </row>
    <row r="454" spans="1:12">
      <c r="A454" s="855" t="s">
        <v>565</v>
      </c>
      <c r="B454" s="856"/>
      <c r="C454" s="856"/>
      <c r="D454" s="857"/>
      <c r="E454" s="858"/>
      <c r="F454" s="859"/>
      <c r="G454" s="860"/>
      <c r="H454" s="857"/>
      <c r="I454" s="861"/>
      <c r="J454" s="295"/>
      <c r="K454" s="296">
        <f t="shared" si="7"/>
        <v>0</v>
      </c>
      <c r="L454"/>
    </row>
    <row r="455" spans="1:12">
      <c r="A455" s="855" t="s">
        <v>565</v>
      </c>
      <c r="B455" s="856"/>
      <c r="C455" s="856"/>
      <c r="D455" s="857"/>
      <c r="E455" s="858"/>
      <c r="F455" s="859"/>
      <c r="G455" s="860"/>
      <c r="H455" s="857"/>
      <c r="I455" s="861"/>
      <c r="J455" s="295"/>
      <c r="K455" s="296">
        <f t="shared" si="7"/>
        <v>0</v>
      </c>
      <c r="L455"/>
    </row>
    <row r="456" spans="1:12">
      <c r="A456" s="855" t="s">
        <v>565</v>
      </c>
      <c r="B456" s="856"/>
      <c r="C456" s="856"/>
      <c r="D456" s="857"/>
      <c r="E456" s="858"/>
      <c r="F456" s="859"/>
      <c r="G456" s="860"/>
      <c r="H456" s="857"/>
      <c r="I456" s="861"/>
      <c r="J456" s="295"/>
      <c r="K456" s="296">
        <f t="shared" si="7"/>
        <v>0</v>
      </c>
      <c r="L456"/>
    </row>
    <row r="457" spans="1:12">
      <c r="A457" s="855" t="s">
        <v>565</v>
      </c>
      <c r="B457" s="856"/>
      <c r="C457" s="856"/>
      <c r="D457" s="857"/>
      <c r="E457" s="858"/>
      <c r="F457" s="859"/>
      <c r="G457" s="860"/>
      <c r="H457" s="857"/>
      <c r="I457" s="861"/>
      <c r="J457" s="295"/>
      <c r="K457" s="296">
        <f t="shared" ref="K457:K520" si="8">IF(LEFT(A457,2)="TU",(J457-I457)*E457/100*100000*2,(J457-I457)*E457/100*100000)</f>
        <v>0</v>
      </c>
      <c r="L457"/>
    </row>
    <row r="458" spans="1:12">
      <c r="A458" s="855" t="s">
        <v>565</v>
      </c>
      <c r="B458" s="856"/>
      <c r="C458" s="856"/>
      <c r="D458" s="857"/>
      <c r="E458" s="858"/>
      <c r="F458" s="859"/>
      <c r="G458" s="860"/>
      <c r="H458" s="857"/>
      <c r="I458" s="861"/>
      <c r="J458" s="295"/>
      <c r="K458" s="296">
        <f t="shared" si="8"/>
        <v>0</v>
      </c>
      <c r="L458"/>
    </row>
    <row r="459" spans="1:12">
      <c r="A459" s="855" t="s">
        <v>565</v>
      </c>
      <c r="B459" s="856"/>
      <c r="C459" s="856"/>
      <c r="D459" s="857"/>
      <c r="E459" s="858"/>
      <c r="F459" s="859"/>
      <c r="G459" s="860"/>
      <c r="H459" s="857"/>
      <c r="I459" s="861"/>
      <c r="J459" s="295"/>
      <c r="K459" s="296">
        <f t="shared" si="8"/>
        <v>0</v>
      </c>
      <c r="L459"/>
    </row>
    <row r="460" spans="1:12">
      <c r="A460" s="855" t="s">
        <v>565</v>
      </c>
      <c r="B460" s="856"/>
      <c r="C460" s="856"/>
      <c r="D460" s="857"/>
      <c r="E460" s="858"/>
      <c r="F460" s="859"/>
      <c r="G460" s="860"/>
      <c r="H460" s="857"/>
      <c r="I460" s="861"/>
      <c r="J460" s="295"/>
      <c r="K460" s="296">
        <f t="shared" si="8"/>
        <v>0</v>
      </c>
      <c r="L460"/>
    </row>
    <row r="461" spans="1:12">
      <c r="A461" s="855" t="s">
        <v>565</v>
      </c>
      <c r="B461" s="856"/>
      <c r="C461" s="856"/>
      <c r="D461" s="857"/>
      <c r="E461" s="858"/>
      <c r="F461" s="859"/>
      <c r="G461" s="860"/>
      <c r="H461" s="857"/>
      <c r="I461" s="861"/>
      <c r="J461" s="295"/>
      <c r="K461" s="296">
        <f t="shared" si="8"/>
        <v>0</v>
      </c>
      <c r="L461"/>
    </row>
    <row r="462" spans="1:12">
      <c r="A462" s="855" t="s">
        <v>565</v>
      </c>
      <c r="B462" s="856"/>
      <c r="C462" s="856"/>
      <c r="D462" s="857"/>
      <c r="E462" s="858"/>
      <c r="F462" s="859"/>
      <c r="G462" s="860"/>
      <c r="H462" s="857"/>
      <c r="I462" s="861"/>
      <c r="J462" s="295"/>
      <c r="K462" s="296">
        <f t="shared" si="8"/>
        <v>0</v>
      </c>
      <c r="L462"/>
    </row>
    <row r="463" spans="1:12">
      <c r="A463" s="855" t="s">
        <v>565</v>
      </c>
      <c r="B463" s="856"/>
      <c r="C463" s="856"/>
      <c r="D463" s="857"/>
      <c r="E463" s="858"/>
      <c r="F463" s="859"/>
      <c r="G463" s="860"/>
      <c r="H463" s="857"/>
      <c r="I463" s="861"/>
      <c r="J463" s="295"/>
      <c r="K463" s="296">
        <f t="shared" si="8"/>
        <v>0</v>
      </c>
      <c r="L463"/>
    </row>
    <row r="464" spans="1:12">
      <c r="A464" s="855" t="s">
        <v>565</v>
      </c>
      <c r="B464" s="856"/>
      <c r="C464" s="856"/>
      <c r="D464" s="857"/>
      <c r="E464" s="858"/>
      <c r="F464" s="859"/>
      <c r="G464" s="860"/>
      <c r="H464" s="857"/>
      <c r="I464" s="861"/>
      <c r="J464" s="295"/>
      <c r="K464" s="296">
        <f t="shared" si="8"/>
        <v>0</v>
      </c>
      <c r="L464"/>
    </row>
    <row r="465" spans="1:12">
      <c r="A465" s="855" t="s">
        <v>565</v>
      </c>
      <c r="B465" s="856"/>
      <c r="C465" s="856"/>
      <c r="D465" s="857"/>
      <c r="E465" s="858"/>
      <c r="F465" s="859"/>
      <c r="G465" s="860"/>
      <c r="H465" s="857"/>
      <c r="I465" s="861"/>
      <c r="J465" s="295"/>
      <c r="K465" s="296">
        <f t="shared" si="8"/>
        <v>0</v>
      </c>
      <c r="L465"/>
    </row>
    <row r="466" spans="1:12">
      <c r="A466" s="855" t="s">
        <v>565</v>
      </c>
      <c r="B466" s="856"/>
      <c r="C466" s="856"/>
      <c r="D466" s="857"/>
      <c r="E466" s="858"/>
      <c r="F466" s="859"/>
      <c r="G466" s="860"/>
      <c r="H466" s="857"/>
      <c r="I466" s="861"/>
      <c r="J466" s="295"/>
      <c r="K466" s="296">
        <f t="shared" si="8"/>
        <v>0</v>
      </c>
      <c r="L466"/>
    </row>
    <row r="467" spans="1:12">
      <c r="A467" s="855" t="s">
        <v>565</v>
      </c>
      <c r="B467" s="856"/>
      <c r="C467" s="856"/>
      <c r="D467" s="857"/>
      <c r="E467" s="858"/>
      <c r="F467" s="859"/>
      <c r="G467" s="860"/>
      <c r="H467" s="857"/>
      <c r="I467" s="861"/>
      <c r="J467" s="295"/>
      <c r="K467" s="296">
        <f t="shared" si="8"/>
        <v>0</v>
      </c>
      <c r="L467"/>
    </row>
    <row r="468" spans="1:12">
      <c r="A468" s="855" t="s">
        <v>565</v>
      </c>
      <c r="B468" s="856"/>
      <c r="C468" s="856"/>
      <c r="D468" s="857"/>
      <c r="E468" s="858"/>
      <c r="F468" s="859"/>
      <c r="G468" s="860"/>
      <c r="H468" s="857"/>
      <c r="I468" s="861"/>
      <c r="J468" s="295"/>
      <c r="K468" s="296">
        <f t="shared" si="8"/>
        <v>0</v>
      </c>
      <c r="L468"/>
    </row>
    <row r="469" spans="1:12">
      <c r="A469" s="855" t="s">
        <v>565</v>
      </c>
      <c r="B469" s="856"/>
      <c r="C469" s="856"/>
      <c r="D469" s="857"/>
      <c r="E469" s="858"/>
      <c r="F469" s="859"/>
      <c r="G469" s="860"/>
      <c r="H469" s="857"/>
      <c r="I469" s="861"/>
      <c r="J469" s="295"/>
      <c r="K469" s="296">
        <f t="shared" si="8"/>
        <v>0</v>
      </c>
      <c r="L469"/>
    </row>
    <row r="470" spans="1:12">
      <c r="A470" s="855" t="s">
        <v>565</v>
      </c>
      <c r="B470" s="856"/>
      <c r="C470" s="856"/>
      <c r="D470" s="857"/>
      <c r="E470" s="858"/>
      <c r="F470" s="859"/>
      <c r="G470" s="860"/>
      <c r="H470" s="857"/>
      <c r="I470" s="861"/>
      <c r="J470" s="295"/>
      <c r="K470" s="296">
        <f t="shared" si="8"/>
        <v>0</v>
      </c>
      <c r="L470"/>
    </row>
    <row r="471" spans="1:12">
      <c r="A471" s="855" t="s">
        <v>565</v>
      </c>
      <c r="B471" s="856"/>
      <c r="C471" s="856"/>
      <c r="D471" s="857"/>
      <c r="E471" s="858"/>
      <c r="F471" s="859"/>
      <c r="G471" s="860"/>
      <c r="H471" s="857"/>
      <c r="I471" s="861"/>
      <c r="J471" s="295"/>
      <c r="K471" s="296">
        <f t="shared" si="8"/>
        <v>0</v>
      </c>
      <c r="L471"/>
    </row>
    <row r="472" spans="1:12">
      <c r="A472" s="855" t="s">
        <v>565</v>
      </c>
      <c r="B472" s="856"/>
      <c r="C472" s="856"/>
      <c r="D472" s="857"/>
      <c r="E472" s="858"/>
      <c r="F472" s="859"/>
      <c r="G472" s="860"/>
      <c r="H472" s="857"/>
      <c r="I472" s="861"/>
      <c r="J472" s="295"/>
      <c r="K472" s="296">
        <f t="shared" si="8"/>
        <v>0</v>
      </c>
      <c r="L472"/>
    </row>
    <row r="473" spans="1:12">
      <c r="A473" s="855" t="s">
        <v>565</v>
      </c>
      <c r="B473" s="856"/>
      <c r="C473" s="856"/>
      <c r="D473" s="857"/>
      <c r="E473" s="858"/>
      <c r="F473" s="859"/>
      <c r="G473" s="860"/>
      <c r="H473" s="857"/>
      <c r="I473" s="861"/>
      <c r="J473" s="295"/>
      <c r="K473" s="296">
        <f t="shared" si="8"/>
        <v>0</v>
      </c>
      <c r="L473"/>
    </row>
    <row r="474" spans="1:12">
      <c r="A474" s="855" t="s">
        <v>565</v>
      </c>
      <c r="B474" s="856"/>
      <c r="C474" s="856"/>
      <c r="D474" s="857"/>
      <c r="E474" s="858"/>
      <c r="F474" s="859"/>
      <c r="G474" s="860"/>
      <c r="H474" s="857"/>
      <c r="I474" s="861"/>
      <c r="J474" s="295"/>
      <c r="K474" s="296">
        <f t="shared" si="8"/>
        <v>0</v>
      </c>
      <c r="L474"/>
    </row>
    <row r="475" spans="1:12">
      <c r="A475" s="855" t="s">
        <v>565</v>
      </c>
      <c r="B475" s="856"/>
      <c r="C475" s="856"/>
      <c r="D475" s="857"/>
      <c r="E475" s="858"/>
      <c r="F475" s="859"/>
      <c r="G475" s="860"/>
      <c r="H475" s="857"/>
      <c r="I475" s="861"/>
      <c r="J475" s="295"/>
      <c r="K475" s="296">
        <f t="shared" si="8"/>
        <v>0</v>
      </c>
      <c r="L475"/>
    </row>
    <row r="476" spans="1:12">
      <c r="A476" s="855" t="s">
        <v>565</v>
      </c>
      <c r="B476" s="856"/>
      <c r="C476" s="856"/>
      <c r="D476" s="857"/>
      <c r="E476" s="858"/>
      <c r="F476" s="859"/>
      <c r="G476" s="860"/>
      <c r="H476" s="857"/>
      <c r="I476" s="861"/>
      <c r="J476" s="295"/>
      <c r="K476" s="296">
        <f t="shared" si="8"/>
        <v>0</v>
      </c>
      <c r="L476"/>
    </row>
    <row r="477" spans="1:12">
      <c r="A477" s="855" t="s">
        <v>565</v>
      </c>
      <c r="B477" s="856"/>
      <c r="C477" s="856"/>
      <c r="D477" s="857"/>
      <c r="E477" s="858"/>
      <c r="F477" s="859"/>
      <c r="G477" s="860"/>
      <c r="H477" s="857"/>
      <c r="I477" s="861"/>
      <c r="J477" s="295"/>
      <c r="K477" s="296">
        <f t="shared" si="8"/>
        <v>0</v>
      </c>
      <c r="L477"/>
    </row>
    <row r="478" spans="1:12">
      <c r="A478" s="855" t="s">
        <v>565</v>
      </c>
      <c r="B478" s="856"/>
      <c r="C478" s="856"/>
      <c r="D478" s="857"/>
      <c r="E478" s="858"/>
      <c r="F478" s="859"/>
      <c r="G478" s="860"/>
      <c r="H478" s="857"/>
      <c r="I478" s="861"/>
      <c r="J478" s="295"/>
      <c r="K478" s="296">
        <f t="shared" si="8"/>
        <v>0</v>
      </c>
      <c r="L478"/>
    </row>
    <row r="479" spans="1:12">
      <c r="A479" s="855" t="s">
        <v>565</v>
      </c>
      <c r="B479" s="856"/>
      <c r="C479" s="856"/>
      <c r="D479" s="857"/>
      <c r="E479" s="858"/>
      <c r="F479" s="859"/>
      <c r="G479" s="860"/>
      <c r="H479" s="857"/>
      <c r="I479" s="861"/>
      <c r="J479" s="295"/>
      <c r="K479" s="296">
        <f t="shared" si="8"/>
        <v>0</v>
      </c>
      <c r="L479"/>
    </row>
    <row r="480" spans="1:12">
      <c r="A480" s="855" t="s">
        <v>565</v>
      </c>
      <c r="B480" s="856"/>
      <c r="C480" s="856"/>
      <c r="D480" s="857"/>
      <c r="E480" s="858"/>
      <c r="F480" s="859"/>
      <c r="G480" s="860"/>
      <c r="H480" s="857"/>
      <c r="I480" s="861"/>
      <c r="J480" s="295"/>
      <c r="K480" s="296">
        <f t="shared" si="8"/>
        <v>0</v>
      </c>
      <c r="L480"/>
    </row>
    <row r="481" spans="1:12">
      <c r="A481" s="855" t="s">
        <v>565</v>
      </c>
      <c r="B481" s="856"/>
      <c r="C481" s="856"/>
      <c r="D481" s="857"/>
      <c r="E481" s="858"/>
      <c r="F481" s="859"/>
      <c r="G481" s="860"/>
      <c r="H481" s="857"/>
      <c r="I481" s="861"/>
      <c r="J481" s="295"/>
      <c r="K481" s="296">
        <f t="shared" si="8"/>
        <v>0</v>
      </c>
      <c r="L481"/>
    </row>
    <row r="482" spans="1:12">
      <c r="A482" s="855" t="s">
        <v>564</v>
      </c>
      <c r="B482" s="856"/>
      <c r="C482" s="856"/>
      <c r="D482" s="857"/>
      <c r="E482" s="858"/>
      <c r="F482" s="859"/>
      <c r="G482" s="860"/>
      <c r="H482" s="857"/>
      <c r="I482" s="861"/>
      <c r="J482" s="295"/>
      <c r="K482" s="296">
        <f t="shared" si="8"/>
        <v>0</v>
      </c>
      <c r="L482"/>
    </row>
    <row r="483" spans="1:12">
      <c r="A483" s="855" t="s">
        <v>564</v>
      </c>
      <c r="B483" s="856"/>
      <c r="C483" s="856"/>
      <c r="D483" s="857"/>
      <c r="E483" s="858"/>
      <c r="F483" s="859"/>
      <c r="G483" s="860"/>
      <c r="H483" s="857"/>
      <c r="I483" s="861"/>
      <c r="J483" s="295"/>
      <c r="K483" s="296">
        <f t="shared" si="8"/>
        <v>0</v>
      </c>
      <c r="L483"/>
    </row>
    <row r="484" spans="1:12">
      <c r="A484" s="855" t="s">
        <v>579</v>
      </c>
      <c r="B484" s="856"/>
      <c r="C484" s="856"/>
      <c r="D484" s="857"/>
      <c r="E484" s="858"/>
      <c r="F484" s="859"/>
      <c r="G484" s="860"/>
      <c r="H484" s="857"/>
      <c r="I484" s="861"/>
      <c r="J484" s="295"/>
      <c r="K484" s="296">
        <f t="shared" si="8"/>
        <v>0</v>
      </c>
      <c r="L484"/>
    </row>
    <row r="485" spans="1:12">
      <c r="A485" s="855" t="s">
        <v>579</v>
      </c>
      <c r="B485" s="856"/>
      <c r="C485" s="856"/>
      <c r="D485" s="857"/>
      <c r="E485" s="858"/>
      <c r="F485" s="859"/>
      <c r="G485" s="860"/>
      <c r="H485" s="857"/>
      <c r="I485" s="861"/>
      <c r="J485" s="295"/>
      <c r="K485" s="296">
        <f t="shared" si="8"/>
        <v>0</v>
      </c>
      <c r="L485"/>
    </row>
    <row r="486" spans="1:12">
      <c r="A486" s="855" t="s">
        <v>579</v>
      </c>
      <c r="B486" s="856"/>
      <c r="C486" s="856"/>
      <c r="D486" s="857"/>
      <c r="E486" s="858"/>
      <c r="F486" s="859"/>
      <c r="G486" s="860"/>
      <c r="H486" s="857"/>
      <c r="I486" s="861"/>
      <c r="J486" s="295"/>
      <c r="K486" s="296">
        <f t="shared" si="8"/>
        <v>0</v>
      </c>
      <c r="L486"/>
    </row>
    <row r="487" spans="1:12">
      <c r="A487" s="855" t="s">
        <v>579</v>
      </c>
      <c r="B487" s="856"/>
      <c r="C487" s="856"/>
      <c r="D487" s="857"/>
      <c r="E487" s="858"/>
      <c r="F487" s="859"/>
      <c r="G487" s="860"/>
      <c r="H487" s="857"/>
      <c r="I487" s="861"/>
      <c r="J487" s="295"/>
      <c r="K487" s="296">
        <f t="shared" si="8"/>
        <v>0</v>
      </c>
      <c r="L487"/>
    </row>
    <row r="488" spans="1:12">
      <c r="A488" s="855" t="s">
        <v>579</v>
      </c>
      <c r="B488" s="856"/>
      <c r="C488" s="856"/>
      <c r="D488" s="857"/>
      <c r="E488" s="858"/>
      <c r="F488" s="859"/>
      <c r="G488" s="860"/>
      <c r="H488" s="857"/>
      <c r="I488" s="861"/>
      <c r="J488" s="295"/>
      <c r="K488" s="296">
        <f t="shared" si="8"/>
        <v>0</v>
      </c>
      <c r="L488"/>
    </row>
    <row r="489" spans="1:12">
      <c r="A489" s="855" t="s">
        <v>579</v>
      </c>
      <c r="B489" s="856"/>
      <c r="C489" s="856"/>
      <c r="D489" s="857"/>
      <c r="E489" s="858"/>
      <c r="F489" s="859"/>
      <c r="G489" s="860"/>
      <c r="H489" s="857"/>
      <c r="I489" s="861"/>
      <c r="J489" s="295"/>
      <c r="K489" s="296">
        <f t="shared" si="8"/>
        <v>0</v>
      </c>
      <c r="L489"/>
    </row>
    <row r="490" spans="1:12">
      <c r="A490" s="855" t="s">
        <v>579</v>
      </c>
      <c r="B490" s="856"/>
      <c r="C490" s="856"/>
      <c r="D490" s="857"/>
      <c r="E490" s="858"/>
      <c r="F490" s="859"/>
      <c r="G490" s="860"/>
      <c r="H490" s="857"/>
      <c r="I490" s="861"/>
      <c r="J490" s="295"/>
      <c r="K490" s="296">
        <f t="shared" si="8"/>
        <v>0</v>
      </c>
      <c r="L490"/>
    </row>
    <row r="491" spans="1:12">
      <c r="A491" s="855" t="s">
        <v>579</v>
      </c>
      <c r="B491" s="856"/>
      <c r="C491" s="856"/>
      <c r="D491" s="857"/>
      <c r="E491" s="858"/>
      <c r="F491" s="859"/>
      <c r="G491" s="860"/>
      <c r="H491" s="857"/>
      <c r="I491" s="861"/>
      <c r="J491" s="295"/>
      <c r="K491" s="296">
        <f t="shared" si="8"/>
        <v>0</v>
      </c>
      <c r="L491"/>
    </row>
    <row r="492" spans="1:12">
      <c r="A492" s="855" t="s">
        <v>579</v>
      </c>
      <c r="B492" s="856"/>
      <c r="C492" s="856"/>
      <c r="D492" s="857"/>
      <c r="E492" s="858"/>
      <c r="F492" s="859"/>
      <c r="G492" s="860"/>
      <c r="H492" s="857"/>
      <c r="I492" s="861"/>
      <c r="J492" s="295"/>
      <c r="K492" s="296">
        <f t="shared" si="8"/>
        <v>0</v>
      </c>
      <c r="L492"/>
    </row>
    <row r="493" spans="1:12">
      <c r="A493" s="855" t="s">
        <v>579</v>
      </c>
      <c r="B493" s="856"/>
      <c r="C493" s="856"/>
      <c r="D493" s="857"/>
      <c r="E493" s="858"/>
      <c r="F493" s="859"/>
      <c r="G493" s="860"/>
      <c r="H493" s="857"/>
      <c r="I493" s="861"/>
      <c r="J493" s="295"/>
      <c r="K493" s="296">
        <f t="shared" si="8"/>
        <v>0</v>
      </c>
      <c r="L493"/>
    </row>
    <row r="494" spans="1:12">
      <c r="A494" s="855" t="s">
        <v>579</v>
      </c>
      <c r="B494" s="856"/>
      <c r="C494" s="856"/>
      <c r="D494" s="857"/>
      <c r="E494" s="858"/>
      <c r="F494" s="859"/>
      <c r="G494" s="860"/>
      <c r="H494" s="857"/>
      <c r="I494" s="861"/>
      <c r="J494" s="295"/>
      <c r="K494" s="296">
        <f t="shared" si="8"/>
        <v>0</v>
      </c>
      <c r="L494"/>
    </row>
    <row r="495" spans="1:12">
      <c r="A495" s="855" t="s">
        <v>565</v>
      </c>
      <c r="B495" s="856"/>
      <c r="C495" s="856"/>
      <c r="D495" s="857"/>
      <c r="E495" s="858"/>
      <c r="F495" s="859"/>
      <c r="G495" s="860"/>
      <c r="H495" s="857"/>
      <c r="I495" s="861"/>
      <c r="J495" s="295"/>
      <c r="K495" s="296">
        <f t="shared" si="8"/>
        <v>0</v>
      </c>
      <c r="L495"/>
    </row>
    <row r="496" spans="1:12">
      <c r="A496" s="855" t="s">
        <v>565</v>
      </c>
      <c r="B496" s="856"/>
      <c r="C496" s="856"/>
      <c r="D496" s="857"/>
      <c r="E496" s="858"/>
      <c r="F496" s="859"/>
      <c r="G496" s="860"/>
      <c r="H496" s="857"/>
      <c r="I496" s="861"/>
      <c r="J496" s="295"/>
      <c r="K496" s="296">
        <f t="shared" si="8"/>
        <v>0</v>
      </c>
      <c r="L496"/>
    </row>
    <row r="497" spans="1:12">
      <c r="A497" s="855" t="s">
        <v>565</v>
      </c>
      <c r="B497" s="856"/>
      <c r="C497" s="856"/>
      <c r="D497" s="857"/>
      <c r="E497" s="858"/>
      <c r="F497" s="859"/>
      <c r="G497" s="860"/>
      <c r="H497" s="857"/>
      <c r="I497" s="861"/>
      <c r="J497" s="295"/>
      <c r="K497" s="296">
        <f t="shared" si="8"/>
        <v>0</v>
      </c>
      <c r="L497"/>
    </row>
    <row r="498" spans="1:12">
      <c r="A498" s="855" t="s">
        <v>565</v>
      </c>
      <c r="B498" s="856"/>
      <c r="C498" s="856"/>
      <c r="D498" s="857"/>
      <c r="E498" s="858"/>
      <c r="F498" s="859"/>
      <c r="G498" s="860"/>
      <c r="H498" s="857"/>
      <c r="I498" s="861"/>
      <c r="J498" s="295"/>
      <c r="K498" s="296">
        <f t="shared" si="8"/>
        <v>0</v>
      </c>
      <c r="L498"/>
    </row>
    <row r="499" spans="1:12">
      <c r="A499" s="855" t="s">
        <v>565</v>
      </c>
      <c r="B499" s="856"/>
      <c r="C499" s="856"/>
      <c r="D499" s="857"/>
      <c r="E499" s="858"/>
      <c r="F499" s="859"/>
      <c r="G499" s="860"/>
      <c r="H499" s="857"/>
      <c r="I499" s="861"/>
      <c r="J499" s="295"/>
      <c r="K499" s="296">
        <f t="shared" si="8"/>
        <v>0</v>
      </c>
      <c r="L499"/>
    </row>
    <row r="500" spans="1:12">
      <c r="A500" s="855" t="s">
        <v>565</v>
      </c>
      <c r="B500" s="856"/>
      <c r="C500" s="856"/>
      <c r="D500" s="857"/>
      <c r="E500" s="858"/>
      <c r="F500" s="859"/>
      <c r="G500" s="860"/>
      <c r="H500" s="857"/>
      <c r="I500" s="861"/>
      <c r="J500" s="295"/>
      <c r="K500" s="296">
        <f t="shared" si="8"/>
        <v>0</v>
      </c>
      <c r="L500"/>
    </row>
    <row r="501" spans="1:12">
      <c r="A501" s="855" t="s">
        <v>565</v>
      </c>
      <c r="B501" s="856"/>
      <c r="C501" s="856"/>
      <c r="D501" s="857"/>
      <c r="E501" s="858"/>
      <c r="F501" s="859"/>
      <c r="G501" s="860"/>
      <c r="H501" s="857"/>
      <c r="I501" s="861"/>
      <c r="J501" s="295"/>
      <c r="K501" s="296">
        <f t="shared" si="8"/>
        <v>0</v>
      </c>
      <c r="L501"/>
    </row>
    <row r="502" spans="1:12">
      <c r="A502" s="855" t="s">
        <v>565</v>
      </c>
      <c r="B502" s="856"/>
      <c r="C502" s="856"/>
      <c r="D502" s="857"/>
      <c r="E502" s="858"/>
      <c r="F502" s="859"/>
      <c r="G502" s="860"/>
      <c r="H502" s="857"/>
      <c r="I502" s="861"/>
      <c r="J502" s="295"/>
      <c r="K502" s="296">
        <f t="shared" si="8"/>
        <v>0</v>
      </c>
      <c r="L502"/>
    </row>
    <row r="503" spans="1:12">
      <c r="A503" s="855" t="s">
        <v>565</v>
      </c>
      <c r="B503" s="856"/>
      <c r="C503" s="856"/>
      <c r="D503" s="857"/>
      <c r="E503" s="858"/>
      <c r="F503" s="859"/>
      <c r="G503" s="860"/>
      <c r="H503" s="857"/>
      <c r="I503" s="861"/>
      <c r="J503" s="295"/>
      <c r="K503" s="296">
        <f t="shared" si="8"/>
        <v>0</v>
      </c>
      <c r="L503"/>
    </row>
    <row r="504" spans="1:12">
      <c r="A504" s="855" t="s">
        <v>565</v>
      </c>
      <c r="B504" s="856"/>
      <c r="C504" s="856"/>
      <c r="D504" s="857"/>
      <c r="E504" s="858"/>
      <c r="F504" s="859"/>
      <c r="G504" s="860"/>
      <c r="H504" s="857"/>
      <c r="I504" s="861"/>
      <c r="J504" s="295"/>
      <c r="K504" s="296">
        <f t="shared" si="8"/>
        <v>0</v>
      </c>
      <c r="L504"/>
    </row>
    <row r="505" spans="1:12">
      <c r="A505" s="855" t="s">
        <v>565</v>
      </c>
      <c r="B505" s="856"/>
      <c r="C505" s="856"/>
      <c r="D505" s="857"/>
      <c r="E505" s="858"/>
      <c r="F505" s="859"/>
      <c r="G505" s="860"/>
      <c r="H505" s="857"/>
      <c r="I505" s="861"/>
      <c r="J505" s="295"/>
      <c r="K505" s="296">
        <f t="shared" si="8"/>
        <v>0</v>
      </c>
      <c r="L505"/>
    </row>
    <row r="506" spans="1:12">
      <c r="A506" s="855" t="s">
        <v>565</v>
      </c>
      <c r="B506" s="856"/>
      <c r="C506" s="856"/>
      <c r="D506" s="857"/>
      <c r="E506" s="858"/>
      <c r="F506" s="859"/>
      <c r="G506" s="860"/>
      <c r="H506" s="857"/>
      <c r="I506" s="861"/>
      <c r="J506" s="295"/>
      <c r="K506" s="296">
        <f t="shared" si="8"/>
        <v>0</v>
      </c>
      <c r="L506"/>
    </row>
    <row r="507" spans="1:12">
      <c r="A507" s="855" t="s">
        <v>565</v>
      </c>
      <c r="B507" s="856"/>
      <c r="C507" s="856"/>
      <c r="D507" s="857"/>
      <c r="E507" s="858"/>
      <c r="F507" s="859"/>
      <c r="G507" s="860"/>
      <c r="H507" s="857"/>
      <c r="I507" s="861"/>
      <c r="J507" s="295"/>
      <c r="K507" s="296">
        <f t="shared" si="8"/>
        <v>0</v>
      </c>
      <c r="L507"/>
    </row>
    <row r="508" spans="1:12">
      <c r="A508" s="855" t="s">
        <v>565</v>
      </c>
      <c r="B508" s="856"/>
      <c r="C508" s="856"/>
      <c r="D508" s="857"/>
      <c r="E508" s="858"/>
      <c r="F508" s="859"/>
      <c r="G508" s="860"/>
      <c r="H508" s="857"/>
      <c r="I508" s="861"/>
      <c r="J508" s="295"/>
      <c r="K508" s="296">
        <f t="shared" si="8"/>
        <v>0</v>
      </c>
      <c r="L508"/>
    </row>
    <row r="509" spans="1:12">
      <c r="A509" s="855" t="s">
        <v>565</v>
      </c>
      <c r="B509" s="856"/>
      <c r="C509" s="856"/>
      <c r="D509" s="857"/>
      <c r="E509" s="858"/>
      <c r="F509" s="859"/>
      <c r="G509" s="860"/>
      <c r="H509" s="857"/>
      <c r="I509" s="861"/>
      <c r="J509" s="295"/>
      <c r="K509" s="296">
        <f t="shared" si="8"/>
        <v>0</v>
      </c>
      <c r="L509"/>
    </row>
    <row r="510" spans="1:12">
      <c r="A510" s="855" t="s">
        <v>565</v>
      </c>
      <c r="B510" s="856"/>
      <c r="C510" s="856"/>
      <c r="D510" s="857"/>
      <c r="E510" s="858"/>
      <c r="F510" s="859"/>
      <c r="G510" s="860"/>
      <c r="H510" s="857"/>
      <c r="I510" s="861"/>
      <c r="J510" s="295"/>
      <c r="K510" s="296">
        <f t="shared" si="8"/>
        <v>0</v>
      </c>
      <c r="L510"/>
    </row>
    <row r="511" spans="1:12">
      <c r="A511" s="855" t="s">
        <v>565</v>
      </c>
      <c r="B511" s="856"/>
      <c r="C511" s="856"/>
      <c r="D511" s="857"/>
      <c r="E511" s="858"/>
      <c r="F511" s="859"/>
      <c r="G511" s="860"/>
      <c r="H511" s="857"/>
      <c r="I511" s="861"/>
      <c r="J511" s="295"/>
      <c r="K511" s="296">
        <f t="shared" si="8"/>
        <v>0</v>
      </c>
      <c r="L511"/>
    </row>
    <row r="512" spans="1:12">
      <c r="A512" s="855" t="s">
        <v>565</v>
      </c>
      <c r="B512" s="856"/>
      <c r="C512" s="856"/>
      <c r="D512" s="857"/>
      <c r="E512" s="858"/>
      <c r="F512" s="859"/>
      <c r="G512" s="860"/>
      <c r="H512" s="857"/>
      <c r="I512" s="861"/>
      <c r="J512" s="295"/>
      <c r="K512" s="296">
        <f t="shared" si="8"/>
        <v>0</v>
      </c>
      <c r="L512"/>
    </row>
    <row r="513" spans="1:12">
      <c r="A513" s="855" t="s">
        <v>565</v>
      </c>
      <c r="B513" s="856"/>
      <c r="C513" s="856"/>
      <c r="D513" s="857"/>
      <c r="E513" s="858"/>
      <c r="F513" s="859"/>
      <c r="G513" s="860"/>
      <c r="H513" s="857"/>
      <c r="I513" s="861"/>
      <c r="J513" s="295"/>
      <c r="K513" s="296">
        <f t="shared" si="8"/>
        <v>0</v>
      </c>
      <c r="L513"/>
    </row>
    <row r="514" spans="1:12">
      <c r="A514" s="855" t="s">
        <v>565</v>
      </c>
      <c r="B514" s="856"/>
      <c r="C514" s="856"/>
      <c r="D514" s="857"/>
      <c r="E514" s="858"/>
      <c r="F514" s="859"/>
      <c r="G514" s="860"/>
      <c r="H514" s="857"/>
      <c r="I514" s="861"/>
      <c r="J514" s="295"/>
      <c r="K514" s="296">
        <f t="shared" si="8"/>
        <v>0</v>
      </c>
      <c r="L514"/>
    </row>
    <row r="515" spans="1:12">
      <c r="A515" s="855" t="s">
        <v>565</v>
      </c>
      <c r="B515" s="856"/>
      <c r="C515" s="856"/>
      <c r="D515" s="857"/>
      <c r="E515" s="858"/>
      <c r="F515" s="859"/>
      <c r="G515" s="860"/>
      <c r="H515" s="857"/>
      <c r="I515" s="861"/>
      <c r="J515" s="295"/>
      <c r="K515" s="296">
        <f t="shared" si="8"/>
        <v>0</v>
      </c>
      <c r="L515"/>
    </row>
    <row r="516" spans="1:12">
      <c r="A516" s="855" t="s">
        <v>565</v>
      </c>
      <c r="B516" s="856"/>
      <c r="C516" s="856"/>
      <c r="D516" s="857"/>
      <c r="E516" s="858"/>
      <c r="F516" s="859"/>
      <c r="G516" s="860"/>
      <c r="H516" s="857"/>
      <c r="I516" s="861"/>
      <c r="J516" s="295"/>
      <c r="K516" s="296">
        <f t="shared" si="8"/>
        <v>0</v>
      </c>
      <c r="L516"/>
    </row>
    <row r="517" spans="1:12">
      <c r="A517" s="855" t="s">
        <v>565</v>
      </c>
      <c r="B517" s="856"/>
      <c r="C517" s="856"/>
      <c r="D517" s="857"/>
      <c r="E517" s="858"/>
      <c r="F517" s="859"/>
      <c r="G517" s="860"/>
      <c r="H517" s="857"/>
      <c r="I517" s="861"/>
      <c r="J517" s="295"/>
      <c r="K517" s="296">
        <f t="shared" si="8"/>
        <v>0</v>
      </c>
      <c r="L517"/>
    </row>
    <row r="518" spans="1:12">
      <c r="A518" s="855" t="s">
        <v>565</v>
      </c>
      <c r="B518" s="856"/>
      <c r="C518" s="856"/>
      <c r="D518" s="857"/>
      <c r="E518" s="858"/>
      <c r="F518" s="859"/>
      <c r="G518" s="860"/>
      <c r="H518" s="857"/>
      <c r="I518" s="861"/>
      <c r="J518" s="295"/>
      <c r="K518" s="296">
        <f t="shared" si="8"/>
        <v>0</v>
      </c>
      <c r="L518"/>
    </row>
    <row r="519" spans="1:12">
      <c r="A519" s="855" t="s">
        <v>565</v>
      </c>
      <c r="B519" s="856"/>
      <c r="C519" s="856"/>
      <c r="D519" s="857"/>
      <c r="E519" s="858"/>
      <c r="F519" s="859"/>
      <c r="G519" s="860"/>
      <c r="H519" s="857"/>
      <c r="I519" s="861"/>
      <c r="J519" s="295"/>
      <c r="K519" s="296">
        <f t="shared" si="8"/>
        <v>0</v>
      </c>
      <c r="L519"/>
    </row>
    <row r="520" spans="1:12">
      <c r="A520" s="855" t="s">
        <v>565</v>
      </c>
      <c r="B520" s="856"/>
      <c r="C520" s="856"/>
      <c r="D520" s="857"/>
      <c r="E520" s="858"/>
      <c r="F520" s="859"/>
      <c r="G520" s="860"/>
      <c r="H520" s="857"/>
      <c r="I520" s="861"/>
      <c r="J520" s="295"/>
      <c r="K520" s="296">
        <f t="shared" si="8"/>
        <v>0</v>
      </c>
      <c r="L520"/>
    </row>
    <row r="521" spans="1:12">
      <c r="A521" s="855" t="s">
        <v>565</v>
      </c>
      <c r="B521" s="856"/>
      <c r="C521" s="856"/>
      <c r="D521" s="857"/>
      <c r="E521" s="858"/>
      <c r="F521" s="859"/>
      <c r="G521" s="860"/>
      <c r="H521" s="857"/>
      <c r="I521" s="861"/>
      <c r="J521" s="295"/>
      <c r="K521" s="296">
        <f t="shared" ref="K521:K584" si="9">IF(LEFT(A521,2)="TU",(J521-I521)*E521/100*100000*2,(J521-I521)*E521/100*100000)</f>
        <v>0</v>
      </c>
      <c r="L521"/>
    </row>
    <row r="522" spans="1:12">
      <c r="A522" s="855" t="s">
        <v>565</v>
      </c>
      <c r="B522" s="856"/>
      <c r="C522" s="856"/>
      <c r="D522" s="857"/>
      <c r="E522" s="858"/>
      <c r="F522" s="859"/>
      <c r="G522" s="860"/>
      <c r="H522" s="857"/>
      <c r="I522" s="861"/>
      <c r="J522" s="295"/>
      <c r="K522" s="296">
        <f t="shared" si="9"/>
        <v>0</v>
      </c>
      <c r="L522"/>
    </row>
    <row r="523" spans="1:12">
      <c r="A523" s="855" t="s">
        <v>565</v>
      </c>
      <c r="B523" s="856"/>
      <c r="C523" s="856"/>
      <c r="D523" s="857"/>
      <c r="E523" s="858"/>
      <c r="F523" s="859"/>
      <c r="G523" s="860"/>
      <c r="H523" s="857"/>
      <c r="I523" s="861"/>
      <c r="J523" s="295"/>
      <c r="K523" s="296">
        <f t="shared" si="9"/>
        <v>0</v>
      </c>
      <c r="L523"/>
    </row>
    <row r="524" spans="1:12">
      <c r="A524" s="855" t="s">
        <v>565</v>
      </c>
      <c r="B524" s="856"/>
      <c r="C524" s="856"/>
      <c r="D524" s="857"/>
      <c r="E524" s="858"/>
      <c r="F524" s="859"/>
      <c r="G524" s="860"/>
      <c r="H524" s="857"/>
      <c r="I524" s="861"/>
      <c r="J524" s="295"/>
      <c r="K524" s="296">
        <f t="shared" si="9"/>
        <v>0</v>
      </c>
      <c r="L524"/>
    </row>
    <row r="525" spans="1:12">
      <c r="A525" s="855" t="s">
        <v>565</v>
      </c>
      <c r="B525" s="856"/>
      <c r="C525" s="856"/>
      <c r="D525" s="857"/>
      <c r="E525" s="858"/>
      <c r="F525" s="859"/>
      <c r="G525" s="860"/>
      <c r="H525" s="857"/>
      <c r="I525" s="861"/>
      <c r="J525" s="295"/>
      <c r="K525" s="296">
        <f t="shared" si="9"/>
        <v>0</v>
      </c>
      <c r="L525"/>
    </row>
    <row r="526" spans="1:12">
      <c r="A526" s="855" t="s">
        <v>565</v>
      </c>
      <c r="B526" s="856"/>
      <c r="C526" s="856"/>
      <c r="D526" s="857"/>
      <c r="E526" s="858"/>
      <c r="F526" s="859"/>
      <c r="G526" s="860"/>
      <c r="H526" s="857"/>
      <c r="I526" s="861"/>
      <c r="J526" s="295"/>
      <c r="K526" s="296">
        <f t="shared" si="9"/>
        <v>0</v>
      </c>
      <c r="L526"/>
    </row>
    <row r="527" spans="1:12">
      <c r="A527" s="855" t="s">
        <v>565</v>
      </c>
      <c r="B527" s="856"/>
      <c r="C527" s="856"/>
      <c r="D527" s="857"/>
      <c r="E527" s="858"/>
      <c r="F527" s="859"/>
      <c r="G527" s="860"/>
      <c r="H527" s="857"/>
      <c r="I527" s="861"/>
      <c r="J527" s="295"/>
      <c r="K527" s="296">
        <f t="shared" si="9"/>
        <v>0</v>
      </c>
      <c r="L527"/>
    </row>
    <row r="528" spans="1:12">
      <c r="A528" s="855" t="s">
        <v>565</v>
      </c>
      <c r="B528" s="856"/>
      <c r="C528" s="856"/>
      <c r="D528" s="857"/>
      <c r="E528" s="858"/>
      <c r="F528" s="859"/>
      <c r="G528" s="860"/>
      <c r="H528" s="857"/>
      <c r="I528" s="861"/>
      <c r="J528" s="295"/>
      <c r="K528" s="296">
        <f t="shared" si="9"/>
        <v>0</v>
      </c>
      <c r="L528"/>
    </row>
    <row r="529" spans="1:12">
      <c r="A529" s="855" t="s">
        <v>565</v>
      </c>
      <c r="B529" s="856"/>
      <c r="C529" s="856"/>
      <c r="D529" s="857"/>
      <c r="E529" s="858"/>
      <c r="F529" s="859"/>
      <c r="G529" s="860"/>
      <c r="H529" s="857"/>
      <c r="I529" s="861"/>
      <c r="J529" s="295"/>
      <c r="K529" s="296">
        <f t="shared" si="9"/>
        <v>0</v>
      </c>
      <c r="L529"/>
    </row>
    <row r="530" spans="1:12">
      <c r="A530" s="855" t="s">
        <v>565</v>
      </c>
      <c r="B530" s="856"/>
      <c r="C530" s="856"/>
      <c r="D530" s="857"/>
      <c r="E530" s="858"/>
      <c r="F530" s="859"/>
      <c r="G530" s="860"/>
      <c r="H530" s="857"/>
      <c r="I530" s="861"/>
      <c r="J530" s="295"/>
      <c r="K530" s="296">
        <f t="shared" si="9"/>
        <v>0</v>
      </c>
      <c r="L530"/>
    </row>
    <row r="531" spans="1:12">
      <c r="A531" s="855" t="s">
        <v>565</v>
      </c>
      <c r="B531" s="856"/>
      <c r="C531" s="856"/>
      <c r="D531" s="857"/>
      <c r="E531" s="858"/>
      <c r="F531" s="859"/>
      <c r="G531" s="860"/>
      <c r="H531" s="857"/>
      <c r="I531" s="861"/>
      <c r="J531" s="295"/>
      <c r="K531" s="296">
        <f t="shared" si="9"/>
        <v>0</v>
      </c>
      <c r="L531"/>
    </row>
    <row r="532" spans="1:12">
      <c r="A532" s="855" t="s">
        <v>565</v>
      </c>
      <c r="B532" s="856"/>
      <c r="C532" s="856"/>
      <c r="D532" s="857"/>
      <c r="E532" s="858"/>
      <c r="F532" s="859"/>
      <c r="G532" s="860"/>
      <c r="H532" s="857"/>
      <c r="I532" s="861"/>
      <c r="J532" s="295"/>
      <c r="K532" s="296">
        <f t="shared" si="9"/>
        <v>0</v>
      </c>
      <c r="L532"/>
    </row>
    <row r="533" spans="1:12">
      <c r="A533" s="855" t="s">
        <v>564</v>
      </c>
      <c r="B533" s="856"/>
      <c r="C533" s="856"/>
      <c r="D533" s="857"/>
      <c r="E533" s="858"/>
      <c r="F533" s="859"/>
      <c r="G533" s="860"/>
      <c r="H533" s="857"/>
      <c r="I533" s="861"/>
      <c r="J533" s="295"/>
      <c r="K533" s="296">
        <f t="shared" si="9"/>
        <v>0</v>
      </c>
      <c r="L533"/>
    </row>
    <row r="534" spans="1:12">
      <c r="A534" s="855" t="s">
        <v>564</v>
      </c>
      <c r="B534" s="856"/>
      <c r="C534" s="856"/>
      <c r="D534" s="857"/>
      <c r="E534" s="858"/>
      <c r="F534" s="859"/>
      <c r="G534" s="860"/>
      <c r="H534" s="857"/>
      <c r="I534" s="861"/>
      <c r="J534" s="295"/>
      <c r="K534" s="296">
        <f t="shared" si="9"/>
        <v>0</v>
      </c>
      <c r="L534"/>
    </row>
    <row r="535" spans="1:12">
      <c r="A535" s="855" t="s">
        <v>564</v>
      </c>
      <c r="B535" s="856"/>
      <c r="C535" s="856"/>
      <c r="D535" s="857"/>
      <c r="E535" s="858"/>
      <c r="F535" s="859"/>
      <c r="G535" s="860"/>
      <c r="H535" s="857"/>
      <c r="I535" s="861"/>
      <c r="J535" s="295"/>
      <c r="K535" s="296">
        <f t="shared" si="9"/>
        <v>0</v>
      </c>
      <c r="L535"/>
    </row>
    <row r="536" spans="1:12">
      <c r="A536" s="855" t="s">
        <v>564</v>
      </c>
      <c r="B536" s="856"/>
      <c r="C536" s="856"/>
      <c r="D536" s="857"/>
      <c r="E536" s="858"/>
      <c r="F536" s="859"/>
      <c r="G536" s="860"/>
      <c r="H536" s="857"/>
      <c r="I536" s="861"/>
      <c r="J536" s="295"/>
      <c r="K536" s="296">
        <f t="shared" si="9"/>
        <v>0</v>
      </c>
      <c r="L536"/>
    </row>
    <row r="537" spans="1:12">
      <c r="A537" s="855" t="s">
        <v>564</v>
      </c>
      <c r="B537" s="856"/>
      <c r="C537" s="856"/>
      <c r="D537" s="857"/>
      <c r="E537" s="858"/>
      <c r="F537" s="859"/>
      <c r="G537" s="860"/>
      <c r="H537" s="857"/>
      <c r="I537" s="861"/>
      <c r="J537" s="295"/>
      <c r="K537" s="296">
        <f t="shared" si="9"/>
        <v>0</v>
      </c>
      <c r="L537"/>
    </row>
    <row r="538" spans="1:12">
      <c r="A538" s="855" t="s">
        <v>565</v>
      </c>
      <c r="B538" s="856"/>
      <c r="C538" s="856"/>
      <c r="D538" s="857"/>
      <c r="E538" s="858"/>
      <c r="F538" s="859"/>
      <c r="G538" s="860"/>
      <c r="H538" s="857"/>
      <c r="I538" s="861"/>
      <c r="J538" s="295"/>
      <c r="K538" s="296">
        <f t="shared" si="9"/>
        <v>0</v>
      </c>
      <c r="L538"/>
    </row>
    <row r="539" spans="1:12">
      <c r="A539" s="855" t="s">
        <v>565</v>
      </c>
      <c r="B539" s="856"/>
      <c r="C539" s="856"/>
      <c r="D539" s="857"/>
      <c r="E539" s="858"/>
      <c r="F539" s="859"/>
      <c r="G539" s="860"/>
      <c r="H539" s="857"/>
      <c r="I539" s="861"/>
      <c r="J539" s="295"/>
      <c r="K539" s="296">
        <f t="shared" si="9"/>
        <v>0</v>
      </c>
      <c r="L539"/>
    </row>
    <row r="540" spans="1:12">
      <c r="A540" s="855" t="s">
        <v>565</v>
      </c>
      <c r="B540" s="856"/>
      <c r="C540" s="856"/>
      <c r="D540" s="857"/>
      <c r="E540" s="858"/>
      <c r="F540" s="859"/>
      <c r="G540" s="860"/>
      <c r="H540" s="857"/>
      <c r="I540" s="861"/>
      <c r="J540" s="295"/>
      <c r="K540" s="296">
        <f t="shared" si="9"/>
        <v>0</v>
      </c>
      <c r="L540"/>
    </row>
    <row r="541" spans="1:12">
      <c r="A541" s="855" t="s">
        <v>565</v>
      </c>
      <c r="B541" s="856"/>
      <c r="C541" s="856"/>
      <c r="D541" s="857"/>
      <c r="E541" s="858"/>
      <c r="F541" s="859"/>
      <c r="G541" s="860"/>
      <c r="H541" s="857"/>
      <c r="I541" s="861"/>
      <c r="J541" s="295"/>
      <c r="K541" s="296">
        <f t="shared" si="9"/>
        <v>0</v>
      </c>
      <c r="L541"/>
    </row>
    <row r="542" spans="1:12">
      <c r="A542" s="855" t="s">
        <v>565</v>
      </c>
      <c r="B542" s="856"/>
      <c r="C542" s="856"/>
      <c r="D542" s="857"/>
      <c r="E542" s="858"/>
      <c r="F542" s="859"/>
      <c r="G542" s="860"/>
      <c r="H542" s="857"/>
      <c r="I542" s="861"/>
      <c r="J542" s="295"/>
      <c r="K542" s="296">
        <f t="shared" si="9"/>
        <v>0</v>
      </c>
      <c r="L542"/>
    </row>
    <row r="543" spans="1:12">
      <c r="A543" s="855" t="s">
        <v>579</v>
      </c>
      <c r="B543" s="856"/>
      <c r="C543" s="856"/>
      <c r="D543" s="857"/>
      <c r="E543" s="858"/>
      <c r="F543" s="859"/>
      <c r="G543" s="860"/>
      <c r="H543" s="857"/>
      <c r="I543" s="861"/>
      <c r="J543" s="295"/>
      <c r="K543" s="296">
        <f t="shared" si="9"/>
        <v>0</v>
      </c>
      <c r="L543"/>
    </row>
    <row r="544" spans="1:12">
      <c r="A544" s="855" t="s">
        <v>579</v>
      </c>
      <c r="B544" s="856"/>
      <c r="C544" s="856"/>
      <c r="D544" s="857"/>
      <c r="E544" s="858"/>
      <c r="F544" s="859"/>
      <c r="G544" s="860"/>
      <c r="H544" s="857"/>
      <c r="I544" s="861"/>
      <c r="J544" s="295"/>
      <c r="K544" s="296">
        <f t="shared" si="9"/>
        <v>0</v>
      </c>
      <c r="L544"/>
    </row>
    <row r="545" spans="1:12">
      <c r="A545" s="855" t="s">
        <v>579</v>
      </c>
      <c r="B545" s="856"/>
      <c r="C545" s="856"/>
      <c r="D545" s="857"/>
      <c r="E545" s="858"/>
      <c r="F545" s="859"/>
      <c r="G545" s="860"/>
      <c r="H545" s="857"/>
      <c r="I545" s="861"/>
      <c r="J545" s="295"/>
      <c r="K545" s="296">
        <f t="shared" si="9"/>
        <v>0</v>
      </c>
      <c r="L545"/>
    </row>
    <row r="546" spans="1:12">
      <c r="A546" s="855" t="s">
        <v>579</v>
      </c>
      <c r="B546" s="856"/>
      <c r="C546" s="856"/>
      <c r="D546" s="857"/>
      <c r="E546" s="858"/>
      <c r="F546" s="859"/>
      <c r="G546" s="860"/>
      <c r="H546" s="857"/>
      <c r="I546" s="861"/>
      <c r="J546" s="295"/>
      <c r="K546" s="296">
        <f t="shared" si="9"/>
        <v>0</v>
      </c>
      <c r="L546"/>
    </row>
    <row r="547" spans="1:12">
      <c r="A547" s="855" t="s">
        <v>579</v>
      </c>
      <c r="B547" s="856"/>
      <c r="C547" s="856"/>
      <c r="D547" s="857"/>
      <c r="E547" s="858"/>
      <c r="F547" s="859"/>
      <c r="G547" s="860"/>
      <c r="H547" s="857"/>
      <c r="I547" s="861"/>
      <c r="J547" s="295"/>
      <c r="K547" s="296">
        <f t="shared" si="9"/>
        <v>0</v>
      </c>
      <c r="L547"/>
    </row>
    <row r="548" spans="1:12">
      <c r="A548" s="855" t="s">
        <v>565</v>
      </c>
      <c r="B548" s="856"/>
      <c r="C548" s="856"/>
      <c r="D548" s="857"/>
      <c r="E548" s="858"/>
      <c r="F548" s="859"/>
      <c r="G548" s="860"/>
      <c r="H548" s="857"/>
      <c r="I548" s="861"/>
      <c r="J548" s="295"/>
      <c r="K548" s="296">
        <f t="shared" si="9"/>
        <v>0</v>
      </c>
      <c r="L548"/>
    </row>
    <row r="549" spans="1:12">
      <c r="A549" s="855" t="s">
        <v>565</v>
      </c>
      <c r="B549" s="856"/>
      <c r="C549" s="856"/>
      <c r="D549" s="857"/>
      <c r="E549" s="858"/>
      <c r="F549" s="859"/>
      <c r="G549" s="860"/>
      <c r="H549" s="857"/>
      <c r="I549" s="861"/>
      <c r="J549" s="295"/>
      <c r="K549" s="296">
        <f t="shared" si="9"/>
        <v>0</v>
      </c>
      <c r="L549"/>
    </row>
    <row r="550" spans="1:12">
      <c r="A550" s="855" t="s">
        <v>565</v>
      </c>
      <c r="B550" s="856"/>
      <c r="C550" s="856"/>
      <c r="D550" s="857"/>
      <c r="E550" s="858"/>
      <c r="F550" s="859"/>
      <c r="G550" s="860"/>
      <c r="H550" s="857"/>
      <c r="I550" s="861"/>
      <c r="J550" s="295"/>
      <c r="K550" s="296">
        <f t="shared" si="9"/>
        <v>0</v>
      </c>
      <c r="L550"/>
    </row>
    <row r="551" spans="1:12">
      <c r="A551" s="855" t="s">
        <v>565</v>
      </c>
      <c r="B551" s="856"/>
      <c r="C551" s="856"/>
      <c r="D551" s="857"/>
      <c r="E551" s="858"/>
      <c r="F551" s="859"/>
      <c r="G551" s="860"/>
      <c r="H551" s="857"/>
      <c r="I551" s="861"/>
      <c r="J551" s="295"/>
      <c r="K551" s="296">
        <f t="shared" si="9"/>
        <v>0</v>
      </c>
      <c r="L551"/>
    </row>
    <row r="552" spans="1:12">
      <c r="A552" s="855" t="s">
        <v>565</v>
      </c>
      <c r="B552" s="856"/>
      <c r="C552" s="856"/>
      <c r="D552" s="857"/>
      <c r="E552" s="858"/>
      <c r="F552" s="859"/>
      <c r="G552" s="860"/>
      <c r="H552" s="857"/>
      <c r="I552" s="861"/>
      <c r="J552" s="295"/>
      <c r="K552" s="296">
        <f t="shared" si="9"/>
        <v>0</v>
      </c>
      <c r="L552"/>
    </row>
    <row r="553" spans="1:12">
      <c r="A553" s="855" t="s">
        <v>565</v>
      </c>
      <c r="B553" s="856"/>
      <c r="C553" s="856"/>
      <c r="D553" s="857"/>
      <c r="E553" s="858"/>
      <c r="F553" s="859"/>
      <c r="G553" s="860"/>
      <c r="H553" s="857"/>
      <c r="I553" s="861"/>
      <c r="J553" s="295"/>
      <c r="K553" s="296">
        <f t="shared" si="9"/>
        <v>0</v>
      </c>
      <c r="L553"/>
    </row>
    <row r="554" spans="1:12">
      <c r="A554" s="855" t="s">
        <v>565</v>
      </c>
      <c r="B554" s="856"/>
      <c r="C554" s="856"/>
      <c r="D554" s="857"/>
      <c r="E554" s="858"/>
      <c r="F554" s="859"/>
      <c r="G554" s="860"/>
      <c r="H554" s="857"/>
      <c r="I554" s="861"/>
      <c r="J554" s="295"/>
      <c r="K554" s="296">
        <f t="shared" si="9"/>
        <v>0</v>
      </c>
      <c r="L554"/>
    </row>
    <row r="555" spans="1:12">
      <c r="A555" s="855" t="s">
        <v>565</v>
      </c>
      <c r="B555" s="856"/>
      <c r="C555" s="856"/>
      <c r="D555" s="857"/>
      <c r="E555" s="858"/>
      <c r="F555" s="859"/>
      <c r="G555" s="860"/>
      <c r="H555" s="857"/>
      <c r="I555" s="861"/>
      <c r="J555" s="295"/>
      <c r="K555" s="296">
        <f t="shared" si="9"/>
        <v>0</v>
      </c>
      <c r="L555"/>
    </row>
    <row r="556" spans="1:12">
      <c r="A556" s="855" t="s">
        <v>565</v>
      </c>
      <c r="B556" s="856"/>
      <c r="C556" s="856"/>
      <c r="D556" s="857"/>
      <c r="E556" s="858"/>
      <c r="F556" s="859"/>
      <c r="G556" s="860"/>
      <c r="H556" s="857"/>
      <c r="I556" s="861"/>
      <c r="J556" s="295"/>
      <c r="K556" s="296">
        <f t="shared" si="9"/>
        <v>0</v>
      </c>
      <c r="L556"/>
    </row>
    <row r="557" spans="1:12">
      <c r="A557" s="855" t="s">
        <v>565</v>
      </c>
      <c r="B557" s="856"/>
      <c r="C557" s="856"/>
      <c r="D557" s="857"/>
      <c r="E557" s="858"/>
      <c r="F557" s="859"/>
      <c r="G557" s="860"/>
      <c r="H557" s="857"/>
      <c r="I557" s="861"/>
      <c r="J557" s="295"/>
      <c r="K557" s="296">
        <f t="shared" si="9"/>
        <v>0</v>
      </c>
      <c r="L557"/>
    </row>
    <row r="558" spans="1:12">
      <c r="A558" s="855" t="s">
        <v>565</v>
      </c>
      <c r="B558" s="856"/>
      <c r="C558" s="856"/>
      <c r="D558" s="857"/>
      <c r="E558" s="858"/>
      <c r="F558" s="859"/>
      <c r="G558" s="860"/>
      <c r="H558" s="857"/>
      <c r="I558" s="861"/>
      <c r="J558" s="295"/>
      <c r="K558" s="296">
        <f t="shared" si="9"/>
        <v>0</v>
      </c>
      <c r="L558"/>
    </row>
    <row r="559" spans="1:12">
      <c r="A559" s="855" t="s">
        <v>565</v>
      </c>
      <c r="B559" s="856"/>
      <c r="C559" s="856"/>
      <c r="D559" s="857"/>
      <c r="E559" s="858"/>
      <c r="F559" s="859"/>
      <c r="G559" s="860"/>
      <c r="H559" s="857"/>
      <c r="I559" s="861"/>
      <c r="J559" s="295"/>
      <c r="K559" s="296">
        <f t="shared" si="9"/>
        <v>0</v>
      </c>
      <c r="L559"/>
    </row>
    <row r="560" spans="1:12">
      <c r="A560" s="855" t="s">
        <v>565</v>
      </c>
      <c r="B560" s="856"/>
      <c r="C560" s="856"/>
      <c r="D560" s="857"/>
      <c r="E560" s="858"/>
      <c r="F560" s="859"/>
      <c r="G560" s="860"/>
      <c r="H560" s="857"/>
      <c r="I560" s="861"/>
      <c r="J560" s="295"/>
      <c r="K560" s="296">
        <f t="shared" si="9"/>
        <v>0</v>
      </c>
      <c r="L560"/>
    </row>
    <row r="561" spans="1:12">
      <c r="A561" s="855" t="s">
        <v>565</v>
      </c>
      <c r="B561" s="856"/>
      <c r="C561" s="856"/>
      <c r="D561" s="857"/>
      <c r="E561" s="858"/>
      <c r="F561" s="859"/>
      <c r="G561" s="860"/>
      <c r="H561" s="857"/>
      <c r="I561" s="861"/>
      <c r="J561" s="295"/>
      <c r="K561" s="296">
        <f t="shared" si="9"/>
        <v>0</v>
      </c>
      <c r="L561"/>
    </row>
    <row r="562" spans="1:12">
      <c r="A562" s="855" t="s">
        <v>565</v>
      </c>
      <c r="B562" s="856"/>
      <c r="C562" s="856"/>
      <c r="D562" s="857"/>
      <c r="E562" s="858"/>
      <c r="F562" s="859"/>
      <c r="G562" s="860"/>
      <c r="H562" s="857"/>
      <c r="I562" s="861"/>
      <c r="J562" s="295"/>
      <c r="K562" s="296">
        <f t="shared" si="9"/>
        <v>0</v>
      </c>
      <c r="L562"/>
    </row>
    <row r="563" spans="1:12">
      <c r="A563" s="855" t="s">
        <v>565</v>
      </c>
      <c r="B563" s="856"/>
      <c r="C563" s="856"/>
      <c r="D563" s="857"/>
      <c r="E563" s="858"/>
      <c r="F563" s="859"/>
      <c r="G563" s="860"/>
      <c r="H563" s="857"/>
      <c r="I563" s="861"/>
      <c r="J563" s="295"/>
      <c r="K563" s="296">
        <f t="shared" si="9"/>
        <v>0</v>
      </c>
      <c r="L563"/>
    </row>
    <row r="564" spans="1:12">
      <c r="A564" s="855" t="s">
        <v>565</v>
      </c>
      <c r="B564" s="856"/>
      <c r="C564" s="856"/>
      <c r="D564" s="857"/>
      <c r="E564" s="858"/>
      <c r="F564" s="859"/>
      <c r="G564" s="860"/>
      <c r="H564" s="857"/>
      <c r="I564" s="861"/>
      <c r="J564" s="295"/>
      <c r="K564" s="296">
        <f t="shared" si="9"/>
        <v>0</v>
      </c>
      <c r="L564"/>
    </row>
    <row r="565" spans="1:12">
      <c r="A565" s="855" t="s">
        <v>565</v>
      </c>
      <c r="B565" s="856"/>
      <c r="C565" s="856"/>
      <c r="D565" s="857"/>
      <c r="E565" s="858"/>
      <c r="F565" s="859"/>
      <c r="G565" s="860"/>
      <c r="H565" s="857"/>
      <c r="I565" s="861"/>
      <c r="J565" s="295"/>
      <c r="K565" s="296">
        <f t="shared" si="9"/>
        <v>0</v>
      </c>
      <c r="L565"/>
    </row>
    <row r="566" spans="1:12">
      <c r="A566" s="855" t="s">
        <v>565</v>
      </c>
      <c r="B566" s="856"/>
      <c r="C566" s="856"/>
      <c r="D566" s="857"/>
      <c r="E566" s="858"/>
      <c r="F566" s="859"/>
      <c r="G566" s="860"/>
      <c r="H566" s="857"/>
      <c r="I566" s="861"/>
      <c r="J566" s="295"/>
      <c r="K566" s="296">
        <f t="shared" si="9"/>
        <v>0</v>
      </c>
      <c r="L566"/>
    </row>
    <row r="567" spans="1:12">
      <c r="A567" s="855" t="s">
        <v>565</v>
      </c>
      <c r="B567" s="856"/>
      <c r="C567" s="856"/>
      <c r="D567" s="857"/>
      <c r="E567" s="858"/>
      <c r="F567" s="859"/>
      <c r="G567" s="860"/>
      <c r="H567" s="857"/>
      <c r="I567" s="861"/>
      <c r="J567" s="295"/>
      <c r="K567" s="296">
        <f t="shared" si="9"/>
        <v>0</v>
      </c>
      <c r="L567"/>
    </row>
    <row r="568" spans="1:12">
      <c r="A568" s="855" t="s">
        <v>565</v>
      </c>
      <c r="B568" s="856"/>
      <c r="C568" s="856"/>
      <c r="D568" s="857"/>
      <c r="E568" s="858"/>
      <c r="F568" s="859"/>
      <c r="G568" s="860"/>
      <c r="H568" s="857"/>
      <c r="I568" s="861"/>
      <c r="J568" s="295"/>
      <c r="K568" s="296">
        <f t="shared" si="9"/>
        <v>0</v>
      </c>
      <c r="L568"/>
    </row>
    <row r="569" spans="1:12">
      <c r="A569" s="855" t="s">
        <v>579</v>
      </c>
      <c r="B569" s="856"/>
      <c r="C569" s="856"/>
      <c r="D569" s="857"/>
      <c r="E569" s="858"/>
      <c r="F569" s="859"/>
      <c r="G569" s="860"/>
      <c r="H569" s="857"/>
      <c r="I569" s="861"/>
      <c r="J569" s="295"/>
      <c r="K569" s="296">
        <f t="shared" si="9"/>
        <v>0</v>
      </c>
      <c r="L569"/>
    </row>
    <row r="570" spans="1:12">
      <c r="A570" s="855" t="s">
        <v>579</v>
      </c>
      <c r="B570" s="856"/>
      <c r="C570" s="856"/>
      <c r="D570" s="857"/>
      <c r="E570" s="858"/>
      <c r="F570" s="859"/>
      <c r="G570" s="860"/>
      <c r="H570" s="857"/>
      <c r="I570" s="861"/>
      <c r="J570" s="295"/>
      <c r="K570" s="296">
        <f t="shared" si="9"/>
        <v>0</v>
      </c>
      <c r="L570"/>
    </row>
    <row r="571" spans="1:12">
      <c r="A571" s="855" t="s">
        <v>579</v>
      </c>
      <c r="B571" s="856"/>
      <c r="C571" s="856"/>
      <c r="D571" s="857"/>
      <c r="E571" s="858"/>
      <c r="F571" s="859"/>
      <c r="G571" s="860"/>
      <c r="H571" s="857"/>
      <c r="I571" s="861"/>
      <c r="J571" s="295"/>
      <c r="K571" s="296">
        <f t="shared" si="9"/>
        <v>0</v>
      </c>
      <c r="L571"/>
    </row>
    <row r="572" spans="1:12">
      <c r="A572" s="855" t="s">
        <v>579</v>
      </c>
      <c r="B572" s="856"/>
      <c r="C572" s="856"/>
      <c r="D572" s="857"/>
      <c r="E572" s="858"/>
      <c r="F572" s="859"/>
      <c r="G572" s="860"/>
      <c r="H572" s="857"/>
      <c r="I572" s="861"/>
      <c r="J572" s="295"/>
      <c r="K572" s="296">
        <f t="shared" si="9"/>
        <v>0</v>
      </c>
      <c r="L572"/>
    </row>
    <row r="573" spans="1:12">
      <c r="A573" s="855" t="s">
        <v>579</v>
      </c>
      <c r="B573" s="856"/>
      <c r="C573" s="856"/>
      <c r="D573" s="857"/>
      <c r="E573" s="858"/>
      <c r="F573" s="859"/>
      <c r="G573" s="860"/>
      <c r="H573" s="857"/>
      <c r="I573" s="861"/>
      <c r="J573" s="295"/>
      <c r="K573" s="296">
        <f t="shared" si="9"/>
        <v>0</v>
      </c>
      <c r="L573"/>
    </row>
    <row r="574" spans="1:12">
      <c r="A574" s="855" t="s">
        <v>579</v>
      </c>
      <c r="B574" s="856"/>
      <c r="C574" s="856"/>
      <c r="D574" s="857"/>
      <c r="E574" s="858"/>
      <c r="F574" s="859"/>
      <c r="G574" s="860"/>
      <c r="H574" s="857"/>
      <c r="I574" s="861"/>
      <c r="J574" s="295"/>
      <c r="K574" s="296">
        <f t="shared" si="9"/>
        <v>0</v>
      </c>
      <c r="L574"/>
    </row>
    <row r="575" spans="1:12">
      <c r="A575" s="855" t="s">
        <v>565</v>
      </c>
      <c r="B575" s="856"/>
      <c r="C575" s="856"/>
      <c r="D575" s="857"/>
      <c r="E575" s="858"/>
      <c r="F575" s="859"/>
      <c r="G575" s="860"/>
      <c r="H575" s="857"/>
      <c r="I575" s="861"/>
      <c r="J575" s="295"/>
      <c r="K575" s="296">
        <f t="shared" si="9"/>
        <v>0</v>
      </c>
      <c r="L575"/>
    </row>
    <row r="576" spans="1:12">
      <c r="A576" s="855" t="s">
        <v>565</v>
      </c>
      <c r="B576" s="856"/>
      <c r="C576" s="856"/>
      <c r="D576" s="857"/>
      <c r="E576" s="858"/>
      <c r="F576" s="859"/>
      <c r="G576" s="860"/>
      <c r="H576" s="857"/>
      <c r="I576" s="861"/>
      <c r="J576" s="295"/>
      <c r="K576" s="296">
        <f t="shared" si="9"/>
        <v>0</v>
      </c>
      <c r="L576"/>
    </row>
    <row r="577" spans="1:12">
      <c r="A577" s="855" t="s">
        <v>565</v>
      </c>
      <c r="B577" s="856"/>
      <c r="C577" s="856"/>
      <c r="D577" s="857"/>
      <c r="E577" s="858"/>
      <c r="F577" s="859"/>
      <c r="G577" s="860"/>
      <c r="H577" s="857"/>
      <c r="I577" s="861"/>
      <c r="J577" s="295"/>
      <c r="K577" s="296">
        <f t="shared" si="9"/>
        <v>0</v>
      </c>
      <c r="L577"/>
    </row>
    <row r="578" spans="1:12">
      <c r="A578" s="855" t="s">
        <v>565</v>
      </c>
      <c r="B578" s="856"/>
      <c r="C578" s="856"/>
      <c r="D578" s="857"/>
      <c r="E578" s="858"/>
      <c r="F578" s="859"/>
      <c r="G578" s="860"/>
      <c r="H578" s="857"/>
      <c r="I578" s="861"/>
      <c r="J578" s="295"/>
      <c r="K578" s="296">
        <f t="shared" si="9"/>
        <v>0</v>
      </c>
      <c r="L578"/>
    </row>
    <row r="579" spans="1:12">
      <c r="A579" s="855" t="s">
        <v>565</v>
      </c>
      <c r="B579" s="856"/>
      <c r="C579" s="856"/>
      <c r="D579" s="857"/>
      <c r="E579" s="858"/>
      <c r="F579" s="859"/>
      <c r="G579" s="860"/>
      <c r="H579" s="857"/>
      <c r="I579" s="861"/>
      <c r="J579" s="295"/>
      <c r="K579" s="296">
        <f t="shared" si="9"/>
        <v>0</v>
      </c>
      <c r="L579"/>
    </row>
    <row r="580" spans="1:12">
      <c r="A580" s="855" t="s">
        <v>565</v>
      </c>
      <c r="B580" s="856"/>
      <c r="C580" s="856"/>
      <c r="D580" s="857"/>
      <c r="E580" s="858"/>
      <c r="F580" s="859"/>
      <c r="G580" s="860"/>
      <c r="H580" s="857"/>
      <c r="I580" s="861"/>
      <c r="J580" s="295"/>
      <c r="K580" s="296">
        <f t="shared" si="9"/>
        <v>0</v>
      </c>
      <c r="L580"/>
    </row>
    <row r="581" spans="1:12">
      <c r="A581" s="855" t="s">
        <v>565</v>
      </c>
      <c r="B581" s="856"/>
      <c r="C581" s="856"/>
      <c r="D581" s="857"/>
      <c r="E581" s="858"/>
      <c r="F581" s="859"/>
      <c r="G581" s="860"/>
      <c r="H581" s="857"/>
      <c r="I581" s="861"/>
      <c r="J581" s="295"/>
      <c r="K581" s="296">
        <f t="shared" si="9"/>
        <v>0</v>
      </c>
      <c r="L581"/>
    </row>
    <row r="582" spans="1:12">
      <c r="A582" s="855"/>
      <c r="B582" s="856"/>
      <c r="C582" s="856"/>
      <c r="D582" s="857"/>
      <c r="E582" s="858"/>
      <c r="F582" s="859"/>
      <c r="G582" s="860"/>
      <c r="H582" s="857"/>
      <c r="I582" s="861"/>
      <c r="J582" s="295"/>
      <c r="K582" s="296">
        <f t="shared" si="9"/>
        <v>0</v>
      </c>
      <c r="L582"/>
    </row>
    <row r="583" spans="1:12">
      <c r="A583" s="855"/>
      <c r="B583" s="856"/>
      <c r="C583" s="856"/>
      <c r="D583" s="857"/>
      <c r="E583" s="858"/>
      <c r="F583" s="859"/>
      <c r="G583" s="860"/>
      <c r="H583" s="857"/>
      <c r="I583" s="861"/>
      <c r="J583" s="295"/>
      <c r="K583" s="296">
        <f t="shared" si="9"/>
        <v>0</v>
      </c>
      <c r="L583"/>
    </row>
    <row r="584" spans="1:12">
      <c r="A584" s="855" t="s">
        <v>579</v>
      </c>
      <c r="B584" s="856"/>
      <c r="C584" s="856"/>
      <c r="D584" s="857"/>
      <c r="E584" s="858"/>
      <c r="F584" s="859"/>
      <c r="G584" s="860"/>
      <c r="H584" s="857"/>
      <c r="I584" s="861"/>
      <c r="J584" s="295"/>
      <c r="K584" s="296">
        <f t="shared" si="9"/>
        <v>0</v>
      </c>
      <c r="L584"/>
    </row>
    <row r="585" spans="1:12">
      <c r="A585" s="855" t="s">
        <v>579</v>
      </c>
      <c r="B585" s="856"/>
      <c r="C585" s="856"/>
      <c r="D585" s="857"/>
      <c r="E585" s="858"/>
      <c r="F585" s="859"/>
      <c r="G585" s="860"/>
      <c r="H585" s="857"/>
      <c r="I585" s="861"/>
      <c r="J585" s="295"/>
      <c r="K585" s="296">
        <f t="shared" ref="K585:K648" si="10">IF(LEFT(A585,2)="TU",(J585-I585)*E585/100*100000*2,(J585-I585)*E585/100*100000)</f>
        <v>0</v>
      </c>
      <c r="L585"/>
    </row>
    <row r="586" spans="1:12">
      <c r="A586" s="855" t="s">
        <v>565</v>
      </c>
      <c r="B586" s="856"/>
      <c r="C586" s="856"/>
      <c r="D586" s="857"/>
      <c r="E586" s="858"/>
      <c r="F586" s="859"/>
      <c r="G586" s="860"/>
      <c r="H586" s="857"/>
      <c r="I586" s="861"/>
      <c r="J586" s="295"/>
      <c r="K586" s="296">
        <f t="shared" si="10"/>
        <v>0</v>
      </c>
      <c r="L586"/>
    </row>
    <row r="587" spans="1:12">
      <c r="A587" s="855" t="s">
        <v>565</v>
      </c>
      <c r="B587" s="856"/>
      <c r="C587" s="856"/>
      <c r="D587" s="857"/>
      <c r="E587" s="858"/>
      <c r="F587" s="859"/>
      <c r="G587" s="860"/>
      <c r="H587" s="857"/>
      <c r="I587" s="861"/>
      <c r="J587" s="295"/>
      <c r="K587" s="296">
        <f t="shared" si="10"/>
        <v>0</v>
      </c>
      <c r="L587"/>
    </row>
    <row r="588" spans="1:12">
      <c r="A588" s="855" t="s">
        <v>565</v>
      </c>
      <c r="B588" s="856"/>
      <c r="C588" s="856"/>
      <c r="D588" s="857"/>
      <c r="E588" s="858"/>
      <c r="F588" s="859"/>
      <c r="G588" s="860"/>
      <c r="H588" s="857"/>
      <c r="I588" s="861"/>
      <c r="J588" s="295"/>
      <c r="K588" s="296">
        <f t="shared" si="10"/>
        <v>0</v>
      </c>
      <c r="L588"/>
    </row>
    <row r="589" spans="1:12">
      <c r="A589" s="855" t="s">
        <v>579</v>
      </c>
      <c r="B589" s="856"/>
      <c r="C589" s="856"/>
      <c r="D589" s="857"/>
      <c r="E589" s="858"/>
      <c r="F589" s="859"/>
      <c r="G589" s="860"/>
      <c r="H589" s="857"/>
      <c r="I589" s="861"/>
      <c r="J589" s="295"/>
      <c r="K589" s="296">
        <f t="shared" si="10"/>
        <v>0</v>
      </c>
      <c r="L589"/>
    </row>
    <row r="590" spans="1:12">
      <c r="A590" s="855" t="s">
        <v>579</v>
      </c>
      <c r="B590" s="856"/>
      <c r="C590" s="856"/>
      <c r="D590" s="857"/>
      <c r="E590" s="858"/>
      <c r="F590" s="859"/>
      <c r="G590" s="860"/>
      <c r="H590" s="857"/>
      <c r="I590" s="861"/>
      <c r="J590" s="295"/>
      <c r="K590" s="296">
        <f t="shared" si="10"/>
        <v>0</v>
      </c>
      <c r="L590"/>
    </row>
    <row r="591" spans="1:12">
      <c r="A591" s="855" t="s">
        <v>579</v>
      </c>
      <c r="B591" s="856"/>
      <c r="C591" s="856"/>
      <c r="D591" s="857"/>
      <c r="E591" s="858"/>
      <c r="F591" s="859"/>
      <c r="G591" s="860"/>
      <c r="H591" s="857"/>
      <c r="I591" s="861"/>
      <c r="J591" s="295"/>
      <c r="K591" s="296">
        <f t="shared" si="10"/>
        <v>0</v>
      </c>
      <c r="L591"/>
    </row>
    <row r="592" spans="1:12">
      <c r="A592" s="855" t="s">
        <v>579</v>
      </c>
      <c r="B592" s="856"/>
      <c r="C592" s="856"/>
      <c r="D592" s="857"/>
      <c r="E592" s="858"/>
      <c r="F592" s="859"/>
      <c r="G592" s="860"/>
      <c r="H592" s="857"/>
      <c r="I592" s="861"/>
      <c r="J592" s="295"/>
      <c r="K592" s="296">
        <f t="shared" si="10"/>
        <v>0</v>
      </c>
      <c r="L592"/>
    </row>
    <row r="593" spans="1:12">
      <c r="A593" s="855" t="s">
        <v>579</v>
      </c>
      <c r="B593" s="856"/>
      <c r="C593" s="856"/>
      <c r="D593" s="857"/>
      <c r="E593" s="858"/>
      <c r="F593" s="859"/>
      <c r="G593" s="860"/>
      <c r="H593" s="857"/>
      <c r="I593" s="861"/>
      <c r="J593" s="295"/>
      <c r="K593" s="296">
        <f t="shared" si="10"/>
        <v>0</v>
      </c>
      <c r="L593"/>
    </row>
    <row r="594" spans="1:12">
      <c r="A594" s="855" t="s">
        <v>579</v>
      </c>
      <c r="B594" s="856"/>
      <c r="C594" s="856"/>
      <c r="D594" s="857"/>
      <c r="E594" s="858"/>
      <c r="F594" s="859"/>
      <c r="G594" s="860"/>
      <c r="H594" s="857"/>
      <c r="I594" s="861"/>
      <c r="J594" s="295"/>
      <c r="K594" s="296">
        <f t="shared" si="10"/>
        <v>0</v>
      </c>
      <c r="L594"/>
    </row>
    <row r="595" spans="1:12">
      <c r="A595" s="855" t="s">
        <v>579</v>
      </c>
      <c r="B595" s="856"/>
      <c r="C595" s="856"/>
      <c r="D595" s="857"/>
      <c r="E595" s="858"/>
      <c r="F595" s="859"/>
      <c r="G595" s="860"/>
      <c r="H595" s="857"/>
      <c r="I595" s="861"/>
      <c r="J595" s="295"/>
      <c r="K595" s="296">
        <f t="shared" si="10"/>
        <v>0</v>
      </c>
      <c r="L595"/>
    </row>
    <row r="596" spans="1:12">
      <c r="A596" s="855" t="s">
        <v>579</v>
      </c>
      <c r="B596" s="856"/>
      <c r="C596" s="856"/>
      <c r="D596" s="857"/>
      <c r="E596" s="858"/>
      <c r="F596" s="859"/>
      <c r="G596" s="860"/>
      <c r="H596" s="857"/>
      <c r="I596" s="861"/>
      <c r="J596" s="295"/>
      <c r="K596" s="296">
        <f t="shared" si="10"/>
        <v>0</v>
      </c>
      <c r="L596"/>
    </row>
    <row r="597" spans="1:12">
      <c r="A597" s="855" t="s">
        <v>579</v>
      </c>
      <c r="B597" s="856"/>
      <c r="C597" s="856"/>
      <c r="D597" s="857"/>
      <c r="E597" s="858"/>
      <c r="F597" s="859"/>
      <c r="G597" s="860"/>
      <c r="H597" s="857"/>
      <c r="I597" s="861"/>
      <c r="J597" s="295"/>
      <c r="K597" s="296">
        <f t="shared" si="10"/>
        <v>0</v>
      </c>
      <c r="L597"/>
    </row>
    <row r="598" spans="1:12">
      <c r="A598" s="855" t="s">
        <v>579</v>
      </c>
      <c r="B598" s="856"/>
      <c r="C598" s="856"/>
      <c r="D598" s="857"/>
      <c r="E598" s="858"/>
      <c r="F598" s="859"/>
      <c r="G598" s="860"/>
      <c r="H598" s="857"/>
      <c r="I598" s="861"/>
      <c r="J598" s="295"/>
      <c r="K598" s="296">
        <f t="shared" si="10"/>
        <v>0</v>
      </c>
      <c r="L598"/>
    </row>
    <row r="599" spans="1:12">
      <c r="A599" s="855" t="s">
        <v>579</v>
      </c>
      <c r="B599" s="856"/>
      <c r="C599" s="856"/>
      <c r="D599" s="857"/>
      <c r="E599" s="858"/>
      <c r="F599" s="859"/>
      <c r="G599" s="860"/>
      <c r="H599" s="857"/>
      <c r="I599" s="861"/>
      <c r="J599" s="295"/>
      <c r="K599" s="296">
        <f t="shared" si="10"/>
        <v>0</v>
      </c>
      <c r="L599"/>
    </row>
    <row r="600" spans="1:12">
      <c r="A600" s="855" t="s">
        <v>565</v>
      </c>
      <c r="B600" s="856"/>
      <c r="C600" s="856"/>
      <c r="D600" s="857"/>
      <c r="E600" s="858"/>
      <c r="F600" s="859"/>
      <c r="G600" s="860"/>
      <c r="H600" s="857"/>
      <c r="I600" s="861"/>
      <c r="J600" s="295"/>
      <c r="K600" s="296">
        <f t="shared" si="10"/>
        <v>0</v>
      </c>
      <c r="L600"/>
    </row>
    <row r="601" spans="1:12">
      <c r="A601" s="855" t="s">
        <v>565</v>
      </c>
      <c r="B601" s="856"/>
      <c r="C601" s="856"/>
      <c r="D601" s="857"/>
      <c r="E601" s="858"/>
      <c r="F601" s="859"/>
      <c r="G601" s="860"/>
      <c r="H601" s="857"/>
      <c r="I601" s="861"/>
      <c r="J601" s="295"/>
      <c r="K601" s="296">
        <f t="shared" si="10"/>
        <v>0</v>
      </c>
      <c r="L601"/>
    </row>
    <row r="602" spans="1:12">
      <c r="A602" s="855" t="s">
        <v>565</v>
      </c>
      <c r="B602" s="856"/>
      <c r="C602" s="856"/>
      <c r="D602" s="857"/>
      <c r="E602" s="858"/>
      <c r="F602" s="859"/>
      <c r="G602" s="860"/>
      <c r="H602" s="857"/>
      <c r="I602" s="861"/>
      <c r="J602" s="295"/>
      <c r="K602" s="296">
        <f t="shared" si="10"/>
        <v>0</v>
      </c>
      <c r="L602"/>
    </row>
    <row r="603" spans="1:12">
      <c r="A603" s="855" t="s">
        <v>565</v>
      </c>
      <c r="B603" s="856"/>
      <c r="C603" s="856"/>
      <c r="D603" s="857"/>
      <c r="E603" s="858"/>
      <c r="F603" s="859"/>
      <c r="G603" s="860"/>
      <c r="H603" s="857"/>
      <c r="I603" s="861"/>
      <c r="J603" s="295"/>
      <c r="K603" s="296">
        <f t="shared" si="10"/>
        <v>0</v>
      </c>
      <c r="L603"/>
    </row>
    <row r="604" spans="1:12">
      <c r="A604" s="855" t="s">
        <v>565</v>
      </c>
      <c r="B604" s="856"/>
      <c r="C604" s="856"/>
      <c r="D604" s="857"/>
      <c r="E604" s="858"/>
      <c r="F604" s="859"/>
      <c r="G604" s="860"/>
      <c r="H604" s="857"/>
      <c r="I604" s="861"/>
      <c r="J604" s="295"/>
      <c r="K604" s="296">
        <f t="shared" si="10"/>
        <v>0</v>
      </c>
      <c r="L604"/>
    </row>
    <row r="605" spans="1:12">
      <c r="A605" s="855" t="s">
        <v>565</v>
      </c>
      <c r="B605" s="856"/>
      <c r="C605" s="856"/>
      <c r="D605" s="857"/>
      <c r="E605" s="858"/>
      <c r="F605" s="859"/>
      <c r="G605" s="860"/>
      <c r="H605" s="857"/>
      <c r="I605" s="861"/>
      <c r="J605" s="295"/>
      <c r="K605" s="296">
        <f t="shared" si="10"/>
        <v>0</v>
      </c>
      <c r="L605"/>
    </row>
    <row r="606" spans="1:12">
      <c r="A606" s="855" t="s">
        <v>565</v>
      </c>
      <c r="B606" s="856"/>
      <c r="C606" s="856"/>
      <c r="D606" s="857"/>
      <c r="E606" s="858"/>
      <c r="F606" s="859"/>
      <c r="G606" s="860"/>
      <c r="H606" s="857"/>
      <c r="I606" s="861"/>
      <c r="J606" s="295"/>
      <c r="K606" s="296">
        <f t="shared" si="10"/>
        <v>0</v>
      </c>
      <c r="L606"/>
    </row>
    <row r="607" spans="1:12">
      <c r="A607" s="855" t="s">
        <v>565</v>
      </c>
      <c r="B607" s="856"/>
      <c r="C607" s="856"/>
      <c r="D607" s="857"/>
      <c r="E607" s="858"/>
      <c r="F607" s="859"/>
      <c r="G607" s="860"/>
      <c r="H607" s="857"/>
      <c r="I607" s="861"/>
      <c r="J607" s="295"/>
      <c r="K607" s="296">
        <f t="shared" si="10"/>
        <v>0</v>
      </c>
      <c r="L607"/>
    </row>
    <row r="608" spans="1:12">
      <c r="A608" s="855" t="s">
        <v>579</v>
      </c>
      <c r="B608" s="856"/>
      <c r="C608" s="856"/>
      <c r="D608" s="857"/>
      <c r="E608" s="858"/>
      <c r="F608" s="859"/>
      <c r="G608" s="860"/>
      <c r="H608" s="857"/>
      <c r="I608" s="861"/>
      <c r="J608" s="295"/>
      <c r="K608" s="296">
        <f t="shared" si="10"/>
        <v>0</v>
      </c>
      <c r="L608"/>
    </row>
    <row r="609" spans="1:12">
      <c r="A609" s="855" t="s">
        <v>579</v>
      </c>
      <c r="B609" s="856"/>
      <c r="C609" s="856"/>
      <c r="D609" s="857"/>
      <c r="E609" s="858"/>
      <c r="F609" s="859"/>
      <c r="G609" s="860"/>
      <c r="H609" s="857"/>
      <c r="I609" s="861"/>
      <c r="J609" s="295"/>
      <c r="K609" s="296">
        <f t="shared" si="10"/>
        <v>0</v>
      </c>
      <c r="L609"/>
    </row>
    <row r="610" spans="1:12">
      <c r="A610" s="855" t="s">
        <v>579</v>
      </c>
      <c r="B610" s="856"/>
      <c r="C610" s="856"/>
      <c r="D610" s="857"/>
      <c r="E610" s="858"/>
      <c r="F610" s="859"/>
      <c r="G610" s="860"/>
      <c r="H610" s="857"/>
      <c r="I610" s="861"/>
      <c r="J610" s="295"/>
      <c r="K610" s="296">
        <f t="shared" si="10"/>
        <v>0</v>
      </c>
      <c r="L610"/>
    </row>
    <row r="611" spans="1:12">
      <c r="A611" s="855" t="s">
        <v>579</v>
      </c>
      <c r="B611" s="856"/>
      <c r="C611" s="856"/>
      <c r="D611" s="857"/>
      <c r="E611" s="858"/>
      <c r="F611" s="859"/>
      <c r="G611" s="860"/>
      <c r="H611" s="857"/>
      <c r="I611" s="861"/>
      <c r="J611" s="295"/>
      <c r="K611" s="296">
        <f t="shared" si="10"/>
        <v>0</v>
      </c>
      <c r="L611"/>
    </row>
    <row r="612" spans="1:12">
      <c r="A612" s="855" t="s">
        <v>579</v>
      </c>
      <c r="B612" s="856"/>
      <c r="C612" s="856"/>
      <c r="D612" s="857"/>
      <c r="E612" s="858"/>
      <c r="F612" s="859"/>
      <c r="G612" s="860"/>
      <c r="H612" s="857"/>
      <c r="I612" s="861"/>
      <c r="J612" s="295"/>
      <c r="K612" s="296">
        <f t="shared" si="10"/>
        <v>0</v>
      </c>
      <c r="L612"/>
    </row>
    <row r="613" spans="1:12">
      <c r="A613" s="855" t="s">
        <v>579</v>
      </c>
      <c r="B613" s="856"/>
      <c r="C613" s="856"/>
      <c r="D613" s="857"/>
      <c r="E613" s="858"/>
      <c r="F613" s="859"/>
      <c r="G613" s="860"/>
      <c r="H613" s="857"/>
      <c r="I613" s="861"/>
      <c r="J613" s="295"/>
      <c r="K613" s="296">
        <f t="shared" si="10"/>
        <v>0</v>
      </c>
      <c r="L613"/>
    </row>
    <row r="614" spans="1:12">
      <c r="A614" s="855" t="s">
        <v>579</v>
      </c>
      <c r="B614" s="856"/>
      <c r="C614" s="856"/>
      <c r="D614" s="857"/>
      <c r="E614" s="858"/>
      <c r="F614" s="859"/>
      <c r="G614" s="860"/>
      <c r="H614" s="857"/>
      <c r="I614" s="861"/>
      <c r="J614" s="295"/>
      <c r="K614" s="296">
        <f t="shared" si="10"/>
        <v>0</v>
      </c>
      <c r="L614"/>
    </row>
    <row r="615" spans="1:12">
      <c r="A615" s="855" t="s">
        <v>564</v>
      </c>
      <c r="B615" s="856"/>
      <c r="C615" s="856"/>
      <c r="D615" s="857"/>
      <c r="E615" s="858"/>
      <c r="F615" s="859"/>
      <c r="G615" s="860"/>
      <c r="H615" s="857"/>
      <c r="I615" s="861"/>
      <c r="J615" s="295"/>
      <c r="K615" s="296">
        <f t="shared" si="10"/>
        <v>0</v>
      </c>
      <c r="L615"/>
    </row>
    <row r="616" spans="1:12">
      <c r="A616" s="855" t="s">
        <v>564</v>
      </c>
      <c r="B616" s="856"/>
      <c r="C616" s="856"/>
      <c r="D616" s="857"/>
      <c r="E616" s="858"/>
      <c r="F616" s="859"/>
      <c r="G616" s="860"/>
      <c r="H616" s="857"/>
      <c r="I616" s="861"/>
      <c r="J616" s="295"/>
      <c r="K616" s="296">
        <f t="shared" si="10"/>
        <v>0</v>
      </c>
      <c r="L616"/>
    </row>
    <row r="617" spans="1:12">
      <c r="A617" s="855" t="s">
        <v>564</v>
      </c>
      <c r="B617" s="856"/>
      <c r="C617" s="856"/>
      <c r="D617" s="857"/>
      <c r="E617" s="858"/>
      <c r="F617" s="859"/>
      <c r="G617" s="860"/>
      <c r="H617" s="857"/>
      <c r="I617" s="861"/>
      <c r="J617" s="295"/>
      <c r="K617" s="296">
        <f t="shared" si="10"/>
        <v>0</v>
      </c>
      <c r="L617"/>
    </row>
    <row r="618" spans="1:12">
      <c r="A618" s="855" t="s">
        <v>564</v>
      </c>
      <c r="B618" s="856"/>
      <c r="C618" s="856"/>
      <c r="D618" s="857"/>
      <c r="E618" s="858"/>
      <c r="F618" s="859"/>
      <c r="G618" s="860"/>
      <c r="H618" s="857"/>
      <c r="I618" s="861"/>
      <c r="J618" s="295"/>
      <c r="K618" s="296">
        <f t="shared" si="10"/>
        <v>0</v>
      </c>
      <c r="L618"/>
    </row>
    <row r="619" spans="1:12">
      <c r="A619" s="855" t="s">
        <v>565</v>
      </c>
      <c r="B619" s="856"/>
      <c r="C619" s="856"/>
      <c r="D619" s="857"/>
      <c r="E619" s="858"/>
      <c r="F619" s="859"/>
      <c r="G619" s="860"/>
      <c r="H619" s="857"/>
      <c r="I619" s="861"/>
      <c r="J619" s="295"/>
      <c r="K619" s="296">
        <f t="shared" si="10"/>
        <v>0</v>
      </c>
      <c r="L619"/>
    </row>
    <row r="620" spans="1:12">
      <c r="A620" s="855" t="s">
        <v>565</v>
      </c>
      <c r="B620" s="856"/>
      <c r="C620" s="856"/>
      <c r="D620" s="857"/>
      <c r="E620" s="858"/>
      <c r="F620" s="859"/>
      <c r="G620" s="860"/>
      <c r="H620" s="857"/>
      <c r="I620" s="861"/>
      <c r="J620" s="295"/>
      <c r="K620" s="296">
        <f t="shared" si="10"/>
        <v>0</v>
      </c>
      <c r="L620"/>
    </row>
    <row r="621" spans="1:12">
      <c r="A621" s="855" t="s">
        <v>565</v>
      </c>
      <c r="B621" s="856"/>
      <c r="C621" s="856"/>
      <c r="D621" s="857"/>
      <c r="E621" s="858"/>
      <c r="F621" s="859"/>
      <c r="G621" s="860"/>
      <c r="H621" s="857"/>
      <c r="I621" s="861"/>
      <c r="J621" s="295"/>
      <c r="K621" s="296">
        <f t="shared" si="10"/>
        <v>0</v>
      </c>
      <c r="L621"/>
    </row>
    <row r="622" spans="1:12">
      <c r="A622" s="855" t="s">
        <v>565</v>
      </c>
      <c r="B622" s="856"/>
      <c r="C622" s="856"/>
      <c r="D622" s="857"/>
      <c r="E622" s="858"/>
      <c r="F622" s="859"/>
      <c r="G622" s="860"/>
      <c r="H622" s="857"/>
      <c r="I622" s="861"/>
      <c r="J622" s="295"/>
      <c r="K622" s="296">
        <f t="shared" si="10"/>
        <v>0</v>
      </c>
      <c r="L622"/>
    </row>
    <row r="623" spans="1:12">
      <c r="A623" s="855" t="s">
        <v>565</v>
      </c>
      <c r="B623" s="856"/>
      <c r="C623" s="856"/>
      <c r="D623" s="857"/>
      <c r="E623" s="858"/>
      <c r="F623" s="859"/>
      <c r="G623" s="860"/>
      <c r="H623" s="857"/>
      <c r="I623" s="861"/>
      <c r="J623" s="295"/>
      <c r="K623" s="296">
        <f t="shared" si="10"/>
        <v>0</v>
      </c>
      <c r="L623"/>
    </row>
    <row r="624" spans="1:12">
      <c r="A624" s="855" t="s">
        <v>565</v>
      </c>
      <c r="B624" s="856"/>
      <c r="C624" s="856"/>
      <c r="D624" s="857"/>
      <c r="E624" s="858"/>
      <c r="F624" s="859"/>
      <c r="G624" s="860"/>
      <c r="H624" s="857"/>
      <c r="I624" s="861"/>
      <c r="J624" s="295"/>
      <c r="K624" s="296">
        <f t="shared" si="10"/>
        <v>0</v>
      </c>
      <c r="L624"/>
    </row>
    <row r="625" spans="1:12">
      <c r="A625" s="855" t="s">
        <v>565</v>
      </c>
      <c r="B625" s="856"/>
      <c r="C625" s="856"/>
      <c r="D625" s="857"/>
      <c r="E625" s="858"/>
      <c r="F625" s="859"/>
      <c r="G625" s="860"/>
      <c r="H625" s="857"/>
      <c r="I625" s="861"/>
      <c r="J625" s="295"/>
      <c r="K625" s="296">
        <f t="shared" si="10"/>
        <v>0</v>
      </c>
      <c r="L625"/>
    </row>
    <row r="626" spans="1:12">
      <c r="A626" s="855" t="s">
        <v>565</v>
      </c>
      <c r="B626" s="856"/>
      <c r="C626" s="856"/>
      <c r="D626" s="857"/>
      <c r="E626" s="858"/>
      <c r="F626" s="859"/>
      <c r="G626" s="860"/>
      <c r="H626" s="857"/>
      <c r="I626" s="861"/>
      <c r="J626" s="295"/>
      <c r="K626" s="296">
        <f t="shared" si="10"/>
        <v>0</v>
      </c>
      <c r="L626"/>
    </row>
    <row r="627" spans="1:12">
      <c r="A627" s="855" t="s">
        <v>564</v>
      </c>
      <c r="B627" s="856"/>
      <c r="C627" s="856"/>
      <c r="D627" s="857"/>
      <c r="E627" s="858"/>
      <c r="F627" s="859"/>
      <c r="G627" s="860"/>
      <c r="H627" s="857"/>
      <c r="I627" s="861"/>
      <c r="J627" s="295"/>
      <c r="K627" s="296">
        <f t="shared" si="10"/>
        <v>0</v>
      </c>
      <c r="L627"/>
    </row>
    <row r="628" spans="1:12">
      <c r="A628" s="855" t="s">
        <v>564</v>
      </c>
      <c r="B628" s="856"/>
      <c r="C628" s="856"/>
      <c r="D628" s="857"/>
      <c r="E628" s="858"/>
      <c r="F628" s="859"/>
      <c r="G628" s="860"/>
      <c r="H628" s="857"/>
      <c r="I628" s="861"/>
      <c r="J628" s="295"/>
      <c r="K628" s="296">
        <f t="shared" si="10"/>
        <v>0</v>
      </c>
      <c r="L628"/>
    </row>
    <row r="629" spans="1:12">
      <c r="A629" s="855" t="s">
        <v>564</v>
      </c>
      <c r="B629" s="856"/>
      <c r="C629" s="856"/>
      <c r="D629" s="857"/>
      <c r="E629" s="858"/>
      <c r="F629" s="859"/>
      <c r="G629" s="860"/>
      <c r="H629" s="857"/>
      <c r="I629" s="861"/>
      <c r="J629" s="295"/>
      <c r="K629" s="296">
        <f t="shared" si="10"/>
        <v>0</v>
      </c>
      <c r="L629"/>
    </row>
    <row r="630" spans="1:12">
      <c r="A630" s="855" t="s">
        <v>565</v>
      </c>
      <c r="B630" s="856"/>
      <c r="C630" s="856"/>
      <c r="D630" s="857"/>
      <c r="E630" s="858"/>
      <c r="F630" s="859"/>
      <c r="G630" s="860"/>
      <c r="H630" s="857"/>
      <c r="I630" s="861"/>
      <c r="J630" s="295"/>
      <c r="K630" s="296">
        <f t="shared" si="10"/>
        <v>0</v>
      </c>
      <c r="L630"/>
    </row>
    <row r="631" spans="1:12">
      <c r="A631" s="855" t="s">
        <v>564</v>
      </c>
      <c r="B631" s="856"/>
      <c r="C631" s="856"/>
      <c r="D631" s="857"/>
      <c r="E631" s="858"/>
      <c r="F631" s="859"/>
      <c r="G631" s="860"/>
      <c r="H631" s="857"/>
      <c r="I631" s="861"/>
      <c r="J631" s="295"/>
      <c r="K631" s="296">
        <f t="shared" si="10"/>
        <v>0</v>
      </c>
      <c r="L631"/>
    </row>
    <row r="632" spans="1:12">
      <c r="A632" s="855" t="s">
        <v>564</v>
      </c>
      <c r="B632" s="856"/>
      <c r="C632" s="856"/>
      <c r="D632" s="857"/>
      <c r="E632" s="858"/>
      <c r="F632" s="859"/>
      <c r="G632" s="860"/>
      <c r="H632" s="857"/>
      <c r="I632" s="861"/>
      <c r="J632" s="295"/>
      <c r="K632" s="296">
        <f t="shared" si="10"/>
        <v>0</v>
      </c>
      <c r="L632"/>
    </row>
    <row r="633" spans="1:12">
      <c r="A633" s="855" t="s">
        <v>565</v>
      </c>
      <c r="B633" s="856"/>
      <c r="C633" s="856"/>
      <c r="D633" s="857"/>
      <c r="E633" s="858"/>
      <c r="F633" s="859"/>
      <c r="G633" s="860"/>
      <c r="H633" s="857"/>
      <c r="I633" s="861"/>
      <c r="J633" s="295"/>
      <c r="K633" s="296">
        <f t="shared" si="10"/>
        <v>0</v>
      </c>
      <c r="L633"/>
    </row>
    <row r="634" spans="1:12">
      <c r="A634" s="855" t="s">
        <v>565</v>
      </c>
      <c r="B634" s="856"/>
      <c r="C634" s="856"/>
      <c r="D634" s="857"/>
      <c r="E634" s="858"/>
      <c r="F634" s="859"/>
      <c r="G634" s="860"/>
      <c r="H634" s="857"/>
      <c r="I634" s="861"/>
      <c r="J634" s="295"/>
      <c r="K634" s="296">
        <f t="shared" si="10"/>
        <v>0</v>
      </c>
      <c r="L634"/>
    </row>
    <row r="635" spans="1:12">
      <c r="A635" s="855" t="s">
        <v>565</v>
      </c>
      <c r="B635" s="856"/>
      <c r="C635" s="856"/>
      <c r="D635" s="857"/>
      <c r="E635" s="858"/>
      <c r="F635" s="859"/>
      <c r="G635" s="860"/>
      <c r="H635" s="857"/>
      <c r="I635" s="861"/>
      <c r="J635" s="295"/>
      <c r="K635" s="296">
        <f t="shared" si="10"/>
        <v>0</v>
      </c>
      <c r="L635"/>
    </row>
    <row r="636" spans="1:12">
      <c r="A636" s="855" t="s">
        <v>565</v>
      </c>
      <c r="B636" s="856"/>
      <c r="C636" s="856"/>
      <c r="D636" s="857"/>
      <c r="E636" s="858"/>
      <c r="F636" s="859"/>
      <c r="G636" s="860"/>
      <c r="H636" s="857"/>
      <c r="I636" s="861"/>
      <c r="J636" s="295"/>
      <c r="K636" s="296">
        <f t="shared" si="10"/>
        <v>0</v>
      </c>
      <c r="L636"/>
    </row>
    <row r="637" spans="1:12">
      <c r="A637" s="855" t="s">
        <v>565</v>
      </c>
      <c r="B637" s="856"/>
      <c r="C637" s="856"/>
      <c r="D637" s="857"/>
      <c r="E637" s="858"/>
      <c r="F637" s="859"/>
      <c r="G637" s="860"/>
      <c r="H637" s="857"/>
      <c r="I637" s="861"/>
      <c r="J637" s="295"/>
      <c r="K637" s="296">
        <f t="shared" si="10"/>
        <v>0</v>
      </c>
      <c r="L637"/>
    </row>
    <row r="638" spans="1:12">
      <c r="A638" s="855" t="s">
        <v>565</v>
      </c>
      <c r="B638" s="856"/>
      <c r="C638" s="856"/>
      <c r="D638" s="857"/>
      <c r="E638" s="858"/>
      <c r="F638" s="859"/>
      <c r="G638" s="860"/>
      <c r="H638" s="857"/>
      <c r="I638" s="861"/>
      <c r="J638" s="295"/>
      <c r="K638" s="296">
        <f t="shared" si="10"/>
        <v>0</v>
      </c>
      <c r="L638"/>
    </row>
    <row r="639" spans="1:12">
      <c r="A639" s="855" t="s">
        <v>565</v>
      </c>
      <c r="B639" s="856"/>
      <c r="C639" s="856"/>
      <c r="D639" s="857"/>
      <c r="E639" s="858"/>
      <c r="F639" s="859"/>
      <c r="G639" s="860"/>
      <c r="H639" s="857"/>
      <c r="I639" s="861"/>
      <c r="J639" s="295"/>
      <c r="K639" s="296">
        <f t="shared" si="10"/>
        <v>0</v>
      </c>
      <c r="L639"/>
    </row>
    <row r="640" spans="1:12">
      <c r="A640" s="855" t="s">
        <v>565</v>
      </c>
      <c r="B640" s="856"/>
      <c r="C640" s="856"/>
      <c r="D640" s="857"/>
      <c r="E640" s="858"/>
      <c r="F640" s="859"/>
      <c r="G640" s="860"/>
      <c r="H640" s="857"/>
      <c r="I640" s="861"/>
      <c r="J640" s="295"/>
      <c r="K640" s="296">
        <f t="shared" si="10"/>
        <v>0</v>
      </c>
      <c r="L640"/>
    </row>
    <row r="641" spans="1:12">
      <c r="A641" s="855" t="s">
        <v>565</v>
      </c>
      <c r="B641" s="856"/>
      <c r="C641" s="856"/>
      <c r="D641" s="857"/>
      <c r="E641" s="858"/>
      <c r="F641" s="859"/>
      <c r="G641" s="860"/>
      <c r="H641" s="857"/>
      <c r="I641" s="861"/>
      <c r="J641" s="295"/>
      <c r="K641" s="296">
        <f t="shared" si="10"/>
        <v>0</v>
      </c>
      <c r="L641"/>
    </row>
    <row r="642" spans="1:12">
      <c r="A642" s="855" t="s">
        <v>565</v>
      </c>
      <c r="B642" s="856"/>
      <c r="C642" s="856"/>
      <c r="D642" s="857"/>
      <c r="E642" s="858"/>
      <c r="F642" s="859"/>
      <c r="G642" s="860"/>
      <c r="H642" s="857"/>
      <c r="I642" s="861"/>
      <c r="J642" s="295"/>
      <c r="K642" s="296">
        <f t="shared" si="10"/>
        <v>0</v>
      </c>
      <c r="L642"/>
    </row>
    <row r="643" spans="1:12">
      <c r="A643" s="855" t="s">
        <v>565</v>
      </c>
      <c r="B643" s="856"/>
      <c r="C643" s="856"/>
      <c r="D643" s="857"/>
      <c r="E643" s="858"/>
      <c r="F643" s="859"/>
      <c r="G643" s="860"/>
      <c r="H643" s="857"/>
      <c r="I643" s="861"/>
      <c r="J643" s="295"/>
      <c r="K643" s="296">
        <f t="shared" si="10"/>
        <v>0</v>
      </c>
      <c r="L643"/>
    </row>
    <row r="644" spans="1:12">
      <c r="A644" s="855" t="s">
        <v>565</v>
      </c>
      <c r="B644" s="856"/>
      <c r="C644" s="856"/>
      <c r="D644" s="857"/>
      <c r="E644" s="858"/>
      <c r="F644" s="859"/>
      <c r="G644" s="860"/>
      <c r="H644" s="857"/>
      <c r="I644" s="861"/>
      <c r="J644" s="295"/>
      <c r="K644" s="296">
        <f t="shared" si="10"/>
        <v>0</v>
      </c>
      <c r="L644"/>
    </row>
    <row r="645" spans="1:12">
      <c r="A645" s="855" t="s">
        <v>565</v>
      </c>
      <c r="B645" s="856"/>
      <c r="C645" s="856"/>
      <c r="D645" s="857"/>
      <c r="E645" s="858"/>
      <c r="F645" s="859"/>
      <c r="G645" s="860"/>
      <c r="H645" s="857"/>
      <c r="I645" s="861"/>
      <c r="J645" s="295"/>
      <c r="K645" s="296">
        <f t="shared" si="10"/>
        <v>0</v>
      </c>
      <c r="L645"/>
    </row>
    <row r="646" spans="1:12">
      <c r="A646" s="855" t="s">
        <v>565</v>
      </c>
      <c r="B646" s="856"/>
      <c r="C646" s="856"/>
      <c r="D646" s="857"/>
      <c r="E646" s="858"/>
      <c r="F646" s="859"/>
      <c r="G646" s="860"/>
      <c r="H646" s="857"/>
      <c r="I646" s="861"/>
      <c r="J646" s="295"/>
      <c r="K646" s="296">
        <f t="shared" si="10"/>
        <v>0</v>
      </c>
      <c r="L646"/>
    </row>
    <row r="647" spans="1:12">
      <c r="A647" s="855" t="s">
        <v>565</v>
      </c>
      <c r="B647" s="856"/>
      <c r="C647" s="856"/>
      <c r="D647" s="857"/>
      <c r="E647" s="858"/>
      <c r="F647" s="859"/>
      <c r="G647" s="860"/>
      <c r="H647" s="857"/>
      <c r="I647" s="861"/>
      <c r="J647" s="295"/>
      <c r="K647" s="296">
        <f t="shared" si="10"/>
        <v>0</v>
      </c>
      <c r="L647"/>
    </row>
    <row r="648" spans="1:12">
      <c r="A648" s="855" t="s">
        <v>565</v>
      </c>
      <c r="B648" s="856"/>
      <c r="C648" s="856"/>
      <c r="D648" s="857"/>
      <c r="E648" s="858"/>
      <c r="F648" s="859"/>
      <c r="G648" s="860"/>
      <c r="H648" s="857"/>
      <c r="I648" s="861"/>
      <c r="J648" s="295"/>
      <c r="K648" s="296">
        <f t="shared" si="10"/>
        <v>0</v>
      </c>
      <c r="L648"/>
    </row>
    <row r="649" spans="1:12">
      <c r="A649" s="855" t="s">
        <v>565</v>
      </c>
      <c r="B649" s="856"/>
      <c r="C649" s="856"/>
      <c r="D649" s="857"/>
      <c r="E649" s="858"/>
      <c r="F649" s="859"/>
      <c r="G649" s="860"/>
      <c r="H649" s="857"/>
      <c r="I649" s="861"/>
      <c r="J649" s="295"/>
      <c r="K649" s="296">
        <f t="shared" ref="K649:K712" si="11">IF(LEFT(A649,2)="TU",(J649-I649)*E649/100*100000*2,(J649-I649)*E649/100*100000)</f>
        <v>0</v>
      </c>
      <c r="L649"/>
    </row>
    <row r="650" spans="1:12">
      <c r="A650" s="855" t="s">
        <v>565</v>
      </c>
      <c r="B650" s="856"/>
      <c r="C650" s="856"/>
      <c r="D650" s="857"/>
      <c r="E650" s="858"/>
      <c r="F650" s="859"/>
      <c r="G650" s="860"/>
      <c r="H650" s="857"/>
      <c r="I650" s="861"/>
      <c r="J650" s="295"/>
      <c r="K650" s="296">
        <f t="shared" si="11"/>
        <v>0</v>
      </c>
      <c r="L650"/>
    </row>
    <row r="651" spans="1:12">
      <c r="A651" s="855" t="s">
        <v>565</v>
      </c>
      <c r="B651" s="856"/>
      <c r="C651" s="856"/>
      <c r="D651" s="857"/>
      <c r="E651" s="858"/>
      <c r="F651" s="859"/>
      <c r="G651" s="860"/>
      <c r="H651" s="857"/>
      <c r="I651" s="861"/>
      <c r="J651" s="295"/>
      <c r="K651" s="296">
        <f t="shared" si="11"/>
        <v>0</v>
      </c>
      <c r="L651"/>
    </row>
    <row r="652" spans="1:12">
      <c r="A652" s="855" t="s">
        <v>565</v>
      </c>
      <c r="B652" s="856"/>
      <c r="C652" s="856"/>
      <c r="D652" s="857"/>
      <c r="E652" s="858"/>
      <c r="F652" s="859"/>
      <c r="G652" s="860"/>
      <c r="H652" s="857"/>
      <c r="I652" s="861"/>
      <c r="J652" s="295"/>
      <c r="K652" s="296">
        <f t="shared" si="11"/>
        <v>0</v>
      </c>
      <c r="L652"/>
    </row>
    <row r="653" spans="1:12">
      <c r="A653" s="855" t="s">
        <v>565</v>
      </c>
      <c r="B653" s="856"/>
      <c r="C653" s="856"/>
      <c r="D653" s="857"/>
      <c r="E653" s="858"/>
      <c r="F653" s="859"/>
      <c r="G653" s="860"/>
      <c r="H653" s="857"/>
      <c r="I653" s="861"/>
      <c r="J653" s="295"/>
      <c r="K653" s="296">
        <f t="shared" si="11"/>
        <v>0</v>
      </c>
      <c r="L653"/>
    </row>
    <row r="654" spans="1:12">
      <c r="A654" s="855" t="s">
        <v>565</v>
      </c>
      <c r="B654" s="856"/>
      <c r="C654" s="856"/>
      <c r="D654" s="857"/>
      <c r="E654" s="858"/>
      <c r="F654" s="859"/>
      <c r="G654" s="860"/>
      <c r="H654" s="857"/>
      <c r="I654" s="861"/>
      <c r="J654" s="295"/>
      <c r="K654" s="296">
        <f t="shared" si="11"/>
        <v>0</v>
      </c>
      <c r="L654"/>
    </row>
    <row r="655" spans="1:12">
      <c r="A655" s="855" t="s">
        <v>579</v>
      </c>
      <c r="B655" s="856"/>
      <c r="C655" s="856"/>
      <c r="D655" s="857"/>
      <c r="E655" s="858"/>
      <c r="F655" s="859"/>
      <c r="G655" s="860"/>
      <c r="H655" s="857"/>
      <c r="I655" s="861"/>
      <c r="J655" s="295"/>
      <c r="K655" s="296">
        <f t="shared" si="11"/>
        <v>0</v>
      </c>
      <c r="L655"/>
    </row>
    <row r="656" spans="1:12">
      <c r="A656" s="855" t="s">
        <v>579</v>
      </c>
      <c r="B656" s="856"/>
      <c r="C656" s="856"/>
      <c r="D656" s="857"/>
      <c r="E656" s="858"/>
      <c r="F656" s="859"/>
      <c r="G656" s="860"/>
      <c r="H656" s="857"/>
      <c r="I656" s="861"/>
      <c r="J656" s="295"/>
      <c r="K656" s="296">
        <f t="shared" si="11"/>
        <v>0</v>
      </c>
      <c r="L656"/>
    </row>
    <row r="657" spans="1:12">
      <c r="A657" s="855" t="s">
        <v>565</v>
      </c>
      <c r="B657" s="856"/>
      <c r="C657" s="856"/>
      <c r="D657" s="857"/>
      <c r="E657" s="858"/>
      <c r="F657" s="859"/>
      <c r="G657" s="860"/>
      <c r="H657" s="857"/>
      <c r="I657" s="861"/>
      <c r="J657" s="295"/>
      <c r="K657" s="296">
        <f t="shared" si="11"/>
        <v>0</v>
      </c>
      <c r="L657"/>
    </row>
    <row r="658" spans="1:12">
      <c r="A658" s="855" t="s">
        <v>565</v>
      </c>
      <c r="B658" s="856"/>
      <c r="C658" s="856"/>
      <c r="D658" s="857"/>
      <c r="E658" s="858"/>
      <c r="F658" s="859"/>
      <c r="G658" s="860"/>
      <c r="H658" s="857"/>
      <c r="I658" s="861"/>
      <c r="J658" s="295"/>
      <c r="K658" s="296">
        <f t="shared" si="11"/>
        <v>0</v>
      </c>
      <c r="L658"/>
    </row>
    <row r="659" spans="1:12">
      <c r="A659" s="855" t="s">
        <v>565</v>
      </c>
      <c r="B659" s="856"/>
      <c r="C659" s="856"/>
      <c r="D659" s="857"/>
      <c r="E659" s="858"/>
      <c r="F659" s="859"/>
      <c r="G659" s="860"/>
      <c r="H659" s="857"/>
      <c r="I659" s="861"/>
      <c r="J659" s="295"/>
      <c r="K659" s="296">
        <f t="shared" si="11"/>
        <v>0</v>
      </c>
      <c r="L659"/>
    </row>
    <row r="660" spans="1:12">
      <c r="A660" s="855" t="s">
        <v>565</v>
      </c>
      <c r="B660" s="856"/>
      <c r="C660" s="856"/>
      <c r="D660" s="857"/>
      <c r="E660" s="858"/>
      <c r="F660" s="859"/>
      <c r="G660" s="860"/>
      <c r="H660" s="857"/>
      <c r="I660" s="861"/>
      <c r="J660" s="295"/>
      <c r="K660" s="296">
        <f t="shared" si="11"/>
        <v>0</v>
      </c>
      <c r="L660"/>
    </row>
    <row r="661" spans="1:12">
      <c r="A661" s="855" t="s">
        <v>565</v>
      </c>
      <c r="B661" s="856"/>
      <c r="C661" s="856"/>
      <c r="D661" s="857"/>
      <c r="E661" s="858"/>
      <c r="F661" s="859"/>
      <c r="G661" s="860"/>
      <c r="H661" s="857"/>
      <c r="I661" s="861"/>
      <c r="J661" s="295"/>
      <c r="K661" s="296">
        <f t="shared" si="11"/>
        <v>0</v>
      </c>
      <c r="L661"/>
    </row>
    <row r="662" spans="1:12">
      <c r="A662" s="855" t="s">
        <v>565</v>
      </c>
      <c r="B662" s="856"/>
      <c r="C662" s="856"/>
      <c r="D662" s="857"/>
      <c r="E662" s="858"/>
      <c r="F662" s="859"/>
      <c r="G662" s="860"/>
      <c r="H662" s="857"/>
      <c r="I662" s="861"/>
      <c r="J662" s="295"/>
      <c r="K662" s="296">
        <f t="shared" si="11"/>
        <v>0</v>
      </c>
      <c r="L662"/>
    </row>
    <row r="663" spans="1:12">
      <c r="A663" s="855" t="s">
        <v>565</v>
      </c>
      <c r="B663" s="856"/>
      <c r="C663" s="856"/>
      <c r="D663" s="857"/>
      <c r="E663" s="858"/>
      <c r="F663" s="859"/>
      <c r="G663" s="860"/>
      <c r="H663" s="857"/>
      <c r="I663" s="861"/>
      <c r="J663" s="295"/>
      <c r="K663" s="296">
        <f t="shared" si="11"/>
        <v>0</v>
      </c>
      <c r="L663"/>
    </row>
    <row r="664" spans="1:12">
      <c r="A664" s="855" t="s">
        <v>565</v>
      </c>
      <c r="B664" s="856"/>
      <c r="C664" s="856"/>
      <c r="D664" s="857"/>
      <c r="E664" s="858"/>
      <c r="F664" s="859"/>
      <c r="G664" s="860"/>
      <c r="H664" s="857"/>
      <c r="I664" s="861"/>
      <c r="J664" s="295"/>
      <c r="K664" s="296">
        <f t="shared" si="11"/>
        <v>0</v>
      </c>
      <c r="L664"/>
    </row>
    <row r="665" spans="1:12">
      <c r="A665" s="855" t="s">
        <v>579</v>
      </c>
      <c r="B665" s="856"/>
      <c r="C665" s="856"/>
      <c r="D665" s="857"/>
      <c r="E665" s="858"/>
      <c r="F665" s="859"/>
      <c r="G665" s="860"/>
      <c r="H665" s="857"/>
      <c r="I665" s="861"/>
      <c r="J665" s="295"/>
      <c r="K665" s="296">
        <f t="shared" si="11"/>
        <v>0</v>
      </c>
      <c r="L665"/>
    </row>
    <row r="666" spans="1:12">
      <c r="A666" s="855" t="s">
        <v>579</v>
      </c>
      <c r="B666" s="856"/>
      <c r="C666" s="856"/>
      <c r="D666" s="857"/>
      <c r="E666" s="858"/>
      <c r="F666" s="859"/>
      <c r="G666" s="860"/>
      <c r="H666" s="857"/>
      <c r="I666" s="861"/>
      <c r="J666" s="295"/>
      <c r="K666" s="296">
        <f t="shared" si="11"/>
        <v>0</v>
      </c>
      <c r="L666"/>
    </row>
    <row r="667" spans="1:12">
      <c r="A667" s="855" t="s">
        <v>565</v>
      </c>
      <c r="B667" s="856"/>
      <c r="C667" s="856"/>
      <c r="D667" s="857"/>
      <c r="E667" s="858"/>
      <c r="F667" s="859"/>
      <c r="G667" s="860"/>
      <c r="H667" s="857"/>
      <c r="I667" s="861"/>
      <c r="J667" s="295"/>
      <c r="K667" s="296">
        <f t="shared" si="11"/>
        <v>0</v>
      </c>
      <c r="L667"/>
    </row>
    <row r="668" spans="1:12">
      <c r="A668" s="855" t="s">
        <v>565</v>
      </c>
      <c r="B668" s="856"/>
      <c r="C668" s="856"/>
      <c r="D668" s="857"/>
      <c r="E668" s="858"/>
      <c r="F668" s="859"/>
      <c r="G668" s="860"/>
      <c r="H668" s="857"/>
      <c r="I668" s="861"/>
      <c r="J668" s="295"/>
      <c r="K668" s="296">
        <f t="shared" si="11"/>
        <v>0</v>
      </c>
      <c r="L668"/>
    </row>
    <row r="669" spans="1:12">
      <c r="A669" s="855" t="s">
        <v>565</v>
      </c>
      <c r="B669" s="856"/>
      <c r="C669" s="856"/>
      <c r="D669" s="857"/>
      <c r="E669" s="858"/>
      <c r="F669" s="859"/>
      <c r="G669" s="860"/>
      <c r="H669" s="857"/>
      <c r="I669" s="861"/>
      <c r="J669" s="295"/>
      <c r="K669" s="296">
        <f t="shared" si="11"/>
        <v>0</v>
      </c>
      <c r="L669"/>
    </row>
    <row r="670" spans="1:12">
      <c r="A670" s="855" t="s">
        <v>565</v>
      </c>
      <c r="B670" s="856"/>
      <c r="C670" s="856"/>
      <c r="D670" s="857"/>
      <c r="E670" s="858"/>
      <c r="F670" s="859"/>
      <c r="G670" s="860"/>
      <c r="H670" s="857"/>
      <c r="I670" s="861"/>
      <c r="J670" s="295"/>
      <c r="K670" s="296">
        <f t="shared" si="11"/>
        <v>0</v>
      </c>
      <c r="L670"/>
    </row>
    <row r="671" spans="1:12">
      <c r="A671" s="855" t="s">
        <v>565</v>
      </c>
      <c r="B671" s="856"/>
      <c r="C671" s="856"/>
      <c r="D671" s="857"/>
      <c r="E671" s="858"/>
      <c r="F671" s="859"/>
      <c r="G671" s="860"/>
      <c r="H671" s="857"/>
      <c r="I671" s="861"/>
      <c r="J671" s="295"/>
      <c r="K671" s="296">
        <f t="shared" si="11"/>
        <v>0</v>
      </c>
      <c r="L671"/>
    </row>
    <row r="672" spans="1:12">
      <c r="A672" s="855" t="s">
        <v>565</v>
      </c>
      <c r="B672" s="856"/>
      <c r="C672" s="856"/>
      <c r="D672" s="857"/>
      <c r="E672" s="858"/>
      <c r="F672" s="859"/>
      <c r="G672" s="860"/>
      <c r="H672" s="857"/>
      <c r="I672" s="861"/>
      <c r="J672" s="295"/>
      <c r="K672" s="296">
        <f t="shared" si="11"/>
        <v>0</v>
      </c>
      <c r="L672"/>
    </row>
    <row r="673" spans="1:12">
      <c r="A673" s="855" t="s">
        <v>565</v>
      </c>
      <c r="B673" s="856"/>
      <c r="C673" s="856"/>
      <c r="D673" s="857"/>
      <c r="E673" s="858"/>
      <c r="F673" s="859"/>
      <c r="G673" s="860"/>
      <c r="H673" s="857"/>
      <c r="I673" s="861"/>
      <c r="J673" s="295"/>
      <c r="K673" s="296">
        <f t="shared" si="11"/>
        <v>0</v>
      </c>
      <c r="L673"/>
    </row>
    <row r="674" spans="1:12">
      <c r="A674" s="855" t="s">
        <v>565</v>
      </c>
      <c r="B674" s="856"/>
      <c r="C674" s="856"/>
      <c r="D674" s="857"/>
      <c r="E674" s="858"/>
      <c r="F674" s="859"/>
      <c r="G674" s="860"/>
      <c r="H674" s="857"/>
      <c r="I674" s="861"/>
      <c r="J674" s="295"/>
      <c r="K674" s="296">
        <f t="shared" si="11"/>
        <v>0</v>
      </c>
      <c r="L674"/>
    </row>
    <row r="675" spans="1:12">
      <c r="A675" s="855" t="s">
        <v>565</v>
      </c>
      <c r="B675" s="856"/>
      <c r="C675" s="856"/>
      <c r="D675" s="857"/>
      <c r="E675" s="858"/>
      <c r="F675" s="859"/>
      <c r="G675" s="860"/>
      <c r="H675" s="857"/>
      <c r="I675" s="861"/>
      <c r="J675" s="295"/>
      <c r="K675" s="296">
        <f t="shared" si="11"/>
        <v>0</v>
      </c>
      <c r="L675"/>
    </row>
    <row r="676" spans="1:12">
      <c r="A676" s="855" t="s">
        <v>579</v>
      </c>
      <c r="B676" s="856"/>
      <c r="C676" s="856"/>
      <c r="D676" s="857"/>
      <c r="E676" s="858"/>
      <c r="F676" s="859"/>
      <c r="G676" s="860"/>
      <c r="H676" s="857"/>
      <c r="I676" s="861"/>
      <c r="J676" s="295"/>
      <c r="K676" s="296">
        <f t="shared" si="11"/>
        <v>0</v>
      </c>
      <c r="L676"/>
    </row>
    <row r="677" spans="1:12">
      <c r="A677" s="855" t="s">
        <v>579</v>
      </c>
      <c r="B677" s="856"/>
      <c r="C677" s="856"/>
      <c r="D677" s="857"/>
      <c r="E677" s="858"/>
      <c r="F677" s="859"/>
      <c r="G677" s="860"/>
      <c r="H677" s="857"/>
      <c r="I677" s="861"/>
      <c r="J677" s="295"/>
      <c r="K677" s="296">
        <f t="shared" si="11"/>
        <v>0</v>
      </c>
      <c r="L677"/>
    </row>
    <row r="678" spans="1:12">
      <c r="A678" s="855" t="s">
        <v>565</v>
      </c>
      <c r="B678" s="856"/>
      <c r="C678" s="856"/>
      <c r="D678" s="857"/>
      <c r="E678" s="858"/>
      <c r="F678" s="859"/>
      <c r="G678" s="860"/>
      <c r="H678" s="857"/>
      <c r="I678" s="861"/>
      <c r="J678" s="295"/>
      <c r="K678" s="296">
        <f t="shared" si="11"/>
        <v>0</v>
      </c>
      <c r="L678"/>
    </row>
    <row r="679" spans="1:12">
      <c r="A679" s="855" t="s">
        <v>579</v>
      </c>
      <c r="B679" s="856"/>
      <c r="C679" s="856"/>
      <c r="D679" s="857"/>
      <c r="E679" s="858"/>
      <c r="F679" s="859"/>
      <c r="G679" s="860"/>
      <c r="H679" s="857"/>
      <c r="I679" s="861"/>
      <c r="J679" s="295"/>
      <c r="K679" s="296">
        <f t="shared" si="11"/>
        <v>0</v>
      </c>
      <c r="L679"/>
    </row>
    <row r="680" spans="1:12">
      <c r="A680" s="855" t="s">
        <v>579</v>
      </c>
      <c r="B680" s="856"/>
      <c r="C680" s="856"/>
      <c r="D680" s="857"/>
      <c r="E680" s="858"/>
      <c r="F680" s="859"/>
      <c r="G680" s="860"/>
      <c r="H680" s="857"/>
      <c r="I680" s="861"/>
      <c r="J680" s="295"/>
      <c r="K680" s="296">
        <f t="shared" si="11"/>
        <v>0</v>
      </c>
      <c r="L680"/>
    </row>
    <row r="681" spans="1:12">
      <c r="A681" s="855" t="s">
        <v>579</v>
      </c>
      <c r="B681" s="856"/>
      <c r="C681" s="856"/>
      <c r="D681" s="857"/>
      <c r="E681" s="858"/>
      <c r="F681" s="859"/>
      <c r="G681" s="860"/>
      <c r="H681" s="857"/>
      <c r="I681" s="861"/>
      <c r="J681" s="295"/>
      <c r="K681" s="296">
        <f t="shared" si="11"/>
        <v>0</v>
      </c>
      <c r="L681"/>
    </row>
    <row r="682" spans="1:12">
      <c r="A682" s="855" t="s">
        <v>579</v>
      </c>
      <c r="B682" s="856"/>
      <c r="C682" s="856"/>
      <c r="D682" s="857"/>
      <c r="E682" s="858"/>
      <c r="F682" s="859"/>
      <c r="G682" s="860"/>
      <c r="H682" s="857"/>
      <c r="I682" s="861"/>
      <c r="J682" s="295"/>
      <c r="K682" s="296">
        <f t="shared" si="11"/>
        <v>0</v>
      </c>
      <c r="L682"/>
    </row>
    <row r="683" spans="1:12">
      <c r="A683" s="855" t="s">
        <v>579</v>
      </c>
      <c r="B683" s="856"/>
      <c r="C683" s="856"/>
      <c r="D683" s="857"/>
      <c r="E683" s="858"/>
      <c r="F683" s="859"/>
      <c r="G683" s="860"/>
      <c r="H683" s="857"/>
      <c r="I683" s="861"/>
      <c r="J683" s="295"/>
      <c r="K683" s="296">
        <f t="shared" si="11"/>
        <v>0</v>
      </c>
      <c r="L683"/>
    </row>
    <row r="684" spans="1:12">
      <c r="A684" s="855" t="s">
        <v>579</v>
      </c>
      <c r="B684" s="856"/>
      <c r="C684" s="856"/>
      <c r="D684" s="857"/>
      <c r="E684" s="858"/>
      <c r="F684" s="859"/>
      <c r="G684" s="860"/>
      <c r="H684" s="857"/>
      <c r="I684" s="861"/>
      <c r="J684" s="295"/>
      <c r="K684" s="296">
        <f t="shared" si="11"/>
        <v>0</v>
      </c>
      <c r="L684"/>
    </row>
    <row r="685" spans="1:12">
      <c r="A685" s="855" t="s">
        <v>579</v>
      </c>
      <c r="B685" s="856"/>
      <c r="C685" s="856"/>
      <c r="D685" s="857"/>
      <c r="E685" s="858"/>
      <c r="F685" s="859"/>
      <c r="G685" s="860"/>
      <c r="H685" s="857"/>
      <c r="I685" s="861"/>
      <c r="J685" s="295"/>
      <c r="K685" s="296">
        <f t="shared" si="11"/>
        <v>0</v>
      </c>
      <c r="L685"/>
    </row>
    <row r="686" spans="1:12">
      <c r="A686" s="855" t="s">
        <v>579</v>
      </c>
      <c r="B686" s="856"/>
      <c r="C686" s="856"/>
      <c r="D686" s="857"/>
      <c r="E686" s="858"/>
      <c r="F686" s="859"/>
      <c r="G686" s="860"/>
      <c r="H686" s="857"/>
      <c r="I686" s="861"/>
      <c r="J686" s="295"/>
      <c r="K686" s="296">
        <f t="shared" si="11"/>
        <v>0</v>
      </c>
      <c r="L686"/>
    </row>
    <row r="687" spans="1:12">
      <c r="A687" s="855" t="s">
        <v>579</v>
      </c>
      <c r="B687" s="856"/>
      <c r="C687" s="856"/>
      <c r="D687" s="857"/>
      <c r="E687" s="858"/>
      <c r="F687" s="859"/>
      <c r="G687" s="860"/>
      <c r="H687" s="857"/>
      <c r="I687" s="861"/>
      <c r="J687" s="295"/>
      <c r="K687" s="296">
        <f t="shared" si="11"/>
        <v>0</v>
      </c>
      <c r="L687"/>
    </row>
    <row r="688" spans="1:12">
      <c r="A688" s="855" t="s">
        <v>579</v>
      </c>
      <c r="B688" s="856"/>
      <c r="C688" s="856"/>
      <c r="D688" s="857"/>
      <c r="E688" s="858"/>
      <c r="F688" s="859"/>
      <c r="G688" s="860"/>
      <c r="H688" s="857"/>
      <c r="I688" s="861"/>
      <c r="J688" s="295"/>
      <c r="K688" s="296">
        <f t="shared" si="11"/>
        <v>0</v>
      </c>
      <c r="L688"/>
    </row>
    <row r="689" spans="1:12">
      <c r="A689" s="855" t="s">
        <v>579</v>
      </c>
      <c r="B689" s="856"/>
      <c r="C689" s="856"/>
      <c r="D689" s="857"/>
      <c r="E689" s="858"/>
      <c r="F689" s="859"/>
      <c r="G689" s="860"/>
      <c r="H689" s="857"/>
      <c r="I689" s="861"/>
      <c r="J689" s="295"/>
      <c r="K689" s="296">
        <f t="shared" si="11"/>
        <v>0</v>
      </c>
      <c r="L689"/>
    </row>
    <row r="690" spans="1:12">
      <c r="A690" s="855" t="s">
        <v>579</v>
      </c>
      <c r="B690" s="856"/>
      <c r="C690" s="856"/>
      <c r="D690" s="857"/>
      <c r="E690" s="858"/>
      <c r="F690" s="859"/>
      <c r="G690" s="860"/>
      <c r="H690" s="857"/>
      <c r="I690" s="861"/>
      <c r="J690" s="295"/>
      <c r="K690" s="296">
        <f t="shared" si="11"/>
        <v>0</v>
      </c>
      <c r="L690"/>
    </row>
    <row r="691" spans="1:12">
      <c r="A691" s="855" t="s">
        <v>579</v>
      </c>
      <c r="B691" s="856"/>
      <c r="C691" s="856"/>
      <c r="D691" s="857"/>
      <c r="E691" s="858"/>
      <c r="F691" s="859"/>
      <c r="G691" s="860"/>
      <c r="H691" s="857"/>
      <c r="I691" s="861"/>
      <c r="J691" s="295"/>
      <c r="K691" s="296">
        <f t="shared" si="11"/>
        <v>0</v>
      </c>
      <c r="L691"/>
    </row>
    <row r="692" spans="1:12">
      <c r="A692" s="855" t="s">
        <v>579</v>
      </c>
      <c r="B692" s="856"/>
      <c r="C692" s="856"/>
      <c r="D692" s="857"/>
      <c r="E692" s="858"/>
      <c r="F692" s="859"/>
      <c r="G692" s="860"/>
      <c r="H692" s="857"/>
      <c r="I692" s="861"/>
      <c r="J692" s="295"/>
      <c r="K692" s="296">
        <f t="shared" si="11"/>
        <v>0</v>
      </c>
      <c r="L692"/>
    </row>
    <row r="693" spans="1:12">
      <c r="A693" s="855" t="s">
        <v>579</v>
      </c>
      <c r="B693" s="856"/>
      <c r="C693" s="856"/>
      <c r="D693" s="857"/>
      <c r="E693" s="858"/>
      <c r="F693" s="859"/>
      <c r="G693" s="860"/>
      <c r="H693" s="857"/>
      <c r="I693" s="861"/>
      <c r="J693" s="295"/>
      <c r="K693" s="296">
        <f t="shared" si="11"/>
        <v>0</v>
      </c>
      <c r="L693"/>
    </row>
    <row r="694" spans="1:12">
      <c r="A694" s="855" t="s">
        <v>579</v>
      </c>
      <c r="B694" s="856"/>
      <c r="C694" s="856"/>
      <c r="D694" s="857"/>
      <c r="E694" s="858"/>
      <c r="F694" s="859"/>
      <c r="G694" s="860"/>
      <c r="H694" s="857"/>
      <c r="I694" s="861"/>
      <c r="J694" s="295"/>
      <c r="K694" s="296">
        <f t="shared" si="11"/>
        <v>0</v>
      </c>
      <c r="L694"/>
    </row>
    <row r="695" spans="1:12">
      <c r="A695" s="855" t="s">
        <v>579</v>
      </c>
      <c r="B695" s="856"/>
      <c r="C695" s="856"/>
      <c r="D695" s="857"/>
      <c r="E695" s="858"/>
      <c r="F695" s="859"/>
      <c r="G695" s="860"/>
      <c r="H695" s="857"/>
      <c r="I695" s="861"/>
      <c r="J695" s="295"/>
      <c r="K695" s="296">
        <f t="shared" si="11"/>
        <v>0</v>
      </c>
      <c r="L695"/>
    </row>
    <row r="696" spans="1:12">
      <c r="A696" s="855" t="s">
        <v>579</v>
      </c>
      <c r="B696" s="856"/>
      <c r="C696" s="856"/>
      <c r="D696" s="857"/>
      <c r="E696" s="858"/>
      <c r="F696" s="859"/>
      <c r="G696" s="860"/>
      <c r="H696" s="857"/>
      <c r="I696" s="861"/>
      <c r="J696" s="295"/>
      <c r="K696" s="296">
        <f t="shared" si="11"/>
        <v>0</v>
      </c>
      <c r="L696"/>
    </row>
    <row r="697" spans="1:12">
      <c r="A697" s="855" t="s">
        <v>579</v>
      </c>
      <c r="B697" s="856"/>
      <c r="C697" s="856"/>
      <c r="D697" s="857"/>
      <c r="E697" s="858"/>
      <c r="F697" s="859"/>
      <c r="G697" s="860"/>
      <c r="H697" s="857"/>
      <c r="I697" s="861"/>
      <c r="J697" s="295"/>
      <c r="K697" s="296">
        <f t="shared" si="11"/>
        <v>0</v>
      </c>
      <c r="L697"/>
    </row>
    <row r="698" spans="1:12">
      <c r="A698" s="855" t="s">
        <v>579</v>
      </c>
      <c r="B698" s="856"/>
      <c r="C698" s="856"/>
      <c r="D698" s="857"/>
      <c r="E698" s="858"/>
      <c r="F698" s="859"/>
      <c r="G698" s="860"/>
      <c r="H698" s="857"/>
      <c r="I698" s="861"/>
      <c r="J698" s="295"/>
      <c r="K698" s="296">
        <f t="shared" si="11"/>
        <v>0</v>
      </c>
      <c r="L698"/>
    </row>
    <row r="699" spans="1:12">
      <c r="A699" s="855" t="s">
        <v>579</v>
      </c>
      <c r="B699" s="856"/>
      <c r="C699" s="856"/>
      <c r="D699" s="857"/>
      <c r="E699" s="858"/>
      <c r="F699" s="859"/>
      <c r="G699" s="860"/>
      <c r="H699" s="857"/>
      <c r="I699" s="861"/>
      <c r="J699" s="295"/>
      <c r="K699" s="296">
        <f t="shared" si="11"/>
        <v>0</v>
      </c>
      <c r="L699"/>
    </row>
    <row r="700" spans="1:12">
      <c r="A700" s="855" t="s">
        <v>579</v>
      </c>
      <c r="B700" s="856"/>
      <c r="C700" s="856"/>
      <c r="D700" s="857"/>
      <c r="E700" s="858"/>
      <c r="F700" s="859"/>
      <c r="G700" s="860"/>
      <c r="H700" s="857"/>
      <c r="I700" s="861"/>
      <c r="J700" s="295"/>
      <c r="K700" s="296">
        <f t="shared" si="11"/>
        <v>0</v>
      </c>
      <c r="L700"/>
    </row>
    <row r="701" spans="1:12">
      <c r="A701" s="855" t="s">
        <v>579</v>
      </c>
      <c r="B701" s="856"/>
      <c r="C701" s="856"/>
      <c r="D701" s="857"/>
      <c r="E701" s="858"/>
      <c r="F701" s="859"/>
      <c r="G701" s="860"/>
      <c r="H701" s="857"/>
      <c r="I701" s="861"/>
      <c r="J701" s="295"/>
      <c r="K701" s="296">
        <f t="shared" si="11"/>
        <v>0</v>
      </c>
      <c r="L701"/>
    </row>
    <row r="702" spans="1:12">
      <c r="A702" s="855" t="s">
        <v>579</v>
      </c>
      <c r="B702" s="856"/>
      <c r="C702" s="856"/>
      <c r="D702" s="857"/>
      <c r="E702" s="858"/>
      <c r="F702" s="859"/>
      <c r="G702" s="860"/>
      <c r="H702" s="857"/>
      <c r="I702" s="861"/>
      <c r="J702" s="295"/>
      <c r="K702" s="296">
        <f t="shared" si="11"/>
        <v>0</v>
      </c>
      <c r="L702"/>
    </row>
    <row r="703" spans="1:12">
      <c r="A703" s="855" t="s">
        <v>565</v>
      </c>
      <c r="B703" s="856"/>
      <c r="C703" s="856"/>
      <c r="D703" s="857"/>
      <c r="E703" s="858"/>
      <c r="F703" s="859"/>
      <c r="G703" s="860"/>
      <c r="H703" s="857"/>
      <c r="I703" s="861"/>
      <c r="J703" s="295"/>
      <c r="K703" s="296">
        <f t="shared" si="11"/>
        <v>0</v>
      </c>
      <c r="L703"/>
    </row>
    <row r="704" spans="1:12">
      <c r="A704" s="855" t="s">
        <v>565</v>
      </c>
      <c r="B704" s="856"/>
      <c r="C704" s="856"/>
      <c r="D704" s="857"/>
      <c r="E704" s="858"/>
      <c r="F704" s="859"/>
      <c r="G704" s="860"/>
      <c r="H704" s="857"/>
      <c r="I704" s="861"/>
      <c r="J704" s="295"/>
      <c r="K704" s="296">
        <f t="shared" si="11"/>
        <v>0</v>
      </c>
      <c r="L704"/>
    </row>
    <row r="705" spans="1:12">
      <c r="A705" s="855" t="s">
        <v>565</v>
      </c>
      <c r="B705" s="856"/>
      <c r="C705" s="856"/>
      <c r="D705" s="857"/>
      <c r="E705" s="858"/>
      <c r="F705" s="859"/>
      <c r="G705" s="860"/>
      <c r="H705" s="857"/>
      <c r="I705" s="861"/>
      <c r="J705" s="295"/>
      <c r="K705" s="296">
        <f t="shared" si="11"/>
        <v>0</v>
      </c>
      <c r="L705"/>
    </row>
    <row r="706" spans="1:12">
      <c r="A706" s="855" t="s">
        <v>565</v>
      </c>
      <c r="B706" s="856"/>
      <c r="C706" s="856"/>
      <c r="D706" s="857"/>
      <c r="E706" s="858"/>
      <c r="F706" s="859"/>
      <c r="G706" s="860"/>
      <c r="H706" s="857"/>
      <c r="I706" s="861"/>
      <c r="J706" s="295"/>
      <c r="K706" s="296">
        <f t="shared" si="11"/>
        <v>0</v>
      </c>
      <c r="L706"/>
    </row>
    <row r="707" spans="1:12">
      <c r="A707" s="855" t="s">
        <v>565</v>
      </c>
      <c r="B707" s="856"/>
      <c r="C707" s="856"/>
      <c r="D707" s="857"/>
      <c r="E707" s="858"/>
      <c r="F707" s="859"/>
      <c r="G707" s="860"/>
      <c r="H707" s="857"/>
      <c r="I707" s="861"/>
      <c r="J707" s="295"/>
      <c r="K707" s="296">
        <f t="shared" si="11"/>
        <v>0</v>
      </c>
      <c r="L707"/>
    </row>
    <row r="708" spans="1:12">
      <c r="A708" s="855" t="s">
        <v>565</v>
      </c>
      <c r="B708" s="856"/>
      <c r="C708" s="856"/>
      <c r="D708" s="857"/>
      <c r="E708" s="858"/>
      <c r="F708" s="859"/>
      <c r="G708" s="860"/>
      <c r="H708" s="857"/>
      <c r="I708" s="861"/>
      <c r="J708" s="295"/>
      <c r="K708" s="296">
        <f t="shared" si="11"/>
        <v>0</v>
      </c>
      <c r="L708"/>
    </row>
    <row r="709" spans="1:12">
      <c r="A709" s="855" t="s">
        <v>565</v>
      </c>
      <c r="B709" s="856"/>
      <c r="C709" s="856"/>
      <c r="D709" s="857"/>
      <c r="E709" s="858"/>
      <c r="F709" s="859"/>
      <c r="G709" s="860"/>
      <c r="H709" s="857"/>
      <c r="I709" s="861"/>
      <c r="J709" s="295"/>
      <c r="K709" s="296">
        <f t="shared" si="11"/>
        <v>0</v>
      </c>
      <c r="L709"/>
    </row>
    <row r="710" spans="1:12">
      <c r="A710" s="855" t="s">
        <v>565</v>
      </c>
      <c r="B710" s="856"/>
      <c r="C710" s="856"/>
      <c r="D710" s="857"/>
      <c r="E710" s="858"/>
      <c r="F710" s="859"/>
      <c r="G710" s="860"/>
      <c r="H710" s="857"/>
      <c r="I710" s="861"/>
      <c r="J710" s="295"/>
      <c r="K710" s="296">
        <f t="shared" si="11"/>
        <v>0</v>
      </c>
      <c r="L710"/>
    </row>
    <row r="711" spans="1:12">
      <c r="A711" s="855" t="s">
        <v>565</v>
      </c>
      <c r="B711" s="856"/>
      <c r="C711" s="856"/>
      <c r="D711" s="857"/>
      <c r="E711" s="858"/>
      <c r="F711" s="859"/>
      <c r="G711" s="860"/>
      <c r="H711" s="857"/>
      <c r="I711" s="861"/>
      <c r="J711" s="295"/>
      <c r="K711" s="296">
        <f t="shared" si="11"/>
        <v>0</v>
      </c>
      <c r="L711"/>
    </row>
    <row r="712" spans="1:12">
      <c r="A712" s="855" t="s">
        <v>565</v>
      </c>
      <c r="B712" s="856"/>
      <c r="C712" s="856"/>
      <c r="D712" s="857"/>
      <c r="E712" s="858"/>
      <c r="F712" s="859"/>
      <c r="G712" s="860"/>
      <c r="H712" s="857"/>
      <c r="I712" s="861"/>
      <c r="J712" s="295"/>
      <c r="K712" s="296">
        <f t="shared" si="11"/>
        <v>0</v>
      </c>
      <c r="L712"/>
    </row>
    <row r="713" spans="1:12">
      <c r="A713" s="855" t="s">
        <v>565</v>
      </c>
      <c r="B713" s="856"/>
      <c r="C713" s="856"/>
      <c r="D713" s="857"/>
      <c r="E713" s="858"/>
      <c r="F713" s="859"/>
      <c r="G713" s="860"/>
      <c r="H713" s="857"/>
      <c r="I713" s="861"/>
      <c r="J713" s="295"/>
      <c r="K713" s="296">
        <f t="shared" ref="K713:K776" si="12">IF(LEFT(A713,2)="TU",(J713-I713)*E713/100*100000*2,(J713-I713)*E713/100*100000)</f>
        <v>0</v>
      </c>
      <c r="L713"/>
    </row>
    <row r="714" spans="1:12">
      <c r="A714" s="855" t="s">
        <v>586</v>
      </c>
      <c r="B714" s="856"/>
      <c r="C714" s="856"/>
      <c r="D714" s="857"/>
      <c r="E714" s="858"/>
      <c r="F714" s="859"/>
      <c r="G714" s="860"/>
      <c r="H714" s="857"/>
      <c r="I714" s="861"/>
      <c r="J714" s="295"/>
      <c r="K714" s="296">
        <f t="shared" si="12"/>
        <v>0</v>
      </c>
      <c r="L714"/>
    </row>
    <row r="715" spans="1:12">
      <c r="A715" s="855" t="s">
        <v>579</v>
      </c>
      <c r="B715" s="856"/>
      <c r="C715" s="856"/>
      <c r="D715" s="857"/>
      <c r="E715" s="858"/>
      <c r="F715" s="859"/>
      <c r="G715" s="860"/>
      <c r="H715" s="857"/>
      <c r="I715" s="861"/>
      <c r="J715" s="295"/>
      <c r="K715" s="296">
        <f t="shared" si="12"/>
        <v>0</v>
      </c>
      <c r="L715"/>
    </row>
    <row r="716" spans="1:12">
      <c r="A716" s="855" t="s">
        <v>579</v>
      </c>
      <c r="B716" s="856"/>
      <c r="C716" s="856"/>
      <c r="D716" s="857"/>
      <c r="E716" s="858"/>
      <c r="F716" s="859"/>
      <c r="G716" s="860"/>
      <c r="H716" s="857"/>
      <c r="I716" s="861"/>
      <c r="J716" s="295"/>
      <c r="K716" s="296">
        <f t="shared" si="12"/>
        <v>0</v>
      </c>
      <c r="L716"/>
    </row>
    <row r="717" spans="1:12">
      <c r="A717" s="855" t="s">
        <v>579</v>
      </c>
      <c r="B717" s="856"/>
      <c r="C717" s="856"/>
      <c r="D717" s="857"/>
      <c r="E717" s="858"/>
      <c r="F717" s="859"/>
      <c r="G717" s="860"/>
      <c r="H717" s="857"/>
      <c r="I717" s="861"/>
      <c r="J717" s="295"/>
      <c r="K717" s="296">
        <f t="shared" si="12"/>
        <v>0</v>
      </c>
      <c r="L717"/>
    </row>
    <row r="718" spans="1:12">
      <c r="A718" s="855" t="s">
        <v>565</v>
      </c>
      <c r="B718" s="856"/>
      <c r="C718" s="856"/>
      <c r="D718" s="857"/>
      <c r="E718" s="858"/>
      <c r="F718" s="859"/>
      <c r="G718" s="860"/>
      <c r="H718" s="857"/>
      <c r="I718" s="861"/>
      <c r="J718" s="295"/>
      <c r="K718" s="296">
        <f t="shared" si="12"/>
        <v>0</v>
      </c>
      <c r="L718"/>
    </row>
    <row r="719" spans="1:12">
      <c r="A719" s="855" t="s">
        <v>565</v>
      </c>
      <c r="B719" s="856"/>
      <c r="C719" s="856"/>
      <c r="D719" s="857"/>
      <c r="E719" s="858"/>
      <c r="F719" s="859"/>
      <c r="G719" s="860"/>
      <c r="H719" s="857"/>
      <c r="I719" s="861"/>
      <c r="J719" s="295"/>
      <c r="K719" s="296">
        <f t="shared" si="12"/>
        <v>0</v>
      </c>
      <c r="L719"/>
    </row>
    <row r="720" spans="1:12">
      <c r="A720" s="855" t="s">
        <v>579</v>
      </c>
      <c r="B720" s="856"/>
      <c r="C720" s="856"/>
      <c r="D720" s="857"/>
      <c r="E720" s="858"/>
      <c r="F720" s="859"/>
      <c r="G720" s="860"/>
      <c r="H720" s="857"/>
      <c r="I720" s="861"/>
      <c r="J720" s="295"/>
      <c r="K720" s="296">
        <f t="shared" si="12"/>
        <v>0</v>
      </c>
      <c r="L720"/>
    </row>
    <row r="721" spans="1:12">
      <c r="A721" s="855" t="s">
        <v>565</v>
      </c>
      <c r="B721" s="856"/>
      <c r="C721" s="856"/>
      <c r="D721" s="857"/>
      <c r="E721" s="858"/>
      <c r="F721" s="859"/>
      <c r="G721" s="860"/>
      <c r="H721" s="857"/>
      <c r="I721" s="861"/>
      <c r="J721" s="295"/>
      <c r="K721" s="296">
        <f t="shared" si="12"/>
        <v>0</v>
      </c>
      <c r="L721"/>
    </row>
    <row r="722" spans="1:12">
      <c r="A722" s="855" t="s">
        <v>565</v>
      </c>
      <c r="B722" s="856"/>
      <c r="C722" s="856"/>
      <c r="D722" s="857"/>
      <c r="E722" s="858"/>
      <c r="F722" s="859"/>
      <c r="G722" s="860"/>
      <c r="H722" s="857"/>
      <c r="I722" s="861"/>
      <c r="J722" s="295"/>
      <c r="K722" s="296">
        <f t="shared" si="12"/>
        <v>0</v>
      </c>
      <c r="L722"/>
    </row>
    <row r="723" spans="1:12">
      <c r="A723" s="855" t="s">
        <v>565</v>
      </c>
      <c r="B723" s="856"/>
      <c r="C723" s="856"/>
      <c r="D723" s="857"/>
      <c r="E723" s="858"/>
      <c r="F723" s="859"/>
      <c r="G723" s="860"/>
      <c r="H723" s="857"/>
      <c r="I723" s="861"/>
      <c r="J723" s="295"/>
      <c r="K723" s="296">
        <f t="shared" si="12"/>
        <v>0</v>
      </c>
      <c r="L723"/>
    </row>
    <row r="724" spans="1:12">
      <c r="A724" s="855" t="s">
        <v>565</v>
      </c>
      <c r="B724" s="856"/>
      <c r="C724" s="856"/>
      <c r="D724" s="857"/>
      <c r="E724" s="858"/>
      <c r="F724" s="859"/>
      <c r="G724" s="860"/>
      <c r="H724" s="857"/>
      <c r="I724" s="861"/>
      <c r="J724" s="295"/>
      <c r="K724" s="296">
        <f t="shared" si="12"/>
        <v>0</v>
      </c>
      <c r="L724"/>
    </row>
    <row r="725" spans="1:12">
      <c r="A725" s="855" t="s">
        <v>565</v>
      </c>
      <c r="B725" s="856"/>
      <c r="C725" s="856"/>
      <c r="D725" s="857"/>
      <c r="E725" s="858"/>
      <c r="F725" s="859"/>
      <c r="G725" s="860"/>
      <c r="H725" s="857"/>
      <c r="I725" s="861"/>
      <c r="J725" s="295"/>
      <c r="K725" s="296">
        <f t="shared" si="12"/>
        <v>0</v>
      </c>
      <c r="L725"/>
    </row>
    <row r="726" spans="1:12">
      <c r="A726" s="855" t="s">
        <v>565</v>
      </c>
      <c r="B726" s="856"/>
      <c r="C726" s="856"/>
      <c r="D726" s="857"/>
      <c r="E726" s="858"/>
      <c r="F726" s="859"/>
      <c r="G726" s="860"/>
      <c r="H726" s="857"/>
      <c r="I726" s="861"/>
      <c r="J726" s="295"/>
      <c r="K726" s="296">
        <f t="shared" si="12"/>
        <v>0</v>
      </c>
      <c r="L726"/>
    </row>
    <row r="727" spans="1:12">
      <c r="A727" s="855" t="s">
        <v>565</v>
      </c>
      <c r="B727" s="856"/>
      <c r="C727" s="856"/>
      <c r="D727" s="857"/>
      <c r="E727" s="858"/>
      <c r="F727" s="859"/>
      <c r="G727" s="860"/>
      <c r="H727" s="857"/>
      <c r="I727" s="861"/>
      <c r="J727" s="295"/>
      <c r="K727" s="296">
        <f t="shared" si="12"/>
        <v>0</v>
      </c>
      <c r="L727"/>
    </row>
    <row r="728" spans="1:12">
      <c r="A728" s="855" t="s">
        <v>565</v>
      </c>
      <c r="B728" s="856"/>
      <c r="C728" s="856"/>
      <c r="D728" s="857"/>
      <c r="E728" s="858"/>
      <c r="F728" s="859"/>
      <c r="G728" s="860"/>
      <c r="H728" s="857"/>
      <c r="I728" s="861"/>
      <c r="J728" s="295"/>
      <c r="K728" s="296">
        <f t="shared" si="12"/>
        <v>0</v>
      </c>
      <c r="L728"/>
    </row>
    <row r="729" spans="1:12">
      <c r="A729" s="855" t="s">
        <v>565</v>
      </c>
      <c r="B729" s="856"/>
      <c r="C729" s="856"/>
      <c r="D729" s="857"/>
      <c r="E729" s="858"/>
      <c r="F729" s="859"/>
      <c r="G729" s="860"/>
      <c r="H729" s="857"/>
      <c r="I729" s="861"/>
      <c r="J729" s="295"/>
      <c r="K729" s="296">
        <f t="shared" si="12"/>
        <v>0</v>
      </c>
      <c r="L729"/>
    </row>
    <row r="730" spans="1:12">
      <c r="A730" s="855" t="s">
        <v>565</v>
      </c>
      <c r="B730" s="856"/>
      <c r="C730" s="856"/>
      <c r="D730" s="857"/>
      <c r="E730" s="858"/>
      <c r="F730" s="859"/>
      <c r="G730" s="860"/>
      <c r="H730" s="857"/>
      <c r="I730" s="861"/>
      <c r="J730" s="295"/>
      <c r="K730" s="296">
        <f t="shared" si="12"/>
        <v>0</v>
      </c>
      <c r="L730"/>
    </row>
    <row r="731" spans="1:12">
      <c r="A731" s="855" t="s">
        <v>579</v>
      </c>
      <c r="B731" s="856"/>
      <c r="C731" s="856"/>
      <c r="D731" s="857"/>
      <c r="E731" s="858"/>
      <c r="F731" s="859"/>
      <c r="G731" s="860"/>
      <c r="H731" s="857"/>
      <c r="I731" s="861"/>
      <c r="J731" s="295"/>
      <c r="K731" s="296">
        <f t="shared" si="12"/>
        <v>0</v>
      </c>
      <c r="L731"/>
    </row>
    <row r="732" spans="1:12">
      <c r="A732" s="855" t="s">
        <v>579</v>
      </c>
      <c r="B732" s="856"/>
      <c r="C732" s="856"/>
      <c r="D732" s="857"/>
      <c r="E732" s="858"/>
      <c r="F732" s="859"/>
      <c r="G732" s="860"/>
      <c r="H732" s="857"/>
      <c r="I732" s="861"/>
      <c r="J732" s="295"/>
      <c r="K732" s="296">
        <f t="shared" si="12"/>
        <v>0</v>
      </c>
      <c r="L732"/>
    </row>
    <row r="733" spans="1:12">
      <c r="A733" s="855" t="s">
        <v>579</v>
      </c>
      <c r="B733" s="856"/>
      <c r="C733" s="856"/>
      <c r="D733" s="857"/>
      <c r="E733" s="858"/>
      <c r="F733" s="859"/>
      <c r="G733" s="860"/>
      <c r="H733" s="857"/>
      <c r="I733" s="861"/>
      <c r="J733" s="295"/>
      <c r="K733" s="296">
        <f t="shared" si="12"/>
        <v>0</v>
      </c>
      <c r="L733"/>
    </row>
    <row r="734" spans="1:12">
      <c r="A734" s="855" t="s">
        <v>579</v>
      </c>
      <c r="B734" s="856"/>
      <c r="C734" s="856"/>
      <c r="D734" s="857"/>
      <c r="E734" s="858"/>
      <c r="F734" s="859"/>
      <c r="G734" s="860"/>
      <c r="H734" s="857"/>
      <c r="I734" s="861"/>
      <c r="J734" s="295"/>
      <c r="K734" s="296">
        <f t="shared" si="12"/>
        <v>0</v>
      </c>
      <c r="L734"/>
    </row>
    <row r="735" spans="1:12">
      <c r="A735" s="855" t="s">
        <v>579</v>
      </c>
      <c r="B735" s="856"/>
      <c r="C735" s="856"/>
      <c r="D735" s="857"/>
      <c r="E735" s="858"/>
      <c r="F735" s="859"/>
      <c r="G735" s="860"/>
      <c r="H735" s="857"/>
      <c r="I735" s="861"/>
      <c r="J735" s="295"/>
      <c r="K735" s="296">
        <f t="shared" si="12"/>
        <v>0</v>
      </c>
      <c r="L735"/>
    </row>
    <row r="736" spans="1:12">
      <c r="A736" s="855" t="s">
        <v>579</v>
      </c>
      <c r="B736" s="856"/>
      <c r="C736" s="856"/>
      <c r="D736" s="857"/>
      <c r="E736" s="858"/>
      <c r="F736" s="859"/>
      <c r="G736" s="860"/>
      <c r="H736" s="857"/>
      <c r="I736" s="861"/>
      <c r="J736" s="295"/>
      <c r="K736" s="296">
        <f t="shared" si="12"/>
        <v>0</v>
      </c>
      <c r="L736"/>
    </row>
    <row r="737" spans="1:12">
      <c r="A737" s="855" t="s">
        <v>565</v>
      </c>
      <c r="B737" s="856"/>
      <c r="C737" s="856"/>
      <c r="D737" s="857"/>
      <c r="E737" s="858"/>
      <c r="F737" s="859"/>
      <c r="G737" s="860"/>
      <c r="H737" s="857"/>
      <c r="I737" s="861"/>
      <c r="J737" s="295"/>
      <c r="K737" s="296">
        <f t="shared" si="12"/>
        <v>0</v>
      </c>
      <c r="L737"/>
    </row>
    <row r="738" spans="1:12">
      <c r="A738" s="855" t="s">
        <v>579</v>
      </c>
      <c r="B738" s="856"/>
      <c r="C738" s="856"/>
      <c r="D738" s="857"/>
      <c r="E738" s="858"/>
      <c r="F738" s="859"/>
      <c r="G738" s="860"/>
      <c r="H738" s="857"/>
      <c r="I738" s="861"/>
      <c r="J738" s="295"/>
      <c r="K738" s="296">
        <f t="shared" si="12"/>
        <v>0</v>
      </c>
      <c r="L738"/>
    </row>
    <row r="739" spans="1:12">
      <c r="A739" s="855" t="s">
        <v>579</v>
      </c>
      <c r="B739" s="856"/>
      <c r="C739" s="856"/>
      <c r="D739" s="857"/>
      <c r="E739" s="858"/>
      <c r="F739" s="859"/>
      <c r="G739" s="860"/>
      <c r="H739" s="857"/>
      <c r="I739" s="861"/>
      <c r="J739" s="295"/>
      <c r="K739" s="296">
        <f t="shared" si="12"/>
        <v>0</v>
      </c>
      <c r="L739"/>
    </row>
    <row r="740" spans="1:12">
      <c r="A740" s="855" t="s">
        <v>565</v>
      </c>
      <c r="B740" s="856"/>
      <c r="C740" s="856"/>
      <c r="D740" s="857"/>
      <c r="E740" s="858"/>
      <c r="F740" s="859"/>
      <c r="G740" s="860"/>
      <c r="H740" s="857"/>
      <c r="I740" s="861"/>
      <c r="J740" s="295"/>
      <c r="K740" s="296">
        <f t="shared" si="12"/>
        <v>0</v>
      </c>
      <c r="L740"/>
    </row>
    <row r="741" spans="1:12">
      <c r="A741" s="855" t="s">
        <v>565</v>
      </c>
      <c r="B741" s="856"/>
      <c r="C741" s="856"/>
      <c r="D741" s="857"/>
      <c r="E741" s="858"/>
      <c r="F741" s="859"/>
      <c r="G741" s="860"/>
      <c r="H741" s="857"/>
      <c r="I741" s="861"/>
      <c r="J741" s="295"/>
      <c r="K741" s="296">
        <f t="shared" si="12"/>
        <v>0</v>
      </c>
      <c r="L741"/>
    </row>
    <row r="742" spans="1:12">
      <c r="A742" s="855" t="s">
        <v>565</v>
      </c>
      <c r="B742" s="856"/>
      <c r="C742" s="856"/>
      <c r="D742" s="857"/>
      <c r="E742" s="858"/>
      <c r="F742" s="859"/>
      <c r="G742" s="860"/>
      <c r="H742" s="857"/>
      <c r="I742" s="861"/>
      <c r="J742" s="295"/>
      <c r="K742" s="296">
        <f t="shared" si="12"/>
        <v>0</v>
      </c>
      <c r="L742"/>
    </row>
    <row r="743" spans="1:12">
      <c r="A743" s="855" t="s">
        <v>579</v>
      </c>
      <c r="B743" s="856"/>
      <c r="C743" s="856"/>
      <c r="D743" s="857"/>
      <c r="E743" s="858"/>
      <c r="F743" s="859"/>
      <c r="G743" s="860"/>
      <c r="H743" s="857"/>
      <c r="I743" s="861"/>
      <c r="J743" s="295"/>
      <c r="K743" s="296">
        <f t="shared" si="12"/>
        <v>0</v>
      </c>
      <c r="L743"/>
    </row>
    <row r="744" spans="1:12">
      <c r="A744" s="855" t="s">
        <v>579</v>
      </c>
      <c r="B744" s="856"/>
      <c r="C744" s="856"/>
      <c r="D744" s="857"/>
      <c r="E744" s="858"/>
      <c r="F744" s="859"/>
      <c r="G744" s="860"/>
      <c r="H744" s="857"/>
      <c r="I744" s="861"/>
      <c r="J744" s="295"/>
      <c r="K744" s="296">
        <f t="shared" si="12"/>
        <v>0</v>
      </c>
      <c r="L744"/>
    </row>
    <row r="745" spans="1:12">
      <c r="A745" s="855" t="s">
        <v>579</v>
      </c>
      <c r="B745" s="856"/>
      <c r="C745" s="856"/>
      <c r="D745" s="857"/>
      <c r="E745" s="858"/>
      <c r="F745" s="859"/>
      <c r="G745" s="860"/>
      <c r="H745" s="857"/>
      <c r="I745" s="861"/>
      <c r="J745" s="295"/>
      <c r="K745" s="296">
        <f t="shared" si="12"/>
        <v>0</v>
      </c>
      <c r="L745"/>
    </row>
    <row r="746" spans="1:12">
      <c r="A746" s="855" t="s">
        <v>579</v>
      </c>
      <c r="B746" s="856"/>
      <c r="C746" s="856"/>
      <c r="D746" s="857"/>
      <c r="E746" s="858"/>
      <c r="F746" s="859"/>
      <c r="G746" s="860"/>
      <c r="H746" s="857"/>
      <c r="I746" s="861"/>
      <c r="J746" s="295"/>
      <c r="K746" s="296">
        <f t="shared" si="12"/>
        <v>0</v>
      </c>
      <c r="L746"/>
    </row>
    <row r="747" spans="1:12">
      <c r="A747" s="855" t="s">
        <v>579</v>
      </c>
      <c r="B747" s="856"/>
      <c r="C747" s="856"/>
      <c r="D747" s="857"/>
      <c r="E747" s="858"/>
      <c r="F747" s="859"/>
      <c r="G747" s="860"/>
      <c r="H747" s="857"/>
      <c r="I747" s="861"/>
      <c r="J747" s="295"/>
      <c r="K747" s="296">
        <f t="shared" si="12"/>
        <v>0</v>
      </c>
      <c r="L747"/>
    </row>
    <row r="748" spans="1:12">
      <c r="A748" s="855" t="s">
        <v>579</v>
      </c>
      <c r="B748" s="856"/>
      <c r="C748" s="856"/>
      <c r="D748" s="857"/>
      <c r="E748" s="858"/>
      <c r="F748" s="859"/>
      <c r="G748" s="860"/>
      <c r="H748" s="857"/>
      <c r="I748" s="861"/>
      <c r="J748" s="295"/>
      <c r="K748" s="296">
        <f t="shared" si="12"/>
        <v>0</v>
      </c>
      <c r="L748"/>
    </row>
    <row r="749" spans="1:12">
      <c r="A749" s="855" t="s">
        <v>579</v>
      </c>
      <c r="B749" s="856"/>
      <c r="C749" s="856"/>
      <c r="D749" s="857"/>
      <c r="E749" s="858"/>
      <c r="F749" s="859"/>
      <c r="G749" s="860"/>
      <c r="H749" s="857"/>
      <c r="I749" s="861"/>
      <c r="J749" s="295"/>
      <c r="K749" s="296">
        <f t="shared" si="12"/>
        <v>0</v>
      </c>
      <c r="L749"/>
    </row>
    <row r="750" spans="1:12">
      <c r="A750" s="855" t="s">
        <v>579</v>
      </c>
      <c r="B750" s="856"/>
      <c r="C750" s="856"/>
      <c r="D750" s="857"/>
      <c r="E750" s="858"/>
      <c r="F750" s="859"/>
      <c r="G750" s="860"/>
      <c r="H750" s="857"/>
      <c r="I750" s="861"/>
      <c r="J750" s="295"/>
      <c r="K750" s="296">
        <f t="shared" si="12"/>
        <v>0</v>
      </c>
      <c r="L750"/>
    </row>
    <row r="751" spans="1:12">
      <c r="A751" s="855" t="s">
        <v>579</v>
      </c>
      <c r="B751" s="856"/>
      <c r="C751" s="856"/>
      <c r="D751" s="857"/>
      <c r="E751" s="858"/>
      <c r="F751" s="859"/>
      <c r="G751" s="860"/>
      <c r="H751" s="857"/>
      <c r="I751" s="861"/>
      <c r="J751" s="295"/>
      <c r="K751" s="296">
        <f t="shared" si="12"/>
        <v>0</v>
      </c>
      <c r="L751"/>
    </row>
    <row r="752" spans="1:12">
      <c r="A752" s="855" t="s">
        <v>579</v>
      </c>
      <c r="B752" s="856"/>
      <c r="C752" s="856"/>
      <c r="D752" s="857"/>
      <c r="E752" s="858"/>
      <c r="F752" s="859"/>
      <c r="G752" s="860"/>
      <c r="H752" s="857"/>
      <c r="I752" s="861"/>
      <c r="J752" s="295"/>
      <c r="K752" s="296">
        <f t="shared" si="12"/>
        <v>0</v>
      </c>
      <c r="L752"/>
    </row>
    <row r="753" spans="1:12">
      <c r="A753" s="855" t="s">
        <v>579</v>
      </c>
      <c r="B753" s="856"/>
      <c r="C753" s="856"/>
      <c r="D753" s="857"/>
      <c r="E753" s="858"/>
      <c r="F753" s="859"/>
      <c r="G753" s="860"/>
      <c r="H753" s="857"/>
      <c r="I753" s="861"/>
      <c r="J753" s="295"/>
      <c r="K753" s="296">
        <f t="shared" si="12"/>
        <v>0</v>
      </c>
      <c r="L753"/>
    </row>
    <row r="754" spans="1:12">
      <c r="A754" s="855" t="s">
        <v>579</v>
      </c>
      <c r="B754" s="856"/>
      <c r="C754" s="856"/>
      <c r="D754" s="857"/>
      <c r="E754" s="858"/>
      <c r="F754" s="859"/>
      <c r="G754" s="860"/>
      <c r="H754" s="857"/>
      <c r="I754" s="861"/>
      <c r="J754" s="295"/>
      <c r="K754" s="296">
        <f t="shared" si="12"/>
        <v>0</v>
      </c>
      <c r="L754"/>
    </row>
    <row r="755" spans="1:12">
      <c r="A755" s="855" t="s">
        <v>579</v>
      </c>
      <c r="B755" s="856"/>
      <c r="C755" s="856"/>
      <c r="D755" s="857"/>
      <c r="E755" s="858"/>
      <c r="F755" s="859"/>
      <c r="G755" s="860"/>
      <c r="H755" s="857"/>
      <c r="I755" s="861"/>
      <c r="J755" s="295"/>
      <c r="K755" s="296">
        <f t="shared" si="12"/>
        <v>0</v>
      </c>
      <c r="L755"/>
    </row>
    <row r="756" spans="1:12">
      <c r="A756" s="855" t="s">
        <v>579</v>
      </c>
      <c r="B756" s="856"/>
      <c r="C756" s="856"/>
      <c r="D756" s="857"/>
      <c r="E756" s="858"/>
      <c r="F756" s="859"/>
      <c r="G756" s="860"/>
      <c r="H756" s="857"/>
      <c r="I756" s="861"/>
      <c r="J756" s="295"/>
      <c r="K756" s="296">
        <f t="shared" si="12"/>
        <v>0</v>
      </c>
      <c r="L756"/>
    </row>
    <row r="757" spans="1:12">
      <c r="A757" s="855" t="s">
        <v>579</v>
      </c>
      <c r="B757" s="856"/>
      <c r="C757" s="856"/>
      <c r="D757" s="857"/>
      <c r="E757" s="858"/>
      <c r="F757" s="859"/>
      <c r="G757" s="860"/>
      <c r="H757" s="857"/>
      <c r="I757" s="861"/>
      <c r="J757" s="295"/>
      <c r="K757" s="296">
        <f t="shared" si="12"/>
        <v>0</v>
      </c>
      <c r="L757"/>
    </row>
    <row r="758" spans="1:12">
      <c r="A758" s="855" t="s">
        <v>588</v>
      </c>
      <c r="B758" s="856"/>
      <c r="C758" s="856"/>
      <c r="D758" s="857"/>
      <c r="E758" s="858"/>
      <c r="F758" s="859"/>
      <c r="G758" s="860"/>
      <c r="H758" s="857"/>
      <c r="I758" s="861"/>
      <c r="J758" s="295"/>
      <c r="K758" s="296">
        <f t="shared" si="12"/>
        <v>0</v>
      </c>
      <c r="L758"/>
    </row>
    <row r="759" spans="1:12">
      <c r="A759" s="855" t="s">
        <v>588</v>
      </c>
      <c r="B759" s="856"/>
      <c r="C759" s="856"/>
      <c r="D759" s="857"/>
      <c r="E759" s="858"/>
      <c r="F759" s="859"/>
      <c r="G759" s="860"/>
      <c r="H759" s="857"/>
      <c r="I759" s="861"/>
      <c r="J759" s="295"/>
      <c r="K759" s="296">
        <f t="shared" si="12"/>
        <v>0</v>
      </c>
      <c r="L759"/>
    </row>
    <row r="760" spans="1:12">
      <c r="A760" s="855" t="s">
        <v>588</v>
      </c>
      <c r="B760" s="856"/>
      <c r="C760" s="856"/>
      <c r="D760" s="857"/>
      <c r="E760" s="858"/>
      <c r="F760" s="859"/>
      <c r="G760" s="860"/>
      <c r="H760" s="857"/>
      <c r="I760" s="861"/>
      <c r="J760" s="295"/>
      <c r="K760" s="296">
        <f t="shared" si="12"/>
        <v>0</v>
      </c>
      <c r="L760"/>
    </row>
    <row r="761" spans="1:12">
      <c r="A761" s="855" t="s">
        <v>588</v>
      </c>
      <c r="B761" s="856"/>
      <c r="C761" s="856"/>
      <c r="D761" s="857"/>
      <c r="E761" s="858"/>
      <c r="F761" s="859"/>
      <c r="G761" s="860"/>
      <c r="H761" s="857"/>
      <c r="I761" s="861"/>
      <c r="J761" s="295"/>
      <c r="K761" s="296">
        <f t="shared" si="12"/>
        <v>0</v>
      </c>
      <c r="L761"/>
    </row>
    <row r="762" spans="1:12">
      <c r="A762" s="855" t="s">
        <v>590</v>
      </c>
      <c r="B762" s="856"/>
      <c r="C762" s="856"/>
      <c r="D762" s="857"/>
      <c r="E762" s="858"/>
      <c r="F762" s="859"/>
      <c r="G762" s="860"/>
      <c r="H762" s="857"/>
      <c r="I762" s="861"/>
      <c r="J762" s="295"/>
      <c r="K762" s="296">
        <f t="shared" si="12"/>
        <v>0</v>
      </c>
      <c r="L762"/>
    </row>
    <row r="763" spans="1:12">
      <c r="A763" s="855" t="s">
        <v>590</v>
      </c>
      <c r="B763" s="856"/>
      <c r="C763" s="856"/>
      <c r="D763" s="857"/>
      <c r="E763" s="858"/>
      <c r="F763" s="859"/>
      <c r="G763" s="860"/>
      <c r="H763" s="857"/>
      <c r="I763" s="861"/>
      <c r="J763" s="295"/>
      <c r="K763" s="296">
        <f t="shared" si="12"/>
        <v>0</v>
      </c>
      <c r="L763"/>
    </row>
    <row r="764" spans="1:12">
      <c r="A764" s="855" t="s">
        <v>590</v>
      </c>
      <c r="B764" s="856"/>
      <c r="C764" s="856"/>
      <c r="D764" s="857"/>
      <c r="E764" s="858"/>
      <c r="F764" s="859"/>
      <c r="G764" s="860"/>
      <c r="H764" s="857"/>
      <c r="I764" s="861"/>
      <c r="J764" s="295"/>
      <c r="K764" s="296">
        <f t="shared" si="12"/>
        <v>0</v>
      </c>
      <c r="L764"/>
    </row>
    <row r="765" spans="1:12">
      <c r="A765" s="855" t="s">
        <v>590</v>
      </c>
      <c r="B765" s="856"/>
      <c r="C765" s="856"/>
      <c r="D765" s="857"/>
      <c r="E765" s="858"/>
      <c r="F765" s="859"/>
      <c r="G765" s="860"/>
      <c r="H765" s="857"/>
      <c r="I765" s="861"/>
      <c r="J765" s="295"/>
      <c r="K765" s="296">
        <f t="shared" si="12"/>
        <v>0</v>
      </c>
      <c r="L765"/>
    </row>
    <row r="766" spans="1:12">
      <c r="A766" s="855" t="s">
        <v>590</v>
      </c>
      <c r="B766" s="856"/>
      <c r="C766" s="856"/>
      <c r="D766" s="857"/>
      <c r="E766" s="858"/>
      <c r="F766" s="859"/>
      <c r="G766" s="860"/>
      <c r="H766" s="857"/>
      <c r="I766" s="861"/>
      <c r="J766" s="295"/>
      <c r="K766" s="296">
        <f t="shared" si="12"/>
        <v>0</v>
      </c>
      <c r="L766"/>
    </row>
    <row r="767" spans="1:12">
      <c r="A767" s="855" t="s">
        <v>590</v>
      </c>
      <c r="B767" s="856"/>
      <c r="C767" s="856"/>
      <c r="D767" s="857"/>
      <c r="E767" s="858"/>
      <c r="F767" s="859"/>
      <c r="G767" s="860"/>
      <c r="H767" s="857"/>
      <c r="I767" s="861"/>
      <c r="J767" s="295"/>
      <c r="K767" s="296">
        <f t="shared" si="12"/>
        <v>0</v>
      </c>
      <c r="L767"/>
    </row>
    <row r="768" spans="1:12">
      <c r="A768" s="855" t="s">
        <v>590</v>
      </c>
      <c r="B768" s="856"/>
      <c r="C768" s="856"/>
      <c r="D768" s="857"/>
      <c r="E768" s="858"/>
      <c r="F768" s="859"/>
      <c r="G768" s="860"/>
      <c r="H768" s="857"/>
      <c r="I768" s="861"/>
      <c r="J768" s="295"/>
      <c r="K768" s="296">
        <f t="shared" si="12"/>
        <v>0</v>
      </c>
      <c r="L768"/>
    </row>
    <row r="769" spans="1:12">
      <c r="A769" s="855" t="s">
        <v>590</v>
      </c>
      <c r="B769" s="856"/>
      <c r="C769" s="856"/>
      <c r="D769" s="857"/>
      <c r="E769" s="858"/>
      <c r="F769" s="859"/>
      <c r="G769" s="860"/>
      <c r="H769" s="857"/>
      <c r="I769" s="861"/>
      <c r="J769" s="295"/>
      <c r="K769" s="296">
        <f t="shared" si="12"/>
        <v>0</v>
      </c>
      <c r="L769"/>
    </row>
    <row r="770" spans="1:12">
      <c r="A770" s="855" t="s">
        <v>590</v>
      </c>
      <c r="B770" s="856"/>
      <c r="C770" s="856"/>
      <c r="D770" s="857"/>
      <c r="E770" s="858"/>
      <c r="F770" s="859"/>
      <c r="G770" s="860"/>
      <c r="H770" s="857"/>
      <c r="I770" s="861"/>
      <c r="J770" s="295"/>
      <c r="K770" s="296">
        <f t="shared" si="12"/>
        <v>0</v>
      </c>
      <c r="L770"/>
    </row>
    <row r="771" spans="1:12">
      <c r="A771" s="855" t="s">
        <v>590</v>
      </c>
      <c r="B771" s="856"/>
      <c r="C771" s="856"/>
      <c r="D771" s="857"/>
      <c r="E771" s="858"/>
      <c r="F771" s="859"/>
      <c r="G771" s="860"/>
      <c r="H771" s="857"/>
      <c r="I771" s="861"/>
      <c r="J771" s="295"/>
      <c r="K771" s="296">
        <f t="shared" si="12"/>
        <v>0</v>
      </c>
      <c r="L771"/>
    </row>
    <row r="772" spans="1:12">
      <c r="A772" s="855" t="s">
        <v>590</v>
      </c>
      <c r="B772" s="856"/>
      <c r="C772" s="856"/>
      <c r="D772" s="857"/>
      <c r="E772" s="858"/>
      <c r="F772" s="859"/>
      <c r="G772" s="860"/>
      <c r="H772" s="857"/>
      <c r="I772" s="861"/>
      <c r="J772" s="295"/>
      <c r="K772" s="296">
        <f t="shared" si="12"/>
        <v>0</v>
      </c>
      <c r="L772"/>
    </row>
    <row r="773" spans="1:12">
      <c r="A773" s="855" t="s">
        <v>590</v>
      </c>
      <c r="B773" s="856"/>
      <c r="C773" s="856"/>
      <c r="D773" s="857"/>
      <c r="E773" s="858"/>
      <c r="F773" s="859"/>
      <c r="G773" s="860"/>
      <c r="H773" s="857"/>
      <c r="I773" s="861"/>
      <c r="J773" s="295"/>
      <c r="K773" s="296">
        <f t="shared" si="12"/>
        <v>0</v>
      </c>
      <c r="L773"/>
    </row>
    <row r="774" spans="1:12">
      <c r="A774" s="855" t="s">
        <v>590</v>
      </c>
      <c r="B774" s="856"/>
      <c r="C774" s="856"/>
      <c r="D774" s="857"/>
      <c r="E774" s="858"/>
      <c r="F774" s="859"/>
      <c r="G774" s="860"/>
      <c r="H774" s="857"/>
      <c r="I774" s="861"/>
      <c r="J774" s="295"/>
      <c r="K774" s="296">
        <f t="shared" si="12"/>
        <v>0</v>
      </c>
      <c r="L774"/>
    </row>
    <row r="775" spans="1:12">
      <c r="A775" s="855" t="s">
        <v>590</v>
      </c>
      <c r="B775" s="856"/>
      <c r="C775" s="856"/>
      <c r="D775" s="857"/>
      <c r="E775" s="858"/>
      <c r="F775" s="859"/>
      <c r="G775" s="860"/>
      <c r="H775" s="857"/>
      <c r="I775" s="861"/>
      <c r="J775" s="295"/>
      <c r="K775" s="296">
        <f t="shared" si="12"/>
        <v>0</v>
      </c>
      <c r="L775"/>
    </row>
    <row r="776" spans="1:12">
      <c r="A776" s="855" t="s">
        <v>588</v>
      </c>
      <c r="B776" s="856"/>
      <c r="C776" s="856"/>
      <c r="D776" s="857"/>
      <c r="E776" s="858"/>
      <c r="F776" s="859"/>
      <c r="G776" s="860"/>
      <c r="H776" s="857"/>
      <c r="I776" s="861"/>
      <c r="J776" s="295"/>
      <c r="K776" s="296">
        <f t="shared" si="12"/>
        <v>0</v>
      </c>
      <c r="L776"/>
    </row>
    <row r="777" spans="1:12">
      <c r="A777" s="855" t="s">
        <v>588</v>
      </c>
      <c r="B777" s="856"/>
      <c r="C777" s="856"/>
      <c r="D777" s="857"/>
      <c r="E777" s="858"/>
      <c r="F777" s="859"/>
      <c r="G777" s="860"/>
      <c r="H777" s="857"/>
      <c r="I777" s="861"/>
      <c r="J777" s="295"/>
      <c r="K777" s="296">
        <f t="shared" ref="K777:K840" si="13">IF(LEFT(A777,2)="TU",(J777-I777)*E777/100*100000*2,(J777-I777)*E777/100*100000)</f>
        <v>0</v>
      </c>
      <c r="L777"/>
    </row>
    <row r="778" spans="1:12">
      <c r="A778" s="855" t="s">
        <v>588</v>
      </c>
      <c r="B778" s="856"/>
      <c r="C778" s="856"/>
      <c r="D778" s="857"/>
      <c r="E778" s="858"/>
      <c r="F778" s="859"/>
      <c r="G778" s="860"/>
      <c r="H778" s="857"/>
      <c r="I778" s="861"/>
      <c r="J778" s="295"/>
      <c r="K778" s="296">
        <f t="shared" si="13"/>
        <v>0</v>
      </c>
      <c r="L778"/>
    </row>
    <row r="779" spans="1:12">
      <c r="A779" s="855" t="s">
        <v>590</v>
      </c>
      <c r="B779" s="856"/>
      <c r="C779" s="856"/>
      <c r="D779" s="857"/>
      <c r="E779" s="858"/>
      <c r="F779" s="859"/>
      <c r="G779" s="860"/>
      <c r="H779" s="857"/>
      <c r="I779" s="861"/>
      <c r="J779" s="295"/>
      <c r="K779" s="296">
        <f t="shared" si="13"/>
        <v>0</v>
      </c>
      <c r="L779"/>
    </row>
    <row r="780" spans="1:12">
      <c r="A780" s="855" t="s">
        <v>590</v>
      </c>
      <c r="B780" s="856"/>
      <c r="C780" s="856"/>
      <c r="D780" s="857"/>
      <c r="E780" s="858"/>
      <c r="F780" s="859"/>
      <c r="G780" s="860"/>
      <c r="H780" s="857"/>
      <c r="I780" s="861"/>
      <c r="J780" s="295"/>
      <c r="K780" s="296">
        <f t="shared" si="13"/>
        <v>0</v>
      </c>
      <c r="L780"/>
    </row>
    <row r="781" spans="1:12">
      <c r="A781" s="855" t="s">
        <v>590</v>
      </c>
      <c r="B781" s="856"/>
      <c r="C781" s="856"/>
      <c r="D781" s="857"/>
      <c r="E781" s="858"/>
      <c r="F781" s="859"/>
      <c r="G781" s="860"/>
      <c r="H781" s="857"/>
      <c r="I781" s="861"/>
      <c r="J781" s="295"/>
      <c r="K781" s="296">
        <f t="shared" si="13"/>
        <v>0</v>
      </c>
      <c r="L781"/>
    </row>
    <row r="782" spans="1:12">
      <c r="A782" s="855" t="s">
        <v>590</v>
      </c>
      <c r="B782" s="856"/>
      <c r="C782" s="856"/>
      <c r="D782" s="857"/>
      <c r="E782" s="858"/>
      <c r="F782" s="859"/>
      <c r="G782" s="860"/>
      <c r="H782" s="857"/>
      <c r="I782" s="861"/>
      <c r="J782" s="295"/>
      <c r="K782" s="296">
        <f t="shared" si="13"/>
        <v>0</v>
      </c>
      <c r="L782"/>
    </row>
    <row r="783" spans="1:12">
      <c r="A783" s="855" t="s">
        <v>588</v>
      </c>
      <c r="B783" s="856"/>
      <c r="C783" s="856"/>
      <c r="D783" s="857"/>
      <c r="E783" s="858"/>
      <c r="F783" s="859"/>
      <c r="G783" s="860"/>
      <c r="H783" s="857"/>
      <c r="I783" s="861"/>
      <c r="J783" s="295"/>
      <c r="K783" s="296">
        <f t="shared" si="13"/>
        <v>0</v>
      </c>
      <c r="L783"/>
    </row>
    <row r="784" spans="1:12">
      <c r="A784" s="855" t="s">
        <v>590</v>
      </c>
      <c r="B784" s="856"/>
      <c r="C784" s="856"/>
      <c r="D784" s="857"/>
      <c r="E784" s="858"/>
      <c r="F784" s="859"/>
      <c r="G784" s="860"/>
      <c r="H784" s="857"/>
      <c r="I784" s="861"/>
      <c r="J784" s="295"/>
      <c r="K784" s="296">
        <f t="shared" si="13"/>
        <v>0</v>
      </c>
      <c r="L784"/>
    </row>
    <row r="785" spans="1:12">
      <c r="A785" s="855" t="s">
        <v>588</v>
      </c>
      <c r="B785" s="856"/>
      <c r="C785" s="856"/>
      <c r="D785" s="857"/>
      <c r="E785" s="858"/>
      <c r="F785" s="859"/>
      <c r="G785" s="860"/>
      <c r="H785" s="857"/>
      <c r="I785" s="861"/>
      <c r="J785" s="295"/>
      <c r="K785" s="296">
        <f t="shared" si="13"/>
        <v>0</v>
      </c>
      <c r="L785"/>
    </row>
    <row r="786" spans="1:12">
      <c r="A786" s="855" t="s">
        <v>588</v>
      </c>
      <c r="B786" s="856"/>
      <c r="C786" s="856"/>
      <c r="D786" s="857"/>
      <c r="E786" s="858"/>
      <c r="F786" s="859"/>
      <c r="G786" s="860"/>
      <c r="H786" s="857"/>
      <c r="I786" s="861"/>
      <c r="J786" s="295"/>
      <c r="K786" s="296">
        <f t="shared" si="13"/>
        <v>0</v>
      </c>
      <c r="L786"/>
    </row>
    <row r="787" spans="1:12">
      <c r="A787" s="855" t="s">
        <v>588</v>
      </c>
      <c r="B787" s="856"/>
      <c r="C787" s="856"/>
      <c r="D787" s="857"/>
      <c r="E787" s="858"/>
      <c r="F787" s="859"/>
      <c r="G787" s="860"/>
      <c r="H787" s="857"/>
      <c r="I787" s="861"/>
      <c r="J787" s="295"/>
      <c r="K787" s="296">
        <f t="shared" si="13"/>
        <v>0</v>
      </c>
      <c r="L787"/>
    </row>
    <row r="788" spans="1:12">
      <c r="A788" s="855" t="s">
        <v>588</v>
      </c>
      <c r="B788" s="856"/>
      <c r="C788" s="856"/>
      <c r="D788" s="857"/>
      <c r="E788" s="858"/>
      <c r="F788" s="859"/>
      <c r="G788" s="860"/>
      <c r="H788" s="857"/>
      <c r="I788" s="861"/>
      <c r="J788" s="295"/>
      <c r="K788" s="296">
        <f t="shared" si="13"/>
        <v>0</v>
      </c>
      <c r="L788"/>
    </row>
    <row r="789" spans="1:12">
      <c r="A789" s="855" t="s">
        <v>588</v>
      </c>
      <c r="B789" s="856"/>
      <c r="C789" s="856"/>
      <c r="D789" s="857"/>
      <c r="E789" s="858"/>
      <c r="F789" s="859"/>
      <c r="G789" s="860"/>
      <c r="H789" s="857"/>
      <c r="I789" s="861"/>
      <c r="J789" s="295"/>
      <c r="K789" s="296">
        <f t="shared" si="13"/>
        <v>0</v>
      </c>
      <c r="L789"/>
    </row>
    <row r="790" spans="1:12">
      <c r="A790" s="855" t="s">
        <v>588</v>
      </c>
      <c r="B790" s="856"/>
      <c r="C790" s="856"/>
      <c r="D790" s="857"/>
      <c r="E790" s="858"/>
      <c r="F790" s="859"/>
      <c r="G790" s="860"/>
      <c r="H790" s="857"/>
      <c r="I790" s="861"/>
      <c r="J790" s="295"/>
      <c r="K790" s="296">
        <f t="shared" si="13"/>
        <v>0</v>
      </c>
      <c r="L790"/>
    </row>
    <row r="791" spans="1:12">
      <c r="A791" s="855" t="s">
        <v>590</v>
      </c>
      <c r="B791" s="856"/>
      <c r="C791" s="856"/>
      <c r="D791" s="857"/>
      <c r="E791" s="858"/>
      <c r="F791" s="859"/>
      <c r="G791" s="860"/>
      <c r="H791" s="857"/>
      <c r="I791" s="861"/>
      <c r="J791" s="295"/>
      <c r="K791" s="296">
        <f t="shared" si="13"/>
        <v>0</v>
      </c>
      <c r="L791"/>
    </row>
    <row r="792" spans="1:12">
      <c r="A792" s="855" t="s">
        <v>590</v>
      </c>
      <c r="B792" s="856"/>
      <c r="C792" s="856"/>
      <c r="D792" s="857"/>
      <c r="E792" s="858"/>
      <c r="F792" s="859"/>
      <c r="G792" s="860"/>
      <c r="H792" s="857"/>
      <c r="I792" s="861"/>
      <c r="J792" s="295"/>
      <c r="K792" s="296">
        <f t="shared" si="13"/>
        <v>0</v>
      </c>
      <c r="L792"/>
    </row>
    <row r="793" spans="1:12">
      <c r="A793" s="855" t="s">
        <v>588</v>
      </c>
      <c r="B793" s="856"/>
      <c r="C793" s="856"/>
      <c r="D793" s="857"/>
      <c r="E793" s="858"/>
      <c r="F793" s="859"/>
      <c r="G793" s="860"/>
      <c r="H793" s="857"/>
      <c r="I793" s="861"/>
      <c r="J793" s="295"/>
      <c r="K793" s="296">
        <f t="shared" si="13"/>
        <v>0</v>
      </c>
      <c r="L793"/>
    </row>
    <row r="794" spans="1:12">
      <c r="A794" s="855" t="s">
        <v>588</v>
      </c>
      <c r="B794" s="856"/>
      <c r="C794" s="856"/>
      <c r="D794" s="857"/>
      <c r="E794" s="858"/>
      <c r="F794" s="859"/>
      <c r="G794" s="860"/>
      <c r="H794" s="857"/>
      <c r="I794" s="861"/>
      <c r="J794" s="295"/>
      <c r="K794" s="296">
        <f t="shared" si="13"/>
        <v>0</v>
      </c>
      <c r="L794"/>
    </row>
    <row r="795" spans="1:12">
      <c r="A795" s="855" t="s">
        <v>588</v>
      </c>
      <c r="B795" s="856"/>
      <c r="C795" s="856"/>
      <c r="D795" s="857"/>
      <c r="E795" s="858"/>
      <c r="F795" s="859"/>
      <c r="G795" s="860"/>
      <c r="H795" s="857"/>
      <c r="I795" s="861"/>
      <c r="J795" s="295"/>
      <c r="K795" s="296">
        <f t="shared" si="13"/>
        <v>0</v>
      </c>
      <c r="L795"/>
    </row>
    <row r="796" spans="1:12">
      <c r="A796" s="855" t="s">
        <v>588</v>
      </c>
      <c r="B796" s="856"/>
      <c r="C796" s="856"/>
      <c r="D796" s="857"/>
      <c r="E796" s="858"/>
      <c r="F796" s="859"/>
      <c r="G796" s="860"/>
      <c r="H796" s="857"/>
      <c r="I796" s="861"/>
      <c r="J796" s="295"/>
      <c r="K796" s="296">
        <f t="shared" si="13"/>
        <v>0</v>
      </c>
      <c r="L796"/>
    </row>
    <row r="797" spans="1:12">
      <c r="A797" s="855" t="s">
        <v>590</v>
      </c>
      <c r="B797" s="856"/>
      <c r="C797" s="856"/>
      <c r="D797" s="857"/>
      <c r="E797" s="858"/>
      <c r="F797" s="859"/>
      <c r="G797" s="860"/>
      <c r="H797" s="857"/>
      <c r="I797" s="861"/>
      <c r="J797" s="295"/>
      <c r="K797" s="296">
        <f t="shared" si="13"/>
        <v>0</v>
      </c>
      <c r="L797"/>
    </row>
    <row r="798" spans="1:12">
      <c r="A798" s="855" t="s">
        <v>590</v>
      </c>
      <c r="B798" s="856"/>
      <c r="C798" s="856"/>
      <c r="D798" s="857"/>
      <c r="E798" s="858"/>
      <c r="F798" s="859"/>
      <c r="G798" s="860"/>
      <c r="H798" s="857"/>
      <c r="I798" s="861"/>
      <c r="J798" s="295"/>
      <c r="K798" s="296">
        <f t="shared" si="13"/>
        <v>0</v>
      </c>
      <c r="L798"/>
    </row>
    <row r="799" spans="1:12">
      <c r="A799" s="855" t="s">
        <v>590</v>
      </c>
      <c r="B799" s="856"/>
      <c r="C799" s="856"/>
      <c r="D799" s="857"/>
      <c r="E799" s="858"/>
      <c r="F799" s="859"/>
      <c r="G799" s="860"/>
      <c r="H799" s="857"/>
      <c r="I799" s="861"/>
      <c r="J799" s="295"/>
      <c r="K799" s="296">
        <f t="shared" si="13"/>
        <v>0</v>
      </c>
      <c r="L799"/>
    </row>
    <row r="800" spans="1:12">
      <c r="A800" s="855" t="s">
        <v>590</v>
      </c>
      <c r="B800" s="856"/>
      <c r="C800" s="856"/>
      <c r="D800" s="857"/>
      <c r="E800" s="858"/>
      <c r="F800" s="859"/>
      <c r="G800" s="860"/>
      <c r="H800" s="857"/>
      <c r="I800" s="861"/>
      <c r="J800" s="295"/>
      <c r="K800" s="296">
        <f t="shared" si="13"/>
        <v>0</v>
      </c>
      <c r="L800"/>
    </row>
    <row r="801" spans="1:12">
      <c r="A801" s="855" t="s">
        <v>588</v>
      </c>
      <c r="B801" s="856"/>
      <c r="C801" s="856"/>
      <c r="D801" s="857"/>
      <c r="E801" s="858"/>
      <c r="F801" s="859"/>
      <c r="G801" s="860"/>
      <c r="H801" s="857"/>
      <c r="I801" s="861"/>
      <c r="J801" s="295"/>
      <c r="K801" s="296">
        <f t="shared" si="13"/>
        <v>0</v>
      </c>
      <c r="L801"/>
    </row>
    <row r="802" spans="1:12">
      <c r="A802" s="855" t="s">
        <v>588</v>
      </c>
      <c r="B802" s="856"/>
      <c r="C802" s="856"/>
      <c r="D802" s="857"/>
      <c r="E802" s="858"/>
      <c r="F802" s="859"/>
      <c r="G802" s="860"/>
      <c r="H802" s="857"/>
      <c r="I802" s="861"/>
      <c r="J802" s="295"/>
      <c r="K802" s="296">
        <f t="shared" si="13"/>
        <v>0</v>
      </c>
      <c r="L802"/>
    </row>
    <row r="803" spans="1:12">
      <c r="A803" s="855" t="s">
        <v>588</v>
      </c>
      <c r="B803" s="856"/>
      <c r="C803" s="856"/>
      <c r="D803" s="857"/>
      <c r="E803" s="858"/>
      <c r="F803" s="859"/>
      <c r="G803" s="860"/>
      <c r="H803" s="857"/>
      <c r="I803" s="861"/>
      <c r="J803" s="295"/>
      <c r="K803" s="296">
        <f t="shared" si="13"/>
        <v>0</v>
      </c>
      <c r="L803"/>
    </row>
    <row r="804" spans="1:12">
      <c r="A804" s="855" t="s">
        <v>588</v>
      </c>
      <c r="B804" s="856"/>
      <c r="C804" s="856"/>
      <c r="D804" s="857"/>
      <c r="E804" s="858"/>
      <c r="F804" s="859"/>
      <c r="G804" s="860"/>
      <c r="H804" s="857"/>
      <c r="I804" s="861"/>
      <c r="J804" s="295"/>
      <c r="K804" s="296">
        <f t="shared" si="13"/>
        <v>0</v>
      </c>
      <c r="L804"/>
    </row>
    <row r="805" spans="1:12">
      <c r="A805" s="855" t="s">
        <v>588</v>
      </c>
      <c r="B805" s="856"/>
      <c r="C805" s="856"/>
      <c r="D805" s="857"/>
      <c r="E805" s="858"/>
      <c r="F805" s="859"/>
      <c r="G805" s="860"/>
      <c r="H805" s="857"/>
      <c r="I805" s="861"/>
      <c r="J805" s="295"/>
      <c r="K805" s="296">
        <f t="shared" si="13"/>
        <v>0</v>
      </c>
      <c r="L805"/>
    </row>
    <row r="806" spans="1:12">
      <c r="A806" s="855" t="s">
        <v>588</v>
      </c>
      <c r="B806" s="856"/>
      <c r="C806" s="856"/>
      <c r="D806" s="857"/>
      <c r="E806" s="858"/>
      <c r="F806" s="859"/>
      <c r="G806" s="860"/>
      <c r="H806" s="857"/>
      <c r="I806" s="861"/>
      <c r="J806" s="295"/>
      <c r="K806" s="296">
        <f t="shared" si="13"/>
        <v>0</v>
      </c>
      <c r="L806"/>
    </row>
    <row r="807" spans="1:12">
      <c r="A807" s="855" t="s">
        <v>588</v>
      </c>
      <c r="B807" s="856"/>
      <c r="C807" s="856"/>
      <c r="D807" s="857"/>
      <c r="E807" s="858"/>
      <c r="F807" s="859"/>
      <c r="G807" s="860"/>
      <c r="H807" s="857"/>
      <c r="I807" s="861"/>
      <c r="J807" s="295"/>
      <c r="K807" s="296">
        <f t="shared" si="13"/>
        <v>0</v>
      </c>
      <c r="L807"/>
    </row>
    <row r="808" spans="1:12">
      <c r="A808" s="855" t="s">
        <v>586</v>
      </c>
      <c r="B808" s="856"/>
      <c r="C808" s="856"/>
      <c r="D808" s="857"/>
      <c r="E808" s="858"/>
      <c r="F808" s="859"/>
      <c r="G808" s="860"/>
      <c r="H808" s="857"/>
      <c r="I808" s="861"/>
      <c r="J808" s="295"/>
      <c r="K808" s="296">
        <f t="shared" si="13"/>
        <v>0</v>
      </c>
      <c r="L808"/>
    </row>
    <row r="809" spans="1:12">
      <c r="A809" s="855" t="s">
        <v>586</v>
      </c>
      <c r="B809" s="856"/>
      <c r="C809" s="856"/>
      <c r="D809" s="857"/>
      <c r="E809" s="858"/>
      <c r="F809" s="859"/>
      <c r="G809" s="860"/>
      <c r="H809" s="857"/>
      <c r="I809" s="861"/>
      <c r="J809" s="295"/>
      <c r="K809" s="296">
        <f t="shared" si="13"/>
        <v>0</v>
      </c>
      <c r="L809"/>
    </row>
    <row r="810" spans="1:12">
      <c r="A810" s="855" t="s">
        <v>586</v>
      </c>
      <c r="B810" s="856"/>
      <c r="C810" s="856"/>
      <c r="D810" s="857"/>
      <c r="E810" s="858"/>
      <c r="F810" s="859"/>
      <c r="G810" s="860"/>
      <c r="H810" s="857"/>
      <c r="I810" s="861"/>
      <c r="J810" s="295"/>
      <c r="K810" s="296">
        <f t="shared" si="13"/>
        <v>0</v>
      </c>
      <c r="L810"/>
    </row>
    <row r="811" spans="1:12">
      <c r="A811" s="855" t="s">
        <v>586</v>
      </c>
      <c r="B811" s="856"/>
      <c r="C811" s="856"/>
      <c r="D811" s="857"/>
      <c r="E811" s="858"/>
      <c r="F811" s="859"/>
      <c r="G811" s="860"/>
      <c r="H811" s="857"/>
      <c r="I811" s="861"/>
      <c r="J811" s="295"/>
      <c r="K811" s="296">
        <f t="shared" si="13"/>
        <v>0</v>
      </c>
      <c r="L811"/>
    </row>
    <row r="812" spans="1:12">
      <c r="A812" s="855" t="s">
        <v>586</v>
      </c>
      <c r="B812" s="856"/>
      <c r="C812" s="856"/>
      <c r="D812" s="857"/>
      <c r="E812" s="858"/>
      <c r="F812" s="859"/>
      <c r="G812" s="860"/>
      <c r="H812" s="857"/>
      <c r="I812" s="861"/>
      <c r="J812" s="295"/>
      <c r="K812" s="296">
        <f t="shared" si="13"/>
        <v>0</v>
      </c>
      <c r="L812"/>
    </row>
    <row r="813" spans="1:12">
      <c r="A813" s="855" t="s">
        <v>586</v>
      </c>
      <c r="B813" s="856"/>
      <c r="C813" s="856"/>
      <c r="D813" s="857"/>
      <c r="E813" s="858"/>
      <c r="F813" s="859"/>
      <c r="G813" s="860"/>
      <c r="H813" s="857"/>
      <c r="I813" s="861"/>
      <c r="J813" s="295"/>
      <c r="K813" s="296">
        <f t="shared" si="13"/>
        <v>0</v>
      </c>
      <c r="L813"/>
    </row>
    <row r="814" spans="1:12">
      <c r="A814" s="855" t="s">
        <v>590</v>
      </c>
      <c r="B814" s="856"/>
      <c r="C814" s="856"/>
      <c r="D814" s="857"/>
      <c r="E814" s="858"/>
      <c r="F814" s="859"/>
      <c r="G814" s="860"/>
      <c r="H814" s="857"/>
      <c r="I814" s="861"/>
      <c r="J814" s="295"/>
      <c r="K814" s="296">
        <f t="shared" si="13"/>
        <v>0</v>
      </c>
      <c r="L814"/>
    </row>
    <row r="815" spans="1:12">
      <c r="A815" s="855" t="s">
        <v>590</v>
      </c>
      <c r="B815" s="856"/>
      <c r="C815" s="856"/>
      <c r="D815" s="857"/>
      <c r="E815" s="858"/>
      <c r="F815" s="859"/>
      <c r="G815" s="860"/>
      <c r="H815" s="857"/>
      <c r="I815" s="861"/>
      <c r="J815" s="295"/>
      <c r="K815" s="296">
        <f t="shared" si="13"/>
        <v>0</v>
      </c>
      <c r="L815"/>
    </row>
    <row r="816" spans="1:12">
      <c r="A816" s="855" t="s">
        <v>590</v>
      </c>
      <c r="B816" s="856"/>
      <c r="C816" s="856"/>
      <c r="D816" s="857"/>
      <c r="E816" s="858"/>
      <c r="F816" s="859"/>
      <c r="G816" s="860"/>
      <c r="H816" s="857"/>
      <c r="I816" s="861"/>
      <c r="J816" s="295"/>
      <c r="K816" s="296">
        <f t="shared" si="13"/>
        <v>0</v>
      </c>
      <c r="L816"/>
    </row>
    <row r="817" spans="1:12">
      <c r="A817" s="855" t="s">
        <v>590</v>
      </c>
      <c r="B817" s="856"/>
      <c r="C817" s="856"/>
      <c r="D817" s="857"/>
      <c r="E817" s="858"/>
      <c r="F817" s="859"/>
      <c r="G817" s="860"/>
      <c r="H817" s="857"/>
      <c r="I817" s="861"/>
      <c r="J817" s="295"/>
      <c r="K817" s="296">
        <f t="shared" si="13"/>
        <v>0</v>
      </c>
      <c r="L817"/>
    </row>
    <row r="818" spans="1:12">
      <c r="A818" s="855" t="s">
        <v>588</v>
      </c>
      <c r="B818" s="856"/>
      <c r="C818" s="856"/>
      <c r="D818" s="857"/>
      <c r="E818" s="858"/>
      <c r="F818" s="859"/>
      <c r="G818" s="860"/>
      <c r="H818" s="857"/>
      <c r="I818" s="861"/>
      <c r="J818" s="295"/>
      <c r="K818" s="296">
        <f t="shared" si="13"/>
        <v>0</v>
      </c>
      <c r="L818"/>
    </row>
    <row r="819" spans="1:12">
      <c r="A819" s="855" t="s">
        <v>590</v>
      </c>
      <c r="B819" s="856"/>
      <c r="C819" s="856"/>
      <c r="D819" s="857"/>
      <c r="E819" s="858"/>
      <c r="F819" s="859"/>
      <c r="G819" s="860"/>
      <c r="H819" s="857"/>
      <c r="I819" s="861"/>
      <c r="J819" s="295"/>
      <c r="K819" s="296">
        <f t="shared" si="13"/>
        <v>0</v>
      </c>
      <c r="L819"/>
    </row>
    <row r="820" spans="1:12">
      <c r="A820" s="855" t="s">
        <v>590</v>
      </c>
      <c r="B820" s="856"/>
      <c r="C820" s="856"/>
      <c r="D820" s="857"/>
      <c r="E820" s="858"/>
      <c r="F820" s="859"/>
      <c r="G820" s="860"/>
      <c r="H820" s="857"/>
      <c r="I820" s="861"/>
      <c r="J820" s="295"/>
      <c r="K820" s="296">
        <f t="shared" si="13"/>
        <v>0</v>
      </c>
      <c r="L820"/>
    </row>
    <row r="821" spans="1:12">
      <c r="A821" s="855" t="s">
        <v>590</v>
      </c>
      <c r="B821" s="856"/>
      <c r="C821" s="856"/>
      <c r="D821" s="857"/>
      <c r="E821" s="858"/>
      <c r="F821" s="859"/>
      <c r="G821" s="860"/>
      <c r="H821" s="857"/>
      <c r="I821" s="861"/>
      <c r="J821" s="295"/>
      <c r="K821" s="296">
        <f t="shared" si="13"/>
        <v>0</v>
      </c>
      <c r="L821"/>
    </row>
    <row r="822" spans="1:12">
      <c r="A822" s="855" t="s">
        <v>590</v>
      </c>
      <c r="B822" s="856"/>
      <c r="C822" s="856"/>
      <c r="D822" s="857"/>
      <c r="E822" s="858"/>
      <c r="F822" s="859"/>
      <c r="G822" s="860"/>
      <c r="H822" s="857"/>
      <c r="I822" s="861"/>
      <c r="J822" s="295"/>
      <c r="K822" s="296">
        <f t="shared" si="13"/>
        <v>0</v>
      </c>
      <c r="L822"/>
    </row>
    <row r="823" spans="1:12">
      <c r="A823" s="855" t="s">
        <v>590</v>
      </c>
      <c r="B823" s="856"/>
      <c r="C823" s="856"/>
      <c r="D823" s="857"/>
      <c r="E823" s="858"/>
      <c r="F823" s="859"/>
      <c r="G823" s="860"/>
      <c r="H823" s="857"/>
      <c r="I823" s="861"/>
      <c r="J823" s="295"/>
      <c r="K823" s="296">
        <f t="shared" si="13"/>
        <v>0</v>
      </c>
      <c r="L823"/>
    </row>
    <row r="824" spans="1:12">
      <c r="A824" s="855" t="s">
        <v>590</v>
      </c>
      <c r="B824" s="856"/>
      <c r="C824" s="856"/>
      <c r="D824" s="857"/>
      <c r="E824" s="858"/>
      <c r="F824" s="859"/>
      <c r="G824" s="860"/>
      <c r="H824" s="857"/>
      <c r="I824" s="861"/>
      <c r="J824" s="295"/>
      <c r="K824" s="296">
        <f t="shared" si="13"/>
        <v>0</v>
      </c>
      <c r="L824"/>
    </row>
    <row r="825" spans="1:12">
      <c r="A825" s="855" t="s">
        <v>590</v>
      </c>
      <c r="B825" s="856"/>
      <c r="C825" s="856"/>
      <c r="D825" s="857"/>
      <c r="E825" s="858"/>
      <c r="F825" s="859"/>
      <c r="G825" s="860"/>
      <c r="H825" s="857"/>
      <c r="I825" s="861"/>
      <c r="J825" s="295"/>
      <c r="K825" s="296">
        <f t="shared" si="13"/>
        <v>0</v>
      </c>
      <c r="L825"/>
    </row>
    <row r="826" spans="1:12">
      <c r="A826" s="855" t="s">
        <v>590</v>
      </c>
      <c r="B826" s="856"/>
      <c r="C826" s="856"/>
      <c r="D826" s="857"/>
      <c r="E826" s="858"/>
      <c r="F826" s="859"/>
      <c r="G826" s="860"/>
      <c r="H826" s="857"/>
      <c r="I826" s="861"/>
      <c r="J826" s="295"/>
      <c r="K826" s="296">
        <f t="shared" si="13"/>
        <v>0</v>
      </c>
      <c r="L826"/>
    </row>
    <row r="827" spans="1:12">
      <c r="A827" s="855" t="s">
        <v>588</v>
      </c>
      <c r="B827" s="856"/>
      <c r="C827" s="856"/>
      <c r="D827" s="857"/>
      <c r="E827" s="858"/>
      <c r="F827" s="859"/>
      <c r="G827" s="860"/>
      <c r="H827" s="857"/>
      <c r="I827" s="861"/>
      <c r="J827" s="295"/>
      <c r="K827" s="296">
        <f t="shared" si="13"/>
        <v>0</v>
      </c>
      <c r="L827"/>
    </row>
    <row r="828" spans="1:12">
      <c r="A828" s="855" t="s">
        <v>588</v>
      </c>
      <c r="B828" s="856"/>
      <c r="C828" s="856"/>
      <c r="D828" s="857"/>
      <c r="E828" s="858"/>
      <c r="F828" s="859"/>
      <c r="G828" s="860"/>
      <c r="H828" s="857"/>
      <c r="I828" s="861"/>
      <c r="J828" s="295"/>
      <c r="K828" s="296">
        <f t="shared" si="13"/>
        <v>0</v>
      </c>
      <c r="L828"/>
    </row>
    <row r="829" spans="1:12">
      <c r="A829" s="855" t="s">
        <v>588</v>
      </c>
      <c r="B829" s="856"/>
      <c r="C829" s="856"/>
      <c r="D829" s="857"/>
      <c r="E829" s="858"/>
      <c r="F829" s="859"/>
      <c r="G829" s="860"/>
      <c r="H829" s="857"/>
      <c r="I829" s="861"/>
      <c r="J829" s="295"/>
      <c r="K829" s="296">
        <f t="shared" si="13"/>
        <v>0</v>
      </c>
      <c r="L829"/>
    </row>
    <row r="830" spans="1:12">
      <c r="A830" s="855" t="s">
        <v>590</v>
      </c>
      <c r="B830" s="856"/>
      <c r="C830" s="856"/>
      <c r="D830" s="857"/>
      <c r="E830" s="858"/>
      <c r="F830" s="859"/>
      <c r="G830" s="860"/>
      <c r="H830" s="857"/>
      <c r="I830" s="861"/>
      <c r="J830" s="295"/>
      <c r="K830" s="296">
        <f t="shared" si="13"/>
        <v>0</v>
      </c>
      <c r="L830"/>
    </row>
    <row r="831" spans="1:12">
      <c r="A831" s="855" t="s">
        <v>590</v>
      </c>
      <c r="B831" s="856"/>
      <c r="C831" s="856"/>
      <c r="D831" s="857"/>
      <c r="E831" s="858"/>
      <c r="F831" s="859"/>
      <c r="G831" s="860"/>
      <c r="H831" s="857"/>
      <c r="I831" s="861"/>
      <c r="J831" s="295"/>
      <c r="K831" s="296">
        <f t="shared" si="13"/>
        <v>0</v>
      </c>
      <c r="L831"/>
    </row>
    <row r="832" spans="1:12">
      <c r="A832" s="855" t="s">
        <v>590</v>
      </c>
      <c r="B832" s="856"/>
      <c r="C832" s="856"/>
      <c r="D832" s="857"/>
      <c r="E832" s="858"/>
      <c r="F832" s="859"/>
      <c r="G832" s="860"/>
      <c r="H832" s="857"/>
      <c r="I832" s="861"/>
      <c r="J832" s="295"/>
      <c r="K832" s="296">
        <f t="shared" si="13"/>
        <v>0</v>
      </c>
      <c r="L832"/>
    </row>
    <row r="833" spans="1:12">
      <c r="A833" s="855" t="s">
        <v>590</v>
      </c>
      <c r="B833" s="856"/>
      <c r="C833" s="856"/>
      <c r="D833" s="857"/>
      <c r="E833" s="858"/>
      <c r="F833" s="859"/>
      <c r="G833" s="860"/>
      <c r="H833" s="857"/>
      <c r="I833" s="861"/>
      <c r="J833" s="295"/>
      <c r="K833" s="296">
        <f t="shared" si="13"/>
        <v>0</v>
      </c>
      <c r="L833"/>
    </row>
    <row r="834" spans="1:12">
      <c r="A834" s="855" t="s">
        <v>590</v>
      </c>
      <c r="B834" s="856"/>
      <c r="C834" s="856"/>
      <c r="D834" s="857"/>
      <c r="E834" s="858"/>
      <c r="F834" s="859"/>
      <c r="G834" s="860"/>
      <c r="H834" s="857"/>
      <c r="I834" s="861"/>
      <c r="J834" s="295"/>
      <c r="K834" s="296">
        <f t="shared" si="13"/>
        <v>0</v>
      </c>
      <c r="L834"/>
    </row>
    <row r="835" spans="1:12">
      <c r="A835" s="855" t="s">
        <v>590</v>
      </c>
      <c r="B835" s="856"/>
      <c r="C835" s="856"/>
      <c r="D835" s="857"/>
      <c r="E835" s="858"/>
      <c r="F835" s="859"/>
      <c r="G835" s="860"/>
      <c r="H835" s="857"/>
      <c r="I835" s="861"/>
      <c r="J835" s="295"/>
      <c r="K835" s="296">
        <f t="shared" si="13"/>
        <v>0</v>
      </c>
      <c r="L835"/>
    </row>
    <row r="836" spans="1:12">
      <c r="A836" s="855" t="s">
        <v>590</v>
      </c>
      <c r="B836" s="856"/>
      <c r="C836" s="856"/>
      <c r="D836" s="857"/>
      <c r="E836" s="858"/>
      <c r="F836" s="859"/>
      <c r="G836" s="860"/>
      <c r="H836" s="857"/>
      <c r="I836" s="861"/>
      <c r="J836" s="295"/>
      <c r="K836" s="296">
        <f t="shared" si="13"/>
        <v>0</v>
      </c>
      <c r="L836"/>
    </row>
    <row r="837" spans="1:12">
      <c r="A837" s="855" t="s">
        <v>588</v>
      </c>
      <c r="B837" s="856"/>
      <c r="C837" s="856"/>
      <c r="D837" s="857"/>
      <c r="E837" s="858"/>
      <c r="F837" s="859"/>
      <c r="G837" s="860"/>
      <c r="H837" s="857"/>
      <c r="I837" s="861"/>
      <c r="J837" s="295"/>
      <c r="K837" s="296">
        <f t="shared" si="13"/>
        <v>0</v>
      </c>
      <c r="L837"/>
    </row>
    <row r="838" spans="1:12">
      <c r="A838" s="855" t="s">
        <v>586</v>
      </c>
      <c r="B838" s="856"/>
      <c r="C838" s="856"/>
      <c r="D838" s="857"/>
      <c r="E838" s="858"/>
      <c r="F838" s="859"/>
      <c r="G838" s="860"/>
      <c r="H838" s="857"/>
      <c r="I838" s="861"/>
      <c r="J838" s="295"/>
      <c r="K838" s="296">
        <f t="shared" si="13"/>
        <v>0</v>
      </c>
      <c r="L838"/>
    </row>
    <row r="839" spans="1:12">
      <c r="A839" s="855" t="s">
        <v>590</v>
      </c>
      <c r="B839" s="856"/>
      <c r="C839" s="856"/>
      <c r="D839" s="857"/>
      <c r="E839" s="858"/>
      <c r="F839" s="859"/>
      <c r="G839" s="860"/>
      <c r="H839" s="857"/>
      <c r="I839" s="861"/>
      <c r="J839" s="295"/>
      <c r="K839" s="296">
        <f t="shared" si="13"/>
        <v>0</v>
      </c>
      <c r="L839"/>
    </row>
    <row r="840" spans="1:12">
      <c r="A840" s="855" t="s">
        <v>590</v>
      </c>
      <c r="B840" s="856"/>
      <c r="C840" s="856"/>
      <c r="D840" s="857"/>
      <c r="E840" s="858"/>
      <c r="F840" s="859"/>
      <c r="G840" s="860"/>
      <c r="H840" s="857"/>
      <c r="I840" s="861"/>
      <c r="J840" s="295"/>
      <c r="K840" s="296">
        <f t="shared" si="13"/>
        <v>0</v>
      </c>
      <c r="L840"/>
    </row>
    <row r="841" spans="1:12">
      <c r="A841" s="855" t="s">
        <v>586</v>
      </c>
      <c r="B841" s="856"/>
      <c r="C841" s="856"/>
      <c r="D841" s="857"/>
      <c r="E841" s="858"/>
      <c r="F841" s="859"/>
      <c r="G841" s="860"/>
      <c r="H841" s="857"/>
      <c r="I841" s="861"/>
      <c r="J841" s="295"/>
      <c r="K841" s="296">
        <f t="shared" ref="K841:K904" si="14">IF(LEFT(A841,2)="TU",(J841-I841)*E841/100*100000*2,(J841-I841)*E841/100*100000)</f>
        <v>0</v>
      </c>
      <c r="L841"/>
    </row>
    <row r="842" spans="1:12">
      <c r="A842" s="855" t="s">
        <v>586</v>
      </c>
      <c r="B842" s="856"/>
      <c r="C842" s="856"/>
      <c r="D842" s="857"/>
      <c r="E842" s="858"/>
      <c r="F842" s="859"/>
      <c r="G842" s="860"/>
      <c r="H842" s="857"/>
      <c r="I842" s="861"/>
      <c r="J842" s="295"/>
      <c r="K842" s="296">
        <f t="shared" si="14"/>
        <v>0</v>
      </c>
      <c r="L842"/>
    </row>
    <row r="843" spans="1:12">
      <c r="A843" s="855" t="s">
        <v>586</v>
      </c>
      <c r="B843" s="856"/>
      <c r="C843" s="856"/>
      <c r="D843" s="857"/>
      <c r="E843" s="858"/>
      <c r="F843" s="859"/>
      <c r="G843" s="860"/>
      <c r="H843" s="857"/>
      <c r="I843" s="861"/>
      <c r="J843" s="295"/>
      <c r="K843" s="296">
        <f t="shared" si="14"/>
        <v>0</v>
      </c>
      <c r="L843"/>
    </row>
    <row r="844" spans="1:12">
      <c r="A844" s="855" t="s">
        <v>586</v>
      </c>
      <c r="B844" s="856"/>
      <c r="C844" s="856"/>
      <c r="D844" s="857"/>
      <c r="E844" s="858"/>
      <c r="F844" s="859"/>
      <c r="G844" s="860"/>
      <c r="H844" s="857"/>
      <c r="I844" s="861"/>
      <c r="J844" s="295"/>
      <c r="K844" s="296">
        <f t="shared" si="14"/>
        <v>0</v>
      </c>
      <c r="L844"/>
    </row>
    <row r="845" spans="1:12">
      <c r="A845" s="855" t="s">
        <v>586</v>
      </c>
      <c r="B845" s="856"/>
      <c r="C845" s="856"/>
      <c r="D845" s="857"/>
      <c r="E845" s="858"/>
      <c r="F845" s="859"/>
      <c r="G845" s="860"/>
      <c r="H845" s="857"/>
      <c r="I845" s="861"/>
      <c r="J845" s="295"/>
      <c r="K845" s="296">
        <f t="shared" si="14"/>
        <v>0</v>
      </c>
      <c r="L845"/>
    </row>
    <row r="846" spans="1:12">
      <c r="A846" s="855" t="s">
        <v>586</v>
      </c>
      <c r="B846" s="856"/>
      <c r="C846" s="856"/>
      <c r="D846" s="857"/>
      <c r="E846" s="858"/>
      <c r="F846" s="859"/>
      <c r="G846" s="860"/>
      <c r="H846" s="857"/>
      <c r="I846" s="861"/>
      <c r="J846" s="295"/>
      <c r="K846" s="296">
        <f t="shared" si="14"/>
        <v>0</v>
      </c>
      <c r="L846"/>
    </row>
    <row r="847" spans="1:12">
      <c r="A847" s="855" t="s">
        <v>586</v>
      </c>
      <c r="B847" s="856"/>
      <c r="C847" s="856"/>
      <c r="D847" s="857"/>
      <c r="E847" s="858"/>
      <c r="F847" s="859"/>
      <c r="G847" s="860"/>
      <c r="H847" s="857"/>
      <c r="I847" s="861"/>
      <c r="J847" s="295"/>
      <c r="K847" s="296">
        <f t="shared" si="14"/>
        <v>0</v>
      </c>
      <c r="L847"/>
    </row>
    <row r="848" spans="1:12">
      <c r="A848" s="855" t="s">
        <v>586</v>
      </c>
      <c r="B848" s="856"/>
      <c r="C848" s="856"/>
      <c r="D848" s="857"/>
      <c r="E848" s="858"/>
      <c r="F848" s="859"/>
      <c r="G848" s="860"/>
      <c r="H848" s="857"/>
      <c r="I848" s="861"/>
      <c r="J848" s="295"/>
      <c r="K848" s="296">
        <f t="shared" si="14"/>
        <v>0</v>
      </c>
      <c r="L848"/>
    </row>
    <row r="849" spans="1:12">
      <c r="A849" s="855" t="s">
        <v>586</v>
      </c>
      <c r="B849" s="856"/>
      <c r="C849" s="856"/>
      <c r="D849" s="857"/>
      <c r="E849" s="858"/>
      <c r="F849" s="859"/>
      <c r="G849" s="860"/>
      <c r="H849" s="857"/>
      <c r="I849" s="861"/>
      <c r="J849" s="295"/>
      <c r="K849" s="296">
        <f t="shared" si="14"/>
        <v>0</v>
      </c>
      <c r="L849"/>
    </row>
    <row r="850" spans="1:12">
      <c r="A850" s="855" t="s">
        <v>586</v>
      </c>
      <c r="B850" s="856"/>
      <c r="C850" s="856"/>
      <c r="D850" s="857"/>
      <c r="E850" s="858"/>
      <c r="F850" s="859"/>
      <c r="G850" s="860"/>
      <c r="H850" s="857"/>
      <c r="I850" s="861"/>
      <c r="J850" s="295"/>
      <c r="K850" s="296">
        <f t="shared" si="14"/>
        <v>0</v>
      </c>
      <c r="L850"/>
    </row>
    <row r="851" spans="1:12">
      <c r="A851" s="855" t="s">
        <v>586</v>
      </c>
      <c r="B851" s="856"/>
      <c r="C851" s="856"/>
      <c r="D851" s="857"/>
      <c r="E851" s="858"/>
      <c r="F851" s="859"/>
      <c r="G851" s="860"/>
      <c r="H851" s="857"/>
      <c r="I851" s="861"/>
      <c r="J851" s="295"/>
      <c r="K851" s="296">
        <f t="shared" si="14"/>
        <v>0</v>
      </c>
      <c r="L851"/>
    </row>
    <row r="852" spans="1:12">
      <c r="A852" s="855" t="s">
        <v>586</v>
      </c>
      <c r="B852" s="856"/>
      <c r="C852" s="856"/>
      <c r="D852" s="857"/>
      <c r="E852" s="858"/>
      <c r="F852" s="859"/>
      <c r="G852" s="860"/>
      <c r="H852" s="857"/>
      <c r="I852" s="861"/>
      <c r="J852" s="295"/>
      <c r="K852" s="296">
        <f t="shared" si="14"/>
        <v>0</v>
      </c>
      <c r="L852"/>
    </row>
    <row r="853" spans="1:12">
      <c r="A853" s="855" t="s">
        <v>586</v>
      </c>
      <c r="B853" s="856"/>
      <c r="C853" s="856"/>
      <c r="D853" s="857"/>
      <c r="E853" s="858"/>
      <c r="F853" s="859"/>
      <c r="G853" s="860"/>
      <c r="H853" s="857"/>
      <c r="I853" s="861"/>
      <c r="J853" s="295"/>
      <c r="K853" s="296">
        <f t="shared" si="14"/>
        <v>0</v>
      </c>
      <c r="L853"/>
    </row>
    <row r="854" spans="1:12">
      <c r="A854" s="855" t="s">
        <v>586</v>
      </c>
      <c r="B854" s="856"/>
      <c r="C854" s="856"/>
      <c r="D854" s="857"/>
      <c r="E854" s="858"/>
      <c r="F854" s="859"/>
      <c r="G854" s="860"/>
      <c r="H854" s="857"/>
      <c r="I854" s="861"/>
      <c r="J854" s="295"/>
      <c r="K854" s="296">
        <f t="shared" si="14"/>
        <v>0</v>
      </c>
      <c r="L854"/>
    </row>
    <row r="855" spans="1:12">
      <c r="A855" s="855" t="s">
        <v>586</v>
      </c>
      <c r="B855" s="856"/>
      <c r="C855" s="856"/>
      <c r="D855" s="857"/>
      <c r="E855" s="858"/>
      <c r="F855" s="859"/>
      <c r="G855" s="860"/>
      <c r="H855" s="857"/>
      <c r="I855" s="861"/>
      <c r="J855" s="295"/>
      <c r="K855" s="296">
        <f t="shared" si="14"/>
        <v>0</v>
      </c>
      <c r="L855"/>
    </row>
    <row r="856" spans="1:12">
      <c r="A856" s="855" t="s">
        <v>586</v>
      </c>
      <c r="B856" s="856"/>
      <c r="C856" s="856"/>
      <c r="D856" s="857"/>
      <c r="E856" s="858"/>
      <c r="F856" s="859"/>
      <c r="G856" s="860"/>
      <c r="H856" s="857"/>
      <c r="I856" s="861"/>
      <c r="J856" s="295"/>
      <c r="K856" s="296">
        <f t="shared" si="14"/>
        <v>0</v>
      </c>
      <c r="L856"/>
    </row>
    <row r="857" spans="1:12">
      <c r="A857" s="855" t="s">
        <v>586</v>
      </c>
      <c r="B857" s="856"/>
      <c r="C857" s="856"/>
      <c r="D857" s="857"/>
      <c r="E857" s="858"/>
      <c r="F857" s="859"/>
      <c r="G857" s="860"/>
      <c r="H857" s="857"/>
      <c r="I857" s="861"/>
      <c r="J857" s="295"/>
      <c r="K857" s="296">
        <f t="shared" si="14"/>
        <v>0</v>
      </c>
      <c r="L857"/>
    </row>
    <row r="858" spans="1:12">
      <c r="A858" s="855" t="s">
        <v>586</v>
      </c>
      <c r="B858" s="856"/>
      <c r="C858" s="856"/>
      <c r="D858" s="857"/>
      <c r="E858" s="858"/>
      <c r="F858" s="859"/>
      <c r="G858" s="860"/>
      <c r="H858" s="857"/>
      <c r="I858" s="861"/>
      <c r="J858" s="295"/>
      <c r="K858" s="296">
        <f t="shared" si="14"/>
        <v>0</v>
      </c>
      <c r="L858"/>
    </row>
    <row r="859" spans="1:12">
      <c r="A859" s="855" t="s">
        <v>586</v>
      </c>
      <c r="B859" s="856"/>
      <c r="C859" s="856"/>
      <c r="D859" s="857"/>
      <c r="E859" s="858"/>
      <c r="F859" s="859"/>
      <c r="G859" s="860"/>
      <c r="H859" s="857"/>
      <c r="I859" s="861"/>
      <c r="J859" s="295"/>
      <c r="K859" s="296">
        <f t="shared" si="14"/>
        <v>0</v>
      </c>
      <c r="L859"/>
    </row>
    <row r="860" spans="1:12">
      <c r="A860" s="855" t="s">
        <v>586</v>
      </c>
      <c r="B860" s="856"/>
      <c r="C860" s="856"/>
      <c r="D860" s="857"/>
      <c r="E860" s="858"/>
      <c r="F860" s="859"/>
      <c r="G860" s="860"/>
      <c r="H860" s="857"/>
      <c r="I860" s="861"/>
      <c r="J860" s="295"/>
      <c r="K860" s="296">
        <f t="shared" si="14"/>
        <v>0</v>
      </c>
      <c r="L860"/>
    </row>
    <row r="861" spans="1:12">
      <c r="A861" s="855" t="s">
        <v>586</v>
      </c>
      <c r="B861" s="856"/>
      <c r="C861" s="856"/>
      <c r="D861" s="857"/>
      <c r="E861" s="858"/>
      <c r="F861" s="859"/>
      <c r="G861" s="860"/>
      <c r="H861" s="857"/>
      <c r="I861" s="861"/>
      <c r="J861" s="295"/>
      <c r="K861" s="296">
        <f t="shared" si="14"/>
        <v>0</v>
      </c>
      <c r="L861"/>
    </row>
    <row r="862" spans="1:12">
      <c r="A862" s="855" t="s">
        <v>586</v>
      </c>
      <c r="B862" s="856"/>
      <c r="C862" s="856"/>
      <c r="D862" s="857"/>
      <c r="E862" s="858"/>
      <c r="F862" s="859"/>
      <c r="G862" s="860"/>
      <c r="H862" s="857"/>
      <c r="I862" s="861"/>
      <c r="J862" s="295"/>
      <c r="K862" s="296">
        <f t="shared" si="14"/>
        <v>0</v>
      </c>
      <c r="L862"/>
    </row>
    <row r="863" spans="1:12">
      <c r="A863" s="855" t="s">
        <v>586</v>
      </c>
      <c r="B863" s="856"/>
      <c r="C863" s="856"/>
      <c r="D863" s="857"/>
      <c r="E863" s="858"/>
      <c r="F863" s="859"/>
      <c r="G863" s="860"/>
      <c r="H863" s="857"/>
      <c r="I863" s="861"/>
      <c r="J863" s="295"/>
      <c r="K863" s="296">
        <f t="shared" si="14"/>
        <v>0</v>
      </c>
      <c r="L863"/>
    </row>
    <row r="864" spans="1:12">
      <c r="A864" s="855" t="s">
        <v>586</v>
      </c>
      <c r="B864" s="856"/>
      <c r="C864" s="856"/>
      <c r="D864" s="857"/>
      <c r="E864" s="858"/>
      <c r="F864" s="859"/>
      <c r="G864" s="860"/>
      <c r="H864" s="857"/>
      <c r="I864" s="861"/>
      <c r="J864" s="295"/>
      <c r="K864" s="296">
        <f t="shared" si="14"/>
        <v>0</v>
      </c>
      <c r="L864"/>
    </row>
    <row r="865" spans="1:12">
      <c r="A865" s="855" t="s">
        <v>586</v>
      </c>
      <c r="B865" s="856"/>
      <c r="C865" s="856"/>
      <c r="D865" s="857"/>
      <c r="E865" s="858"/>
      <c r="F865" s="859"/>
      <c r="G865" s="860"/>
      <c r="H865" s="857"/>
      <c r="I865" s="861"/>
      <c r="J865" s="295"/>
      <c r="K865" s="296">
        <f t="shared" si="14"/>
        <v>0</v>
      </c>
      <c r="L865"/>
    </row>
    <row r="866" spans="1:12">
      <c r="A866" s="855" t="s">
        <v>586</v>
      </c>
      <c r="B866" s="856"/>
      <c r="C866" s="856"/>
      <c r="D866" s="857"/>
      <c r="E866" s="858"/>
      <c r="F866" s="859"/>
      <c r="G866" s="860"/>
      <c r="H866" s="857"/>
      <c r="I866" s="861"/>
      <c r="J866" s="295"/>
      <c r="K866" s="296">
        <f t="shared" si="14"/>
        <v>0</v>
      </c>
      <c r="L866"/>
    </row>
    <row r="867" spans="1:12">
      <c r="A867" s="855" t="s">
        <v>586</v>
      </c>
      <c r="B867" s="856"/>
      <c r="C867" s="856"/>
      <c r="D867" s="857"/>
      <c r="E867" s="858"/>
      <c r="F867" s="859"/>
      <c r="G867" s="860"/>
      <c r="H867" s="857"/>
      <c r="I867" s="861"/>
      <c r="J867" s="295"/>
      <c r="K867" s="296">
        <f t="shared" si="14"/>
        <v>0</v>
      </c>
      <c r="L867"/>
    </row>
    <row r="868" spans="1:12">
      <c r="A868" s="855" t="s">
        <v>586</v>
      </c>
      <c r="B868" s="856"/>
      <c r="C868" s="856"/>
      <c r="D868" s="857"/>
      <c r="E868" s="858"/>
      <c r="F868" s="859"/>
      <c r="G868" s="860"/>
      <c r="H868" s="857"/>
      <c r="I868" s="861"/>
      <c r="J868" s="295"/>
      <c r="K868" s="296">
        <f t="shared" si="14"/>
        <v>0</v>
      </c>
      <c r="L868"/>
    </row>
    <row r="869" spans="1:12">
      <c r="A869" s="855" t="s">
        <v>586</v>
      </c>
      <c r="B869" s="856"/>
      <c r="C869" s="856"/>
      <c r="D869" s="857"/>
      <c r="E869" s="858"/>
      <c r="F869" s="859"/>
      <c r="G869" s="860"/>
      <c r="H869" s="857"/>
      <c r="I869" s="861"/>
      <c r="J869" s="295"/>
      <c r="K869" s="296">
        <f t="shared" si="14"/>
        <v>0</v>
      </c>
      <c r="L869"/>
    </row>
    <row r="870" spans="1:12">
      <c r="A870" s="855" t="s">
        <v>586</v>
      </c>
      <c r="B870" s="856"/>
      <c r="C870" s="856"/>
      <c r="D870" s="857"/>
      <c r="E870" s="858"/>
      <c r="F870" s="859"/>
      <c r="G870" s="860"/>
      <c r="H870" s="857"/>
      <c r="I870" s="861"/>
      <c r="J870" s="295"/>
      <c r="K870" s="296">
        <f t="shared" si="14"/>
        <v>0</v>
      </c>
      <c r="L870"/>
    </row>
    <row r="871" spans="1:12">
      <c r="A871" s="855" t="s">
        <v>586</v>
      </c>
      <c r="B871" s="856"/>
      <c r="C871" s="856"/>
      <c r="D871" s="857"/>
      <c r="E871" s="858"/>
      <c r="F871" s="859"/>
      <c r="G871" s="860"/>
      <c r="H871" s="857"/>
      <c r="I871" s="861"/>
      <c r="J871" s="295"/>
      <c r="K871" s="296">
        <f t="shared" si="14"/>
        <v>0</v>
      </c>
      <c r="L871"/>
    </row>
    <row r="872" spans="1:12">
      <c r="A872" s="855" t="s">
        <v>586</v>
      </c>
      <c r="B872" s="856"/>
      <c r="C872" s="856"/>
      <c r="D872" s="857"/>
      <c r="E872" s="858"/>
      <c r="F872" s="859"/>
      <c r="G872" s="860"/>
      <c r="H872" s="857"/>
      <c r="I872" s="861"/>
      <c r="J872" s="295"/>
      <c r="K872" s="296">
        <f t="shared" si="14"/>
        <v>0</v>
      </c>
      <c r="L872"/>
    </row>
    <row r="873" spans="1:12">
      <c r="A873" s="855" t="s">
        <v>586</v>
      </c>
      <c r="B873" s="856"/>
      <c r="C873" s="856"/>
      <c r="D873" s="857"/>
      <c r="E873" s="858"/>
      <c r="F873" s="859"/>
      <c r="G873" s="860"/>
      <c r="H873" s="857"/>
      <c r="I873" s="861"/>
      <c r="J873" s="295"/>
      <c r="K873" s="296">
        <f t="shared" si="14"/>
        <v>0</v>
      </c>
      <c r="L873"/>
    </row>
    <row r="874" spans="1:12">
      <c r="A874" s="855" t="s">
        <v>586</v>
      </c>
      <c r="B874" s="856"/>
      <c r="C874" s="856"/>
      <c r="D874" s="857"/>
      <c r="E874" s="858"/>
      <c r="F874" s="859"/>
      <c r="G874" s="860"/>
      <c r="H874" s="857"/>
      <c r="I874" s="861"/>
      <c r="J874" s="295"/>
      <c r="K874" s="296">
        <f t="shared" si="14"/>
        <v>0</v>
      </c>
      <c r="L874"/>
    </row>
    <row r="875" spans="1:12">
      <c r="A875" s="855" t="s">
        <v>586</v>
      </c>
      <c r="B875" s="856"/>
      <c r="C875" s="856"/>
      <c r="D875" s="857"/>
      <c r="E875" s="858"/>
      <c r="F875" s="859"/>
      <c r="G875" s="860"/>
      <c r="H875" s="857"/>
      <c r="I875" s="861"/>
      <c r="J875" s="295"/>
      <c r="K875" s="296">
        <f t="shared" si="14"/>
        <v>0</v>
      </c>
      <c r="L875"/>
    </row>
    <row r="876" spans="1:12">
      <c r="A876" s="855" t="s">
        <v>586</v>
      </c>
      <c r="B876" s="856"/>
      <c r="C876" s="856"/>
      <c r="D876" s="857"/>
      <c r="E876" s="858"/>
      <c r="F876" s="859"/>
      <c r="G876" s="860"/>
      <c r="H876" s="857"/>
      <c r="I876" s="861"/>
      <c r="J876" s="295"/>
      <c r="K876" s="296">
        <f t="shared" si="14"/>
        <v>0</v>
      </c>
      <c r="L876"/>
    </row>
    <row r="877" spans="1:12">
      <c r="A877" s="855" t="s">
        <v>586</v>
      </c>
      <c r="B877" s="856"/>
      <c r="C877" s="856"/>
      <c r="D877" s="857"/>
      <c r="E877" s="858"/>
      <c r="F877" s="859"/>
      <c r="G877" s="860"/>
      <c r="H877" s="857"/>
      <c r="I877" s="861"/>
      <c r="J877" s="295"/>
      <c r="K877" s="296">
        <f t="shared" si="14"/>
        <v>0</v>
      </c>
      <c r="L877"/>
    </row>
    <row r="878" spans="1:12">
      <c r="A878" s="855" t="s">
        <v>586</v>
      </c>
      <c r="B878" s="856"/>
      <c r="C878" s="856"/>
      <c r="D878" s="857"/>
      <c r="E878" s="858"/>
      <c r="F878" s="859"/>
      <c r="G878" s="860"/>
      <c r="H878" s="857"/>
      <c r="I878" s="861"/>
      <c r="J878" s="295"/>
      <c r="K878" s="296">
        <f t="shared" si="14"/>
        <v>0</v>
      </c>
      <c r="L878"/>
    </row>
    <row r="879" spans="1:12">
      <c r="A879" s="855" t="s">
        <v>586</v>
      </c>
      <c r="B879" s="856"/>
      <c r="C879" s="856"/>
      <c r="D879" s="857"/>
      <c r="E879" s="858"/>
      <c r="F879" s="859"/>
      <c r="G879" s="860"/>
      <c r="H879" s="857"/>
      <c r="I879" s="861"/>
      <c r="J879" s="295"/>
      <c r="K879" s="296">
        <f t="shared" si="14"/>
        <v>0</v>
      </c>
      <c r="L879"/>
    </row>
    <row r="880" spans="1:12">
      <c r="A880" s="855" t="s">
        <v>586</v>
      </c>
      <c r="B880" s="856"/>
      <c r="C880" s="856"/>
      <c r="D880" s="857"/>
      <c r="E880" s="858"/>
      <c r="F880" s="859"/>
      <c r="G880" s="860"/>
      <c r="H880" s="857"/>
      <c r="I880" s="861"/>
      <c r="J880" s="295"/>
      <c r="K880" s="296">
        <f t="shared" si="14"/>
        <v>0</v>
      </c>
      <c r="L880"/>
    </row>
    <row r="881" spans="1:12">
      <c r="A881" s="855" t="s">
        <v>586</v>
      </c>
      <c r="B881" s="856"/>
      <c r="C881" s="856"/>
      <c r="D881" s="857"/>
      <c r="E881" s="858"/>
      <c r="F881" s="859"/>
      <c r="G881" s="860"/>
      <c r="H881" s="857"/>
      <c r="I881" s="861"/>
      <c r="J881" s="295"/>
      <c r="K881" s="296">
        <f t="shared" si="14"/>
        <v>0</v>
      </c>
      <c r="L881"/>
    </row>
    <row r="882" spans="1:12">
      <c r="A882" s="855" t="s">
        <v>586</v>
      </c>
      <c r="B882" s="856"/>
      <c r="C882" s="856"/>
      <c r="D882" s="857"/>
      <c r="E882" s="858"/>
      <c r="F882" s="859"/>
      <c r="G882" s="860"/>
      <c r="H882" s="857"/>
      <c r="I882" s="861"/>
      <c r="J882" s="295"/>
      <c r="K882" s="296">
        <f t="shared" si="14"/>
        <v>0</v>
      </c>
      <c r="L882"/>
    </row>
    <row r="883" spans="1:12">
      <c r="A883" s="855" t="s">
        <v>586</v>
      </c>
      <c r="B883" s="856"/>
      <c r="C883" s="856"/>
      <c r="D883" s="857"/>
      <c r="E883" s="858"/>
      <c r="F883" s="859"/>
      <c r="G883" s="860"/>
      <c r="H883" s="857"/>
      <c r="I883" s="861"/>
      <c r="J883" s="295"/>
      <c r="K883" s="296">
        <f t="shared" si="14"/>
        <v>0</v>
      </c>
      <c r="L883"/>
    </row>
    <row r="884" spans="1:12">
      <c r="A884" s="855" t="s">
        <v>586</v>
      </c>
      <c r="B884" s="856"/>
      <c r="C884" s="856"/>
      <c r="D884" s="857"/>
      <c r="E884" s="858"/>
      <c r="F884" s="859"/>
      <c r="G884" s="860"/>
      <c r="H884" s="857"/>
      <c r="I884" s="861"/>
      <c r="J884" s="295"/>
      <c r="K884" s="296">
        <f t="shared" si="14"/>
        <v>0</v>
      </c>
      <c r="L884"/>
    </row>
    <row r="885" spans="1:12">
      <c r="A885" s="855" t="s">
        <v>590</v>
      </c>
      <c r="B885" s="856"/>
      <c r="C885" s="856"/>
      <c r="D885" s="857"/>
      <c r="E885" s="858"/>
      <c r="F885" s="859"/>
      <c r="G885" s="860"/>
      <c r="H885" s="857"/>
      <c r="I885" s="861"/>
      <c r="J885" s="295"/>
      <c r="K885" s="296">
        <f t="shared" si="14"/>
        <v>0</v>
      </c>
      <c r="L885"/>
    </row>
    <row r="886" spans="1:12">
      <c r="A886" s="855" t="s">
        <v>590</v>
      </c>
      <c r="B886" s="856"/>
      <c r="C886" s="856"/>
      <c r="D886" s="857"/>
      <c r="E886" s="858"/>
      <c r="F886" s="859"/>
      <c r="G886" s="860"/>
      <c r="H886" s="857"/>
      <c r="I886" s="861"/>
      <c r="J886" s="295"/>
      <c r="K886" s="296">
        <f t="shared" si="14"/>
        <v>0</v>
      </c>
      <c r="L886"/>
    </row>
    <row r="887" spans="1:12">
      <c r="A887" s="855" t="s">
        <v>586</v>
      </c>
      <c r="B887" s="856"/>
      <c r="C887" s="856"/>
      <c r="D887" s="857"/>
      <c r="E887" s="858"/>
      <c r="F887" s="859"/>
      <c r="G887" s="860"/>
      <c r="H887" s="857"/>
      <c r="I887" s="861"/>
      <c r="J887" s="295"/>
      <c r="K887" s="296">
        <f t="shared" si="14"/>
        <v>0</v>
      </c>
      <c r="L887"/>
    </row>
    <row r="888" spans="1:12">
      <c r="A888" s="855" t="s">
        <v>586</v>
      </c>
      <c r="B888" s="856"/>
      <c r="C888" s="856"/>
      <c r="D888" s="857"/>
      <c r="E888" s="858"/>
      <c r="F888" s="859"/>
      <c r="G888" s="860"/>
      <c r="H888" s="857"/>
      <c r="I888" s="861"/>
      <c r="J888" s="295"/>
      <c r="K888" s="296">
        <f t="shared" si="14"/>
        <v>0</v>
      </c>
      <c r="L888"/>
    </row>
    <row r="889" spans="1:12">
      <c r="A889" s="855" t="s">
        <v>586</v>
      </c>
      <c r="B889" s="856"/>
      <c r="C889" s="856"/>
      <c r="D889" s="857"/>
      <c r="E889" s="858"/>
      <c r="F889" s="859"/>
      <c r="G889" s="860"/>
      <c r="H889" s="857"/>
      <c r="I889" s="861"/>
      <c r="J889" s="295"/>
      <c r="K889" s="296">
        <f t="shared" si="14"/>
        <v>0</v>
      </c>
      <c r="L889"/>
    </row>
    <row r="890" spans="1:12">
      <c r="A890" s="855" t="s">
        <v>586</v>
      </c>
      <c r="B890" s="856"/>
      <c r="C890" s="856"/>
      <c r="D890" s="857"/>
      <c r="E890" s="858"/>
      <c r="F890" s="859"/>
      <c r="G890" s="860"/>
      <c r="H890" s="857"/>
      <c r="I890" s="861"/>
      <c r="J890" s="295"/>
      <c r="K890" s="296">
        <f t="shared" si="14"/>
        <v>0</v>
      </c>
      <c r="L890"/>
    </row>
    <row r="891" spans="1:12">
      <c r="A891" s="855" t="s">
        <v>586</v>
      </c>
      <c r="B891" s="856"/>
      <c r="C891" s="856"/>
      <c r="D891" s="857"/>
      <c r="E891" s="858"/>
      <c r="F891" s="859"/>
      <c r="G891" s="860"/>
      <c r="H891" s="857"/>
      <c r="I891" s="861"/>
      <c r="J891" s="295"/>
      <c r="K891" s="296">
        <f t="shared" si="14"/>
        <v>0</v>
      </c>
      <c r="L891"/>
    </row>
    <row r="892" spans="1:12">
      <c r="A892" s="855" t="s">
        <v>586</v>
      </c>
      <c r="B892" s="856"/>
      <c r="C892" s="856"/>
      <c r="D892" s="857"/>
      <c r="E892" s="858"/>
      <c r="F892" s="859"/>
      <c r="G892" s="860"/>
      <c r="H892" s="857"/>
      <c r="I892" s="861"/>
      <c r="J892" s="295"/>
      <c r="K892" s="296">
        <f t="shared" si="14"/>
        <v>0</v>
      </c>
      <c r="L892"/>
    </row>
    <row r="893" spans="1:12">
      <c r="A893" s="855" t="s">
        <v>586</v>
      </c>
      <c r="B893" s="856"/>
      <c r="C893" s="856"/>
      <c r="D893" s="857"/>
      <c r="E893" s="858"/>
      <c r="F893" s="859"/>
      <c r="G893" s="860"/>
      <c r="H893" s="857"/>
      <c r="I893" s="861"/>
      <c r="J893" s="295"/>
      <c r="K893" s="296">
        <f t="shared" si="14"/>
        <v>0</v>
      </c>
      <c r="L893"/>
    </row>
    <row r="894" spans="1:12">
      <c r="A894" s="855" t="s">
        <v>586</v>
      </c>
      <c r="B894" s="856"/>
      <c r="C894" s="856"/>
      <c r="D894" s="857"/>
      <c r="E894" s="858"/>
      <c r="F894" s="859"/>
      <c r="G894" s="860"/>
      <c r="H894" s="857"/>
      <c r="I894" s="861"/>
      <c r="J894" s="295"/>
      <c r="K894" s="296">
        <f t="shared" si="14"/>
        <v>0</v>
      </c>
      <c r="L894"/>
    </row>
    <row r="895" spans="1:12">
      <c r="A895" s="855" t="s">
        <v>586</v>
      </c>
      <c r="B895" s="856"/>
      <c r="C895" s="856"/>
      <c r="D895" s="857"/>
      <c r="E895" s="858"/>
      <c r="F895" s="859"/>
      <c r="G895" s="860"/>
      <c r="H895" s="857"/>
      <c r="I895" s="861"/>
      <c r="J895" s="295"/>
      <c r="K895" s="296">
        <f t="shared" si="14"/>
        <v>0</v>
      </c>
      <c r="L895"/>
    </row>
    <row r="896" spans="1:12">
      <c r="A896" s="855" t="s">
        <v>586</v>
      </c>
      <c r="B896" s="856"/>
      <c r="C896" s="856"/>
      <c r="D896" s="857"/>
      <c r="E896" s="858"/>
      <c r="F896" s="859"/>
      <c r="G896" s="860"/>
      <c r="H896" s="857"/>
      <c r="I896" s="861"/>
      <c r="J896" s="295"/>
      <c r="K896" s="296">
        <f t="shared" si="14"/>
        <v>0</v>
      </c>
      <c r="L896"/>
    </row>
    <row r="897" spans="1:12">
      <c r="A897" s="855" t="s">
        <v>586</v>
      </c>
      <c r="B897" s="856"/>
      <c r="C897" s="856"/>
      <c r="D897" s="857"/>
      <c r="E897" s="858"/>
      <c r="F897" s="859"/>
      <c r="G897" s="860"/>
      <c r="H897" s="857"/>
      <c r="I897" s="861"/>
      <c r="J897" s="295"/>
      <c r="K897" s="296">
        <f t="shared" si="14"/>
        <v>0</v>
      </c>
      <c r="L897"/>
    </row>
    <row r="898" spans="1:12">
      <c r="A898" s="855" t="s">
        <v>586</v>
      </c>
      <c r="B898" s="856"/>
      <c r="C898" s="856"/>
      <c r="D898" s="857"/>
      <c r="E898" s="858"/>
      <c r="F898" s="859"/>
      <c r="G898" s="860"/>
      <c r="H898" s="857"/>
      <c r="I898" s="861"/>
      <c r="J898" s="295"/>
      <c r="K898" s="296">
        <f t="shared" si="14"/>
        <v>0</v>
      </c>
      <c r="L898"/>
    </row>
    <row r="899" spans="1:12">
      <c r="A899" s="855" t="s">
        <v>586</v>
      </c>
      <c r="B899" s="856"/>
      <c r="C899" s="856"/>
      <c r="D899" s="857"/>
      <c r="E899" s="858"/>
      <c r="F899" s="859"/>
      <c r="G899" s="860"/>
      <c r="H899" s="857"/>
      <c r="I899" s="861"/>
      <c r="J899" s="295"/>
      <c r="K899" s="296">
        <f t="shared" si="14"/>
        <v>0</v>
      </c>
      <c r="L899"/>
    </row>
    <row r="900" spans="1:12">
      <c r="A900" s="855" t="s">
        <v>586</v>
      </c>
      <c r="B900" s="856"/>
      <c r="C900" s="856"/>
      <c r="D900" s="857"/>
      <c r="E900" s="858"/>
      <c r="F900" s="859"/>
      <c r="G900" s="860"/>
      <c r="H900" s="857"/>
      <c r="I900" s="861"/>
      <c r="J900" s="295"/>
      <c r="K900" s="296">
        <f t="shared" si="14"/>
        <v>0</v>
      </c>
      <c r="L900"/>
    </row>
    <row r="901" spans="1:12">
      <c r="A901" s="855" t="s">
        <v>586</v>
      </c>
      <c r="B901" s="856"/>
      <c r="C901" s="856"/>
      <c r="D901" s="857"/>
      <c r="E901" s="858"/>
      <c r="F901" s="859"/>
      <c r="G901" s="860"/>
      <c r="H901" s="857"/>
      <c r="I901" s="861"/>
      <c r="J901" s="295"/>
      <c r="K901" s="296">
        <f t="shared" si="14"/>
        <v>0</v>
      </c>
      <c r="L901"/>
    </row>
    <row r="902" spans="1:12">
      <c r="A902" s="855" t="s">
        <v>586</v>
      </c>
      <c r="B902" s="856"/>
      <c r="C902" s="856"/>
      <c r="D902" s="857"/>
      <c r="E902" s="858"/>
      <c r="F902" s="859"/>
      <c r="G902" s="860"/>
      <c r="H902" s="857"/>
      <c r="I902" s="861"/>
      <c r="J902" s="295"/>
      <c r="K902" s="296">
        <f t="shared" si="14"/>
        <v>0</v>
      </c>
      <c r="L902"/>
    </row>
    <row r="903" spans="1:12">
      <c r="A903" s="855" t="s">
        <v>590</v>
      </c>
      <c r="B903" s="856"/>
      <c r="C903" s="856"/>
      <c r="D903" s="857"/>
      <c r="E903" s="858"/>
      <c r="F903" s="859"/>
      <c r="G903" s="860"/>
      <c r="H903" s="857"/>
      <c r="I903" s="861"/>
      <c r="J903" s="295"/>
      <c r="K903" s="296">
        <f t="shared" si="14"/>
        <v>0</v>
      </c>
      <c r="L903"/>
    </row>
    <row r="904" spans="1:12">
      <c r="A904" s="855" t="s">
        <v>590</v>
      </c>
      <c r="B904" s="856"/>
      <c r="C904" s="856"/>
      <c r="D904" s="857"/>
      <c r="E904" s="858"/>
      <c r="F904" s="859"/>
      <c r="G904" s="860"/>
      <c r="H904" s="857"/>
      <c r="I904" s="861"/>
      <c r="J904" s="295"/>
      <c r="K904" s="296">
        <f t="shared" si="14"/>
        <v>0</v>
      </c>
      <c r="L904"/>
    </row>
    <row r="905" spans="1:12">
      <c r="A905" s="855" t="s">
        <v>590</v>
      </c>
      <c r="B905" s="856"/>
      <c r="C905" s="856"/>
      <c r="D905" s="857"/>
      <c r="E905" s="858"/>
      <c r="F905" s="859"/>
      <c r="G905" s="860"/>
      <c r="H905" s="857"/>
      <c r="I905" s="861"/>
      <c r="J905" s="295"/>
      <c r="K905" s="296">
        <f t="shared" ref="K905:K968" si="15">IF(LEFT(A905,2)="TU",(J905-I905)*E905/100*100000*2,(J905-I905)*E905/100*100000)</f>
        <v>0</v>
      </c>
      <c r="L905"/>
    </row>
    <row r="906" spans="1:12">
      <c r="A906" s="855" t="s">
        <v>590</v>
      </c>
      <c r="B906" s="856"/>
      <c r="C906" s="856"/>
      <c r="D906" s="857"/>
      <c r="E906" s="858"/>
      <c r="F906" s="859"/>
      <c r="G906" s="860"/>
      <c r="H906" s="857"/>
      <c r="I906" s="861"/>
      <c r="J906" s="295"/>
      <c r="K906" s="296">
        <f t="shared" si="15"/>
        <v>0</v>
      </c>
      <c r="L906"/>
    </row>
    <row r="907" spans="1:12">
      <c r="A907" s="855" t="s">
        <v>590</v>
      </c>
      <c r="B907" s="856"/>
      <c r="C907" s="856"/>
      <c r="D907" s="857"/>
      <c r="E907" s="858"/>
      <c r="F907" s="859"/>
      <c r="G907" s="860"/>
      <c r="H907" s="857"/>
      <c r="I907" s="861"/>
      <c r="J907" s="295"/>
      <c r="K907" s="296">
        <f t="shared" si="15"/>
        <v>0</v>
      </c>
      <c r="L907"/>
    </row>
    <row r="908" spans="1:12">
      <c r="A908" s="855" t="s">
        <v>590</v>
      </c>
      <c r="B908" s="856"/>
      <c r="C908" s="856"/>
      <c r="D908" s="857"/>
      <c r="E908" s="858"/>
      <c r="F908" s="859"/>
      <c r="G908" s="860"/>
      <c r="H908" s="857"/>
      <c r="I908" s="861"/>
      <c r="J908" s="295"/>
      <c r="K908" s="296">
        <f t="shared" si="15"/>
        <v>0</v>
      </c>
      <c r="L908"/>
    </row>
    <row r="909" spans="1:12">
      <c r="A909" s="855" t="s">
        <v>590</v>
      </c>
      <c r="B909" s="856"/>
      <c r="C909" s="856"/>
      <c r="D909" s="857"/>
      <c r="E909" s="858"/>
      <c r="F909" s="859"/>
      <c r="G909" s="860"/>
      <c r="H909" s="857"/>
      <c r="I909" s="861"/>
      <c r="J909" s="295"/>
      <c r="K909" s="296">
        <f t="shared" si="15"/>
        <v>0</v>
      </c>
      <c r="L909"/>
    </row>
    <row r="910" spans="1:12">
      <c r="A910" s="855" t="s">
        <v>586</v>
      </c>
      <c r="B910" s="856"/>
      <c r="C910" s="856"/>
      <c r="D910" s="857"/>
      <c r="E910" s="858"/>
      <c r="F910" s="859"/>
      <c r="G910" s="860"/>
      <c r="H910" s="857"/>
      <c r="I910" s="861"/>
      <c r="J910" s="295"/>
      <c r="K910" s="296">
        <f t="shared" si="15"/>
        <v>0</v>
      </c>
      <c r="L910"/>
    </row>
    <row r="911" spans="1:12">
      <c r="A911" s="855" t="s">
        <v>586</v>
      </c>
      <c r="B911" s="856"/>
      <c r="C911" s="856"/>
      <c r="D911" s="857"/>
      <c r="E911" s="858"/>
      <c r="F911" s="859"/>
      <c r="G911" s="860"/>
      <c r="H911" s="857"/>
      <c r="I911" s="861"/>
      <c r="J911" s="295"/>
      <c r="K911" s="296">
        <f t="shared" si="15"/>
        <v>0</v>
      </c>
      <c r="L911"/>
    </row>
    <row r="912" spans="1:12">
      <c r="A912" s="855" t="s">
        <v>586</v>
      </c>
      <c r="B912" s="856"/>
      <c r="C912" s="856"/>
      <c r="D912" s="857"/>
      <c r="E912" s="858"/>
      <c r="F912" s="859"/>
      <c r="G912" s="860"/>
      <c r="H912" s="857"/>
      <c r="I912" s="861"/>
      <c r="J912" s="295"/>
      <c r="K912" s="296">
        <f t="shared" si="15"/>
        <v>0</v>
      </c>
      <c r="L912"/>
    </row>
    <row r="913" spans="1:12">
      <c r="A913" s="855" t="s">
        <v>586</v>
      </c>
      <c r="B913" s="856"/>
      <c r="C913" s="856"/>
      <c r="D913" s="857"/>
      <c r="E913" s="858"/>
      <c r="F913" s="859"/>
      <c r="G913" s="860"/>
      <c r="H913" s="857"/>
      <c r="I913" s="861"/>
      <c r="J913" s="295"/>
      <c r="K913" s="296">
        <f t="shared" si="15"/>
        <v>0</v>
      </c>
      <c r="L913"/>
    </row>
    <row r="914" spans="1:12">
      <c r="A914" s="855" t="s">
        <v>586</v>
      </c>
      <c r="B914" s="856"/>
      <c r="C914" s="856"/>
      <c r="D914" s="857"/>
      <c r="E914" s="858"/>
      <c r="F914" s="859"/>
      <c r="G914" s="860"/>
      <c r="H914" s="857"/>
      <c r="I914" s="861"/>
      <c r="J914" s="295"/>
      <c r="K914" s="296">
        <f t="shared" si="15"/>
        <v>0</v>
      </c>
      <c r="L914"/>
    </row>
    <row r="915" spans="1:12">
      <c r="A915" s="855" t="s">
        <v>586</v>
      </c>
      <c r="B915" s="856"/>
      <c r="C915" s="856"/>
      <c r="D915" s="857"/>
      <c r="E915" s="858"/>
      <c r="F915" s="859"/>
      <c r="G915" s="860"/>
      <c r="H915" s="857"/>
      <c r="I915" s="861"/>
      <c r="J915" s="295"/>
      <c r="K915" s="296">
        <f t="shared" si="15"/>
        <v>0</v>
      </c>
      <c r="L915"/>
    </row>
    <row r="916" spans="1:12">
      <c r="A916" s="855" t="s">
        <v>586</v>
      </c>
      <c r="B916" s="856"/>
      <c r="C916" s="856"/>
      <c r="D916" s="857"/>
      <c r="E916" s="858"/>
      <c r="F916" s="859"/>
      <c r="G916" s="860"/>
      <c r="H916" s="857"/>
      <c r="I916" s="861"/>
      <c r="J916" s="295"/>
      <c r="K916" s="296">
        <f t="shared" si="15"/>
        <v>0</v>
      </c>
      <c r="L916"/>
    </row>
    <row r="917" spans="1:12">
      <c r="A917" s="855" t="s">
        <v>586</v>
      </c>
      <c r="B917" s="856"/>
      <c r="C917" s="856"/>
      <c r="D917" s="857"/>
      <c r="E917" s="858"/>
      <c r="F917" s="859"/>
      <c r="G917" s="860"/>
      <c r="H917" s="857"/>
      <c r="I917" s="861"/>
      <c r="J917" s="295"/>
      <c r="K917" s="296">
        <f t="shared" si="15"/>
        <v>0</v>
      </c>
      <c r="L917"/>
    </row>
    <row r="918" spans="1:12">
      <c r="A918" s="855" t="s">
        <v>586</v>
      </c>
      <c r="B918" s="856"/>
      <c r="C918" s="856"/>
      <c r="D918" s="857"/>
      <c r="E918" s="858"/>
      <c r="F918" s="859"/>
      <c r="G918" s="860"/>
      <c r="H918" s="857"/>
      <c r="I918" s="861"/>
      <c r="J918" s="295"/>
      <c r="K918" s="296">
        <f t="shared" si="15"/>
        <v>0</v>
      </c>
      <c r="L918"/>
    </row>
    <row r="919" spans="1:12">
      <c r="A919" s="855" t="s">
        <v>590</v>
      </c>
      <c r="B919" s="856"/>
      <c r="C919" s="856"/>
      <c r="D919" s="857"/>
      <c r="E919" s="858"/>
      <c r="F919" s="859"/>
      <c r="G919" s="860"/>
      <c r="H919" s="857"/>
      <c r="I919" s="861"/>
      <c r="J919" s="295"/>
      <c r="K919" s="296">
        <f t="shared" si="15"/>
        <v>0</v>
      </c>
      <c r="L919"/>
    </row>
    <row r="920" spans="1:12">
      <c r="A920" s="855" t="s">
        <v>586</v>
      </c>
      <c r="B920" s="856"/>
      <c r="C920" s="856"/>
      <c r="D920" s="857"/>
      <c r="E920" s="858"/>
      <c r="F920" s="859"/>
      <c r="G920" s="860"/>
      <c r="H920" s="857"/>
      <c r="I920" s="861"/>
      <c r="J920" s="295"/>
      <c r="K920" s="296">
        <f t="shared" si="15"/>
        <v>0</v>
      </c>
      <c r="L920"/>
    </row>
    <row r="921" spans="1:12">
      <c r="A921" s="855" t="s">
        <v>586</v>
      </c>
      <c r="B921" s="856"/>
      <c r="C921" s="856"/>
      <c r="D921" s="857"/>
      <c r="E921" s="858"/>
      <c r="F921" s="859"/>
      <c r="G921" s="860"/>
      <c r="H921" s="857"/>
      <c r="I921" s="861"/>
      <c r="J921" s="295"/>
      <c r="K921" s="296">
        <f t="shared" si="15"/>
        <v>0</v>
      </c>
      <c r="L921"/>
    </row>
    <row r="922" spans="1:12">
      <c r="A922" s="855" t="s">
        <v>590</v>
      </c>
      <c r="B922" s="856"/>
      <c r="C922" s="856"/>
      <c r="D922" s="857"/>
      <c r="E922" s="858"/>
      <c r="F922" s="859"/>
      <c r="G922" s="860"/>
      <c r="H922" s="857"/>
      <c r="I922" s="861"/>
      <c r="J922" s="295"/>
      <c r="K922" s="296">
        <f t="shared" si="15"/>
        <v>0</v>
      </c>
      <c r="L922"/>
    </row>
    <row r="923" spans="1:12">
      <c r="A923" s="855" t="s">
        <v>586</v>
      </c>
      <c r="B923" s="856"/>
      <c r="C923" s="856"/>
      <c r="D923" s="857"/>
      <c r="E923" s="858"/>
      <c r="F923" s="859"/>
      <c r="G923" s="860"/>
      <c r="H923" s="857"/>
      <c r="I923" s="861"/>
      <c r="J923" s="295"/>
      <c r="K923" s="296">
        <f t="shared" si="15"/>
        <v>0</v>
      </c>
      <c r="L923"/>
    </row>
    <row r="924" spans="1:12">
      <c r="A924" s="855" t="s">
        <v>586</v>
      </c>
      <c r="B924" s="856"/>
      <c r="C924" s="856"/>
      <c r="D924" s="857"/>
      <c r="E924" s="858"/>
      <c r="F924" s="859"/>
      <c r="G924" s="860"/>
      <c r="H924" s="857"/>
      <c r="I924" s="861"/>
      <c r="J924" s="295"/>
      <c r="K924" s="296">
        <f t="shared" si="15"/>
        <v>0</v>
      </c>
      <c r="L924"/>
    </row>
    <row r="925" spans="1:12">
      <c r="A925" s="855" t="s">
        <v>586</v>
      </c>
      <c r="B925" s="856"/>
      <c r="C925" s="856"/>
      <c r="D925" s="857"/>
      <c r="E925" s="858"/>
      <c r="F925" s="859"/>
      <c r="G925" s="860"/>
      <c r="H925" s="857"/>
      <c r="I925" s="861"/>
      <c r="J925" s="295"/>
      <c r="K925" s="296">
        <f t="shared" si="15"/>
        <v>0</v>
      </c>
      <c r="L925"/>
    </row>
    <row r="926" spans="1:12">
      <c r="A926" s="855" t="s">
        <v>590</v>
      </c>
      <c r="B926" s="856"/>
      <c r="C926" s="856"/>
      <c r="D926" s="857"/>
      <c r="E926" s="858"/>
      <c r="F926" s="859"/>
      <c r="G926" s="860"/>
      <c r="H926" s="857"/>
      <c r="I926" s="861"/>
      <c r="J926" s="295"/>
      <c r="K926" s="296">
        <f t="shared" si="15"/>
        <v>0</v>
      </c>
      <c r="L926"/>
    </row>
    <row r="927" spans="1:12">
      <c r="A927" s="855" t="s">
        <v>590</v>
      </c>
      <c r="B927" s="856"/>
      <c r="C927" s="856"/>
      <c r="D927" s="857"/>
      <c r="E927" s="858"/>
      <c r="F927" s="859"/>
      <c r="G927" s="860"/>
      <c r="H927" s="857"/>
      <c r="I927" s="861"/>
      <c r="J927" s="295"/>
      <c r="K927" s="296">
        <f t="shared" si="15"/>
        <v>0</v>
      </c>
      <c r="L927"/>
    </row>
    <row r="928" spans="1:12">
      <c r="A928" s="855" t="s">
        <v>590</v>
      </c>
      <c r="B928" s="856"/>
      <c r="C928" s="856"/>
      <c r="D928" s="857"/>
      <c r="E928" s="858"/>
      <c r="F928" s="859"/>
      <c r="G928" s="860"/>
      <c r="H928" s="857"/>
      <c r="I928" s="861"/>
      <c r="J928" s="295"/>
      <c r="K928" s="296">
        <f t="shared" si="15"/>
        <v>0</v>
      </c>
      <c r="L928"/>
    </row>
    <row r="929" spans="1:12">
      <c r="A929" s="855" t="s">
        <v>590</v>
      </c>
      <c r="B929" s="856"/>
      <c r="C929" s="856"/>
      <c r="D929" s="857"/>
      <c r="E929" s="858"/>
      <c r="F929" s="859"/>
      <c r="G929" s="860"/>
      <c r="H929" s="857"/>
      <c r="I929" s="861"/>
      <c r="J929" s="295"/>
      <c r="K929" s="296">
        <f t="shared" si="15"/>
        <v>0</v>
      </c>
      <c r="L929"/>
    </row>
    <row r="930" spans="1:12">
      <c r="A930" s="855" t="s">
        <v>586</v>
      </c>
      <c r="B930" s="856"/>
      <c r="C930" s="856"/>
      <c r="D930" s="857"/>
      <c r="E930" s="858"/>
      <c r="F930" s="859"/>
      <c r="G930" s="860"/>
      <c r="H930" s="857"/>
      <c r="I930" s="861"/>
      <c r="J930" s="295"/>
      <c r="K930" s="296">
        <f t="shared" si="15"/>
        <v>0</v>
      </c>
      <c r="L930"/>
    </row>
    <row r="931" spans="1:12">
      <c r="A931" s="855" t="s">
        <v>586</v>
      </c>
      <c r="B931" s="856"/>
      <c r="C931" s="856"/>
      <c r="D931" s="857"/>
      <c r="E931" s="858"/>
      <c r="F931" s="859"/>
      <c r="G931" s="860"/>
      <c r="H931" s="857"/>
      <c r="I931" s="861"/>
      <c r="J931" s="295"/>
      <c r="K931" s="296">
        <f t="shared" si="15"/>
        <v>0</v>
      </c>
      <c r="L931"/>
    </row>
    <row r="932" spans="1:12">
      <c r="A932" s="855" t="s">
        <v>590</v>
      </c>
      <c r="B932" s="856"/>
      <c r="C932" s="856"/>
      <c r="D932" s="857"/>
      <c r="E932" s="858"/>
      <c r="F932" s="859"/>
      <c r="G932" s="860"/>
      <c r="H932" s="857"/>
      <c r="I932" s="861"/>
      <c r="J932" s="295"/>
      <c r="K932" s="296">
        <f t="shared" si="15"/>
        <v>0</v>
      </c>
      <c r="L932"/>
    </row>
    <row r="933" spans="1:12">
      <c r="A933" s="855" t="s">
        <v>590</v>
      </c>
      <c r="B933" s="856"/>
      <c r="C933" s="856"/>
      <c r="D933" s="857"/>
      <c r="E933" s="858"/>
      <c r="F933" s="859"/>
      <c r="G933" s="860"/>
      <c r="H933" s="857"/>
      <c r="I933" s="861"/>
      <c r="J933" s="295"/>
      <c r="K933" s="296">
        <f t="shared" si="15"/>
        <v>0</v>
      </c>
      <c r="L933"/>
    </row>
    <row r="934" spans="1:12">
      <c r="A934" s="855" t="s">
        <v>586</v>
      </c>
      <c r="B934" s="856"/>
      <c r="C934" s="856"/>
      <c r="D934" s="857"/>
      <c r="E934" s="858"/>
      <c r="F934" s="859"/>
      <c r="G934" s="860"/>
      <c r="H934" s="857"/>
      <c r="I934" s="861"/>
      <c r="J934" s="295"/>
      <c r="K934" s="296">
        <f t="shared" si="15"/>
        <v>0</v>
      </c>
      <c r="L934"/>
    </row>
    <row r="935" spans="1:12">
      <c r="A935" s="855" t="s">
        <v>590</v>
      </c>
      <c r="B935" s="856"/>
      <c r="C935" s="856"/>
      <c r="D935" s="857"/>
      <c r="E935" s="858"/>
      <c r="F935" s="859"/>
      <c r="G935" s="860"/>
      <c r="H935" s="857"/>
      <c r="I935" s="861"/>
      <c r="J935" s="295"/>
      <c r="K935" s="296">
        <f t="shared" si="15"/>
        <v>0</v>
      </c>
      <c r="L935"/>
    </row>
    <row r="936" spans="1:12">
      <c r="A936" s="855" t="s">
        <v>590</v>
      </c>
      <c r="B936" s="856"/>
      <c r="C936" s="856"/>
      <c r="D936" s="857"/>
      <c r="E936" s="858"/>
      <c r="F936" s="859"/>
      <c r="G936" s="860"/>
      <c r="H936" s="857"/>
      <c r="I936" s="861"/>
      <c r="J936" s="295"/>
      <c r="K936" s="296">
        <f t="shared" si="15"/>
        <v>0</v>
      </c>
      <c r="L936"/>
    </row>
    <row r="937" spans="1:12">
      <c r="A937" s="855" t="s">
        <v>590</v>
      </c>
      <c r="B937" s="856"/>
      <c r="C937" s="856"/>
      <c r="D937" s="857"/>
      <c r="E937" s="858"/>
      <c r="F937" s="859"/>
      <c r="G937" s="860"/>
      <c r="H937" s="857"/>
      <c r="I937" s="861"/>
      <c r="J937" s="295"/>
      <c r="K937" s="296">
        <f t="shared" si="15"/>
        <v>0</v>
      </c>
      <c r="L937"/>
    </row>
    <row r="938" spans="1:12">
      <c r="A938" s="855" t="s">
        <v>590</v>
      </c>
      <c r="B938" s="856"/>
      <c r="C938" s="856"/>
      <c r="D938" s="857"/>
      <c r="E938" s="858"/>
      <c r="F938" s="859"/>
      <c r="G938" s="860"/>
      <c r="H938" s="857"/>
      <c r="I938" s="861"/>
      <c r="J938" s="295"/>
      <c r="K938" s="296">
        <f t="shared" si="15"/>
        <v>0</v>
      </c>
      <c r="L938"/>
    </row>
    <row r="939" spans="1:12">
      <c r="A939" s="855" t="s">
        <v>590</v>
      </c>
      <c r="B939" s="856"/>
      <c r="C939" s="856"/>
      <c r="D939" s="857"/>
      <c r="E939" s="858"/>
      <c r="F939" s="859"/>
      <c r="G939" s="860"/>
      <c r="H939" s="857"/>
      <c r="I939" s="861"/>
      <c r="J939" s="295"/>
      <c r="K939" s="296">
        <f t="shared" si="15"/>
        <v>0</v>
      </c>
      <c r="L939"/>
    </row>
    <row r="940" spans="1:12">
      <c r="A940" s="855" t="s">
        <v>590</v>
      </c>
      <c r="B940" s="856"/>
      <c r="C940" s="856"/>
      <c r="D940" s="857"/>
      <c r="E940" s="858"/>
      <c r="F940" s="859"/>
      <c r="G940" s="860"/>
      <c r="H940" s="857"/>
      <c r="I940" s="861"/>
      <c r="J940" s="295"/>
      <c r="K940" s="296">
        <f t="shared" si="15"/>
        <v>0</v>
      </c>
      <c r="L940"/>
    </row>
    <row r="941" spans="1:12">
      <c r="A941" s="855" t="s">
        <v>586</v>
      </c>
      <c r="B941" s="856"/>
      <c r="C941" s="856"/>
      <c r="D941" s="857"/>
      <c r="E941" s="858"/>
      <c r="F941" s="859"/>
      <c r="G941" s="860"/>
      <c r="H941" s="857"/>
      <c r="I941" s="861"/>
      <c r="J941" s="295"/>
      <c r="K941" s="296">
        <f t="shared" si="15"/>
        <v>0</v>
      </c>
      <c r="L941"/>
    </row>
    <row r="942" spans="1:12">
      <c r="A942" s="855" t="s">
        <v>586</v>
      </c>
      <c r="B942" s="856"/>
      <c r="C942" s="856"/>
      <c r="D942" s="857"/>
      <c r="E942" s="858"/>
      <c r="F942" s="859"/>
      <c r="G942" s="860"/>
      <c r="H942" s="857"/>
      <c r="I942" s="861"/>
      <c r="J942" s="295"/>
      <c r="K942" s="296">
        <f t="shared" si="15"/>
        <v>0</v>
      </c>
      <c r="L942"/>
    </row>
    <row r="943" spans="1:12">
      <c r="A943" s="855" t="s">
        <v>586</v>
      </c>
      <c r="B943" s="856"/>
      <c r="C943" s="856"/>
      <c r="D943" s="857"/>
      <c r="E943" s="858"/>
      <c r="F943" s="859"/>
      <c r="G943" s="860"/>
      <c r="H943" s="857"/>
      <c r="I943" s="861"/>
      <c r="J943" s="295"/>
      <c r="K943" s="296">
        <f t="shared" si="15"/>
        <v>0</v>
      </c>
      <c r="L943"/>
    </row>
    <row r="944" spans="1:12">
      <c r="A944" s="855" t="s">
        <v>586</v>
      </c>
      <c r="B944" s="856"/>
      <c r="C944" s="856"/>
      <c r="D944" s="857"/>
      <c r="E944" s="858"/>
      <c r="F944" s="859"/>
      <c r="G944" s="860"/>
      <c r="H944" s="857"/>
      <c r="I944" s="861"/>
      <c r="J944" s="295"/>
      <c r="K944" s="296">
        <f t="shared" si="15"/>
        <v>0</v>
      </c>
      <c r="L944"/>
    </row>
    <row r="945" spans="1:12">
      <c r="A945" s="855" t="s">
        <v>590</v>
      </c>
      <c r="B945" s="856"/>
      <c r="C945" s="856"/>
      <c r="D945" s="857"/>
      <c r="E945" s="858"/>
      <c r="F945" s="859"/>
      <c r="G945" s="860"/>
      <c r="H945" s="857"/>
      <c r="I945" s="861"/>
      <c r="J945" s="295"/>
      <c r="K945" s="296">
        <f t="shared" si="15"/>
        <v>0</v>
      </c>
      <c r="L945"/>
    </row>
    <row r="946" spans="1:12">
      <c r="A946" s="855" t="s">
        <v>590</v>
      </c>
      <c r="B946" s="856"/>
      <c r="C946" s="856"/>
      <c r="D946" s="857"/>
      <c r="E946" s="858"/>
      <c r="F946" s="859"/>
      <c r="G946" s="860"/>
      <c r="H946" s="857"/>
      <c r="I946" s="861"/>
      <c r="J946" s="295"/>
      <c r="K946" s="296">
        <f t="shared" si="15"/>
        <v>0</v>
      </c>
      <c r="L946"/>
    </row>
    <row r="947" spans="1:12">
      <c r="A947" s="855" t="s">
        <v>586</v>
      </c>
      <c r="B947" s="856"/>
      <c r="C947" s="856"/>
      <c r="D947" s="857"/>
      <c r="E947" s="858"/>
      <c r="F947" s="859"/>
      <c r="G947" s="860"/>
      <c r="H947" s="857"/>
      <c r="I947" s="861"/>
      <c r="J947" s="295"/>
      <c r="K947" s="296">
        <f t="shared" si="15"/>
        <v>0</v>
      </c>
      <c r="L947"/>
    </row>
    <row r="948" spans="1:12">
      <c r="A948" s="855" t="s">
        <v>586</v>
      </c>
      <c r="B948" s="856"/>
      <c r="C948" s="856"/>
      <c r="D948" s="857"/>
      <c r="E948" s="858"/>
      <c r="F948" s="859"/>
      <c r="G948" s="860"/>
      <c r="H948" s="857"/>
      <c r="I948" s="861"/>
      <c r="J948" s="295"/>
      <c r="K948" s="296">
        <f t="shared" si="15"/>
        <v>0</v>
      </c>
      <c r="L948"/>
    </row>
    <row r="949" spans="1:12">
      <c r="A949" s="855" t="s">
        <v>586</v>
      </c>
      <c r="B949" s="856"/>
      <c r="C949" s="856"/>
      <c r="D949" s="857"/>
      <c r="E949" s="858"/>
      <c r="F949" s="859"/>
      <c r="G949" s="860"/>
      <c r="H949" s="857"/>
      <c r="I949" s="861"/>
      <c r="J949" s="295"/>
      <c r="K949" s="296">
        <f t="shared" si="15"/>
        <v>0</v>
      </c>
      <c r="L949"/>
    </row>
    <row r="950" spans="1:12">
      <c r="A950" s="855" t="s">
        <v>586</v>
      </c>
      <c r="B950" s="856"/>
      <c r="C950" s="856"/>
      <c r="D950" s="857"/>
      <c r="E950" s="858"/>
      <c r="F950" s="859"/>
      <c r="G950" s="860"/>
      <c r="H950" s="857"/>
      <c r="I950" s="861"/>
      <c r="J950" s="295"/>
      <c r="K950" s="296">
        <f t="shared" si="15"/>
        <v>0</v>
      </c>
      <c r="L950"/>
    </row>
    <row r="951" spans="1:12">
      <c r="A951" s="855" t="s">
        <v>586</v>
      </c>
      <c r="B951" s="856"/>
      <c r="C951" s="856"/>
      <c r="D951" s="857"/>
      <c r="E951" s="858"/>
      <c r="F951" s="859"/>
      <c r="G951" s="860"/>
      <c r="H951" s="857"/>
      <c r="I951" s="861"/>
      <c r="J951" s="295"/>
      <c r="K951" s="296">
        <f t="shared" si="15"/>
        <v>0</v>
      </c>
      <c r="L951"/>
    </row>
    <row r="952" spans="1:12">
      <c r="A952" s="855" t="s">
        <v>590</v>
      </c>
      <c r="B952" s="856"/>
      <c r="C952" s="856"/>
      <c r="D952" s="857"/>
      <c r="E952" s="858"/>
      <c r="F952" s="859"/>
      <c r="G952" s="860"/>
      <c r="H952" s="857"/>
      <c r="I952" s="861"/>
      <c r="J952" s="295"/>
      <c r="K952" s="296">
        <f t="shared" si="15"/>
        <v>0</v>
      </c>
      <c r="L952"/>
    </row>
    <row r="953" spans="1:12">
      <c r="A953" s="855" t="s">
        <v>590</v>
      </c>
      <c r="B953" s="856"/>
      <c r="C953" s="856"/>
      <c r="D953" s="857"/>
      <c r="E953" s="858"/>
      <c r="F953" s="859"/>
      <c r="G953" s="860"/>
      <c r="H953" s="857"/>
      <c r="I953" s="861"/>
      <c r="J953" s="295"/>
      <c r="K953" s="296">
        <f t="shared" si="15"/>
        <v>0</v>
      </c>
      <c r="L953"/>
    </row>
    <row r="954" spans="1:12">
      <c r="A954" s="855" t="s">
        <v>586</v>
      </c>
      <c r="B954" s="856"/>
      <c r="C954" s="856"/>
      <c r="D954" s="857"/>
      <c r="E954" s="858"/>
      <c r="F954" s="859"/>
      <c r="G954" s="860"/>
      <c r="H954" s="857"/>
      <c r="I954" s="861"/>
      <c r="J954" s="295"/>
      <c r="K954" s="296">
        <f t="shared" si="15"/>
        <v>0</v>
      </c>
      <c r="L954"/>
    </row>
    <row r="955" spans="1:12">
      <c r="A955" s="855" t="s">
        <v>586</v>
      </c>
      <c r="B955" s="856"/>
      <c r="C955" s="856"/>
      <c r="D955" s="857"/>
      <c r="E955" s="858"/>
      <c r="F955" s="859"/>
      <c r="G955" s="860"/>
      <c r="H955" s="857"/>
      <c r="I955" s="861"/>
      <c r="J955" s="295"/>
      <c r="K955" s="296">
        <f t="shared" si="15"/>
        <v>0</v>
      </c>
      <c r="L955"/>
    </row>
    <row r="956" spans="1:12">
      <c r="A956" s="855" t="s">
        <v>586</v>
      </c>
      <c r="B956" s="856"/>
      <c r="C956" s="856"/>
      <c r="D956" s="857"/>
      <c r="E956" s="858"/>
      <c r="F956" s="859"/>
      <c r="G956" s="860"/>
      <c r="H956" s="857"/>
      <c r="I956" s="861"/>
      <c r="J956" s="295"/>
      <c r="K956" s="296">
        <f t="shared" si="15"/>
        <v>0</v>
      </c>
      <c r="L956"/>
    </row>
    <row r="957" spans="1:12">
      <c r="A957" s="855" t="s">
        <v>586</v>
      </c>
      <c r="B957" s="856"/>
      <c r="C957" s="856"/>
      <c r="D957" s="857"/>
      <c r="E957" s="858"/>
      <c r="F957" s="859"/>
      <c r="G957" s="860"/>
      <c r="H957" s="857"/>
      <c r="I957" s="861"/>
      <c r="J957" s="295"/>
      <c r="K957" s="296">
        <f t="shared" si="15"/>
        <v>0</v>
      </c>
      <c r="L957"/>
    </row>
    <row r="958" spans="1:12">
      <c r="A958" s="855" t="s">
        <v>586</v>
      </c>
      <c r="B958" s="856"/>
      <c r="C958" s="856"/>
      <c r="D958" s="857"/>
      <c r="E958" s="858"/>
      <c r="F958" s="859"/>
      <c r="G958" s="860"/>
      <c r="H958" s="857"/>
      <c r="I958" s="861"/>
      <c r="J958" s="295"/>
      <c r="K958" s="296">
        <f t="shared" si="15"/>
        <v>0</v>
      </c>
      <c r="L958"/>
    </row>
    <row r="959" spans="1:12">
      <c r="A959" s="855" t="s">
        <v>586</v>
      </c>
      <c r="B959" s="856"/>
      <c r="C959" s="856"/>
      <c r="D959" s="857"/>
      <c r="E959" s="858"/>
      <c r="F959" s="859"/>
      <c r="G959" s="860"/>
      <c r="H959" s="857"/>
      <c r="I959" s="861"/>
      <c r="J959" s="295"/>
      <c r="K959" s="296">
        <f t="shared" si="15"/>
        <v>0</v>
      </c>
      <c r="L959"/>
    </row>
    <row r="960" spans="1:12">
      <c r="A960" s="855" t="s">
        <v>586</v>
      </c>
      <c r="B960" s="856"/>
      <c r="C960" s="856"/>
      <c r="D960" s="857"/>
      <c r="E960" s="858"/>
      <c r="F960" s="859"/>
      <c r="G960" s="860"/>
      <c r="H960" s="857"/>
      <c r="I960" s="861"/>
      <c r="J960" s="295"/>
      <c r="K960" s="296">
        <f t="shared" si="15"/>
        <v>0</v>
      </c>
      <c r="L960"/>
    </row>
    <row r="961" spans="1:12">
      <c r="A961" s="855" t="s">
        <v>586</v>
      </c>
      <c r="B961" s="856"/>
      <c r="C961" s="856"/>
      <c r="D961" s="857"/>
      <c r="E961" s="858"/>
      <c r="F961" s="859"/>
      <c r="G961" s="860"/>
      <c r="H961" s="857"/>
      <c r="I961" s="861"/>
      <c r="J961" s="295"/>
      <c r="K961" s="296">
        <f t="shared" si="15"/>
        <v>0</v>
      </c>
      <c r="L961"/>
    </row>
    <row r="962" spans="1:12">
      <c r="A962" s="855" t="s">
        <v>586</v>
      </c>
      <c r="B962" s="856"/>
      <c r="C962" s="856"/>
      <c r="D962" s="857"/>
      <c r="E962" s="858"/>
      <c r="F962" s="859"/>
      <c r="G962" s="860"/>
      <c r="H962" s="857"/>
      <c r="I962" s="861"/>
      <c r="J962" s="295"/>
      <c r="K962" s="296">
        <f t="shared" si="15"/>
        <v>0</v>
      </c>
      <c r="L962"/>
    </row>
    <row r="963" spans="1:12">
      <c r="A963" s="855" t="s">
        <v>586</v>
      </c>
      <c r="B963" s="856"/>
      <c r="C963" s="856"/>
      <c r="D963" s="857"/>
      <c r="E963" s="858"/>
      <c r="F963" s="859"/>
      <c r="G963" s="860"/>
      <c r="H963" s="857"/>
      <c r="I963" s="861"/>
      <c r="J963" s="295"/>
      <c r="K963" s="296">
        <f t="shared" si="15"/>
        <v>0</v>
      </c>
      <c r="L963"/>
    </row>
    <row r="964" spans="1:12">
      <c r="A964" s="855" t="s">
        <v>586</v>
      </c>
      <c r="B964" s="856"/>
      <c r="C964" s="856"/>
      <c r="D964" s="857"/>
      <c r="E964" s="858"/>
      <c r="F964" s="859"/>
      <c r="G964" s="860"/>
      <c r="H964" s="857"/>
      <c r="I964" s="861"/>
      <c r="J964" s="295"/>
      <c r="K964" s="296">
        <f t="shared" si="15"/>
        <v>0</v>
      </c>
      <c r="L964"/>
    </row>
    <row r="965" spans="1:12">
      <c r="A965" s="855" t="s">
        <v>586</v>
      </c>
      <c r="B965" s="856"/>
      <c r="C965" s="856"/>
      <c r="D965" s="857"/>
      <c r="E965" s="858"/>
      <c r="F965" s="859"/>
      <c r="G965" s="860"/>
      <c r="H965" s="857"/>
      <c r="I965" s="861"/>
      <c r="J965" s="295"/>
      <c r="K965" s="296">
        <f t="shared" si="15"/>
        <v>0</v>
      </c>
      <c r="L965"/>
    </row>
    <row r="966" spans="1:12">
      <c r="A966" s="855" t="s">
        <v>586</v>
      </c>
      <c r="B966" s="856"/>
      <c r="C966" s="856"/>
      <c r="D966" s="857"/>
      <c r="E966" s="858"/>
      <c r="F966" s="859"/>
      <c r="G966" s="860"/>
      <c r="H966" s="857"/>
      <c r="I966" s="861"/>
      <c r="J966" s="295"/>
      <c r="K966" s="296">
        <f t="shared" si="15"/>
        <v>0</v>
      </c>
      <c r="L966"/>
    </row>
    <row r="967" spans="1:12">
      <c r="A967" s="855" t="s">
        <v>590</v>
      </c>
      <c r="B967" s="856"/>
      <c r="C967" s="856"/>
      <c r="D967" s="857"/>
      <c r="E967" s="858"/>
      <c r="F967" s="859"/>
      <c r="G967" s="860"/>
      <c r="H967" s="857"/>
      <c r="I967" s="861"/>
      <c r="J967" s="295"/>
      <c r="K967" s="296">
        <f t="shared" si="15"/>
        <v>0</v>
      </c>
      <c r="L967"/>
    </row>
    <row r="968" spans="1:12">
      <c r="A968" s="855" t="s">
        <v>586</v>
      </c>
      <c r="B968" s="856"/>
      <c r="C968" s="856"/>
      <c r="D968" s="857"/>
      <c r="E968" s="858"/>
      <c r="F968" s="859"/>
      <c r="G968" s="860"/>
      <c r="H968" s="857"/>
      <c r="I968" s="861"/>
      <c r="J968" s="295"/>
      <c r="K968" s="296">
        <f t="shared" si="15"/>
        <v>0</v>
      </c>
      <c r="L968"/>
    </row>
    <row r="969" spans="1:12">
      <c r="A969" s="855" t="s">
        <v>586</v>
      </c>
      <c r="B969" s="856"/>
      <c r="C969" s="856"/>
      <c r="D969" s="857"/>
      <c r="E969" s="858"/>
      <c r="F969" s="859"/>
      <c r="G969" s="860"/>
      <c r="H969" s="857"/>
      <c r="I969" s="861"/>
      <c r="J969" s="295"/>
      <c r="K969" s="296">
        <f t="shared" ref="K969:K1032" si="16">IF(LEFT(A969,2)="TU",(J969-I969)*E969/100*100000*2,(J969-I969)*E969/100*100000)</f>
        <v>0</v>
      </c>
      <c r="L969"/>
    </row>
    <row r="970" spans="1:12">
      <c r="A970" s="855" t="s">
        <v>586</v>
      </c>
      <c r="B970" s="856"/>
      <c r="C970" s="856"/>
      <c r="D970" s="857"/>
      <c r="E970" s="858"/>
      <c r="F970" s="859"/>
      <c r="G970" s="860"/>
      <c r="H970" s="857"/>
      <c r="I970" s="861"/>
      <c r="J970" s="295"/>
      <c r="K970" s="296">
        <f t="shared" si="16"/>
        <v>0</v>
      </c>
      <c r="L970"/>
    </row>
    <row r="971" spans="1:12">
      <c r="A971" s="855" t="s">
        <v>586</v>
      </c>
      <c r="B971" s="856"/>
      <c r="C971" s="856"/>
      <c r="D971" s="857"/>
      <c r="E971" s="858"/>
      <c r="F971" s="859"/>
      <c r="G971" s="860"/>
      <c r="H971" s="857"/>
      <c r="I971" s="861"/>
      <c r="J971" s="295"/>
      <c r="K971" s="296">
        <f t="shared" si="16"/>
        <v>0</v>
      </c>
      <c r="L971"/>
    </row>
    <row r="972" spans="1:12">
      <c r="A972" s="855" t="s">
        <v>586</v>
      </c>
      <c r="B972" s="856"/>
      <c r="C972" s="856"/>
      <c r="D972" s="857"/>
      <c r="E972" s="858"/>
      <c r="F972" s="859"/>
      <c r="G972" s="860"/>
      <c r="H972" s="857"/>
      <c r="I972" s="861"/>
      <c r="J972" s="295"/>
      <c r="K972" s="296">
        <f t="shared" si="16"/>
        <v>0</v>
      </c>
      <c r="L972"/>
    </row>
    <row r="973" spans="1:12">
      <c r="A973" s="855" t="s">
        <v>590</v>
      </c>
      <c r="B973" s="856"/>
      <c r="C973" s="856"/>
      <c r="D973" s="857"/>
      <c r="E973" s="858"/>
      <c r="F973" s="859"/>
      <c r="G973" s="860"/>
      <c r="H973" s="857"/>
      <c r="I973" s="861"/>
      <c r="J973" s="295"/>
      <c r="K973" s="296">
        <f t="shared" si="16"/>
        <v>0</v>
      </c>
      <c r="L973"/>
    </row>
    <row r="974" spans="1:12">
      <c r="A974" s="855" t="s">
        <v>590</v>
      </c>
      <c r="B974" s="856"/>
      <c r="C974" s="856"/>
      <c r="D974" s="857"/>
      <c r="E974" s="858"/>
      <c r="F974" s="859"/>
      <c r="G974" s="860"/>
      <c r="H974" s="857"/>
      <c r="I974" s="861"/>
      <c r="J974" s="295"/>
      <c r="K974" s="296">
        <f t="shared" si="16"/>
        <v>0</v>
      </c>
      <c r="L974"/>
    </row>
    <row r="975" spans="1:12">
      <c r="A975" s="855" t="s">
        <v>590</v>
      </c>
      <c r="B975" s="856"/>
      <c r="C975" s="856"/>
      <c r="D975" s="857"/>
      <c r="E975" s="858"/>
      <c r="F975" s="859"/>
      <c r="G975" s="860"/>
      <c r="H975" s="857"/>
      <c r="I975" s="861"/>
      <c r="J975" s="295"/>
      <c r="K975" s="296">
        <f t="shared" si="16"/>
        <v>0</v>
      </c>
      <c r="L975"/>
    </row>
    <row r="976" spans="1:12">
      <c r="A976" s="855" t="s">
        <v>590</v>
      </c>
      <c r="B976" s="856"/>
      <c r="C976" s="856"/>
      <c r="D976" s="857"/>
      <c r="E976" s="858"/>
      <c r="F976" s="859"/>
      <c r="G976" s="860"/>
      <c r="H976" s="857"/>
      <c r="I976" s="861"/>
      <c r="J976" s="295"/>
      <c r="K976" s="296">
        <f t="shared" si="16"/>
        <v>0</v>
      </c>
      <c r="L976"/>
    </row>
    <row r="977" spans="1:12">
      <c r="A977" s="855" t="s">
        <v>586</v>
      </c>
      <c r="B977" s="856"/>
      <c r="C977" s="856"/>
      <c r="D977" s="857"/>
      <c r="E977" s="858"/>
      <c r="F977" s="859"/>
      <c r="G977" s="860"/>
      <c r="H977" s="857"/>
      <c r="I977" s="861"/>
      <c r="J977" s="295"/>
      <c r="K977" s="296">
        <f t="shared" si="16"/>
        <v>0</v>
      </c>
      <c r="L977"/>
    </row>
    <row r="978" spans="1:12">
      <c r="A978" s="855" t="s">
        <v>586</v>
      </c>
      <c r="B978" s="856"/>
      <c r="C978" s="856"/>
      <c r="D978" s="857"/>
      <c r="E978" s="858"/>
      <c r="F978" s="859"/>
      <c r="G978" s="860"/>
      <c r="H978" s="857"/>
      <c r="I978" s="861"/>
      <c r="J978" s="295"/>
      <c r="K978" s="296">
        <f t="shared" si="16"/>
        <v>0</v>
      </c>
      <c r="L978"/>
    </row>
    <row r="979" spans="1:12">
      <c r="A979" s="855" t="s">
        <v>586</v>
      </c>
      <c r="B979" s="856"/>
      <c r="C979" s="856"/>
      <c r="D979" s="857"/>
      <c r="E979" s="858"/>
      <c r="F979" s="859"/>
      <c r="G979" s="860"/>
      <c r="H979" s="857"/>
      <c r="I979" s="861"/>
      <c r="J979" s="295"/>
      <c r="K979" s="296">
        <f t="shared" si="16"/>
        <v>0</v>
      </c>
      <c r="L979"/>
    </row>
    <row r="980" spans="1:12">
      <c r="A980" s="855" t="s">
        <v>586</v>
      </c>
      <c r="B980" s="856"/>
      <c r="C980" s="856"/>
      <c r="D980" s="857"/>
      <c r="E980" s="858"/>
      <c r="F980" s="859"/>
      <c r="G980" s="860"/>
      <c r="H980" s="857"/>
      <c r="I980" s="861"/>
      <c r="J980" s="295"/>
      <c r="K980" s="296">
        <f t="shared" si="16"/>
        <v>0</v>
      </c>
      <c r="L980"/>
    </row>
    <row r="981" spans="1:12">
      <c r="A981" s="855" t="s">
        <v>590</v>
      </c>
      <c r="B981" s="856"/>
      <c r="C981" s="856"/>
      <c r="D981" s="857"/>
      <c r="E981" s="858"/>
      <c r="F981" s="859"/>
      <c r="G981" s="860"/>
      <c r="H981" s="857"/>
      <c r="I981" s="861"/>
      <c r="J981" s="295"/>
      <c r="K981" s="296">
        <f t="shared" si="16"/>
        <v>0</v>
      </c>
      <c r="L981"/>
    </row>
    <row r="982" spans="1:12">
      <c r="A982" s="855" t="s">
        <v>586</v>
      </c>
      <c r="B982" s="856"/>
      <c r="C982" s="856"/>
      <c r="D982" s="857"/>
      <c r="E982" s="858"/>
      <c r="F982" s="859"/>
      <c r="G982" s="860"/>
      <c r="H982" s="857"/>
      <c r="I982" s="861"/>
      <c r="J982" s="295"/>
      <c r="K982" s="296">
        <f t="shared" si="16"/>
        <v>0</v>
      </c>
      <c r="L982"/>
    </row>
    <row r="983" spans="1:12">
      <c r="A983" s="855" t="s">
        <v>586</v>
      </c>
      <c r="B983" s="856"/>
      <c r="C983" s="856"/>
      <c r="D983" s="857"/>
      <c r="E983" s="858"/>
      <c r="F983" s="859"/>
      <c r="G983" s="860"/>
      <c r="H983" s="857"/>
      <c r="I983" s="861"/>
      <c r="J983" s="295"/>
      <c r="K983" s="296">
        <f t="shared" si="16"/>
        <v>0</v>
      </c>
      <c r="L983"/>
    </row>
    <row r="984" spans="1:12">
      <c r="A984" s="855" t="s">
        <v>586</v>
      </c>
      <c r="B984" s="856"/>
      <c r="C984" s="856"/>
      <c r="D984" s="857"/>
      <c r="E984" s="858"/>
      <c r="F984" s="859"/>
      <c r="G984" s="860"/>
      <c r="H984" s="857"/>
      <c r="I984" s="861"/>
      <c r="J984" s="295"/>
      <c r="K984" s="296">
        <f t="shared" si="16"/>
        <v>0</v>
      </c>
      <c r="L984"/>
    </row>
    <row r="985" spans="1:12">
      <c r="A985" s="855" t="s">
        <v>590</v>
      </c>
      <c r="B985" s="856"/>
      <c r="C985" s="856"/>
      <c r="D985" s="857"/>
      <c r="E985" s="858"/>
      <c r="F985" s="859"/>
      <c r="G985" s="860"/>
      <c r="H985" s="857"/>
      <c r="I985" s="861"/>
      <c r="J985" s="295"/>
      <c r="K985" s="296">
        <f t="shared" si="16"/>
        <v>0</v>
      </c>
      <c r="L985"/>
    </row>
    <row r="986" spans="1:12">
      <c r="A986" s="855" t="s">
        <v>590</v>
      </c>
      <c r="B986" s="856"/>
      <c r="C986" s="856"/>
      <c r="D986" s="857"/>
      <c r="E986" s="858"/>
      <c r="F986" s="859"/>
      <c r="G986" s="860"/>
      <c r="H986" s="857"/>
      <c r="I986" s="861"/>
      <c r="J986" s="295"/>
      <c r="K986" s="296">
        <f t="shared" si="16"/>
        <v>0</v>
      </c>
      <c r="L986"/>
    </row>
    <row r="987" spans="1:12">
      <c r="A987" s="855" t="s">
        <v>590</v>
      </c>
      <c r="B987" s="856"/>
      <c r="C987" s="856"/>
      <c r="D987" s="857"/>
      <c r="E987" s="858"/>
      <c r="F987" s="859"/>
      <c r="G987" s="860"/>
      <c r="H987" s="857"/>
      <c r="I987" s="861"/>
      <c r="J987" s="295"/>
      <c r="K987" s="296">
        <f t="shared" si="16"/>
        <v>0</v>
      </c>
      <c r="L987"/>
    </row>
    <row r="988" spans="1:12">
      <c r="A988" s="855" t="s">
        <v>586</v>
      </c>
      <c r="B988" s="856"/>
      <c r="C988" s="856"/>
      <c r="D988" s="857"/>
      <c r="E988" s="858"/>
      <c r="F988" s="859"/>
      <c r="G988" s="860"/>
      <c r="H988" s="857"/>
      <c r="I988" s="861"/>
      <c r="J988" s="295"/>
      <c r="K988" s="296">
        <f t="shared" si="16"/>
        <v>0</v>
      </c>
      <c r="L988"/>
    </row>
    <row r="989" spans="1:12">
      <c r="A989" s="855" t="s">
        <v>586</v>
      </c>
      <c r="B989" s="856"/>
      <c r="C989" s="856"/>
      <c r="D989" s="857"/>
      <c r="E989" s="858"/>
      <c r="F989" s="859"/>
      <c r="G989" s="860"/>
      <c r="H989" s="857"/>
      <c r="I989" s="861"/>
      <c r="J989" s="295"/>
      <c r="K989" s="296">
        <f t="shared" si="16"/>
        <v>0</v>
      </c>
      <c r="L989"/>
    </row>
    <row r="990" spans="1:12">
      <c r="A990" s="855" t="s">
        <v>586</v>
      </c>
      <c r="B990" s="856"/>
      <c r="C990" s="856"/>
      <c r="D990" s="857"/>
      <c r="E990" s="858"/>
      <c r="F990" s="859"/>
      <c r="G990" s="860"/>
      <c r="H990" s="857"/>
      <c r="I990" s="861"/>
      <c r="J990" s="295"/>
      <c r="K990" s="296">
        <f t="shared" si="16"/>
        <v>0</v>
      </c>
      <c r="L990"/>
    </row>
    <row r="991" spans="1:12">
      <c r="A991" s="855" t="s">
        <v>586</v>
      </c>
      <c r="B991" s="856"/>
      <c r="C991" s="856"/>
      <c r="D991" s="857"/>
      <c r="E991" s="858"/>
      <c r="F991" s="859"/>
      <c r="G991" s="860"/>
      <c r="H991" s="857"/>
      <c r="I991" s="861"/>
      <c r="J991" s="295"/>
      <c r="K991" s="296">
        <f t="shared" si="16"/>
        <v>0</v>
      </c>
      <c r="L991"/>
    </row>
    <row r="992" spans="1:12">
      <c r="A992" s="855" t="s">
        <v>586</v>
      </c>
      <c r="B992" s="856"/>
      <c r="C992" s="856"/>
      <c r="D992" s="857"/>
      <c r="E992" s="858"/>
      <c r="F992" s="859"/>
      <c r="G992" s="860"/>
      <c r="H992" s="857"/>
      <c r="I992" s="861"/>
      <c r="J992" s="295"/>
      <c r="K992" s="296">
        <f t="shared" si="16"/>
        <v>0</v>
      </c>
      <c r="L992"/>
    </row>
    <row r="993" spans="1:12">
      <c r="A993" s="855" t="s">
        <v>586</v>
      </c>
      <c r="B993" s="856"/>
      <c r="C993" s="856"/>
      <c r="D993" s="857"/>
      <c r="E993" s="858"/>
      <c r="F993" s="859"/>
      <c r="G993" s="860"/>
      <c r="H993" s="857"/>
      <c r="I993" s="861"/>
      <c r="J993" s="295"/>
      <c r="K993" s="296">
        <f t="shared" si="16"/>
        <v>0</v>
      </c>
      <c r="L993"/>
    </row>
    <row r="994" spans="1:12">
      <c r="A994" s="855" t="s">
        <v>586</v>
      </c>
      <c r="B994" s="856"/>
      <c r="C994" s="856"/>
      <c r="D994" s="857"/>
      <c r="E994" s="858"/>
      <c r="F994" s="859"/>
      <c r="G994" s="860"/>
      <c r="H994" s="857"/>
      <c r="I994" s="861"/>
      <c r="J994" s="295"/>
      <c r="K994" s="296">
        <f t="shared" si="16"/>
        <v>0</v>
      </c>
      <c r="L994"/>
    </row>
    <row r="995" spans="1:12">
      <c r="A995" s="855" t="s">
        <v>590</v>
      </c>
      <c r="B995" s="856"/>
      <c r="C995" s="856"/>
      <c r="D995" s="857"/>
      <c r="E995" s="858"/>
      <c r="F995" s="859"/>
      <c r="G995" s="860"/>
      <c r="H995" s="857"/>
      <c r="I995" s="861"/>
      <c r="J995" s="295"/>
      <c r="K995" s="296">
        <f t="shared" si="16"/>
        <v>0</v>
      </c>
      <c r="L995"/>
    </row>
    <row r="996" spans="1:12">
      <c r="A996" s="855" t="s">
        <v>586</v>
      </c>
      <c r="B996" s="856"/>
      <c r="C996" s="856"/>
      <c r="D996" s="857"/>
      <c r="E996" s="858"/>
      <c r="F996" s="859"/>
      <c r="G996" s="860"/>
      <c r="H996" s="857"/>
      <c r="I996" s="861"/>
      <c r="J996" s="295"/>
      <c r="K996" s="296">
        <f t="shared" si="16"/>
        <v>0</v>
      </c>
      <c r="L996"/>
    </row>
    <row r="997" spans="1:12">
      <c r="A997" s="855" t="s">
        <v>586</v>
      </c>
      <c r="B997" s="856"/>
      <c r="C997" s="856"/>
      <c r="D997" s="857"/>
      <c r="E997" s="858"/>
      <c r="F997" s="859"/>
      <c r="G997" s="860"/>
      <c r="H997" s="857"/>
      <c r="I997" s="861"/>
      <c r="J997" s="295"/>
      <c r="K997" s="296">
        <f t="shared" si="16"/>
        <v>0</v>
      </c>
      <c r="L997"/>
    </row>
    <row r="998" spans="1:12">
      <c r="A998" s="855" t="s">
        <v>586</v>
      </c>
      <c r="B998" s="856"/>
      <c r="C998" s="856"/>
      <c r="D998" s="857"/>
      <c r="E998" s="858"/>
      <c r="F998" s="859"/>
      <c r="G998" s="860"/>
      <c r="H998" s="857"/>
      <c r="I998" s="861"/>
      <c r="J998" s="295"/>
      <c r="K998" s="296">
        <f t="shared" si="16"/>
        <v>0</v>
      </c>
      <c r="L998"/>
    </row>
    <row r="999" spans="1:12">
      <c r="A999" s="855" t="s">
        <v>586</v>
      </c>
      <c r="B999" s="856"/>
      <c r="C999" s="856"/>
      <c r="D999" s="857"/>
      <c r="E999" s="858"/>
      <c r="F999" s="859"/>
      <c r="G999" s="860"/>
      <c r="H999" s="857"/>
      <c r="I999" s="861"/>
      <c r="J999" s="295"/>
      <c r="K999" s="296">
        <f t="shared" si="16"/>
        <v>0</v>
      </c>
      <c r="L999"/>
    </row>
    <row r="1000" spans="1:12">
      <c r="A1000" s="855" t="s">
        <v>590</v>
      </c>
      <c r="B1000" s="856"/>
      <c r="C1000" s="856"/>
      <c r="D1000" s="857"/>
      <c r="E1000" s="858"/>
      <c r="F1000" s="859"/>
      <c r="G1000" s="860"/>
      <c r="H1000" s="857"/>
      <c r="I1000" s="861"/>
      <c r="J1000" s="295"/>
      <c r="K1000" s="296">
        <f t="shared" si="16"/>
        <v>0</v>
      </c>
      <c r="L1000"/>
    </row>
    <row r="1001" spans="1:12">
      <c r="A1001" s="855" t="s">
        <v>590</v>
      </c>
      <c r="B1001" s="856"/>
      <c r="C1001" s="856"/>
      <c r="D1001" s="857"/>
      <c r="E1001" s="858"/>
      <c r="F1001" s="859"/>
      <c r="G1001" s="860"/>
      <c r="H1001" s="857"/>
      <c r="I1001" s="861"/>
      <c r="J1001" s="295"/>
      <c r="K1001" s="296">
        <f t="shared" si="16"/>
        <v>0</v>
      </c>
      <c r="L1001"/>
    </row>
    <row r="1002" spans="1:12">
      <c r="A1002" s="855" t="s">
        <v>586</v>
      </c>
      <c r="B1002" s="856"/>
      <c r="C1002" s="856"/>
      <c r="D1002" s="857"/>
      <c r="E1002" s="858"/>
      <c r="F1002" s="859"/>
      <c r="G1002" s="860"/>
      <c r="H1002" s="857"/>
      <c r="I1002" s="861"/>
      <c r="J1002" s="295"/>
      <c r="K1002" s="296">
        <f t="shared" si="16"/>
        <v>0</v>
      </c>
      <c r="L1002"/>
    </row>
    <row r="1003" spans="1:12">
      <c r="A1003" s="855" t="s">
        <v>586</v>
      </c>
      <c r="B1003" s="856"/>
      <c r="C1003" s="856"/>
      <c r="D1003" s="857"/>
      <c r="E1003" s="858"/>
      <c r="F1003" s="859"/>
      <c r="G1003" s="860"/>
      <c r="H1003" s="857"/>
      <c r="I1003" s="861"/>
      <c r="J1003" s="295"/>
      <c r="K1003" s="296">
        <f t="shared" si="16"/>
        <v>0</v>
      </c>
      <c r="L1003"/>
    </row>
    <row r="1004" spans="1:12">
      <c r="A1004" s="855" t="s">
        <v>586</v>
      </c>
      <c r="B1004" s="856"/>
      <c r="C1004" s="856"/>
      <c r="D1004" s="857"/>
      <c r="E1004" s="858"/>
      <c r="F1004" s="859"/>
      <c r="G1004" s="860"/>
      <c r="H1004" s="857"/>
      <c r="I1004" s="861"/>
      <c r="J1004" s="295"/>
      <c r="K1004" s="296">
        <f t="shared" si="16"/>
        <v>0</v>
      </c>
      <c r="L1004"/>
    </row>
    <row r="1005" spans="1:12">
      <c r="A1005" s="855" t="s">
        <v>586</v>
      </c>
      <c r="B1005" s="856"/>
      <c r="C1005" s="856"/>
      <c r="D1005" s="857"/>
      <c r="E1005" s="858"/>
      <c r="F1005" s="859"/>
      <c r="G1005" s="860"/>
      <c r="H1005" s="857"/>
      <c r="I1005" s="861"/>
      <c r="J1005" s="295"/>
      <c r="K1005" s="296">
        <f t="shared" si="16"/>
        <v>0</v>
      </c>
      <c r="L1005"/>
    </row>
    <row r="1006" spans="1:12">
      <c r="A1006" s="855" t="s">
        <v>586</v>
      </c>
      <c r="B1006" s="856"/>
      <c r="C1006" s="856"/>
      <c r="D1006" s="857"/>
      <c r="E1006" s="858"/>
      <c r="F1006" s="859"/>
      <c r="G1006" s="860"/>
      <c r="H1006" s="857"/>
      <c r="I1006" s="861"/>
      <c r="J1006" s="295"/>
      <c r="K1006" s="296">
        <f t="shared" si="16"/>
        <v>0</v>
      </c>
      <c r="L1006"/>
    </row>
    <row r="1007" spans="1:12">
      <c r="A1007" s="855" t="s">
        <v>586</v>
      </c>
      <c r="B1007" s="856"/>
      <c r="C1007" s="856"/>
      <c r="D1007" s="857"/>
      <c r="E1007" s="858"/>
      <c r="F1007" s="859"/>
      <c r="G1007" s="860"/>
      <c r="H1007" s="857"/>
      <c r="I1007" s="861"/>
      <c r="J1007" s="295"/>
      <c r="K1007" s="296">
        <f t="shared" si="16"/>
        <v>0</v>
      </c>
      <c r="L1007"/>
    </row>
    <row r="1008" spans="1:12">
      <c r="A1008" s="855" t="s">
        <v>586</v>
      </c>
      <c r="B1008" s="856"/>
      <c r="C1008" s="856"/>
      <c r="D1008" s="857"/>
      <c r="E1008" s="858"/>
      <c r="F1008" s="859"/>
      <c r="G1008" s="860"/>
      <c r="H1008" s="857"/>
      <c r="I1008" s="861"/>
      <c r="J1008" s="295"/>
      <c r="K1008" s="296">
        <f t="shared" si="16"/>
        <v>0</v>
      </c>
      <c r="L1008"/>
    </row>
    <row r="1009" spans="1:12">
      <c r="A1009" s="855" t="s">
        <v>586</v>
      </c>
      <c r="B1009" s="856"/>
      <c r="C1009" s="856"/>
      <c r="D1009" s="857"/>
      <c r="E1009" s="858"/>
      <c r="F1009" s="859"/>
      <c r="G1009" s="860"/>
      <c r="H1009" s="857"/>
      <c r="I1009" s="861"/>
      <c r="J1009" s="295"/>
      <c r="K1009" s="296">
        <f t="shared" si="16"/>
        <v>0</v>
      </c>
      <c r="L1009"/>
    </row>
    <row r="1010" spans="1:12">
      <c r="A1010" s="855" t="s">
        <v>586</v>
      </c>
      <c r="B1010" s="856"/>
      <c r="C1010" s="856"/>
      <c r="D1010" s="857"/>
      <c r="E1010" s="858"/>
      <c r="F1010" s="859"/>
      <c r="G1010" s="860"/>
      <c r="H1010" s="857"/>
      <c r="I1010" s="861"/>
      <c r="J1010" s="295"/>
      <c r="K1010" s="296">
        <f t="shared" si="16"/>
        <v>0</v>
      </c>
      <c r="L1010"/>
    </row>
    <row r="1011" spans="1:12">
      <c r="A1011" s="855" t="s">
        <v>590</v>
      </c>
      <c r="B1011" s="856"/>
      <c r="C1011" s="856"/>
      <c r="D1011" s="857"/>
      <c r="E1011" s="858"/>
      <c r="F1011" s="859"/>
      <c r="G1011" s="860"/>
      <c r="H1011" s="857"/>
      <c r="I1011" s="861"/>
      <c r="J1011" s="295"/>
      <c r="K1011" s="296">
        <f t="shared" si="16"/>
        <v>0</v>
      </c>
      <c r="L1011"/>
    </row>
    <row r="1012" spans="1:12">
      <c r="A1012" s="855" t="s">
        <v>590</v>
      </c>
      <c r="B1012" s="856"/>
      <c r="C1012" s="856"/>
      <c r="D1012" s="857"/>
      <c r="E1012" s="858"/>
      <c r="F1012" s="859"/>
      <c r="G1012" s="860"/>
      <c r="H1012" s="857"/>
      <c r="I1012" s="861"/>
      <c r="J1012" s="295"/>
      <c r="K1012" s="296">
        <f t="shared" si="16"/>
        <v>0</v>
      </c>
      <c r="L1012"/>
    </row>
    <row r="1013" spans="1:12">
      <c r="A1013" s="855" t="s">
        <v>586</v>
      </c>
      <c r="B1013" s="856"/>
      <c r="C1013" s="856"/>
      <c r="D1013" s="857"/>
      <c r="E1013" s="858"/>
      <c r="F1013" s="859"/>
      <c r="G1013" s="860"/>
      <c r="H1013" s="857"/>
      <c r="I1013" s="861"/>
      <c r="J1013" s="295"/>
      <c r="K1013" s="296">
        <f t="shared" si="16"/>
        <v>0</v>
      </c>
      <c r="L1013"/>
    </row>
    <row r="1014" spans="1:12">
      <c r="A1014" s="855" t="s">
        <v>586</v>
      </c>
      <c r="B1014" s="856"/>
      <c r="C1014" s="856"/>
      <c r="D1014" s="857"/>
      <c r="E1014" s="858"/>
      <c r="F1014" s="859"/>
      <c r="G1014" s="860"/>
      <c r="H1014" s="857"/>
      <c r="I1014" s="861"/>
      <c r="J1014" s="295"/>
      <c r="K1014" s="296">
        <f t="shared" si="16"/>
        <v>0</v>
      </c>
      <c r="L1014"/>
    </row>
    <row r="1015" spans="1:12">
      <c r="A1015" s="855" t="s">
        <v>586</v>
      </c>
      <c r="B1015" s="856"/>
      <c r="C1015" s="856"/>
      <c r="D1015" s="857"/>
      <c r="E1015" s="858"/>
      <c r="F1015" s="859"/>
      <c r="G1015" s="860"/>
      <c r="H1015" s="857"/>
      <c r="I1015" s="861"/>
      <c r="J1015" s="295"/>
      <c r="K1015" s="296">
        <f t="shared" si="16"/>
        <v>0</v>
      </c>
      <c r="L1015"/>
    </row>
    <row r="1016" spans="1:12">
      <c r="A1016" s="855" t="s">
        <v>586</v>
      </c>
      <c r="B1016" s="856"/>
      <c r="C1016" s="856"/>
      <c r="D1016" s="857"/>
      <c r="E1016" s="858"/>
      <c r="F1016" s="859"/>
      <c r="G1016" s="860"/>
      <c r="H1016" s="857"/>
      <c r="I1016" s="861"/>
      <c r="J1016" s="295"/>
      <c r="K1016" s="296">
        <f t="shared" si="16"/>
        <v>0</v>
      </c>
      <c r="L1016"/>
    </row>
    <row r="1017" spans="1:12">
      <c r="A1017" s="855" t="s">
        <v>586</v>
      </c>
      <c r="B1017" s="856"/>
      <c r="C1017" s="856"/>
      <c r="D1017" s="857"/>
      <c r="E1017" s="858"/>
      <c r="F1017" s="859"/>
      <c r="G1017" s="860"/>
      <c r="H1017" s="857"/>
      <c r="I1017" s="861"/>
      <c r="J1017" s="295"/>
      <c r="K1017" s="296">
        <f t="shared" si="16"/>
        <v>0</v>
      </c>
      <c r="L1017"/>
    </row>
    <row r="1018" spans="1:12">
      <c r="A1018" s="855" t="s">
        <v>586</v>
      </c>
      <c r="B1018" s="856"/>
      <c r="C1018" s="856"/>
      <c r="D1018" s="857"/>
      <c r="E1018" s="858"/>
      <c r="F1018" s="859"/>
      <c r="G1018" s="860"/>
      <c r="H1018" s="857"/>
      <c r="I1018" s="861"/>
      <c r="J1018" s="295"/>
      <c r="K1018" s="296">
        <f t="shared" si="16"/>
        <v>0</v>
      </c>
      <c r="L1018"/>
    </row>
    <row r="1019" spans="1:12">
      <c r="A1019" s="855" t="s">
        <v>586</v>
      </c>
      <c r="B1019" s="856"/>
      <c r="C1019" s="856"/>
      <c r="D1019" s="857"/>
      <c r="E1019" s="858"/>
      <c r="F1019" s="859"/>
      <c r="G1019" s="860"/>
      <c r="H1019" s="857"/>
      <c r="I1019" s="861"/>
      <c r="J1019" s="295"/>
      <c r="K1019" s="296">
        <f t="shared" si="16"/>
        <v>0</v>
      </c>
      <c r="L1019"/>
    </row>
    <row r="1020" spans="1:12">
      <c r="A1020" s="855" t="s">
        <v>590</v>
      </c>
      <c r="B1020" s="856"/>
      <c r="C1020" s="856"/>
      <c r="D1020" s="857"/>
      <c r="E1020" s="858"/>
      <c r="F1020" s="859"/>
      <c r="G1020" s="860"/>
      <c r="H1020" s="857"/>
      <c r="I1020" s="861"/>
      <c r="J1020" s="295"/>
      <c r="K1020" s="296">
        <f t="shared" si="16"/>
        <v>0</v>
      </c>
      <c r="L1020"/>
    </row>
    <row r="1021" spans="1:12">
      <c r="A1021" s="855" t="s">
        <v>590</v>
      </c>
      <c r="B1021" s="856"/>
      <c r="C1021" s="856"/>
      <c r="D1021" s="857"/>
      <c r="E1021" s="858"/>
      <c r="F1021" s="859"/>
      <c r="G1021" s="860"/>
      <c r="H1021" s="857"/>
      <c r="I1021" s="861"/>
      <c r="J1021" s="295"/>
      <c r="K1021" s="296">
        <f t="shared" si="16"/>
        <v>0</v>
      </c>
      <c r="L1021"/>
    </row>
    <row r="1022" spans="1:12">
      <c r="A1022" s="855" t="s">
        <v>590</v>
      </c>
      <c r="B1022" s="856"/>
      <c r="C1022" s="856"/>
      <c r="D1022" s="857"/>
      <c r="E1022" s="858"/>
      <c r="F1022" s="859"/>
      <c r="G1022" s="860"/>
      <c r="H1022" s="857"/>
      <c r="I1022" s="861"/>
      <c r="J1022" s="295"/>
      <c r="K1022" s="296">
        <f t="shared" si="16"/>
        <v>0</v>
      </c>
      <c r="L1022"/>
    </row>
    <row r="1023" spans="1:12">
      <c r="A1023" s="855" t="s">
        <v>590</v>
      </c>
      <c r="B1023" s="856"/>
      <c r="C1023" s="856"/>
      <c r="D1023" s="857"/>
      <c r="E1023" s="858"/>
      <c r="F1023" s="859"/>
      <c r="G1023" s="860"/>
      <c r="H1023" s="857"/>
      <c r="I1023" s="861"/>
      <c r="J1023" s="295"/>
      <c r="K1023" s="296">
        <f t="shared" si="16"/>
        <v>0</v>
      </c>
      <c r="L1023"/>
    </row>
    <row r="1024" spans="1:12">
      <c r="A1024" s="855" t="s">
        <v>590</v>
      </c>
      <c r="B1024" s="856"/>
      <c r="C1024" s="856"/>
      <c r="D1024" s="857"/>
      <c r="E1024" s="858"/>
      <c r="F1024" s="859"/>
      <c r="G1024" s="860"/>
      <c r="H1024" s="857"/>
      <c r="I1024" s="861"/>
      <c r="J1024" s="295"/>
      <c r="K1024" s="296">
        <f t="shared" si="16"/>
        <v>0</v>
      </c>
      <c r="L1024"/>
    </row>
    <row r="1025" spans="1:12">
      <c r="A1025" s="855" t="s">
        <v>586</v>
      </c>
      <c r="B1025" s="856"/>
      <c r="C1025" s="856"/>
      <c r="D1025" s="857"/>
      <c r="E1025" s="858"/>
      <c r="F1025" s="859"/>
      <c r="G1025" s="860"/>
      <c r="H1025" s="857"/>
      <c r="I1025" s="861"/>
      <c r="J1025" s="295"/>
      <c r="K1025" s="296">
        <f t="shared" si="16"/>
        <v>0</v>
      </c>
      <c r="L1025"/>
    </row>
    <row r="1026" spans="1:12">
      <c r="A1026" s="855" t="s">
        <v>590</v>
      </c>
      <c r="B1026" s="856"/>
      <c r="C1026" s="856"/>
      <c r="D1026" s="857"/>
      <c r="E1026" s="858"/>
      <c r="F1026" s="859"/>
      <c r="G1026" s="860"/>
      <c r="H1026" s="857"/>
      <c r="I1026" s="861"/>
      <c r="J1026" s="295"/>
      <c r="K1026" s="296">
        <f t="shared" si="16"/>
        <v>0</v>
      </c>
      <c r="L1026"/>
    </row>
    <row r="1027" spans="1:12">
      <c r="A1027" s="855" t="s">
        <v>590</v>
      </c>
      <c r="B1027" s="856"/>
      <c r="C1027" s="856"/>
      <c r="D1027" s="857"/>
      <c r="E1027" s="858"/>
      <c r="F1027" s="859"/>
      <c r="G1027" s="860"/>
      <c r="H1027" s="857"/>
      <c r="I1027" s="861"/>
      <c r="J1027" s="295"/>
      <c r="K1027" s="296">
        <f t="shared" si="16"/>
        <v>0</v>
      </c>
      <c r="L1027"/>
    </row>
    <row r="1028" spans="1:12">
      <c r="A1028" s="855" t="s">
        <v>590</v>
      </c>
      <c r="B1028" s="856"/>
      <c r="C1028" s="856"/>
      <c r="D1028" s="857"/>
      <c r="E1028" s="858"/>
      <c r="F1028" s="859"/>
      <c r="G1028" s="860"/>
      <c r="H1028" s="857"/>
      <c r="I1028" s="861"/>
      <c r="J1028" s="295"/>
      <c r="K1028" s="296">
        <f t="shared" si="16"/>
        <v>0</v>
      </c>
      <c r="L1028"/>
    </row>
    <row r="1029" spans="1:12">
      <c r="A1029" s="855" t="s">
        <v>590</v>
      </c>
      <c r="B1029" s="856"/>
      <c r="C1029" s="856"/>
      <c r="D1029" s="857"/>
      <c r="E1029" s="858"/>
      <c r="F1029" s="859"/>
      <c r="G1029" s="860"/>
      <c r="H1029" s="857"/>
      <c r="I1029" s="861"/>
      <c r="J1029" s="295"/>
      <c r="K1029" s="296">
        <f t="shared" si="16"/>
        <v>0</v>
      </c>
      <c r="L1029"/>
    </row>
    <row r="1030" spans="1:12">
      <c r="A1030" s="855" t="s">
        <v>590</v>
      </c>
      <c r="B1030" s="856"/>
      <c r="C1030" s="856"/>
      <c r="D1030" s="857"/>
      <c r="E1030" s="858"/>
      <c r="F1030" s="859"/>
      <c r="G1030" s="860"/>
      <c r="H1030" s="857"/>
      <c r="I1030" s="861"/>
      <c r="J1030" s="295"/>
      <c r="K1030" s="296">
        <f t="shared" si="16"/>
        <v>0</v>
      </c>
      <c r="L1030"/>
    </row>
    <row r="1031" spans="1:12">
      <c r="A1031" s="855" t="s">
        <v>586</v>
      </c>
      <c r="B1031" s="856"/>
      <c r="C1031" s="856"/>
      <c r="D1031" s="857"/>
      <c r="E1031" s="858"/>
      <c r="F1031" s="859"/>
      <c r="G1031" s="860"/>
      <c r="H1031" s="857"/>
      <c r="I1031" s="861"/>
      <c r="J1031" s="295"/>
      <c r="K1031" s="296">
        <f t="shared" si="16"/>
        <v>0</v>
      </c>
      <c r="L1031"/>
    </row>
    <row r="1032" spans="1:12">
      <c r="A1032" s="855" t="s">
        <v>602</v>
      </c>
      <c r="B1032" s="856"/>
      <c r="C1032" s="856"/>
      <c r="D1032" s="857"/>
      <c r="E1032" s="858"/>
      <c r="F1032" s="859"/>
      <c r="G1032" s="860"/>
      <c r="H1032" s="857"/>
      <c r="I1032" s="861"/>
      <c r="J1032" s="295"/>
      <c r="K1032" s="296">
        <f t="shared" si="16"/>
        <v>0</v>
      </c>
      <c r="L1032"/>
    </row>
    <row r="1033" spans="1:12">
      <c r="A1033" s="855" t="s">
        <v>607</v>
      </c>
      <c r="B1033" s="856"/>
      <c r="C1033" s="856"/>
      <c r="D1033" s="857"/>
      <c r="E1033" s="858"/>
      <c r="F1033" s="859"/>
      <c r="G1033" s="860"/>
      <c r="H1033" s="857"/>
      <c r="I1033" s="861"/>
      <c r="J1033" s="295"/>
      <c r="K1033" s="296">
        <f t="shared" ref="K1033:K1096" si="17">IF(LEFT(A1033,2)="TU",(J1033-I1033)*E1033/100*100000*2,(J1033-I1033)*E1033/100*100000)</f>
        <v>0</v>
      </c>
      <c r="L1033"/>
    </row>
    <row r="1034" spans="1:12">
      <c r="A1034" s="855" t="s">
        <v>607</v>
      </c>
      <c r="B1034" s="856"/>
      <c r="C1034" s="856"/>
      <c r="D1034" s="857"/>
      <c r="E1034" s="858"/>
      <c r="F1034" s="859"/>
      <c r="G1034" s="860"/>
      <c r="H1034" s="857"/>
      <c r="I1034" s="861"/>
      <c r="J1034" s="295"/>
      <c r="K1034" s="296">
        <f t="shared" si="17"/>
        <v>0</v>
      </c>
      <c r="L1034"/>
    </row>
    <row r="1035" spans="1:12">
      <c r="A1035" s="855" t="s">
        <v>607</v>
      </c>
      <c r="B1035" s="856"/>
      <c r="C1035" s="856"/>
      <c r="D1035" s="857"/>
      <c r="E1035" s="858"/>
      <c r="F1035" s="859"/>
      <c r="G1035" s="860"/>
      <c r="H1035" s="857"/>
      <c r="I1035" s="861"/>
      <c r="J1035" s="295"/>
      <c r="K1035" s="296">
        <f t="shared" si="17"/>
        <v>0</v>
      </c>
      <c r="L1035"/>
    </row>
    <row r="1036" spans="1:12">
      <c r="A1036" s="855" t="s">
        <v>607</v>
      </c>
      <c r="B1036" s="856"/>
      <c r="C1036" s="856"/>
      <c r="D1036" s="857"/>
      <c r="E1036" s="858"/>
      <c r="F1036" s="859"/>
      <c r="G1036" s="860"/>
      <c r="H1036" s="857"/>
      <c r="I1036" s="861"/>
      <c r="J1036" s="295"/>
      <c r="K1036" s="296">
        <f t="shared" si="17"/>
        <v>0</v>
      </c>
      <c r="L1036"/>
    </row>
    <row r="1037" spans="1:12">
      <c r="A1037" s="855" t="s">
        <v>602</v>
      </c>
      <c r="B1037" s="856"/>
      <c r="C1037" s="856"/>
      <c r="D1037" s="857"/>
      <c r="E1037" s="858"/>
      <c r="F1037" s="859"/>
      <c r="G1037" s="860"/>
      <c r="H1037" s="857"/>
      <c r="I1037" s="861"/>
      <c r="J1037" s="295"/>
      <c r="K1037" s="296">
        <f t="shared" si="17"/>
        <v>0</v>
      </c>
      <c r="L1037"/>
    </row>
    <row r="1038" spans="1:12">
      <c r="A1038" s="855" t="s">
        <v>607</v>
      </c>
      <c r="B1038" s="856"/>
      <c r="C1038" s="856"/>
      <c r="D1038" s="857"/>
      <c r="E1038" s="858"/>
      <c r="F1038" s="859"/>
      <c r="G1038" s="860"/>
      <c r="H1038" s="857"/>
      <c r="I1038" s="861"/>
      <c r="J1038" s="295"/>
      <c r="K1038" s="296">
        <f t="shared" si="17"/>
        <v>0</v>
      </c>
      <c r="L1038"/>
    </row>
    <row r="1039" spans="1:12">
      <c r="A1039" s="855" t="s">
        <v>607</v>
      </c>
      <c r="B1039" s="856"/>
      <c r="C1039" s="856"/>
      <c r="D1039" s="857"/>
      <c r="E1039" s="858"/>
      <c r="F1039" s="859"/>
      <c r="G1039" s="860"/>
      <c r="H1039" s="857"/>
      <c r="I1039" s="861"/>
      <c r="J1039" s="295"/>
      <c r="K1039" s="296">
        <f t="shared" si="17"/>
        <v>0</v>
      </c>
      <c r="L1039"/>
    </row>
    <row r="1040" spans="1:12">
      <c r="A1040" s="855" t="s">
        <v>607</v>
      </c>
      <c r="B1040" s="856"/>
      <c r="C1040" s="856"/>
      <c r="D1040" s="857"/>
      <c r="E1040" s="858"/>
      <c r="F1040" s="859"/>
      <c r="G1040" s="860"/>
      <c r="H1040" s="857"/>
      <c r="I1040" s="861"/>
      <c r="J1040" s="295"/>
      <c r="K1040" s="296">
        <f t="shared" si="17"/>
        <v>0</v>
      </c>
      <c r="L1040"/>
    </row>
    <row r="1041" spans="1:12">
      <c r="A1041" s="855" t="s">
        <v>602</v>
      </c>
      <c r="B1041" s="856"/>
      <c r="C1041" s="856"/>
      <c r="D1041" s="857"/>
      <c r="E1041" s="858"/>
      <c r="F1041" s="859"/>
      <c r="G1041" s="860"/>
      <c r="H1041" s="857"/>
      <c r="I1041" s="861"/>
      <c r="J1041" s="295"/>
      <c r="K1041" s="296">
        <f t="shared" si="17"/>
        <v>0</v>
      </c>
      <c r="L1041"/>
    </row>
    <row r="1042" spans="1:12">
      <c r="A1042" s="855" t="s">
        <v>602</v>
      </c>
      <c r="B1042" s="856"/>
      <c r="C1042" s="856"/>
      <c r="D1042" s="857"/>
      <c r="E1042" s="858"/>
      <c r="F1042" s="859"/>
      <c r="G1042" s="860"/>
      <c r="H1042" s="857"/>
      <c r="I1042" s="861"/>
      <c r="J1042" s="295"/>
      <c r="K1042" s="296">
        <f t="shared" si="17"/>
        <v>0</v>
      </c>
      <c r="L1042"/>
    </row>
    <row r="1043" spans="1:12">
      <c r="A1043" s="855" t="s">
        <v>607</v>
      </c>
      <c r="B1043" s="856"/>
      <c r="C1043" s="856"/>
      <c r="D1043" s="857"/>
      <c r="E1043" s="858"/>
      <c r="F1043" s="859"/>
      <c r="G1043" s="860"/>
      <c r="H1043" s="857"/>
      <c r="I1043" s="861"/>
      <c r="J1043" s="295"/>
      <c r="K1043" s="296">
        <f t="shared" si="17"/>
        <v>0</v>
      </c>
      <c r="L1043"/>
    </row>
    <row r="1044" spans="1:12">
      <c r="A1044" s="855" t="s">
        <v>602</v>
      </c>
      <c r="B1044" s="856"/>
      <c r="C1044" s="856"/>
      <c r="D1044" s="857"/>
      <c r="E1044" s="858"/>
      <c r="F1044" s="859"/>
      <c r="G1044" s="860"/>
      <c r="H1044" s="857"/>
      <c r="I1044" s="861"/>
      <c r="J1044" s="295"/>
      <c r="K1044" s="296">
        <f t="shared" si="17"/>
        <v>0</v>
      </c>
      <c r="L1044"/>
    </row>
    <row r="1045" spans="1:12">
      <c r="A1045" s="855" t="s">
        <v>607</v>
      </c>
      <c r="B1045" s="856"/>
      <c r="C1045" s="856"/>
      <c r="D1045" s="857"/>
      <c r="E1045" s="858"/>
      <c r="F1045" s="859"/>
      <c r="G1045" s="860"/>
      <c r="H1045" s="857"/>
      <c r="I1045" s="861"/>
      <c r="J1045" s="295"/>
      <c r="K1045" s="296">
        <f t="shared" si="17"/>
        <v>0</v>
      </c>
      <c r="L1045"/>
    </row>
    <row r="1046" spans="1:12">
      <c r="A1046" s="855" t="s">
        <v>607</v>
      </c>
      <c r="B1046" s="856"/>
      <c r="C1046" s="856"/>
      <c r="D1046" s="857"/>
      <c r="E1046" s="858"/>
      <c r="F1046" s="859"/>
      <c r="G1046" s="860"/>
      <c r="H1046" s="857"/>
      <c r="I1046" s="861"/>
      <c r="J1046" s="295"/>
      <c r="K1046" s="296">
        <f t="shared" si="17"/>
        <v>0</v>
      </c>
      <c r="L1046"/>
    </row>
    <row r="1047" spans="1:12">
      <c r="A1047" s="855" t="s">
        <v>607</v>
      </c>
      <c r="B1047" s="856"/>
      <c r="C1047" s="856"/>
      <c r="D1047" s="857"/>
      <c r="E1047" s="858"/>
      <c r="F1047" s="859"/>
      <c r="G1047" s="860"/>
      <c r="H1047" s="857"/>
      <c r="I1047" s="861"/>
      <c r="J1047" s="295"/>
      <c r="K1047" s="296">
        <f t="shared" si="17"/>
        <v>0</v>
      </c>
      <c r="L1047"/>
    </row>
    <row r="1048" spans="1:12">
      <c r="A1048" s="855" t="s">
        <v>607</v>
      </c>
      <c r="B1048" s="856"/>
      <c r="C1048" s="856"/>
      <c r="D1048" s="857"/>
      <c r="E1048" s="858"/>
      <c r="F1048" s="859"/>
      <c r="G1048" s="860"/>
      <c r="H1048" s="857"/>
      <c r="I1048" s="861"/>
      <c r="J1048" s="295"/>
      <c r="K1048" s="296">
        <f t="shared" si="17"/>
        <v>0</v>
      </c>
      <c r="L1048"/>
    </row>
    <row r="1049" spans="1:12">
      <c r="A1049" s="855" t="s">
        <v>607</v>
      </c>
      <c r="B1049" s="856"/>
      <c r="C1049" s="856"/>
      <c r="D1049" s="857"/>
      <c r="E1049" s="858"/>
      <c r="F1049" s="859"/>
      <c r="G1049" s="860"/>
      <c r="H1049" s="857"/>
      <c r="I1049" s="861"/>
      <c r="J1049" s="295"/>
      <c r="K1049" s="296">
        <f t="shared" si="17"/>
        <v>0</v>
      </c>
      <c r="L1049"/>
    </row>
    <row r="1050" spans="1:12">
      <c r="A1050" s="855" t="s">
        <v>607</v>
      </c>
      <c r="B1050" s="856"/>
      <c r="C1050" s="856"/>
      <c r="D1050" s="857"/>
      <c r="E1050" s="858"/>
      <c r="F1050" s="859"/>
      <c r="G1050" s="860"/>
      <c r="H1050" s="857"/>
      <c r="I1050" s="861"/>
      <c r="J1050" s="295"/>
      <c r="K1050" s="296">
        <f t="shared" si="17"/>
        <v>0</v>
      </c>
      <c r="L1050"/>
    </row>
    <row r="1051" spans="1:12">
      <c r="A1051" s="855" t="s">
        <v>607</v>
      </c>
      <c r="B1051" s="856"/>
      <c r="C1051" s="856"/>
      <c r="D1051" s="857"/>
      <c r="E1051" s="858"/>
      <c r="F1051" s="859"/>
      <c r="G1051" s="860"/>
      <c r="H1051" s="857"/>
      <c r="I1051" s="861"/>
      <c r="J1051" s="295"/>
      <c r="K1051" s="296">
        <f t="shared" si="17"/>
        <v>0</v>
      </c>
      <c r="L1051"/>
    </row>
    <row r="1052" spans="1:12">
      <c r="A1052" s="855" t="s">
        <v>607</v>
      </c>
      <c r="B1052" s="856"/>
      <c r="C1052" s="856"/>
      <c r="D1052" s="857"/>
      <c r="E1052" s="858"/>
      <c r="F1052" s="859"/>
      <c r="G1052" s="860"/>
      <c r="H1052" s="857"/>
      <c r="I1052" s="861"/>
      <c r="J1052" s="295"/>
      <c r="K1052" s="296">
        <f t="shared" si="17"/>
        <v>0</v>
      </c>
      <c r="L1052"/>
    </row>
    <row r="1053" spans="1:12">
      <c r="A1053" s="855" t="s">
        <v>607</v>
      </c>
      <c r="B1053" s="856"/>
      <c r="C1053" s="856"/>
      <c r="D1053" s="857"/>
      <c r="E1053" s="858"/>
      <c r="F1053" s="859"/>
      <c r="G1053" s="860"/>
      <c r="H1053" s="857"/>
      <c r="I1053" s="861"/>
      <c r="J1053" s="295"/>
      <c r="K1053" s="296">
        <f t="shared" si="17"/>
        <v>0</v>
      </c>
      <c r="L1053"/>
    </row>
    <row r="1054" spans="1:12">
      <c r="A1054" s="855" t="s">
        <v>607</v>
      </c>
      <c r="B1054" s="856"/>
      <c r="C1054" s="856"/>
      <c r="D1054" s="857"/>
      <c r="E1054" s="858"/>
      <c r="F1054" s="859"/>
      <c r="G1054" s="860"/>
      <c r="H1054" s="857"/>
      <c r="I1054" s="861"/>
      <c r="J1054" s="295"/>
      <c r="K1054" s="296">
        <f t="shared" si="17"/>
        <v>0</v>
      </c>
      <c r="L1054"/>
    </row>
    <row r="1055" spans="1:12">
      <c r="A1055" s="855" t="s">
        <v>602</v>
      </c>
      <c r="B1055" s="856"/>
      <c r="C1055" s="856"/>
      <c r="D1055" s="857"/>
      <c r="E1055" s="858"/>
      <c r="F1055" s="859"/>
      <c r="G1055" s="860"/>
      <c r="H1055" s="857"/>
      <c r="I1055" s="861"/>
      <c r="J1055" s="295"/>
      <c r="K1055" s="296">
        <f t="shared" si="17"/>
        <v>0</v>
      </c>
      <c r="L1055"/>
    </row>
    <row r="1056" spans="1:12">
      <c r="A1056" s="855" t="s">
        <v>602</v>
      </c>
      <c r="B1056" s="856"/>
      <c r="C1056" s="856"/>
      <c r="D1056" s="857"/>
      <c r="E1056" s="858"/>
      <c r="F1056" s="859"/>
      <c r="G1056" s="860"/>
      <c r="H1056" s="857"/>
      <c r="I1056" s="861"/>
      <c r="J1056" s="295"/>
      <c r="K1056" s="296">
        <f t="shared" si="17"/>
        <v>0</v>
      </c>
      <c r="L1056"/>
    </row>
    <row r="1057" spans="1:12">
      <c r="A1057" s="855" t="s">
        <v>602</v>
      </c>
      <c r="B1057" s="856"/>
      <c r="C1057" s="856"/>
      <c r="D1057" s="857"/>
      <c r="E1057" s="858"/>
      <c r="F1057" s="859"/>
      <c r="G1057" s="860"/>
      <c r="H1057" s="857"/>
      <c r="I1057" s="861"/>
      <c r="J1057" s="295"/>
      <c r="K1057" s="296">
        <f t="shared" si="17"/>
        <v>0</v>
      </c>
      <c r="L1057"/>
    </row>
    <row r="1058" spans="1:12">
      <c r="A1058" s="855" t="s">
        <v>602</v>
      </c>
      <c r="B1058" s="856"/>
      <c r="C1058" s="856"/>
      <c r="D1058" s="857"/>
      <c r="E1058" s="858"/>
      <c r="F1058" s="859"/>
      <c r="G1058" s="860"/>
      <c r="H1058" s="857"/>
      <c r="I1058" s="861"/>
      <c r="J1058" s="295"/>
      <c r="K1058" s="296">
        <f t="shared" si="17"/>
        <v>0</v>
      </c>
      <c r="L1058"/>
    </row>
    <row r="1059" spans="1:12">
      <c r="A1059" s="855" t="s">
        <v>607</v>
      </c>
      <c r="B1059" s="856"/>
      <c r="C1059" s="856"/>
      <c r="D1059" s="857"/>
      <c r="E1059" s="858"/>
      <c r="F1059" s="859"/>
      <c r="G1059" s="860"/>
      <c r="H1059" s="857"/>
      <c r="I1059" s="861"/>
      <c r="J1059" s="295"/>
      <c r="K1059" s="296">
        <f t="shared" si="17"/>
        <v>0</v>
      </c>
      <c r="L1059"/>
    </row>
    <row r="1060" spans="1:12">
      <c r="A1060" s="855" t="s">
        <v>607</v>
      </c>
      <c r="B1060" s="856"/>
      <c r="C1060" s="856"/>
      <c r="D1060" s="857"/>
      <c r="E1060" s="858"/>
      <c r="F1060" s="859"/>
      <c r="G1060" s="860"/>
      <c r="H1060" s="857"/>
      <c r="I1060" s="861"/>
      <c r="J1060" s="295"/>
      <c r="K1060" s="296">
        <f t="shared" si="17"/>
        <v>0</v>
      </c>
      <c r="L1060"/>
    </row>
    <row r="1061" spans="1:12">
      <c r="A1061" s="855" t="s">
        <v>602</v>
      </c>
      <c r="B1061" s="856"/>
      <c r="C1061" s="856"/>
      <c r="D1061" s="857"/>
      <c r="E1061" s="858"/>
      <c r="F1061" s="859"/>
      <c r="G1061" s="860"/>
      <c r="H1061" s="857"/>
      <c r="I1061" s="861"/>
      <c r="J1061" s="295"/>
      <c r="K1061" s="296">
        <f t="shared" si="17"/>
        <v>0</v>
      </c>
      <c r="L1061"/>
    </row>
    <row r="1062" spans="1:12">
      <c r="A1062" s="855" t="s">
        <v>602</v>
      </c>
      <c r="B1062" s="856"/>
      <c r="C1062" s="856"/>
      <c r="D1062" s="857"/>
      <c r="E1062" s="858"/>
      <c r="F1062" s="859"/>
      <c r="G1062" s="860"/>
      <c r="H1062" s="857"/>
      <c r="I1062" s="861"/>
      <c r="J1062" s="295"/>
      <c r="K1062" s="296">
        <f t="shared" si="17"/>
        <v>0</v>
      </c>
      <c r="L1062"/>
    </row>
    <row r="1063" spans="1:12">
      <c r="A1063" s="855" t="s">
        <v>608</v>
      </c>
      <c r="B1063" s="856"/>
      <c r="C1063" s="856"/>
      <c r="D1063" s="857"/>
      <c r="E1063" s="858"/>
      <c r="F1063" s="859"/>
      <c r="G1063" s="860"/>
      <c r="H1063" s="857"/>
      <c r="I1063" s="861"/>
      <c r="J1063" s="295"/>
      <c r="K1063" s="296">
        <f t="shared" si="17"/>
        <v>0</v>
      </c>
      <c r="L1063"/>
    </row>
    <row r="1064" spans="1:12">
      <c r="A1064" s="855" t="s">
        <v>608</v>
      </c>
      <c r="B1064" s="856"/>
      <c r="C1064" s="856"/>
      <c r="D1064" s="857"/>
      <c r="E1064" s="858"/>
      <c r="F1064" s="859"/>
      <c r="G1064" s="860"/>
      <c r="H1064" s="857"/>
      <c r="I1064" s="861"/>
      <c r="J1064" s="295"/>
      <c r="K1064" s="296">
        <f t="shared" si="17"/>
        <v>0</v>
      </c>
      <c r="L1064"/>
    </row>
    <row r="1065" spans="1:12">
      <c r="A1065" s="855" t="s">
        <v>602</v>
      </c>
      <c r="B1065" s="856"/>
      <c r="C1065" s="856"/>
      <c r="D1065" s="857"/>
      <c r="E1065" s="858"/>
      <c r="F1065" s="859"/>
      <c r="G1065" s="860"/>
      <c r="H1065" s="857"/>
      <c r="I1065" s="861"/>
      <c r="J1065" s="295"/>
      <c r="K1065" s="296">
        <f t="shared" si="17"/>
        <v>0</v>
      </c>
      <c r="L1065"/>
    </row>
    <row r="1066" spans="1:12">
      <c r="A1066" s="855" t="s">
        <v>602</v>
      </c>
      <c r="B1066" s="856"/>
      <c r="C1066" s="856"/>
      <c r="D1066" s="857"/>
      <c r="E1066" s="858"/>
      <c r="F1066" s="859"/>
      <c r="G1066" s="860"/>
      <c r="H1066" s="857"/>
      <c r="I1066" s="861"/>
      <c r="J1066" s="295"/>
      <c r="K1066" s="296">
        <f t="shared" si="17"/>
        <v>0</v>
      </c>
      <c r="L1066"/>
    </row>
    <row r="1067" spans="1:12">
      <c r="A1067" s="855" t="s">
        <v>608</v>
      </c>
      <c r="B1067" s="856"/>
      <c r="C1067" s="856"/>
      <c r="D1067" s="857"/>
      <c r="E1067" s="858"/>
      <c r="F1067" s="859"/>
      <c r="G1067" s="860"/>
      <c r="H1067" s="857"/>
      <c r="I1067" s="861"/>
      <c r="J1067" s="295"/>
      <c r="K1067" s="296">
        <f t="shared" si="17"/>
        <v>0</v>
      </c>
      <c r="L1067"/>
    </row>
    <row r="1068" spans="1:12">
      <c r="A1068" s="855" t="s">
        <v>608</v>
      </c>
      <c r="B1068" s="856"/>
      <c r="C1068" s="856"/>
      <c r="D1068" s="857"/>
      <c r="E1068" s="858"/>
      <c r="F1068" s="859"/>
      <c r="G1068" s="860"/>
      <c r="H1068" s="857"/>
      <c r="I1068" s="861"/>
      <c r="J1068" s="295"/>
      <c r="K1068" s="296">
        <f t="shared" si="17"/>
        <v>0</v>
      </c>
      <c r="L1068"/>
    </row>
    <row r="1069" spans="1:12">
      <c r="A1069" s="855" t="s">
        <v>608</v>
      </c>
      <c r="B1069" s="856"/>
      <c r="C1069" s="856"/>
      <c r="D1069" s="857"/>
      <c r="E1069" s="858"/>
      <c r="F1069" s="859"/>
      <c r="G1069" s="860"/>
      <c r="H1069" s="857"/>
      <c r="I1069" s="861"/>
      <c r="J1069" s="295"/>
      <c r="K1069" s="296">
        <f t="shared" si="17"/>
        <v>0</v>
      </c>
      <c r="L1069"/>
    </row>
    <row r="1070" spans="1:12">
      <c r="A1070" s="855" t="s">
        <v>608</v>
      </c>
      <c r="B1070" s="856"/>
      <c r="C1070" s="856"/>
      <c r="D1070" s="857"/>
      <c r="E1070" s="858"/>
      <c r="F1070" s="859"/>
      <c r="G1070" s="860"/>
      <c r="H1070" s="857"/>
      <c r="I1070" s="861"/>
      <c r="J1070" s="295"/>
      <c r="K1070" s="296">
        <f t="shared" si="17"/>
        <v>0</v>
      </c>
      <c r="L1070"/>
    </row>
    <row r="1071" spans="1:12">
      <c r="A1071" s="855" t="s">
        <v>602</v>
      </c>
      <c r="B1071" s="856"/>
      <c r="C1071" s="856"/>
      <c r="D1071" s="857"/>
      <c r="E1071" s="858"/>
      <c r="F1071" s="859"/>
      <c r="G1071" s="860"/>
      <c r="H1071" s="857"/>
      <c r="I1071" s="861"/>
      <c r="J1071" s="295"/>
      <c r="K1071" s="296">
        <f t="shared" si="17"/>
        <v>0</v>
      </c>
      <c r="L1071"/>
    </row>
    <row r="1072" spans="1:12">
      <c r="A1072" s="855" t="s">
        <v>602</v>
      </c>
      <c r="B1072" s="856"/>
      <c r="C1072" s="856"/>
      <c r="D1072" s="857"/>
      <c r="E1072" s="858"/>
      <c r="F1072" s="859"/>
      <c r="G1072" s="860"/>
      <c r="H1072" s="857"/>
      <c r="I1072" s="861"/>
      <c r="J1072" s="295"/>
      <c r="K1072" s="296">
        <f t="shared" si="17"/>
        <v>0</v>
      </c>
      <c r="L1072"/>
    </row>
    <row r="1073" spans="1:12">
      <c r="A1073" s="855" t="s">
        <v>602</v>
      </c>
      <c r="B1073" s="856"/>
      <c r="C1073" s="856"/>
      <c r="D1073" s="857"/>
      <c r="E1073" s="858"/>
      <c r="F1073" s="859"/>
      <c r="G1073" s="860"/>
      <c r="H1073" s="857"/>
      <c r="I1073" s="861"/>
      <c r="J1073" s="295"/>
      <c r="K1073" s="296">
        <f t="shared" si="17"/>
        <v>0</v>
      </c>
      <c r="L1073"/>
    </row>
    <row r="1074" spans="1:12">
      <c r="A1074" s="855" t="s">
        <v>602</v>
      </c>
      <c r="B1074" s="856"/>
      <c r="C1074" s="856"/>
      <c r="D1074" s="857"/>
      <c r="E1074" s="858"/>
      <c r="F1074" s="859"/>
      <c r="G1074" s="860"/>
      <c r="H1074" s="857"/>
      <c r="I1074" s="861"/>
      <c r="J1074" s="295"/>
      <c r="K1074" s="296">
        <f t="shared" si="17"/>
        <v>0</v>
      </c>
      <c r="L1074"/>
    </row>
    <row r="1075" spans="1:12">
      <c r="A1075" s="855" t="s">
        <v>602</v>
      </c>
      <c r="B1075" s="856"/>
      <c r="C1075" s="856"/>
      <c r="D1075" s="857"/>
      <c r="E1075" s="858"/>
      <c r="F1075" s="859"/>
      <c r="G1075" s="860"/>
      <c r="H1075" s="857"/>
      <c r="I1075" s="861"/>
      <c r="J1075" s="295"/>
      <c r="K1075" s="296">
        <f t="shared" si="17"/>
        <v>0</v>
      </c>
      <c r="L1075"/>
    </row>
    <row r="1076" spans="1:12">
      <c r="A1076" s="855" t="s">
        <v>607</v>
      </c>
      <c r="B1076" s="856"/>
      <c r="C1076" s="856"/>
      <c r="D1076" s="857"/>
      <c r="E1076" s="858"/>
      <c r="F1076" s="859"/>
      <c r="G1076" s="860"/>
      <c r="H1076" s="857"/>
      <c r="I1076" s="861"/>
      <c r="J1076" s="295"/>
      <c r="K1076" s="296">
        <f t="shared" si="17"/>
        <v>0</v>
      </c>
      <c r="L1076"/>
    </row>
    <row r="1077" spans="1:12">
      <c r="A1077" s="855" t="s">
        <v>607</v>
      </c>
      <c r="B1077" s="856"/>
      <c r="C1077" s="856"/>
      <c r="D1077" s="857"/>
      <c r="E1077" s="858"/>
      <c r="F1077" s="859"/>
      <c r="G1077" s="860"/>
      <c r="H1077" s="857"/>
      <c r="I1077" s="861"/>
      <c r="J1077" s="295"/>
      <c r="K1077" s="296">
        <f t="shared" si="17"/>
        <v>0</v>
      </c>
      <c r="L1077"/>
    </row>
    <row r="1078" spans="1:12">
      <c r="A1078" s="855" t="s">
        <v>607</v>
      </c>
      <c r="B1078" s="856"/>
      <c r="C1078" s="856"/>
      <c r="D1078" s="857"/>
      <c r="E1078" s="858"/>
      <c r="F1078" s="859"/>
      <c r="G1078" s="860"/>
      <c r="H1078" s="857"/>
      <c r="I1078" s="861"/>
      <c r="J1078" s="295"/>
      <c r="K1078" s="296">
        <f t="shared" si="17"/>
        <v>0</v>
      </c>
      <c r="L1078"/>
    </row>
    <row r="1079" spans="1:12">
      <c r="A1079" s="855" t="s">
        <v>602</v>
      </c>
      <c r="B1079" s="856"/>
      <c r="C1079" s="856"/>
      <c r="D1079" s="857"/>
      <c r="E1079" s="858"/>
      <c r="F1079" s="859"/>
      <c r="G1079" s="860"/>
      <c r="H1079" s="857"/>
      <c r="I1079" s="861"/>
      <c r="J1079" s="295"/>
      <c r="K1079" s="296">
        <f t="shared" si="17"/>
        <v>0</v>
      </c>
      <c r="L1079"/>
    </row>
    <row r="1080" spans="1:12">
      <c r="A1080" s="855" t="s">
        <v>602</v>
      </c>
      <c r="B1080" s="856"/>
      <c r="C1080" s="856"/>
      <c r="D1080" s="857"/>
      <c r="E1080" s="858"/>
      <c r="F1080" s="859"/>
      <c r="G1080" s="860"/>
      <c r="H1080" s="857"/>
      <c r="I1080" s="861"/>
      <c r="J1080" s="295"/>
      <c r="K1080" s="296">
        <f t="shared" si="17"/>
        <v>0</v>
      </c>
      <c r="L1080"/>
    </row>
    <row r="1081" spans="1:12">
      <c r="A1081" s="855" t="s">
        <v>602</v>
      </c>
      <c r="B1081" s="856"/>
      <c r="C1081" s="856"/>
      <c r="D1081" s="857"/>
      <c r="E1081" s="858"/>
      <c r="F1081" s="859"/>
      <c r="G1081" s="860"/>
      <c r="H1081" s="857"/>
      <c r="I1081" s="861"/>
      <c r="J1081" s="295"/>
      <c r="K1081" s="296">
        <f t="shared" si="17"/>
        <v>0</v>
      </c>
      <c r="L1081"/>
    </row>
    <row r="1082" spans="1:12">
      <c r="A1082" s="855" t="s">
        <v>608</v>
      </c>
      <c r="B1082" s="856"/>
      <c r="C1082" s="856"/>
      <c r="D1082" s="857"/>
      <c r="E1082" s="858"/>
      <c r="F1082" s="859"/>
      <c r="G1082" s="860"/>
      <c r="H1082" s="857"/>
      <c r="I1082" s="861"/>
      <c r="J1082" s="295"/>
      <c r="K1082" s="296">
        <f t="shared" si="17"/>
        <v>0</v>
      </c>
      <c r="L1082"/>
    </row>
    <row r="1083" spans="1:12">
      <c r="A1083" s="855" t="s">
        <v>608</v>
      </c>
      <c r="B1083" s="856"/>
      <c r="C1083" s="856"/>
      <c r="D1083" s="857"/>
      <c r="E1083" s="858"/>
      <c r="F1083" s="859"/>
      <c r="G1083" s="860"/>
      <c r="H1083" s="857"/>
      <c r="I1083" s="861"/>
      <c r="J1083" s="295"/>
      <c r="K1083" s="296">
        <f t="shared" si="17"/>
        <v>0</v>
      </c>
      <c r="L1083"/>
    </row>
    <row r="1084" spans="1:12">
      <c r="A1084" s="855" t="s">
        <v>608</v>
      </c>
      <c r="B1084" s="856"/>
      <c r="C1084" s="856"/>
      <c r="D1084" s="857"/>
      <c r="E1084" s="858"/>
      <c r="F1084" s="859"/>
      <c r="G1084" s="860"/>
      <c r="H1084" s="857"/>
      <c r="I1084" s="861"/>
      <c r="J1084" s="295"/>
      <c r="K1084" s="296">
        <f t="shared" si="17"/>
        <v>0</v>
      </c>
      <c r="L1084"/>
    </row>
    <row r="1085" spans="1:12">
      <c r="A1085" s="855" t="s">
        <v>608</v>
      </c>
      <c r="B1085" s="856"/>
      <c r="C1085" s="856"/>
      <c r="D1085" s="857"/>
      <c r="E1085" s="858"/>
      <c r="F1085" s="859"/>
      <c r="G1085" s="860"/>
      <c r="H1085" s="857"/>
      <c r="I1085" s="861"/>
      <c r="J1085" s="295"/>
      <c r="K1085" s="296">
        <f t="shared" si="17"/>
        <v>0</v>
      </c>
      <c r="L1085"/>
    </row>
    <row r="1086" spans="1:12">
      <c r="A1086" s="855" t="s">
        <v>607</v>
      </c>
      <c r="B1086" s="856"/>
      <c r="C1086" s="856"/>
      <c r="D1086" s="857"/>
      <c r="E1086" s="858"/>
      <c r="F1086" s="859"/>
      <c r="G1086" s="860"/>
      <c r="H1086" s="857"/>
      <c r="I1086" s="861"/>
      <c r="J1086" s="295"/>
      <c r="K1086" s="296">
        <f t="shared" si="17"/>
        <v>0</v>
      </c>
      <c r="L1086"/>
    </row>
    <row r="1087" spans="1:12">
      <c r="A1087" s="855" t="s">
        <v>607</v>
      </c>
      <c r="B1087" s="856"/>
      <c r="C1087" s="856"/>
      <c r="D1087" s="857"/>
      <c r="E1087" s="858"/>
      <c r="F1087" s="859"/>
      <c r="G1087" s="860"/>
      <c r="H1087" s="857"/>
      <c r="I1087" s="861"/>
      <c r="J1087" s="295"/>
      <c r="K1087" s="296">
        <f t="shared" si="17"/>
        <v>0</v>
      </c>
      <c r="L1087"/>
    </row>
    <row r="1088" spans="1:12">
      <c r="A1088" s="855" t="s">
        <v>607</v>
      </c>
      <c r="B1088" s="856"/>
      <c r="C1088" s="856"/>
      <c r="D1088" s="857"/>
      <c r="E1088" s="858"/>
      <c r="F1088" s="859"/>
      <c r="G1088" s="860"/>
      <c r="H1088" s="857"/>
      <c r="I1088" s="861"/>
      <c r="J1088" s="295"/>
      <c r="K1088" s="296">
        <f t="shared" si="17"/>
        <v>0</v>
      </c>
      <c r="L1088"/>
    </row>
    <row r="1089" spans="1:12">
      <c r="A1089" s="855" t="s">
        <v>607</v>
      </c>
      <c r="B1089" s="856"/>
      <c r="C1089" s="856"/>
      <c r="D1089" s="857"/>
      <c r="E1089" s="858"/>
      <c r="F1089" s="859"/>
      <c r="G1089" s="860"/>
      <c r="H1089" s="857"/>
      <c r="I1089" s="861"/>
      <c r="J1089" s="295"/>
      <c r="K1089" s="296">
        <f t="shared" si="17"/>
        <v>0</v>
      </c>
      <c r="L1089"/>
    </row>
    <row r="1090" spans="1:12">
      <c r="A1090" s="855" t="s">
        <v>607</v>
      </c>
      <c r="B1090" s="856"/>
      <c r="C1090" s="856"/>
      <c r="D1090" s="857"/>
      <c r="E1090" s="858"/>
      <c r="F1090" s="859"/>
      <c r="G1090" s="860"/>
      <c r="H1090" s="857"/>
      <c r="I1090" s="861"/>
      <c r="J1090" s="295"/>
      <c r="K1090" s="296">
        <f t="shared" si="17"/>
        <v>0</v>
      </c>
      <c r="L1090"/>
    </row>
    <row r="1091" spans="1:12">
      <c r="A1091" s="855" t="s">
        <v>608</v>
      </c>
      <c r="B1091" s="856"/>
      <c r="C1091" s="856"/>
      <c r="D1091" s="857"/>
      <c r="E1091" s="858"/>
      <c r="F1091" s="859"/>
      <c r="G1091" s="860"/>
      <c r="H1091" s="857"/>
      <c r="I1091" s="861"/>
      <c r="J1091" s="295"/>
      <c r="K1091" s="296">
        <f t="shared" si="17"/>
        <v>0</v>
      </c>
      <c r="L1091"/>
    </row>
    <row r="1092" spans="1:12">
      <c r="A1092" s="855" t="s">
        <v>608</v>
      </c>
      <c r="B1092" s="856"/>
      <c r="C1092" s="856"/>
      <c r="D1092" s="857"/>
      <c r="E1092" s="858"/>
      <c r="F1092" s="859"/>
      <c r="G1092" s="860"/>
      <c r="H1092" s="857"/>
      <c r="I1092" s="861"/>
      <c r="J1092" s="295"/>
      <c r="K1092" s="296">
        <f t="shared" si="17"/>
        <v>0</v>
      </c>
      <c r="L1092"/>
    </row>
    <row r="1093" spans="1:12">
      <c r="A1093" s="855" t="s">
        <v>608</v>
      </c>
      <c r="B1093" s="856"/>
      <c r="C1093" s="856"/>
      <c r="D1093" s="857"/>
      <c r="E1093" s="858"/>
      <c r="F1093" s="859"/>
      <c r="G1093" s="860"/>
      <c r="H1093" s="857"/>
      <c r="I1093" s="861"/>
      <c r="J1093" s="295"/>
      <c r="K1093" s="296">
        <f t="shared" si="17"/>
        <v>0</v>
      </c>
      <c r="L1093"/>
    </row>
    <row r="1094" spans="1:12">
      <c r="A1094" s="855" t="s">
        <v>608</v>
      </c>
      <c r="B1094" s="856"/>
      <c r="C1094" s="856"/>
      <c r="D1094" s="857"/>
      <c r="E1094" s="858"/>
      <c r="F1094" s="859"/>
      <c r="G1094" s="860"/>
      <c r="H1094" s="857"/>
      <c r="I1094" s="861"/>
      <c r="J1094" s="295"/>
      <c r="K1094" s="296">
        <f t="shared" si="17"/>
        <v>0</v>
      </c>
      <c r="L1094"/>
    </row>
    <row r="1095" spans="1:12">
      <c r="A1095" s="855" t="s">
        <v>607</v>
      </c>
      <c r="B1095" s="856"/>
      <c r="C1095" s="856"/>
      <c r="D1095" s="857"/>
      <c r="E1095" s="858"/>
      <c r="F1095" s="859"/>
      <c r="G1095" s="860"/>
      <c r="H1095" s="857"/>
      <c r="I1095" s="861"/>
      <c r="J1095" s="295"/>
      <c r="K1095" s="296">
        <f t="shared" si="17"/>
        <v>0</v>
      </c>
      <c r="L1095"/>
    </row>
    <row r="1096" spans="1:12">
      <c r="A1096" s="855" t="s">
        <v>608</v>
      </c>
      <c r="B1096" s="856"/>
      <c r="C1096" s="856"/>
      <c r="D1096" s="857"/>
      <c r="E1096" s="858"/>
      <c r="F1096" s="859"/>
      <c r="G1096" s="860"/>
      <c r="H1096" s="857"/>
      <c r="I1096" s="861"/>
      <c r="J1096" s="295"/>
      <c r="K1096" s="296">
        <f t="shared" si="17"/>
        <v>0</v>
      </c>
      <c r="L1096"/>
    </row>
    <row r="1097" spans="1:12">
      <c r="A1097" s="855" t="s">
        <v>608</v>
      </c>
      <c r="B1097" s="856"/>
      <c r="C1097" s="856"/>
      <c r="D1097" s="857"/>
      <c r="E1097" s="858"/>
      <c r="F1097" s="859"/>
      <c r="G1097" s="860"/>
      <c r="H1097" s="857"/>
      <c r="I1097" s="861"/>
      <c r="J1097" s="295"/>
      <c r="K1097" s="296">
        <f t="shared" ref="K1097:K1160" si="18">IF(LEFT(A1097,2)="TU",(J1097-I1097)*E1097/100*100000*2,(J1097-I1097)*E1097/100*100000)</f>
        <v>0</v>
      </c>
      <c r="L1097"/>
    </row>
    <row r="1098" spans="1:12">
      <c r="A1098" s="855" t="s">
        <v>608</v>
      </c>
      <c r="B1098" s="856"/>
      <c r="C1098" s="856"/>
      <c r="D1098" s="857"/>
      <c r="E1098" s="858"/>
      <c r="F1098" s="859"/>
      <c r="G1098" s="860"/>
      <c r="H1098" s="857"/>
      <c r="I1098" s="861"/>
      <c r="J1098" s="295"/>
      <c r="K1098" s="296">
        <f t="shared" si="18"/>
        <v>0</v>
      </c>
      <c r="L1098"/>
    </row>
    <row r="1099" spans="1:12">
      <c r="A1099" s="855" t="s">
        <v>608</v>
      </c>
      <c r="B1099" s="856"/>
      <c r="C1099" s="856"/>
      <c r="D1099" s="857"/>
      <c r="E1099" s="858"/>
      <c r="F1099" s="859"/>
      <c r="G1099" s="860"/>
      <c r="H1099" s="857"/>
      <c r="I1099" s="861"/>
      <c r="J1099" s="295"/>
      <c r="K1099" s="296">
        <f t="shared" si="18"/>
        <v>0</v>
      </c>
      <c r="L1099"/>
    </row>
    <row r="1100" spans="1:12">
      <c r="A1100" s="855" t="s">
        <v>607</v>
      </c>
      <c r="B1100" s="856"/>
      <c r="C1100" s="856"/>
      <c r="D1100" s="857"/>
      <c r="E1100" s="858"/>
      <c r="F1100" s="859"/>
      <c r="G1100" s="860"/>
      <c r="H1100" s="857"/>
      <c r="I1100" s="861"/>
      <c r="J1100" s="295"/>
      <c r="K1100" s="296">
        <f t="shared" si="18"/>
        <v>0</v>
      </c>
      <c r="L1100"/>
    </row>
    <row r="1101" spans="1:12">
      <c r="A1101" s="855" t="s">
        <v>607</v>
      </c>
      <c r="B1101" s="856"/>
      <c r="C1101" s="856"/>
      <c r="D1101" s="857"/>
      <c r="E1101" s="858"/>
      <c r="F1101" s="859"/>
      <c r="G1101" s="860"/>
      <c r="H1101" s="857"/>
      <c r="I1101" s="861"/>
      <c r="J1101" s="295"/>
      <c r="K1101" s="296">
        <f t="shared" si="18"/>
        <v>0</v>
      </c>
      <c r="L1101"/>
    </row>
    <row r="1102" spans="1:12">
      <c r="A1102" s="855" t="s">
        <v>607</v>
      </c>
      <c r="B1102" s="856"/>
      <c r="C1102" s="856"/>
      <c r="D1102" s="857"/>
      <c r="E1102" s="858"/>
      <c r="F1102" s="859"/>
      <c r="G1102" s="860"/>
      <c r="H1102" s="857"/>
      <c r="I1102" s="861"/>
      <c r="J1102" s="295"/>
      <c r="K1102" s="296">
        <f t="shared" si="18"/>
        <v>0</v>
      </c>
      <c r="L1102"/>
    </row>
    <row r="1103" spans="1:12">
      <c r="A1103" s="855" t="s">
        <v>607</v>
      </c>
      <c r="B1103" s="856"/>
      <c r="C1103" s="856"/>
      <c r="D1103" s="857"/>
      <c r="E1103" s="858"/>
      <c r="F1103" s="859"/>
      <c r="G1103" s="860"/>
      <c r="H1103" s="857"/>
      <c r="I1103" s="861"/>
      <c r="J1103" s="295"/>
      <c r="K1103" s="296">
        <f t="shared" si="18"/>
        <v>0</v>
      </c>
      <c r="L1103"/>
    </row>
    <row r="1104" spans="1:12">
      <c r="A1104" s="855" t="s">
        <v>607</v>
      </c>
      <c r="B1104" s="856"/>
      <c r="C1104" s="856"/>
      <c r="D1104" s="857"/>
      <c r="E1104" s="858"/>
      <c r="F1104" s="859"/>
      <c r="G1104" s="860"/>
      <c r="H1104" s="857"/>
      <c r="I1104" s="861"/>
      <c r="J1104" s="295"/>
      <c r="K1104" s="296">
        <f t="shared" si="18"/>
        <v>0</v>
      </c>
      <c r="L1104"/>
    </row>
    <row r="1105" spans="1:12">
      <c r="A1105" s="855" t="s">
        <v>607</v>
      </c>
      <c r="B1105" s="856"/>
      <c r="C1105" s="856"/>
      <c r="D1105" s="857"/>
      <c r="E1105" s="858"/>
      <c r="F1105" s="859"/>
      <c r="G1105" s="860"/>
      <c r="H1105" s="857"/>
      <c r="I1105" s="861"/>
      <c r="J1105" s="295"/>
      <c r="K1105" s="296">
        <f t="shared" si="18"/>
        <v>0</v>
      </c>
      <c r="L1105"/>
    </row>
    <row r="1106" spans="1:12">
      <c r="A1106" s="855" t="s">
        <v>607</v>
      </c>
      <c r="B1106" s="856"/>
      <c r="C1106" s="856"/>
      <c r="D1106" s="857"/>
      <c r="E1106" s="858"/>
      <c r="F1106" s="859"/>
      <c r="G1106" s="860"/>
      <c r="H1106" s="857"/>
      <c r="I1106" s="861"/>
      <c r="J1106" s="295"/>
      <c r="K1106" s="296">
        <f t="shared" si="18"/>
        <v>0</v>
      </c>
      <c r="L1106"/>
    </row>
    <row r="1107" spans="1:12">
      <c r="A1107" s="855" t="s">
        <v>607</v>
      </c>
      <c r="B1107" s="856"/>
      <c r="C1107" s="856"/>
      <c r="D1107" s="857"/>
      <c r="E1107" s="858"/>
      <c r="F1107" s="859"/>
      <c r="G1107" s="860"/>
      <c r="H1107" s="857"/>
      <c r="I1107" s="861"/>
      <c r="J1107" s="295"/>
      <c r="K1107" s="296">
        <f t="shared" si="18"/>
        <v>0</v>
      </c>
      <c r="L1107"/>
    </row>
    <row r="1108" spans="1:12">
      <c r="A1108" s="855" t="s">
        <v>607</v>
      </c>
      <c r="B1108" s="856"/>
      <c r="C1108" s="856"/>
      <c r="D1108" s="857"/>
      <c r="E1108" s="858"/>
      <c r="F1108" s="859"/>
      <c r="G1108" s="860"/>
      <c r="H1108" s="857"/>
      <c r="I1108" s="861"/>
      <c r="J1108" s="295"/>
      <c r="K1108" s="296">
        <f t="shared" si="18"/>
        <v>0</v>
      </c>
      <c r="L1108"/>
    </row>
    <row r="1109" spans="1:12">
      <c r="A1109" s="855" t="s">
        <v>607</v>
      </c>
      <c r="B1109" s="856"/>
      <c r="C1109" s="856"/>
      <c r="D1109" s="857"/>
      <c r="E1109" s="858"/>
      <c r="F1109" s="859"/>
      <c r="G1109" s="860"/>
      <c r="H1109" s="857"/>
      <c r="I1109" s="861"/>
      <c r="J1109" s="295"/>
      <c r="K1109" s="296">
        <f t="shared" si="18"/>
        <v>0</v>
      </c>
      <c r="L1109"/>
    </row>
    <row r="1110" spans="1:12">
      <c r="A1110" s="855" t="s">
        <v>607</v>
      </c>
      <c r="B1110" s="856"/>
      <c r="C1110" s="856"/>
      <c r="D1110" s="857"/>
      <c r="E1110" s="858"/>
      <c r="F1110" s="859"/>
      <c r="G1110" s="860"/>
      <c r="H1110" s="857"/>
      <c r="I1110" s="861"/>
      <c r="J1110" s="295"/>
      <c r="K1110" s="296">
        <f t="shared" si="18"/>
        <v>0</v>
      </c>
      <c r="L1110"/>
    </row>
    <row r="1111" spans="1:12">
      <c r="A1111" s="855" t="s">
        <v>607</v>
      </c>
      <c r="B1111" s="856"/>
      <c r="C1111" s="856"/>
      <c r="D1111" s="857"/>
      <c r="E1111" s="858"/>
      <c r="F1111" s="859"/>
      <c r="G1111" s="860"/>
      <c r="H1111" s="857"/>
      <c r="I1111" s="861"/>
      <c r="J1111" s="295"/>
      <c r="K1111" s="296">
        <f t="shared" si="18"/>
        <v>0</v>
      </c>
      <c r="L1111"/>
    </row>
    <row r="1112" spans="1:12">
      <c r="A1112" s="855" t="s">
        <v>607</v>
      </c>
      <c r="B1112" s="856"/>
      <c r="C1112" s="856"/>
      <c r="D1112" s="857"/>
      <c r="E1112" s="858"/>
      <c r="F1112" s="859"/>
      <c r="G1112" s="860"/>
      <c r="H1112" s="857"/>
      <c r="I1112" s="861"/>
      <c r="J1112" s="295"/>
      <c r="K1112" s="296">
        <f t="shared" si="18"/>
        <v>0</v>
      </c>
      <c r="L1112"/>
    </row>
    <row r="1113" spans="1:12">
      <c r="A1113" s="855" t="s">
        <v>607</v>
      </c>
      <c r="B1113" s="856"/>
      <c r="C1113" s="856"/>
      <c r="D1113" s="857"/>
      <c r="E1113" s="858"/>
      <c r="F1113" s="859"/>
      <c r="G1113" s="860"/>
      <c r="H1113" s="857"/>
      <c r="I1113" s="861"/>
      <c r="J1113" s="295"/>
      <c r="K1113" s="296">
        <f t="shared" si="18"/>
        <v>0</v>
      </c>
      <c r="L1113"/>
    </row>
    <row r="1114" spans="1:12">
      <c r="A1114" s="855" t="s">
        <v>607</v>
      </c>
      <c r="B1114" s="856"/>
      <c r="C1114" s="856"/>
      <c r="D1114" s="857"/>
      <c r="E1114" s="858"/>
      <c r="F1114" s="859"/>
      <c r="G1114" s="860"/>
      <c r="H1114" s="857"/>
      <c r="I1114" s="861"/>
      <c r="J1114" s="295"/>
      <c r="K1114" s="296">
        <f t="shared" si="18"/>
        <v>0</v>
      </c>
      <c r="L1114"/>
    </row>
    <row r="1115" spans="1:12">
      <c r="A1115" s="855" t="s">
        <v>607</v>
      </c>
      <c r="B1115" s="856"/>
      <c r="C1115" s="856"/>
      <c r="D1115" s="857"/>
      <c r="E1115" s="858"/>
      <c r="F1115" s="859"/>
      <c r="G1115" s="860"/>
      <c r="H1115" s="857"/>
      <c r="I1115" s="861"/>
      <c r="J1115" s="295"/>
      <c r="K1115" s="296">
        <f t="shared" si="18"/>
        <v>0</v>
      </c>
      <c r="L1115"/>
    </row>
    <row r="1116" spans="1:12">
      <c r="A1116" s="855" t="s">
        <v>607</v>
      </c>
      <c r="B1116" s="856"/>
      <c r="C1116" s="856"/>
      <c r="D1116" s="857"/>
      <c r="E1116" s="858"/>
      <c r="F1116" s="859"/>
      <c r="G1116" s="860"/>
      <c r="H1116" s="857"/>
      <c r="I1116" s="861"/>
      <c r="J1116" s="295"/>
      <c r="K1116" s="296">
        <f t="shared" si="18"/>
        <v>0</v>
      </c>
      <c r="L1116"/>
    </row>
    <row r="1117" spans="1:12">
      <c r="A1117" s="855" t="s">
        <v>607</v>
      </c>
      <c r="B1117" s="856"/>
      <c r="C1117" s="856"/>
      <c r="D1117" s="857"/>
      <c r="E1117" s="858"/>
      <c r="F1117" s="859"/>
      <c r="G1117" s="860"/>
      <c r="H1117" s="857"/>
      <c r="I1117" s="861"/>
      <c r="J1117" s="295"/>
      <c r="K1117" s="296">
        <f t="shared" si="18"/>
        <v>0</v>
      </c>
      <c r="L1117"/>
    </row>
    <row r="1118" spans="1:12">
      <c r="A1118" s="855" t="s">
        <v>607</v>
      </c>
      <c r="B1118" s="856"/>
      <c r="C1118" s="856"/>
      <c r="D1118" s="857"/>
      <c r="E1118" s="858"/>
      <c r="F1118" s="859"/>
      <c r="G1118" s="860"/>
      <c r="H1118" s="857"/>
      <c r="I1118" s="861"/>
      <c r="J1118" s="295"/>
      <c r="K1118" s="296">
        <f t="shared" si="18"/>
        <v>0</v>
      </c>
      <c r="L1118"/>
    </row>
    <row r="1119" spans="1:12">
      <c r="A1119" s="855" t="s">
        <v>607</v>
      </c>
      <c r="B1119" s="856"/>
      <c r="C1119" s="856"/>
      <c r="D1119" s="857"/>
      <c r="E1119" s="858"/>
      <c r="F1119" s="859"/>
      <c r="G1119" s="860"/>
      <c r="H1119" s="857"/>
      <c r="I1119" s="861"/>
      <c r="J1119" s="295"/>
      <c r="K1119" s="296">
        <f t="shared" si="18"/>
        <v>0</v>
      </c>
      <c r="L1119"/>
    </row>
    <row r="1120" spans="1:12">
      <c r="A1120" s="855" t="s">
        <v>607</v>
      </c>
      <c r="B1120" s="856"/>
      <c r="C1120" s="856"/>
      <c r="D1120" s="857"/>
      <c r="E1120" s="858"/>
      <c r="F1120" s="859"/>
      <c r="G1120" s="860"/>
      <c r="H1120" s="857"/>
      <c r="I1120" s="861"/>
      <c r="J1120" s="295"/>
      <c r="K1120" s="296">
        <f t="shared" si="18"/>
        <v>0</v>
      </c>
      <c r="L1120"/>
    </row>
    <row r="1121" spans="1:12">
      <c r="A1121" s="855" t="s">
        <v>607</v>
      </c>
      <c r="B1121" s="856"/>
      <c r="C1121" s="856"/>
      <c r="D1121" s="857"/>
      <c r="E1121" s="858"/>
      <c r="F1121" s="859"/>
      <c r="G1121" s="860"/>
      <c r="H1121" s="857"/>
      <c r="I1121" s="861"/>
      <c r="J1121" s="295"/>
      <c r="K1121" s="296">
        <f t="shared" si="18"/>
        <v>0</v>
      </c>
      <c r="L1121"/>
    </row>
    <row r="1122" spans="1:12">
      <c r="A1122" s="855" t="s">
        <v>607</v>
      </c>
      <c r="B1122" s="856"/>
      <c r="C1122" s="856"/>
      <c r="D1122" s="857"/>
      <c r="E1122" s="858"/>
      <c r="F1122" s="859"/>
      <c r="G1122" s="860"/>
      <c r="H1122" s="857"/>
      <c r="I1122" s="861"/>
      <c r="J1122" s="295"/>
      <c r="K1122" s="296">
        <f t="shared" si="18"/>
        <v>0</v>
      </c>
      <c r="L1122"/>
    </row>
    <row r="1123" spans="1:12">
      <c r="A1123" s="855" t="s">
        <v>607</v>
      </c>
      <c r="B1123" s="856"/>
      <c r="C1123" s="856"/>
      <c r="D1123" s="857"/>
      <c r="E1123" s="858"/>
      <c r="F1123" s="859"/>
      <c r="G1123" s="860"/>
      <c r="H1123" s="857"/>
      <c r="I1123" s="861"/>
      <c r="J1123" s="295"/>
      <c r="K1123" s="296">
        <f t="shared" si="18"/>
        <v>0</v>
      </c>
      <c r="L1123"/>
    </row>
    <row r="1124" spans="1:12">
      <c r="A1124" s="855" t="s">
        <v>607</v>
      </c>
      <c r="B1124" s="856"/>
      <c r="C1124" s="856"/>
      <c r="D1124" s="857"/>
      <c r="E1124" s="858"/>
      <c r="F1124" s="859"/>
      <c r="G1124" s="860"/>
      <c r="H1124" s="857"/>
      <c r="I1124" s="861"/>
      <c r="J1124" s="295"/>
      <c r="K1124" s="296">
        <f t="shared" si="18"/>
        <v>0</v>
      </c>
      <c r="L1124"/>
    </row>
    <row r="1125" spans="1:12">
      <c r="A1125" s="855" t="s">
        <v>607</v>
      </c>
      <c r="B1125" s="856"/>
      <c r="C1125" s="856"/>
      <c r="D1125" s="857"/>
      <c r="E1125" s="858"/>
      <c r="F1125" s="859"/>
      <c r="G1125" s="860"/>
      <c r="H1125" s="857"/>
      <c r="I1125" s="861"/>
      <c r="J1125" s="295"/>
      <c r="K1125" s="296">
        <f t="shared" si="18"/>
        <v>0</v>
      </c>
      <c r="L1125"/>
    </row>
    <row r="1126" spans="1:12">
      <c r="A1126" s="855" t="s">
        <v>607</v>
      </c>
      <c r="B1126" s="856"/>
      <c r="C1126" s="856"/>
      <c r="D1126" s="857"/>
      <c r="E1126" s="858"/>
      <c r="F1126" s="859"/>
      <c r="G1126" s="860"/>
      <c r="H1126" s="857"/>
      <c r="I1126" s="861"/>
      <c r="J1126" s="295"/>
      <c r="K1126" s="296">
        <f t="shared" si="18"/>
        <v>0</v>
      </c>
      <c r="L1126"/>
    </row>
    <row r="1127" spans="1:12">
      <c r="A1127" s="855" t="s">
        <v>607</v>
      </c>
      <c r="B1127" s="856"/>
      <c r="C1127" s="856"/>
      <c r="D1127" s="857"/>
      <c r="E1127" s="858"/>
      <c r="F1127" s="859"/>
      <c r="G1127" s="860"/>
      <c r="H1127" s="857"/>
      <c r="I1127" s="861"/>
      <c r="J1127" s="295"/>
      <c r="K1127" s="296">
        <f t="shared" si="18"/>
        <v>0</v>
      </c>
      <c r="L1127"/>
    </row>
    <row r="1128" spans="1:12">
      <c r="A1128" s="855" t="s">
        <v>607</v>
      </c>
      <c r="B1128" s="856"/>
      <c r="C1128" s="856"/>
      <c r="D1128" s="857"/>
      <c r="E1128" s="858"/>
      <c r="F1128" s="859"/>
      <c r="G1128" s="860"/>
      <c r="H1128" s="857"/>
      <c r="I1128" s="861"/>
      <c r="J1128" s="295"/>
      <c r="K1128" s="296">
        <f t="shared" si="18"/>
        <v>0</v>
      </c>
      <c r="L1128"/>
    </row>
    <row r="1129" spans="1:12">
      <c r="A1129" s="855" t="s">
        <v>607</v>
      </c>
      <c r="B1129" s="856"/>
      <c r="C1129" s="856"/>
      <c r="D1129" s="857"/>
      <c r="E1129" s="858"/>
      <c r="F1129" s="859"/>
      <c r="G1129" s="860"/>
      <c r="H1129" s="857"/>
      <c r="I1129" s="861"/>
      <c r="J1129" s="295"/>
      <c r="K1129" s="296">
        <f t="shared" si="18"/>
        <v>0</v>
      </c>
      <c r="L1129"/>
    </row>
    <row r="1130" spans="1:12">
      <c r="A1130" s="855" t="s">
        <v>607</v>
      </c>
      <c r="B1130" s="856"/>
      <c r="C1130" s="856"/>
      <c r="D1130" s="857"/>
      <c r="E1130" s="858"/>
      <c r="F1130" s="859"/>
      <c r="G1130" s="860"/>
      <c r="H1130" s="857"/>
      <c r="I1130" s="861"/>
      <c r="J1130" s="295"/>
      <c r="K1130" s="296">
        <f t="shared" si="18"/>
        <v>0</v>
      </c>
      <c r="L1130"/>
    </row>
    <row r="1131" spans="1:12">
      <c r="A1131" s="855" t="s">
        <v>607</v>
      </c>
      <c r="B1131" s="856"/>
      <c r="C1131" s="856"/>
      <c r="D1131" s="857"/>
      <c r="E1131" s="858"/>
      <c r="F1131" s="859"/>
      <c r="G1131" s="860"/>
      <c r="H1131" s="857"/>
      <c r="I1131" s="861"/>
      <c r="J1131" s="295"/>
      <c r="K1131" s="296">
        <f t="shared" si="18"/>
        <v>0</v>
      </c>
      <c r="L1131"/>
    </row>
    <row r="1132" spans="1:12">
      <c r="A1132" s="855" t="s">
        <v>602</v>
      </c>
      <c r="B1132" s="856"/>
      <c r="C1132" s="856"/>
      <c r="D1132" s="857"/>
      <c r="E1132" s="858"/>
      <c r="F1132" s="859"/>
      <c r="G1132" s="860"/>
      <c r="H1132" s="857"/>
      <c r="I1132" s="861"/>
      <c r="J1132" s="295"/>
      <c r="K1132" s="296">
        <f t="shared" si="18"/>
        <v>0</v>
      </c>
      <c r="L1132"/>
    </row>
    <row r="1133" spans="1:12">
      <c r="A1133" s="855" t="s">
        <v>602</v>
      </c>
      <c r="B1133" s="856"/>
      <c r="C1133" s="856"/>
      <c r="D1133" s="857"/>
      <c r="E1133" s="858"/>
      <c r="F1133" s="859"/>
      <c r="G1133" s="860"/>
      <c r="H1133" s="857"/>
      <c r="I1133" s="861"/>
      <c r="J1133" s="295"/>
      <c r="K1133" s="296">
        <f t="shared" si="18"/>
        <v>0</v>
      </c>
      <c r="L1133"/>
    </row>
    <row r="1134" spans="1:12">
      <c r="A1134" s="855" t="s">
        <v>602</v>
      </c>
      <c r="B1134" s="856"/>
      <c r="C1134" s="856"/>
      <c r="D1134" s="857"/>
      <c r="E1134" s="858"/>
      <c r="F1134" s="859"/>
      <c r="G1134" s="860"/>
      <c r="H1134" s="857"/>
      <c r="I1134" s="861"/>
      <c r="J1134" s="295"/>
      <c r="K1134" s="296">
        <f t="shared" si="18"/>
        <v>0</v>
      </c>
      <c r="L1134"/>
    </row>
    <row r="1135" spans="1:12">
      <c r="A1135" s="855" t="s">
        <v>602</v>
      </c>
      <c r="B1135" s="856"/>
      <c r="C1135" s="856"/>
      <c r="D1135" s="857"/>
      <c r="E1135" s="858"/>
      <c r="F1135" s="859"/>
      <c r="G1135" s="860"/>
      <c r="H1135" s="857"/>
      <c r="I1135" s="861"/>
      <c r="J1135" s="295"/>
      <c r="K1135" s="296">
        <f t="shared" si="18"/>
        <v>0</v>
      </c>
      <c r="L1135"/>
    </row>
    <row r="1136" spans="1:12">
      <c r="A1136" s="855" t="s">
        <v>602</v>
      </c>
      <c r="B1136" s="856"/>
      <c r="C1136" s="856"/>
      <c r="D1136" s="857"/>
      <c r="E1136" s="858"/>
      <c r="F1136" s="859"/>
      <c r="G1136" s="860"/>
      <c r="H1136" s="857"/>
      <c r="I1136" s="861"/>
      <c r="J1136" s="295"/>
      <c r="K1136" s="296">
        <f t="shared" si="18"/>
        <v>0</v>
      </c>
      <c r="L1136"/>
    </row>
    <row r="1137" spans="1:12">
      <c r="A1137" s="855" t="s">
        <v>602</v>
      </c>
      <c r="B1137" s="856"/>
      <c r="C1137" s="856"/>
      <c r="D1137" s="857"/>
      <c r="E1137" s="858"/>
      <c r="F1137" s="859"/>
      <c r="G1137" s="860"/>
      <c r="H1137" s="857"/>
      <c r="I1137" s="861"/>
      <c r="J1137" s="295"/>
      <c r="K1137" s="296">
        <f t="shared" si="18"/>
        <v>0</v>
      </c>
      <c r="L1137"/>
    </row>
    <row r="1138" spans="1:12">
      <c r="A1138" s="855" t="s">
        <v>602</v>
      </c>
      <c r="B1138" s="856"/>
      <c r="C1138" s="856"/>
      <c r="D1138" s="857"/>
      <c r="E1138" s="858"/>
      <c r="F1138" s="859"/>
      <c r="G1138" s="860"/>
      <c r="H1138" s="857"/>
      <c r="I1138" s="861"/>
      <c r="J1138" s="295"/>
      <c r="K1138" s="296">
        <f t="shared" si="18"/>
        <v>0</v>
      </c>
      <c r="L1138"/>
    </row>
    <row r="1139" spans="1:12">
      <c r="A1139" s="855" t="s">
        <v>602</v>
      </c>
      <c r="B1139" s="856"/>
      <c r="C1139" s="856"/>
      <c r="D1139" s="857"/>
      <c r="E1139" s="858"/>
      <c r="F1139" s="859"/>
      <c r="G1139" s="860"/>
      <c r="H1139" s="857"/>
      <c r="I1139" s="861"/>
      <c r="J1139" s="295"/>
      <c r="K1139" s="296">
        <f t="shared" si="18"/>
        <v>0</v>
      </c>
      <c r="L1139"/>
    </row>
    <row r="1140" spans="1:12">
      <c r="A1140" s="855" t="s">
        <v>602</v>
      </c>
      <c r="B1140" s="856"/>
      <c r="C1140" s="856"/>
      <c r="D1140" s="857"/>
      <c r="E1140" s="858"/>
      <c r="F1140" s="859"/>
      <c r="G1140" s="860"/>
      <c r="H1140" s="857"/>
      <c r="I1140" s="861"/>
      <c r="J1140" s="295"/>
      <c r="K1140" s="296">
        <f t="shared" si="18"/>
        <v>0</v>
      </c>
      <c r="L1140"/>
    </row>
    <row r="1141" spans="1:12">
      <c r="A1141" s="855" t="s">
        <v>602</v>
      </c>
      <c r="B1141" s="856"/>
      <c r="C1141" s="856"/>
      <c r="D1141" s="857"/>
      <c r="E1141" s="858"/>
      <c r="F1141" s="859"/>
      <c r="G1141" s="860"/>
      <c r="H1141" s="857"/>
      <c r="I1141" s="861"/>
      <c r="J1141" s="295"/>
      <c r="K1141" s="296">
        <f t="shared" si="18"/>
        <v>0</v>
      </c>
      <c r="L1141"/>
    </row>
    <row r="1142" spans="1:12">
      <c r="A1142" s="855" t="s">
        <v>602</v>
      </c>
      <c r="B1142" s="856"/>
      <c r="C1142" s="856"/>
      <c r="D1142" s="857"/>
      <c r="E1142" s="858"/>
      <c r="F1142" s="859"/>
      <c r="G1142" s="860"/>
      <c r="H1142" s="857"/>
      <c r="I1142" s="861"/>
      <c r="J1142" s="295"/>
      <c r="K1142" s="296">
        <f t="shared" si="18"/>
        <v>0</v>
      </c>
      <c r="L1142"/>
    </row>
    <row r="1143" spans="1:12">
      <c r="A1143" s="855" t="s">
        <v>602</v>
      </c>
      <c r="B1143" s="856"/>
      <c r="C1143" s="856"/>
      <c r="D1143" s="857"/>
      <c r="E1143" s="858"/>
      <c r="F1143" s="859"/>
      <c r="G1143" s="860"/>
      <c r="H1143" s="857"/>
      <c r="I1143" s="861"/>
      <c r="J1143" s="295"/>
      <c r="K1143" s="296">
        <f t="shared" si="18"/>
        <v>0</v>
      </c>
      <c r="L1143"/>
    </row>
    <row r="1144" spans="1:12">
      <c r="A1144" s="855" t="s">
        <v>602</v>
      </c>
      <c r="B1144" s="856"/>
      <c r="C1144" s="856"/>
      <c r="D1144" s="857"/>
      <c r="E1144" s="858"/>
      <c r="F1144" s="859"/>
      <c r="G1144" s="860"/>
      <c r="H1144" s="857"/>
      <c r="I1144" s="861"/>
      <c r="J1144" s="295"/>
      <c r="K1144" s="296">
        <f t="shared" si="18"/>
        <v>0</v>
      </c>
      <c r="L1144"/>
    </row>
    <row r="1145" spans="1:12">
      <c r="A1145" s="855" t="s">
        <v>602</v>
      </c>
      <c r="B1145" s="856"/>
      <c r="C1145" s="856"/>
      <c r="D1145" s="857"/>
      <c r="E1145" s="858"/>
      <c r="F1145" s="859"/>
      <c r="G1145" s="860"/>
      <c r="H1145" s="857"/>
      <c r="I1145" s="861"/>
      <c r="J1145" s="295"/>
      <c r="K1145" s="296">
        <f t="shared" si="18"/>
        <v>0</v>
      </c>
      <c r="L1145"/>
    </row>
    <row r="1146" spans="1:12">
      <c r="A1146" s="855" t="s">
        <v>602</v>
      </c>
      <c r="B1146" s="856"/>
      <c r="C1146" s="856"/>
      <c r="D1146" s="857"/>
      <c r="E1146" s="858"/>
      <c r="F1146" s="859"/>
      <c r="G1146" s="860"/>
      <c r="H1146" s="857"/>
      <c r="I1146" s="861"/>
      <c r="J1146" s="295"/>
      <c r="K1146" s="296">
        <f t="shared" si="18"/>
        <v>0</v>
      </c>
      <c r="L1146"/>
    </row>
    <row r="1147" spans="1:12">
      <c r="A1147" s="855" t="s">
        <v>602</v>
      </c>
      <c r="B1147" s="856"/>
      <c r="C1147" s="856"/>
      <c r="D1147" s="857"/>
      <c r="E1147" s="858"/>
      <c r="F1147" s="859"/>
      <c r="G1147" s="860"/>
      <c r="H1147" s="857"/>
      <c r="I1147" s="861"/>
      <c r="J1147" s="295"/>
      <c r="K1147" s="296">
        <f t="shared" si="18"/>
        <v>0</v>
      </c>
      <c r="L1147"/>
    </row>
    <row r="1148" spans="1:12">
      <c r="A1148" s="855" t="s">
        <v>602</v>
      </c>
      <c r="B1148" s="856"/>
      <c r="C1148" s="856"/>
      <c r="D1148" s="857"/>
      <c r="E1148" s="858"/>
      <c r="F1148" s="859"/>
      <c r="G1148" s="860"/>
      <c r="H1148" s="857"/>
      <c r="I1148" s="861"/>
      <c r="J1148" s="295"/>
      <c r="K1148" s="296">
        <f t="shared" si="18"/>
        <v>0</v>
      </c>
      <c r="L1148"/>
    </row>
    <row r="1149" spans="1:12">
      <c r="A1149" s="855" t="s">
        <v>602</v>
      </c>
      <c r="B1149" s="856"/>
      <c r="C1149" s="856"/>
      <c r="D1149" s="857"/>
      <c r="E1149" s="858"/>
      <c r="F1149" s="859"/>
      <c r="G1149" s="860"/>
      <c r="H1149" s="857"/>
      <c r="I1149" s="861"/>
      <c r="J1149" s="295"/>
      <c r="K1149" s="296">
        <f t="shared" si="18"/>
        <v>0</v>
      </c>
      <c r="L1149"/>
    </row>
    <row r="1150" spans="1:12">
      <c r="A1150" s="855" t="s">
        <v>602</v>
      </c>
      <c r="B1150" s="856"/>
      <c r="C1150" s="856"/>
      <c r="D1150" s="857"/>
      <c r="E1150" s="858"/>
      <c r="F1150" s="859"/>
      <c r="G1150" s="860"/>
      <c r="H1150" s="857"/>
      <c r="I1150" s="861"/>
      <c r="J1150" s="295"/>
      <c r="K1150" s="296">
        <f t="shared" si="18"/>
        <v>0</v>
      </c>
      <c r="L1150"/>
    </row>
    <row r="1151" spans="1:12">
      <c r="A1151" s="855" t="s">
        <v>602</v>
      </c>
      <c r="B1151" s="856"/>
      <c r="C1151" s="856"/>
      <c r="D1151" s="857"/>
      <c r="E1151" s="858"/>
      <c r="F1151" s="859"/>
      <c r="G1151" s="860"/>
      <c r="H1151" s="857"/>
      <c r="I1151" s="861"/>
      <c r="J1151" s="295"/>
      <c r="K1151" s="296">
        <f t="shared" si="18"/>
        <v>0</v>
      </c>
      <c r="L1151"/>
    </row>
    <row r="1152" spans="1:12">
      <c r="A1152" s="855" t="s">
        <v>602</v>
      </c>
      <c r="B1152" s="856"/>
      <c r="C1152" s="856"/>
      <c r="D1152" s="857"/>
      <c r="E1152" s="858"/>
      <c r="F1152" s="859"/>
      <c r="G1152" s="860"/>
      <c r="H1152" s="857"/>
      <c r="I1152" s="861"/>
      <c r="J1152" s="295"/>
      <c r="K1152" s="296">
        <f t="shared" si="18"/>
        <v>0</v>
      </c>
      <c r="L1152"/>
    </row>
    <row r="1153" spans="1:12">
      <c r="A1153" s="855" t="s">
        <v>602</v>
      </c>
      <c r="B1153" s="856"/>
      <c r="C1153" s="856"/>
      <c r="D1153" s="857"/>
      <c r="E1153" s="858"/>
      <c r="F1153" s="859"/>
      <c r="G1153" s="860"/>
      <c r="H1153" s="857"/>
      <c r="I1153" s="861"/>
      <c r="J1153" s="295"/>
      <c r="K1153" s="296">
        <f t="shared" si="18"/>
        <v>0</v>
      </c>
      <c r="L1153"/>
    </row>
    <row r="1154" spans="1:12">
      <c r="A1154" s="855" t="s">
        <v>602</v>
      </c>
      <c r="B1154" s="856"/>
      <c r="C1154" s="856"/>
      <c r="D1154" s="857"/>
      <c r="E1154" s="858"/>
      <c r="F1154" s="859"/>
      <c r="G1154" s="860"/>
      <c r="H1154" s="857"/>
      <c r="I1154" s="861"/>
      <c r="J1154" s="295"/>
      <c r="K1154" s="296">
        <f t="shared" si="18"/>
        <v>0</v>
      </c>
      <c r="L1154"/>
    </row>
    <row r="1155" spans="1:12">
      <c r="A1155" s="855" t="s">
        <v>602</v>
      </c>
      <c r="B1155" s="856"/>
      <c r="C1155" s="856"/>
      <c r="D1155" s="857"/>
      <c r="E1155" s="858"/>
      <c r="F1155" s="859"/>
      <c r="G1155" s="860"/>
      <c r="H1155" s="857"/>
      <c r="I1155" s="861"/>
      <c r="J1155" s="295"/>
      <c r="K1155" s="296">
        <f t="shared" si="18"/>
        <v>0</v>
      </c>
      <c r="L1155"/>
    </row>
    <row r="1156" spans="1:12">
      <c r="A1156" s="855" t="s">
        <v>602</v>
      </c>
      <c r="B1156" s="856"/>
      <c r="C1156" s="856"/>
      <c r="D1156" s="857"/>
      <c r="E1156" s="858"/>
      <c r="F1156" s="859"/>
      <c r="G1156" s="860"/>
      <c r="H1156" s="857"/>
      <c r="I1156" s="861"/>
      <c r="J1156" s="295"/>
      <c r="K1156" s="296">
        <f t="shared" si="18"/>
        <v>0</v>
      </c>
      <c r="L1156"/>
    </row>
    <row r="1157" spans="1:12">
      <c r="A1157" s="855" t="s">
        <v>602</v>
      </c>
      <c r="B1157" s="856"/>
      <c r="C1157" s="856"/>
      <c r="D1157" s="857"/>
      <c r="E1157" s="858"/>
      <c r="F1157" s="859"/>
      <c r="G1157" s="860"/>
      <c r="H1157" s="857"/>
      <c r="I1157" s="861"/>
      <c r="J1157" s="295"/>
      <c r="K1157" s="296">
        <f t="shared" si="18"/>
        <v>0</v>
      </c>
      <c r="L1157"/>
    </row>
    <row r="1158" spans="1:12">
      <c r="A1158" s="855" t="s">
        <v>602</v>
      </c>
      <c r="B1158" s="856"/>
      <c r="C1158" s="856"/>
      <c r="D1158" s="857"/>
      <c r="E1158" s="858"/>
      <c r="F1158" s="859"/>
      <c r="G1158" s="860"/>
      <c r="H1158" s="857"/>
      <c r="I1158" s="861"/>
      <c r="J1158" s="295"/>
      <c r="K1158" s="296">
        <f t="shared" si="18"/>
        <v>0</v>
      </c>
      <c r="L1158"/>
    </row>
    <row r="1159" spans="1:12">
      <c r="A1159" s="855" t="s">
        <v>602</v>
      </c>
      <c r="B1159" s="856"/>
      <c r="C1159" s="856"/>
      <c r="D1159" s="857"/>
      <c r="E1159" s="858"/>
      <c r="F1159" s="859"/>
      <c r="G1159" s="860"/>
      <c r="H1159" s="857"/>
      <c r="I1159" s="861"/>
      <c r="J1159" s="295"/>
      <c r="K1159" s="296">
        <f t="shared" si="18"/>
        <v>0</v>
      </c>
      <c r="L1159"/>
    </row>
    <row r="1160" spans="1:12">
      <c r="A1160" s="855" t="s">
        <v>602</v>
      </c>
      <c r="B1160" s="856"/>
      <c r="C1160" s="856"/>
      <c r="D1160" s="857"/>
      <c r="E1160" s="858"/>
      <c r="F1160" s="859"/>
      <c r="G1160" s="860"/>
      <c r="H1160" s="857"/>
      <c r="I1160" s="861"/>
      <c r="J1160" s="295"/>
      <c r="K1160" s="296">
        <f t="shared" si="18"/>
        <v>0</v>
      </c>
      <c r="L1160"/>
    </row>
    <row r="1161" spans="1:12">
      <c r="A1161" s="855" t="s">
        <v>602</v>
      </c>
      <c r="B1161" s="856"/>
      <c r="C1161" s="856"/>
      <c r="D1161" s="857"/>
      <c r="E1161" s="858"/>
      <c r="F1161" s="859"/>
      <c r="G1161" s="860"/>
      <c r="H1161" s="857"/>
      <c r="I1161" s="861"/>
      <c r="J1161" s="295"/>
      <c r="K1161" s="296">
        <f t="shared" ref="K1161:K1224" si="19">IF(LEFT(A1161,2)="TU",(J1161-I1161)*E1161/100*100000*2,(J1161-I1161)*E1161/100*100000)</f>
        <v>0</v>
      </c>
      <c r="L1161"/>
    </row>
    <row r="1162" spans="1:12">
      <c r="A1162" s="855" t="s">
        <v>602</v>
      </c>
      <c r="B1162" s="856"/>
      <c r="C1162" s="856"/>
      <c r="D1162" s="857"/>
      <c r="E1162" s="858"/>
      <c r="F1162" s="859"/>
      <c r="G1162" s="860"/>
      <c r="H1162" s="857"/>
      <c r="I1162" s="861"/>
      <c r="J1162" s="295"/>
      <c r="K1162" s="296">
        <f t="shared" si="19"/>
        <v>0</v>
      </c>
      <c r="L1162"/>
    </row>
    <row r="1163" spans="1:12">
      <c r="A1163" s="855" t="s">
        <v>602</v>
      </c>
      <c r="B1163" s="856"/>
      <c r="C1163" s="856"/>
      <c r="D1163" s="857"/>
      <c r="E1163" s="858"/>
      <c r="F1163" s="859"/>
      <c r="G1163" s="860"/>
      <c r="H1163" s="857"/>
      <c r="I1163" s="861"/>
      <c r="J1163" s="295"/>
      <c r="K1163" s="296">
        <f t="shared" si="19"/>
        <v>0</v>
      </c>
      <c r="L1163"/>
    </row>
    <row r="1164" spans="1:12">
      <c r="A1164" s="855" t="s">
        <v>602</v>
      </c>
      <c r="B1164" s="856"/>
      <c r="C1164" s="856"/>
      <c r="D1164" s="857"/>
      <c r="E1164" s="858"/>
      <c r="F1164" s="859"/>
      <c r="G1164" s="860"/>
      <c r="H1164" s="857"/>
      <c r="I1164" s="861"/>
      <c r="J1164" s="295"/>
      <c r="K1164" s="296">
        <f t="shared" si="19"/>
        <v>0</v>
      </c>
      <c r="L1164"/>
    </row>
    <row r="1165" spans="1:12">
      <c r="A1165" s="855" t="s">
        <v>602</v>
      </c>
      <c r="B1165" s="856"/>
      <c r="C1165" s="856"/>
      <c r="D1165" s="857"/>
      <c r="E1165" s="858"/>
      <c r="F1165" s="859"/>
      <c r="G1165" s="860"/>
      <c r="H1165" s="857"/>
      <c r="I1165" s="861"/>
      <c r="J1165" s="295"/>
      <c r="K1165" s="296">
        <f t="shared" si="19"/>
        <v>0</v>
      </c>
      <c r="L1165"/>
    </row>
    <row r="1166" spans="1:12">
      <c r="A1166" s="855" t="s">
        <v>602</v>
      </c>
      <c r="B1166" s="856"/>
      <c r="C1166" s="856"/>
      <c r="D1166" s="857"/>
      <c r="E1166" s="858"/>
      <c r="F1166" s="859"/>
      <c r="G1166" s="860"/>
      <c r="H1166" s="857"/>
      <c r="I1166" s="861"/>
      <c r="J1166" s="295"/>
      <c r="K1166" s="296">
        <f t="shared" si="19"/>
        <v>0</v>
      </c>
      <c r="L1166"/>
    </row>
    <row r="1167" spans="1:12">
      <c r="A1167" s="855" t="s">
        <v>602</v>
      </c>
      <c r="B1167" s="856"/>
      <c r="C1167" s="856"/>
      <c r="D1167" s="857"/>
      <c r="E1167" s="858"/>
      <c r="F1167" s="859"/>
      <c r="G1167" s="860"/>
      <c r="H1167" s="857"/>
      <c r="I1167" s="861"/>
      <c r="J1167" s="295"/>
      <c r="K1167" s="296">
        <f t="shared" si="19"/>
        <v>0</v>
      </c>
      <c r="L1167"/>
    </row>
    <row r="1168" spans="1:12">
      <c r="A1168" s="855" t="s">
        <v>602</v>
      </c>
      <c r="B1168" s="856"/>
      <c r="C1168" s="856"/>
      <c r="D1168" s="857"/>
      <c r="E1168" s="858"/>
      <c r="F1168" s="859"/>
      <c r="G1168" s="860"/>
      <c r="H1168" s="857"/>
      <c r="I1168" s="861"/>
      <c r="J1168" s="295"/>
      <c r="K1168" s="296">
        <f t="shared" si="19"/>
        <v>0</v>
      </c>
      <c r="L1168"/>
    </row>
    <row r="1169" spans="1:12">
      <c r="A1169" s="855" t="s">
        <v>602</v>
      </c>
      <c r="B1169" s="856"/>
      <c r="C1169" s="856"/>
      <c r="D1169" s="857"/>
      <c r="E1169" s="858"/>
      <c r="F1169" s="859"/>
      <c r="G1169" s="860"/>
      <c r="H1169" s="857"/>
      <c r="I1169" s="861"/>
      <c r="J1169" s="295"/>
      <c r="K1169" s="296">
        <f t="shared" si="19"/>
        <v>0</v>
      </c>
      <c r="L1169"/>
    </row>
    <row r="1170" spans="1:12">
      <c r="A1170" s="855" t="s">
        <v>602</v>
      </c>
      <c r="B1170" s="856"/>
      <c r="C1170" s="856"/>
      <c r="D1170" s="857"/>
      <c r="E1170" s="858"/>
      <c r="F1170" s="859"/>
      <c r="G1170" s="860"/>
      <c r="H1170" s="857"/>
      <c r="I1170" s="861"/>
      <c r="J1170" s="295"/>
      <c r="K1170" s="296">
        <f t="shared" si="19"/>
        <v>0</v>
      </c>
      <c r="L1170"/>
    </row>
    <row r="1171" spans="1:12">
      <c r="A1171" s="855" t="s">
        <v>602</v>
      </c>
      <c r="B1171" s="856"/>
      <c r="C1171" s="856"/>
      <c r="D1171" s="857"/>
      <c r="E1171" s="858"/>
      <c r="F1171" s="859"/>
      <c r="G1171" s="860"/>
      <c r="H1171" s="857"/>
      <c r="I1171" s="861"/>
      <c r="J1171" s="295"/>
      <c r="K1171" s="296">
        <f t="shared" si="19"/>
        <v>0</v>
      </c>
      <c r="L1171"/>
    </row>
    <row r="1172" spans="1:12">
      <c r="A1172" s="855" t="s">
        <v>602</v>
      </c>
      <c r="B1172" s="856"/>
      <c r="C1172" s="856"/>
      <c r="D1172" s="857"/>
      <c r="E1172" s="858"/>
      <c r="F1172" s="859"/>
      <c r="G1172" s="860"/>
      <c r="H1172" s="857"/>
      <c r="I1172" s="861"/>
      <c r="J1172" s="295"/>
      <c r="K1172" s="296">
        <f t="shared" si="19"/>
        <v>0</v>
      </c>
      <c r="L1172"/>
    </row>
    <row r="1173" spans="1:12">
      <c r="A1173" s="855" t="s">
        <v>602</v>
      </c>
      <c r="B1173" s="856"/>
      <c r="C1173" s="856"/>
      <c r="D1173" s="857"/>
      <c r="E1173" s="858"/>
      <c r="F1173" s="859"/>
      <c r="G1173" s="860"/>
      <c r="H1173" s="857"/>
      <c r="I1173" s="861"/>
      <c r="J1173" s="295"/>
      <c r="K1173" s="296">
        <f t="shared" si="19"/>
        <v>0</v>
      </c>
      <c r="L1173"/>
    </row>
    <row r="1174" spans="1:12">
      <c r="A1174" s="855" t="s">
        <v>608</v>
      </c>
      <c r="B1174" s="856"/>
      <c r="C1174" s="856"/>
      <c r="D1174" s="857"/>
      <c r="E1174" s="858"/>
      <c r="F1174" s="859"/>
      <c r="G1174" s="860"/>
      <c r="H1174" s="857"/>
      <c r="I1174" s="861"/>
      <c r="J1174" s="295"/>
      <c r="K1174" s="296">
        <f t="shared" si="19"/>
        <v>0</v>
      </c>
      <c r="L1174"/>
    </row>
    <row r="1175" spans="1:12">
      <c r="A1175" s="855" t="s">
        <v>608</v>
      </c>
      <c r="B1175" s="856"/>
      <c r="C1175" s="856"/>
      <c r="D1175" s="857"/>
      <c r="E1175" s="858"/>
      <c r="F1175" s="859"/>
      <c r="G1175" s="860"/>
      <c r="H1175" s="857"/>
      <c r="I1175" s="861"/>
      <c r="J1175" s="295"/>
      <c r="K1175" s="296">
        <f t="shared" si="19"/>
        <v>0</v>
      </c>
      <c r="L1175"/>
    </row>
    <row r="1176" spans="1:12">
      <c r="A1176" s="855" t="s">
        <v>608</v>
      </c>
      <c r="B1176" s="856"/>
      <c r="C1176" s="856"/>
      <c r="D1176" s="857"/>
      <c r="E1176" s="858"/>
      <c r="F1176" s="859"/>
      <c r="G1176" s="860"/>
      <c r="H1176" s="857"/>
      <c r="I1176" s="861"/>
      <c r="J1176" s="295"/>
      <c r="K1176" s="296">
        <f t="shared" si="19"/>
        <v>0</v>
      </c>
      <c r="L1176"/>
    </row>
    <row r="1177" spans="1:12">
      <c r="A1177" s="855" t="s">
        <v>608</v>
      </c>
      <c r="B1177" s="856"/>
      <c r="C1177" s="856"/>
      <c r="D1177" s="857"/>
      <c r="E1177" s="858"/>
      <c r="F1177" s="859"/>
      <c r="G1177" s="860"/>
      <c r="H1177" s="857"/>
      <c r="I1177" s="861"/>
      <c r="J1177" s="295"/>
      <c r="K1177" s="296">
        <f t="shared" si="19"/>
        <v>0</v>
      </c>
      <c r="L1177"/>
    </row>
    <row r="1178" spans="1:12">
      <c r="A1178" s="855" t="s">
        <v>608</v>
      </c>
      <c r="B1178" s="856"/>
      <c r="C1178" s="856"/>
      <c r="D1178" s="857"/>
      <c r="E1178" s="858"/>
      <c r="F1178" s="859"/>
      <c r="G1178" s="860"/>
      <c r="H1178" s="857"/>
      <c r="I1178" s="861"/>
      <c r="J1178" s="295"/>
      <c r="K1178" s="296">
        <f t="shared" si="19"/>
        <v>0</v>
      </c>
      <c r="L1178"/>
    </row>
    <row r="1179" spans="1:12">
      <c r="A1179" s="855" t="s">
        <v>608</v>
      </c>
      <c r="B1179" s="856"/>
      <c r="C1179" s="856"/>
      <c r="D1179" s="857"/>
      <c r="E1179" s="858"/>
      <c r="F1179" s="859"/>
      <c r="G1179" s="860"/>
      <c r="H1179" s="857"/>
      <c r="I1179" s="861"/>
      <c r="J1179" s="295"/>
      <c r="K1179" s="296">
        <f t="shared" si="19"/>
        <v>0</v>
      </c>
      <c r="L1179" s="60"/>
    </row>
    <row r="1180" spans="1:12">
      <c r="A1180" s="855" t="s">
        <v>608</v>
      </c>
      <c r="B1180" s="856"/>
      <c r="C1180" s="856"/>
      <c r="D1180" s="857"/>
      <c r="E1180" s="858"/>
      <c r="F1180" s="859"/>
      <c r="G1180" s="860"/>
      <c r="H1180" s="857"/>
      <c r="I1180" s="861"/>
      <c r="J1180" s="295"/>
      <c r="K1180" s="296">
        <f t="shared" si="19"/>
        <v>0</v>
      </c>
      <c r="L1180"/>
    </row>
    <row r="1181" spans="1:12">
      <c r="A1181" s="855" t="s">
        <v>608</v>
      </c>
      <c r="B1181" s="856"/>
      <c r="C1181" s="856"/>
      <c r="D1181" s="857"/>
      <c r="E1181" s="858"/>
      <c r="F1181" s="859"/>
      <c r="G1181" s="860"/>
      <c r="H1181" s="857"/>
      <c r="I1181" s="861"/>
      <c r="J1181" s="295"/>
      <c r="K1181" s="296">
        <f t="shared" si="19"/>
        <v>0</v>
      </c>
      <c r="L1181"/>
    </row>
    <row r="1182" spans="1:12">
      <c r="A1182" s="855" t="s">
        <v>608</v>
      </c>
      <c r="B1182" s="856"/>
      <c r="C1182" s="856"/>
      <c r="D1182" s="857"/>
      <c r="E1182" s="858"/>
      <c r="F1182" s="859"/>
      <c r="G1182" s="860"/>
      <c r="H1182" s="857"/>
      <c r="I1182" s="861"/>
      <c r="J1182" s="295"/>
      <c r="K1182" s="296">
        <f t="shared" si="19"/>
        <v>0</v>
      </c>
      <c r="L1182"/>
    </row>
    <row r="1183" spans="1:12">
      <c r="A1183" s="855" t="s">
        <v>608</v>
      </c>
      <c r="B1183" s="856"/>
      <c r="C1183" s="856"/>
      <c r="D1183" s="857"/>
      <c r="E1183" s="858"/>
      <c r="F1183" s="859"/>
      <c r="G1183" s="860"/>
      <c r="H1183" s="857"/>
      <c r="I1183" s="861"/>
      <c r="J1183" s="295"/>
      <c r="K1183" s="296">
        <f t="shared" si="19"/>
        <v>0</v>
      </c>
      <c r="L1183"/>
    </row>
    <row r="1184" spans="1:12">
      <c r="A1184" s="855" t="s">
        <v>608</v>
      </c>
      <c r="B1184" s="856"/>
      <c r="C1184" s="856"/>
      <c r="D1184" s="857"/>
      <c r="E1184" s="858"/>
      <c r="F1184" s="859"/>
      <c r="G1184" s="860"/>
      <c r="H1184" s="857"/>
      <c r="I1184" s="861"/>
      <c r="J1184" s="295"/>
      <c r="K1184" s="296">
        <f t="shared" si="19"/>
        <v>0</v>
      </c>
      <c r="L1184"/>
    </row>
    <row r="1185" spans="1:12">
      <c r="A1185" s="855" t="s">
        <v>608</v>
      </c>
      <c r="B1185" s="856"/>
      <c r="C1185" s="856"/>
      <c r="D1185" s="857"/>
      <c r="E1185" s="858"/>
      <c r="F1185" s="859"/>
      <c r="G1185" s="860"/>
      <c r="H1185" s="857"/>
      <c r="I1185" s="861"/>
      <c r="J1185" s="295"/>
      <c r="K1185" s="296">
        <f t="shared" si="19"/>
        <v>0</v>
      </c>
      <c r="L1185"/>
    </row>
    <row r="1186" spans="1:12">
      <c r="A1186" s="855" t="s">
        <v>607</v>
      </c>
      <c r="B1186" s="856"/>
      <c r="C1186" s="856"/>
      <c r="D1186" s="857"/>
      <c r="E1186" s="858"/>
      <c r="F1186" s="859"/>
      <c r="G1186" s="860"/>
      <c r="H1186" s="857"/>
      <c r="I1186" s="861"/>
      <c r="J1186" s="295"/>
      <c r="K1186" s="296">
        <f t="shared" si="19"/>
        <v>0</v>
      </c>
      <c r="L1186"/>
    </row>
    <row r="1187" spans="1:12">
      <c r="A1187" s="855" t="s">
        <v>608</v>
      </c>
      <c r="B1187" s="856"/>
      <c r="C1187" s="856"/>
      <c r="D1187" s="857"/>
      <c r="E1187" s="858"/>
      <c r="F1187" s="859"/>
      <c r="G1187" s="860"/>
      <c r="H1187" s="857"/>
      <c r="I1187" s="861"/>
      <c r="J1187" s="295"/>
      <c r="K1187" s="296">
        <f t="shared" si="19"/>
        <v>0</v>
      </c>
      <c r="L1187"/>
    </row>
    <row r="1188" spans="1:12">
      <c r="A1188" s="855" t="s">
        <v>608</v>
      </c>
      <c r="B1188" s="856"/>
      <c r="C1188" s="856"/>
      <c r="D1188" s="857"/>
      <c r="E1188" s="858"/>
      <c r="F1188" s="859"/>
      <c r="G1188" s="860"/>
      <c r="H1188" s="857"/>
      <c r="I1188" s="861"/>
      <c r="J1188" s="295"/>
      <c r="K1188" s="296">
        <f t="shared" si="19"/>
        <v>0</v>
      </c>
      <c r="L1188"/>
    </row>
    <row r="1189" spans="1:12">
      <c r="A1189" s="855" t="s">
        <v>608</v>
      </c>
      <c r="B1189" s="856"/>
      <c r="C1189" s="856"/>
      <c r="D1189" s="857"/>
      <c r="E1189" s="858"/>
      <c r="F1189" s="859"/>
      <c r="G1189" s="860"/>
      <c r="H1189" s="857"/>
      <c r="I1189" s="861"/>
      <c r="J1189" s="295"/>
      <c r="K1189" s="296">
        <f t="shared" si="19"/>
        <v>0</v>
      </c>
      <c r="L1189" s="60"/>
    </row>
    <row r="1190" spans="1:12">
      <c r="A1190" s="855" t="s">
        <v>608</v>
      </c>
      <c r="B1190" s="856"/>
      <c r="C1190" s="856"/>
      <c r="D1190" s="857"/>
      <c r="E1190" s="858"/>
      <c r="F1190" s="859"/>
      <c r="G1190" s="860"/>
      <c r="H1190" s="857"/>
      <c r="I1190" s="861"/>
      <c r="J1190" s="295"/>
      <c r="K1190" s="296">
        <f t="shared" si="19"/>
        <v>0</v>
      </c>
      <c r="L1190"/>
    </row>
    <row r="1191" spans="1:12">
      <c r="A1191" s="855" t="s">
        <v>608</v>
      </c>
      <c r="B1191" s="856"/>
      <c r="C1191" s="856"/>
      <c r="D1191" s="857"/>
      <c r="E1191" s="858"/>
      <c r="F1191" s="859"/>
      <c r="G1191" s="860"/>
      <c r="H1191" s="857"/>
      <c r="I1191" s="861"/>
      <c r="J1191" s="295"/>
      <c r="K1191" s="296">
        <f t="shared" si="19"/>
        <v>0</v>
      </c>
      <c r="L1191"/>
    </row>
    <row r="1192" spans="1:12">
      <c r="A1192" s="855" t="s">
        <v>608</v>
      </c>
      <c r="B1192" s="856"/>
      <c r="C1192" s="856"/>
      <c r="D1192" s="857"/>
      <c r="E1192" s="858"/>
      <c r="F1192" s="859"/>
      <c r="G1192" s="860"/>
      <c r="H1192" s="857"/>
      <c r="I1192" s="861"/>
      <c r="J1192" s="295"/>
      <c r="K1192" s="296">
        <f t="shared" si="19"/>
        <v>0</v>
      </c>
      <c r="L1192"/>
    </row>
    <row r="1193" spans="1:12">
      <c r="A1193" s="855" t="s">
        <v>608</v>
      </c>
      <c r="B1193" s="856"/>
      <c r="C1193" s="856"/>
      <c r="D1193" s="857"/>
      <c r="E1193" s="858"/>
      <c r="F1193" s="859"/>
      <c r="G1193" s="860"/>
      <c r="H1193" s="857"/>
      <c r="I1193" s="861"/>
      <c r="J1193" s="295"/>
      <c r="K1193" s="296">
        <f t="shared" si="19"/>
        <v>0</v>
      </c>
      <c r="L1193"/>
    </row>
    <row r="1194" spans="1:12">
      <c r="A1194" s="855" t="s">
        <v>608</v>
      </c>
      <c r="B1194" s="856"/>
      <c r="C1194" s="856"/>
      <c r="D1194" s="857"/>
      <c r="E1194" s="858"/>
      <c r="F1194" s="859"/>
      <c r="G1194" s="860"/>
      <c r="H1194" s="857"/>
      <c r="I1194" s="861"/>
      <c r="J1194" s="295"/>
      <c r="K1194" s="296">
        <f t="shared" si="19"/>
        <v>0</v>
      </c>
      <c r="L1194"/>
    </row>
    <row r="1195" spans="1:12">
      <c r="A1195" s="855" t="s">
        <v>608</v>
      </c>
      <c r="B1195" s="856"/>
      <c r="C1195" s="856"/>
      <c r="D1195" s="857"/>
      <c r="E1195" s="858"/>
      <c r="F1195" s="859"/>
      <c r="G1195" s="860"/>
      <c r="H1195" s="857"/>
      <c r="I1195" s="861"/>
      <c r="J1195" s="295"/>
      <c r="K1195" s="296">
        <f t="shared" si="19"/>
        <v>0</v>
      </c>
      <c r="L1195"/>
    </row>
    <row r="1196" spans="1:12">
      <c r="A1196" s="855" t="s">
        <v>608</v>
      </c>
      <c r="B1196" s="856"/>
      <c r="C1196" s="856"/>
      <c r="D1196" s="857"/>
      <c r="E1196" s="858"/>
      <c r="F1196" s="859"/>
      <c r="G1196" s="860"/>
      <c r="H1196" s="857"/>
      <c r="I1196" s="861"/>
      <c r="J1196" s="295"/>
      <c r="K1196" s="296">
        <f t="shared" si="19"/>
        <v>0</v>
      </c>
      <c r="L1196"/>
    </row>
    <row r="1197" spans="1:12">
      <c r="A1197" s="855" t="s">
        <v>608</v>
      </c>
      <c r="B1197" s="856"/>
      <c r="C1197" s="856"/>
      <c r="D1197" s="857"/>
      <c r="E1197" s="858"/>
      <c r="F1197" s="859"/>
      <c r="G1197" s="860"/>
      <c r="H1197" s="857"/>
      <c r="I1197" s="861"/>
      <c r="J1197" s="295"/>
      <c r="K1197" s="296">
        <f t="shared" si="19"/>
        <v>0</v>
      </c>
      <c r="L1197"/>
    </row>
    <row r="1198" spans="1:12">
      <c r="A1198" s="855" t="s">
        <v>608</v>
      </c>
      <c r="B1198" s="856"/>
      <c r="C1198" s="856"/>
      <c r="D1198" s="857"/>
      <c r="E1198" s="858"/>
      <c r="F1198" s="859"/>
      <c r="G1198" s="860"/>
      <c r="H1198" s="857"/>
      <c r="I1198" s="861"/>
      <c r="J1198" s="295"/>
      <c r="K1198" s="296">
        <f t="shared" si="19"/>
        <v>0</v>
      </c>
      <c r="L1198"/>
    </row>
    <row r="1199" spans="1:12">
      <c r="A1199" s="855" t="s">
        <v>608</v>
      </c>
      <c r="B1199" s="856"/>
      <c r="C1199" s="856"/>
      <c r="D1199" s="857"/>
      <c r="E1199" s="858"/>
      <c r="F1199" s="859"/>
      <c r="G1199" s="860"/>
      <c r="H1199" s="857"/>
      <c r="I1199" s="861"/>
      <c r="J1199" s="295"/>
      <c r="K1199" s="296">
        <f t="shared" si="19"/>
        <v>0</v>
      </c>
      <c r="L1199"/>
    </row>
    <row r="1200" spans="1:12">
      <c r="A1200" s="855" t="s">
        <v>608</v>
      </c>
      <c r="B1200" s="856"/>
      <c r="C1200" s="856"/>
      <c r="D1200" s="857"/>
      <c r="E1200" s="858"/>
      <c r="F1200" s="859"/>
      <c r="G1200" s="860"/>
      <c r="H1200" s="857"/>
      <c r="I1200" s="861"/>
      <c r="J1200" s="295"/>
      <c r="K1200" s="296">
        <f t="shared" si="19"/>
        <v>0</v>
      </c>
      <c r="L1200"/>
    </row>
    <row r="1201" spans="1:12">
      <c r="A1201" s="855" t="s">
        <v>608</v>
      </c>
      <c r="B1201" s="856"/>
      <c r="C1201" s="856"/>
      <c r="D1201" s="857"/>
      <c r="E1201" s="858"/>
      <c r="F1201" s="859"/>
      <c r="G1201" s="860"/>
      <c r="H1201" s="857"/>
      <c r="I1201" s="861"/>
      <c r="J1201" s="295"/>
      <c r="K1201" s="296">
        <f t="shared" si="19"/>
        <v>0</v>
      </c>
      <c r="L1201"/>
    </row>
    <row r="1202" spans="1:12">
      <c r="A1202" s="855" t="s">
        <v>608</v>
      </c>
      <c r="B1202" s="856"/>
      <c r="C1202" s="856"/>
      <c r="D1202" s="857"/>
      <c r="E1202" s="858"/>
      <c r="F1202" s="859"/>
      <c r="G1202" s="860"/>
      <c r="H1202" s="857"/>
      <c r="I1202" s="861"/>
      <c r="J1202" s="295"/>
      <c r="K1202" s="296">
        <f t="shared" si="19"/>
        <v>0</v>
      </c>
      <c r="L1202"/>
    </row>
    <row r="1203" spans="1:12">
      <c r="A1203" s="855" t="s">
        <v>608</v>
      </c>
      <c r="B1203" s="856"/>
      <c r="C1203" s="856"/>
      <c r="D1203" s="857"/>
      <c r="E1203" s="858"/>
      <c r="F1203" s="859"/>
      <c r="G1203" s="860"/>
      <c r="H1203" s="857"/>
      <c r="I1203" s="861"/>
      <c r="J1203" s="295"/>
      <c r="K1203" s="296">
        <f t="shared" si="19"/>
        <v>0</v>
      </c>
      <c r="L1203"/>
    </row>
    <row r="1204" spans="1:12">
      <c r="A1204" s="855" t="s">
        <v>608</v>
      </c>
      <c r="B1204" s="856"/>
      <c r="C1204" s="856"/>
      <c r="D1204" s="857"/>
      <c r="E1204" s="858"/>
      <c r="F1204" s="859"/>
      <c r="G1204" s="860"/>
      <c r="H1204" s="857"/>
      <c r="I1204" s="861"/>
      <c r="J1204" s="295"/>
      <c r="K1204" s="296">
        <f t="shared" si="19"/>
        <v>0</v>
      </c>
      <c r="L1204"/>
    </row>
    <row r="1205" spans="1:12">
      <c r="A1205" s="855" t="s">
        <v>608</v>
      </c>
      <c r="B1205" s="856"/>
      <c r="C1205" s="856"/>
      <c r="D1205" s="857"/>
      <c r="E1205" s="858"/>
      <c r="F1205" s="859"/>
      <c r="G1205" s="860"/>
      <c r="H1205" s="857"/>
      <c r="I1205" s="861"/>
      <c r="J1205" s="295"/>
      <c r="K1205" s="296">
        <f t="shared" si="19"/>
        <v>0</v>
      </c>
      <c r="L1205"/>
    </row>
    <row r="1206" spans="1:12">
      <c r="A1206" s="855" t="s">
        <v>607</v>
      </c>
      <c r="B1206" s="856"/>
      <c r="C1206" s="856"/>
      <c r="D1206" s="857"/>
      <c r="E1206" s="858"/>
      <c r="F1206" s="859"/>
      <c r="G1206" s="860"/>
      <c r="H1206" s="857"/>
      <c r="I1206" s="861"/>
      <c r="J1206" s="295"/>
      <c r="K1206" s="296">
        <f t="shared" si="19"/>
        <v>0</v>
      </c>
      <c r="L1206"/>
    </row>
    <row r="1207" spans="1:12">
      <c r="A1207" s="855" t="s">
        <v>607</v>
      </c>
      <c r="B1207" s="856"/>
      <c r="C1207" s="856"/>
      <c r="D1207" s="857"/>
      <c r="E1207" s="858"/>
      <c r="F1207" s="859"/>
      <c r="G1207" s="860"/>
      <c r="H1207" s="857"/>
      <c r="I1207" s="861"/>
      <c r="J1207" s="295"/>
      <c r="K1207" s="296">
        <f t="shared" si="19"/>
        <v>0</v>
      </c>
      <c r="L1207"/>
    </row>
    <row r="1208" spans="1:12">
      <c r="A1208" s="855" t="s">
        <v>607</v>
      </c>
      <c r="B1208" s="856"/>
      <c r="C1208" s="856"/>
      <c r="D1208" s="857"/>
      <c r="E1208" s="858"/>
      <c r="F1208" s="859"/>
      <c r="G1208" s="860"/>
      <c r="H1208" s="857"/>
      <c r="I1208" s="861"/>
      <c r="J1208" s="295"/>
      <c r="K1208" s="296">
        <f t="shared" si="19"/>
        <v>0</v>
      </c>
      <c r="L1208"/>
    </row>
    <row r="1209" spans="1:12">
      <c r="A1209" s="855" t="s">
        <v>607</v>
      </c>
      <c r="B1209" s="856"/>
      <c r="C1209" s="856"/>
      <c r="D1209" s="857"/>
      <c r="E1209" s="858"/>
      <c r="F1209" s="859"/>
      <c r="G1209" s="860"/>
      <c r="H1209" s="857"/>
      <c r="I1209" s="861"/>
      <c r="J1209" s="295"/>
      <c r="K1209" s="296">
        <f t="shared" si="19"/>
        <v>0</v>
      </c>
      <c r="L1209"/>
    </row>
    <row r="1210" spans="1:12">
      <c r="A1210" s="855" t="s">
        <v>607</v>
      </c>
      <c r="B1210" s="856"/>
      <c r="C1210" s="856"/>
      <c r="D1210" s="857"/>
      <c r="E1210" s="858"/>
      <c r="F1210" s="859"/>
      <c r="G1210" s="860"/>
      <c r="H1210" s="857"/>
      <c r="I1210" s="861"/>
      <c r="J1210" s="295"/>
      <c r="K1210" s="296">
        <f t="shared" si="19"/>
        <v>0</v>
      </c>
      <c r="L1210"/>
    </row>
    <row r="1211" spans="1:12">
      <c r="A1211" s="855" t="s">
        <v>607</v>
      </c>
      <c r="B1211" s="856"/>
      <c r="C1211" s="856"/>
      <c r="D1211" s="857"/>
      <c r="E1211" s="858"/>
      <c r="F1211" s="859"/>
      <c r="G1211" s="860"/>
      <c r="H1211" s="857"/>
      <c r="I1211" s="861"/>
      <c r="J1211" s="295"/>
      <c r="K1211" s="296">
        <f t="shared" si="19"/>
        <v>0</v>
      </c>
      <c r="L1211"/>
    </row>
    <row r="1212" spans="1:12">
      <c r="A1212" s="855" t="s">
        <v>607</v>
      </c>
      <c r="B1212" s="856"/>
      <c r="C1212" s="856"/>
      <c r="D1212" s="857"/>
      <c r="E1212" s="858"/>
      <c r="F1212" s="859"/>
      <c r="G1212" s="860"/>
      <c r="H1212" s="857"/>
      <c r="I1212" s="861"/>
      <c r="J1212" s="295"/>
      <c r="K1212" s="296">
        <f t="shared" si="19"/>
        <v>0</v>
      </c>
      <c r="L1212"/>
    </row>
    <row r="1213" spans="1:12">
      <c r="A1213" s="855" t="s">
        <v>607</v>
      </c>
      <c r="B1213" s="856"/>
      <c r="C1213" s="856"/>
      <c r="D1213" s="857"/>
      <c r="E1213" s="858"/>
      <c r="F1213" s="859"/>
      <c r="G1213" s="860"/>
      <c r="H1213" s="857"/>
      <c r="I1213" s="861"/>
      <c r="J1213" s="295"/>
      <c r="K1213" s="296">
        <f t="shared" si="19"/>
        <v>0</v>
      </c>
      <c r="L1213"/>
    </row>
    <row r="1214" spans="1:12">
      <c r="A1214" s="855" t="s">
        <v>607</v>
      </c>
      <c r="B1214" s="856"/>
      <c r="C1214" s="856"/>
      <c r="D1214" s="857"/>
      <c r="E1214" s="858"/>
      <c r="F1214" s="859"/>
      <c r="G1214" s="860"/>
      <c r="H1214" s="857"/>
      <c r="I1214" s="861"/>
      <c r="J1214" s="295"/>
      <c r="K1214" s="296">
        <f t="shared" si="19"/>
        <v>0</v>
      </c>
      <c r="L1214"/>
    </row>
    <row r="1215" spans="1:12">
      <c r="A1215" s="855" t="s">
        <v>607</v>
      </c>
      <c r="B1215" s="856"/>
      <c r="C1215" s="856"/>
      <c r="D1215" s="857"/>
      <c r="E1215" s="858"/>
      <c r="F1215" s="859"/>
      <c r="G1215" s="860"/>
      <c r="H1215" s="857"/>
      <c r="I1215" s="861"/>
      <c r="J1215" s="295"/>
      <c r="K1215" s="296">
        <f t="shared" si="19"/>
        <v>0</v>
      </c>
      <c r="L1215"/>
    </row>
    <row r="1216" spans="1:12">
      <c r="A1216" s="855" t="s">
        <v>607</v>
      </c>
      <c r="B1216" s="856"/>
      <c r="C1216" s="856"/>
      <c r="D1216" s="857"/>
      <c r="E1216" s="858"/>
      <c r="F1216" s="859"/>
      <c r="G1216" s="860"/>
      <c r="H1216" s="857"/>
      <c r="I1216" s="861"/>
      <c r="J1216" s="295"/>
      <c r="K1216" s="296">
        <f t="shared" si="19"/>
        <v>0</v>
      </c>
      <c r="L1216"/>
    </row>
    <row r="1217" spans="1:12">
      <c r="A1217" s="855" t="s">
        <v>607</v>
      </c>
      <c r="B1217" s="856"/>
      <c r="C1217" s="856"/>
      <c r="D1217" s="857"/>
      <c r="E1217" s="858"/>
      <c r="F1217" s="859"/>
      <c r="G1217" s="860"/>
      <c r="H1217" s="857"/>
      <c r="I1217" s="861"/>
      <c r="J1217" s="295"/>
      <c r="K1217" s="296">
        <f t="shared" si="19"/>
        <v>0</v>
      </c>
      <c r="L1217"/>
    </row>
    <row r="1218" spans="1:12">
      <c r="A1218" s="855" t="s">
        <v>607</v>
      </c>
      <c r="B1218" s="856"/>
      <c r="C1218" s="856"/>
      <c r="D1218" s="857"/>
      <c r="E1218" s="858"/>
      <c r="F1218" s="859"/>
      <c r="G1218" s="860"/>
      <c r="H1218" s="857"/>
      <c r="I1218" s="861"/>
      <c r="J1218" s="295"/>
      <c r="K1218" s="296">
        <f t="shared" si="19"/>
        <v>0</v>
      </c>
      <c r="L1218"/>
    </row>
    <row r="1219" spans="1:12">
      <c r="A1219" s="855" t="s">
        <v>607</v>
      </c>
      <c r="B1219" s="856"/>
      <c r="C1219" s="856"/>
      <c r="D1219" s="857"/>
      <c r="E1219" s="858"/>
      <c r="F1219" s="859"/>
      <c r="G1219" s="860"/>
      <c r="H1219" s="857"/>
      <c r="I1219" s="861"/>
      <c r="J1219" s="295"/>
      <c r="K1219" s="296">
        <f t="shared" si="19"/>
        <v>0</v>
      </c>
      <c r="L1219"/>
    </row>
    <row r="1220" spans="1:12">
      <c r="A1220" s="855" t="s">
        <v>607</v>
      </c>
      <c r="B1220" s="856"/>
      <c r="C1220" s="856"/>
      <c r="D1220" s="857"/>
      <c r="E1220" s="858"/>
      <c r="F1220" s="859"/>
      <c r="G1220" s="860"/>
      <c r="H1220" s="857"/>
      <c r="I1220" s="861"/>
      <c r="J1220" s="295"/>
      <c r="K1220" s="296">
        <f t="shared" si="19"/>
        <v>0</v>
      </c>
      <c r="L1220"/>
    </row>
    <row r="1221" spans="1:12">
      <c r="A1221" s="855" t="s">
        <v>607</v>
      </c>
      <c r="B1221" s="856"/>
      <c r="C1221" s="856"/>
      <c r="D1221" s="857"/>
      <c r="E1221" s="858"/>
      <c r="F1221" s="859"/>
      <c r="G1221" s="860"/>
      <c r="H1221" s="857"/>
      <c r="I1221" s="861"/>
      <c r="J1221" s="295"/>
      <c r="K1221" s="296">
        <f t="shared" si="19"/>
        <v>0</v>
      </c>
      <c r="L1221"/>
    </row>
    <row r="1222" spans="1:12">
      <c r="A1222" s="855" t="s">
        <v>607</v>
      </c>
      <c r="B1222" s="856"/>
      <c r="C1222" s="856"/>
      <c r="D1222" s="857"/>
      <c r="E1222" s="858"/>
      <c r="F1222" s="859"/>
      <c r="G1222" s="860"/>
      <c r="H1222" s="857"/>
      <c r="I1222" s="861"/>
      <c r="J1222" s="295"/>
      <c r="K1222" s="296">
        <f t="shared" si="19"/>
        <v>0</v>
      </c>
      <c r="L1222"/>
    </row>
    <row r="1223" spans="1:12">
      <c r="A1223" s="855" t="s">
        <v>607</v>
      </c>
      <c r="B1223" s="856"/>
      <c r="C1223" s="856"/>
      <c r="D1223" s="857"/>
      <c r="E1223" s="858"/>
      <c r="F1223" s="859"/>
      <c r="G1223" s="860"/>
      <c r="H1223" s="857"/>
      <c r="I1223" s="861"/>
      <c r="J1223" s="295"/>
      <c r="K1223" s="296">
        <f t="shared" si="19"/>
        <v>0</v>
      </c>
      <c r="L1223"/>
    </row>
    <row r="1224" spans="1:12">
      <c r="A1224" s="855" t="s">
        <v>608</v>
      </c>
      <c r="B1224" s="856"/>
      <c r="C1224" s="856"/>
      <c r="D1224" s="857"/>
      <c r="E1224" s="858"/>
      <c r="F1224" s="859"/>
      <c r="G1224" s="860"/>
      <c r="H1224" s="857"/>
      <c r="I1224" s="861"/>
      <c r="J1224" s="295"/>
      <c r="K1224" s="296">
        <f t="shared" si="19"/>
        <v>0</v>
      </c>
      <c r="L1224"/>
    </row>
    <row r="1225" spans="1:12">
      <c r="A1225" s="855" t="s">
        <v>608</v>
      </c>
      <c r="B1225" s="856"/>
      <c r="C1225" s="856"/>
      <c r="D1225" s="857"/>
      <c r="E1225" s="858"/>
      <c r="F1225" s="859"/>
      <c r="G1225" s="860"/>
      <c r="H1225" s="857"/>
      <c r="I1225" s="861"/>
      <c r="J1225" s="295"/>
      <c r="K1225" s="296">
        <f t="shared" ref="K1225:K1288" si="20">IF(LEFT(A1225,2)="TU",(J1225-I1225)*E1225/100*100000*2,(J1225-I1225)*E1225/100*100000)</f>
        <v>0</v>
      </c>
      <c r="L1225"/>
    </row>
    <row r="1226" spans="1:12">
      <c r="A1226" s="855" t="s">
        <v>608</v>
      </c>
      <c r="B1226" s="856"/>
      <c r="C1226" s="856"/>
      <c r="D1226" s="857"/>
      <c r="E1226" s="858"/>
      <c r="F1226" s="859"/>
      <c r="G1226" s="860"/>
      <c r="H1226" s="857"/>
      <c r="I1226" s="861"/>
      <c r="J1226" s="295"/>
      <c r="K1226" s="296">
        <f t="shared" si="20"/>
        <v>0</v>
      </c>
      <c r="L1226"/>
    </row>
    <row r="1227" spans="1:12">
      <c r="A1227" s="855" t="s">
        <v>608</v>
      </c>
      <c r="B1227" s="856"/>
      <c r="C1227" s="856"/>
      <c r="D1227" s="857"/>
      <c r="E1227" s="858"/>
      <c r="F1227" s="859"/>
      <c r="G1227" s="860"/>
      <c r="H1227" s="857"/>
      <c r="I1227" s="861"/>
      <c r="J1227" s="295"/>
      <c r="K1227" s="296">
        <f t="shared" si="20"/>
        <v>0</v>
      </c>
      <c r="L1227"/>
    </row>
    <row r="1228" spans="1:12">
      <c r="A1228" s="855" t="s">
        <v>608</v>
      </c>
      <c r="B1228" s="856"/>
      <c r="C1228" s="856"/>
      <c r="D1228" s="857"/>
      <c r="E1228" s="858"/>
      <c r="F1228" s="859"/>
      <c r="G1228" s="860"/>
      <c r="H1228" s="857"/>
      <c r="I1228" s="861"/>
      <c r="J1228" s="295"/>
      <c r="K1228" s="296">
        <f t="shared" si="20"/>
        <v>0</v>
      </c>
      <c r="L1228"/>
    </row>
    <row r="1229" spans="1:12">
      <c r="A1229" s="855" t="s">
        <v>608</v>
      </c>
      <c r="B1229" s="856"/>
      <c r="C1229" s="856"/>
      <c r="D1229" s="857"/>
      <c r="E1229" s="858"/>
      <c r="F1229" s="859"/>
      <c r="G1229" s="860"/>
      <c r="H1229" s="857"/>
      <c r="I1229" s="861"/>
      <c r="J1229" s="295"/>
      <c r="K1229" s="296">
        <f t="shared" si="20"/>
        <v>0</v>
      </c>
      <c r="L1229"/>
    </row>
    <row r="1230" spans="1:12">
      <c r="A1230" s="855" t="s">
        <v>608</v>
      </c>
      <c r="B1230" s="856"/>
      <c r="C1230" s="856"/>
      <c r="D1230" s="857"/>
      <c r="E1230" s="858"/>
      <c r="F1230" s="859"/>
      <c r="G1230" s="860"/>
      <c r="H1230" s="857"/>
      <c r="I1230" s="861"/>
      <c r="J1230" s="295"/>
      <c r="K1230" s="296">
        <f t="shared" si="20"/>
        <v>0</v>
      </c>
      <c r="L1230"/>
    </row>
    <row r="1231" spans="1:12">
      <c r="A1231" s="855" t="s">
        <v>608</v>
      </c>
      <c r="B1231" s="856"/>
      <c r="C1231" s="856"/>
      <c r="D1231" s="857"/>
      <c r="E1231" s="858"/>
      <c r="F1231" s="859"/>
      <c r="G1231" s="860"/>
      <c r="H1231" s="857"/>
      <c r="I1231" s="861"/>
      <c r="J1231" s="295"/>
      <c r="K1231" s="296">
        <f t="shared" si="20"/>
        <v>0</v>
      </c>
      <c r="L1231"/>
    </row>
    <row r="1232" spans="1:12">
      <c r="A1232" s="855" t="s">
        <v>608</v>
      </c>
      <c r="B1232" s="856"/>
      <c r="C1232" s="856"/>
      <c r="D1232" s="857"/>
      <c r="E1232" s="858"/>
      <c r="F1232" s="859"/>
      <c r="G1232" s="860"/>
      <c r="H1232" s="857"/>
      <c r="I1232" s="861"/>
      <c r="J1232" s="295"/>
      <c r="K1232" s="296">
        <f t="shared" si="20"/>
        <v>0</v>
      </c>
      <c r="L1232"/>
    </row>
    <row r="1233" spans="1:12">
      <c r="A1233" s="855" t="s">
        <v>608</v>
      </c>
      <c r="B1233" s="856"/>
      <c r="C1233" s="856"/>
      <c r="D1233" s="857"/>
      <c r="E1233" s="858"/>
      <c r="F1233" s="859"/>
      <c r="G1233" s="860"/>
      <c r="H1233" s="857"/>
      <c r="I1233" s="861"/>
      <c r="J1233" s="295"/>
      <c r="K1233" s="296">
        <f t="shared" si="20"/>
        <v>0</v>
      </c>
      <c r="L1233"/>
    </row>
    <row r="1234" spans="1:12">
      <c r="A1234" s="855" t="s">
        <v>607</v>
      </c>
      <c r="B1234" s="856"/>
      <c r="C1234" s="856"/>
      <c r="D1234" s="857"/>
      <c r="E1234" s="858"/>
      <c r="F1234" s="859"/>
      <c r="G1234" s="860"/>
      <c r="H1234" s="857"/>
      <c r="I1234" s="861"/>
      <c r="J1234" s="295"/>
      <c r="K1234" s="296">
        <f t="shared" si="20"/>
        <v>0</v>
      </c>
      <c r="L1234"/>
    </row>
    <row r="1235" spans="1:12">
      <c r="A1235" s="855" t="s">
        <v>607</v>
      </c>
      <c r="B1235" s="856"/>
      <c r="C1235" s="856"/>
      <c r="D1235" s="857"/>
      <c r="E1235" s="858"/>
      <c r="F1235" s="859"/>
      <c r="G1235" s="860"/>
      <c r="H1235" s="857"/>
      <c r="I1235" s="861"/>
      <c r="J1235" s="295"/>
      <c r="K1235" s="296">
        <f t="shared" si="20"/>
        <v>0</v>
      </c>
      <c r="L1235"/>
    </row>
    <row r="1236" spans="1:12">
      <c r="A1236" s="855" t="s">
        <v>607</v>
      </c>
      <c r="B1236" s="856"/>
      <c r="C1236" s="856"/>
      <c r="D1236" s="857"/>
      <c r="E1236" s="858"/>
      <c r="F1236" s="859"/>
      <c r="G1236" s="860"/>
      <c r="H1236" s="857"/>
      <c r="I1236" s="861"/>
      <c r="J1236" s="295"/>
      <c r="K1236" s="296">
        <f t="shared" si="20"/>
        <v>0</v>
      </c>
      <c r="L1236"/>
    </row>
    <row r="1237" spans="1:12">
      <c r="A1237" s="855" t="s">
        <v>607</v>
      </c>
      <c r="B1237" s="856"/>
      <c r="C1237" s="856"/>
      <c r="D1237" s="857"/>
      <c r="E1237" s="858"/>
      <c r="F1237" s="859"/>
      <c r="G1237" s="860"/>
      <c r="H1237" s="857"/>
      <c r="I1237" s="861"/>
      <c r="J1237" s="295"/>
      <c r="K1237" s="296">
        <f t="shared" si="20"/>
        <v>0</v>
      </c>
      <c r="L1237"/>
    </row>
    <row r="1238" spans="1:12">
      <c r="A1238" s="855" t="s">
        <v>607</v>
      </c>
      <c r="B1238" s="856"/>
      <c r="C1238" s="856"/>
      <c r="D1238" s="857"/>
      <c r="E1238" s="858"/>
      <c r="F1238" s="859"/>
      <c r="G1238" s="860"/>
      <c r="H1238" s="857"/>
      <c r="I1238" s="861"/>
      <c r="J1238" s="295"/>
      <c r="K1238" s="296">
        <f t="shared" si="20"/>
        <v>0</v>
      </c>
      <c r="L1238"/>
    </row>
    <row r="1239" spans="1:12">
      <c r="A1239" s="855" t="s">
        <v>607</v>
      </c>
      <c r="B1239" s="856"/>
      <c r="C1239" s="856"/>
      <c r="D1239" s="857"/>
      <c r="E1239" s="858"/>
      <c r="F1239" s="859"/>
      <c r="G1239" s="860"/>
      <c r="H1239" s="857"/>
      <c r="I1239" s="861"/>
      <c r="J1239" s="295"/>
      <c r="K1239" s="296">
        <f t="shared" si="20"/>
        <v>0</v>
      </c>
      <c r="L1239"/>
    </row>
    <row r="1240" spans="1:12">
      <c r="A1240" s="855" t="s">
        <v>607</v>
      </c>
      <c r="B1240" s="856"/>
      <c r="C1240" s="856"/>
      <c r="D1240" s="857"/>
      <c r="E1240" s="858"/>
      <c r="F1240" s="859"/>
      <c r="G1240" s="860"/>
      <c r="H1240" s="857"/>
      <c r="I1240" s="861"/>
      <c r="J1240" s="295"/>
      <c r="K1240" s="296">
        <f t="shared" si="20"/>
        <v>0</v>
      </c>
      <c r="L1240"/>
    </row>
    <row r="1241" spans="1:12">
      <c r="A1241" s="855" t="s">
        <v>607</v>
      </c>
      <c r="B1241" s="856"/>
      <c r="C1241" s="856"/>
      <c r="D1241" s="857"/>
      <c r="E1241" s="858"/>
      <c r="F1241" s="859"/>
      <c r="G1241" s="860"/>
      <c r="H1241" s="857"/>
      <c r="I1241" s="861"/>
      <c r="J1241" s="295"/>
      <c r="K1241" s="296">
        <f t="shared" si="20"/>
        <v>0</v>
      </c>
      <c r="L1241"/>
    </row>
    <row r="1242" spans="1:12">
      <c r="A1242" s="855" t="s">
        <v>607</v>
      </c>
      <c r="B1242" s="856"/>
      <c r="C1242" s="856"/>
      <c r="D1242" s="857"/>
      <c r="E1242" s="858"/>
      <c r="F1242" s="859"/>
      <c r="G1242" s="860"/>
      <c r="H1242" s="857"/>
      <c r="I1242" s="861"/>
      <c r="J1242" s="295"/>
      <c r="K1242" s="296">
        <f t="shared" si="20"/>
        <v>0</v>
      </c>
      <c r="L1242"/>
    </row>
    <row r="1243" spans="1:12">
      <c r="A1243" s="855" t="s">
        <v>607</v>
      </c>
      <c r="B1243" s="856"/>
      <c r="C1243" s="856"/>
      <c r="D1243" s="857"/>
      <c r="E1243" s="858"/>
      <c r="F1243" s="859"/>
      <c r="G1243" s="860"/>
      <c r="H1243" s="857"/>
      <c r="I1243" s="861"/>
      <c r="J1243" s="295"/>
      <c r="K1243" s="296">
        <f t="shared" si="20"/>
        <v>0</v>
      </c>
      <c r="L1243"/>
    </row>
    <row r="1244" spans="1:12">
      <c r="A1244" s="855" t="s">
        <v>607</v>
      </c>
      <c r="B1244" s="856"/>
      <c r="C1244" s="856"/>
      <c r="D1244" s="857"/>
      <c r="E1244" s="858"/>
      <c r="F1244" s="859"/>
      <c r="G1244" s="860"/>
      <c r="H1244" s="857"/>
      <c r="I1244" s="861"/>
      <c r="J1244" s="295"/>
      <c r="K1244" s="296">
        <f t="shared" si="20"/>
        <v>0</v>
      </c>
      <c r="L1244"/>
    </row>
    <row r="1245" spans="1:12">
      <c r="A1245" s="855" t="s">
        <v>608</v>
      </c>
      <c r="B1245" s="856"/>
      <c r="C1245" s="856"/>
      <c r="D1245" s="857"/>
      <c r="E1245" s="858"/>
      <c r="F1245" s="859"/>
      <c r="G1245" s="860"/>
      <c r="H1245" s="857"/>
      <c r="I1245" s="861"/>
      <c r="J1245" s="295"/>
      <c r="K1245" s="296">
        <f t="shared" si="20"/>
        <v>0</v>
      </c>
      <c r="L1245"/>
    </row>
    <row r="1246" spans="1:12">
      <c r="A1246" s="855" t="s">
        <v>608</v>
      </c>
      <c r="B1246" s="856"/>
      <c r="C1246" s="856"/>
      <c r="D1246" s="857"/>
      <c r="E1246" s="858"/>
      <c r="F1246" s="859"/>
      <c r="G1246" s="860"/>
      <c r="H1246" s="857"/>
      <c r="I1246" s="861"/>
      <c r="J1246" s="295"/>
      <c r="K1246" s="296">
        <f t="shared" si="20"/>
        <v>0</v>
      </c>
      <c r="L1246"/>
    </row>
    <row r="1247" spans="1:12">
      <c r="A1247" s="855" t="s">
        <v>608</v>
      </c>
      <c r="B1247" s="856"/>
      <c r="C1247" s="856"/>
      <c r="D1247" s="857"/>
      <c r="E1247" s="858"/>
      <c r="F1247" s="859"/>
      <c r="G1247" s="860"/>
      <c r="H1247" s="857"/>
      <c r="I1247" s="861"/>
      <c r="J1247" s="295"/>
      <c r="K1247" s="296">
        <f t="shared" si="20"/>
        <v>0</v>
      </c>
      <c r="L1247"/>
    </row>
    <row r="1248" spans="1:12">
      <c r="A1248" s="855" t="s">
        <v>608</v>
      </c>
      <c r="B1248" s="856"/>
      <c r="C1248" s="856"/>
      <c r="D1248" s="857"/>
      <c r="E1248" s="858"/>
      <c r="F1248" s="859"/>
      <c r="G1248" s="860"/>
      <c r="H1248" s="857"/>
      <c r="I1248" s="861"/>
      <c r="J1248" s="295"/>
      <c r="K1248" s="296">
        <f t="shared" si="20"/>
        <v>0</v>
      </c>
      <c r="L1248"/>
    </row>
    <row r="1249" spans="1:12">
      <c r="A1249" s="855" t="s">
        <v>608</v>
      </c>
      <c r="B1249" s="856"/>
      <c r="C1249" s="856"/>
      <c r="D1249" s="857"/>
      <c r="E1249" s="858"/>
      <c r="F1249" s="859"/>
      <c r="G1249" s="860"/>
      <c r="H1249" s="857"/>
      <c r="I1249" s="861"/>
      <c r="J1249" s="295"/>
      <c r="K1249" s="296">
        <f t="shared" si="20"/>
        <v>0</v>
      </c>
      <c r="L1249"/>
    </row>
    <row r="1250" spans="1:12">
      <c r="A1250" s="855" t="s">
        <v>608</v>
      </c>
      <c r="B1250" s="856"/>
      <c r="C1250" s="856"/>
      <c r="D1250" s="857"/>
      <c r="E1250" s="858"/>
      <c r="F1250" s="859"/>
      <c r="G1250" s="860"/>
      <c r="H1250" s="857"/>
      <c r="I1250" s="861"/>
      <c r="J1250" s="295"/>
      <c r="K1250" s="296">
        <f t="shared" si="20"/>
        <v>0</v>
      </c>
      <c r="L1250"/>
    </row>
    <row r="1251" spans="1:12">
      <c r="A1251" s="855" t="s">
        <v>608</v>
      </c>
      <c r="B1251" s="856"/>
      <c r="C1251" s="856"/>
      <c r="D1251" s="857"/>
      <c r="E1251" s="858"/>
      <c r="F1251" s="859"/>
      <c r="G1251" s="860"/>
      <c r="H1251" s="857"/>
      <c r="I1251" s="861"/>
      <c r="J1251" s="295"/>
      <c r="K1251" s="296">
        <f t="shared" si="20"/>
        <v>0</v>
      </c>
      <c r="L1251"/>
    </row>
    <row r="1252" spans="1:12">
      <c r="A1252" s="855" t="s">
        <v>607</v>
      </c>
      <c r="B1252" s="856"/>
      <c r="C1252" s="856"/>
      <c r="D1252" s="857"/>
      <c r="E1252" s="858"/>
      <c r="F1252" s="859"/>
      <c r="G1252" s="860"/>
      <c r="H1252" s="857"/>
      <c r="I1252" s="861"/>
      <c r="J1252" s="295"/>
      <c r="K1252" s="296">
        <f t="shared" si="20"/>
        <v>0</v>
      </c>
      <c r="L1252"/>
    </row>
    <row r="1253" spans="1:12">
      <c r="A1253" s="855" t="s">
        <v>607</v>
      </c>
      <c r="B1253" s="856"/>
      <c r="C1253" s="856"/>
      <c r="D1253" s="857"/>
      <c r="E1253" s="858"/>
      <c r="F1253" s="859"/>
      <c r="G1253" s="860"/>
      <c r="H1253" s="857"/>
      <c r="I1253" s="861"/>
      <c r="J1253" s="295"/>
      <c r="K1253" s="296">
        <f t="shared" si="20"/>
        <v>0</v>
      </c>
      <c r="L1253"/>
    </row>
    <row r="1254" spans="1:12">
      <c r="A1254" s="855" t="s">
        <v>607</v>
      </c>
      <c r="B1254" s="856"/>
      <c r="C1254" s="856"/>
      <c r="D1254" s="857"/>
      <c r="E1254" s="858"/>
      <c r="F1254" s="859"/>
      <c r="G1254" s="860"/>
      <c r="H1254" s="857"/>
      <c r="I1254" s="861"/>
      <c r="J1254" s="295"/>
      <c r="K1254" s="296">
        <f t="shared" si="20"/>
        <v>0</v>
      </c>
      <c r="L1254"/>
    </row>
    <row r="1255" spans="1:12">
      <c r="A1255" s="855" t="s">
        <v>607</v>
      </c>
      <c r="B1255" s="856"/>
      <c r="C1255" s="856"/>
      <c r="D1255" s="857"/>
      <c r="E1255" s="858"/>
      <c r="F1255" s="859"/>
      <c r="G1255" s="860"/>
      <c r="H1255" s="857"/>
      <c r="I1255" s="861"/>
      <c r="J1255" s="295"/>
      <c r="K1255" s="296">
        <f t="shared" si="20"/>
        <v>0</v>
      </c>
      <c r="L1255"/>
    </row>
    <row r="1256" spans="1:12">
      <c r="A1256" s="855" t="s">
        <v>607</v>
      </c>
      <c r="B1256" s="856"/>
      <c r="C1256" s="856"/>
      <c r="D1256" s="857"/>
      <c r="E1256" s="858"/>
      <c r="F1256" s="859"/>
      <c r="G1256" s="860"/>
      <c r="H1256" s="857"/>
      <c r="I1256" s="861"/>
      <c r="J1256" s="295"/>
      <c r="K1256" s="296">
        <f t="shared" si="20"/>
        <v>0</v>
      </c>
      <c r="L1256"/>
    </row>
    <row r="1257" spans="1:12">
      <c r="A1257" s="855" t="s">
        <v>607</v>
      </c>
      <c r="B1257" s="856"/>
      <c r="C1257" s="856"/>
      <c r="D1257" s="857"/>
      <c r="E1257" s="858"/>
      <c r="F1257" s="859"/>
      <c r="G1257" s="860"/>
      <c r="H1257" s="857"/>
      <c r="I1257" s="861"/>
      <c r="J1257" s="295"/>
      <c r="K1257" s="296">
        <f t="shared" si="20"/>
        <v>0</v>
      </c>
      <c r="L1257"/>
    </row>
    <row r="1258" spans="1:12">
      <c r="A1258" s="855" t="s">
        <v>607</v>
      </c>
      <c r="B1258" s="856"/>
      <c r="C1258" s="856"/>
      <c r="D1258" s="857"/>
      <c r="E1258" s="858"/>
      <c r="F1258" s="859"/>
      <c r="G1258" s="860"/>
      <c r="H1258" s="857"/>
      <c r="I1258" s="861"/>
      <c r="J1258" s="295"/>
      <c r="K1258" s="296">
        <f t="shared" si="20"/>
        <v>0</v>
      </c>
      <c r="L1258"/>
    </row>
    <row r="1259" spans="1:12">
      <c r="A1259" s="855" t="s">
        <v>607</v>
      </c>
      <c r="B1259" s="856"/>
      <c r="C1259" s="856"/>
      <c r="D1259" s="857"/>
      <c r="E1259" s="858"/>
      <c r="F1259" s="859"/>
      <c r="G1259" s="860"/>
      <c r="H1259" s="857"/>
      <c r="I1259" s="861"/>
      <c r="J1259" s="295"/>
      <c r="K1259" s="296">
        <f t="shared" si="20"/>
        <v>0</v>
      </c>
      <c r="L1259"/>
    </row>
    <row r="1260" spans="1:12">
      <c r="A1260" s="855" t="s">
        <v>607</v>
      </c>
      <c r="B1260" s="856"/>
      <c r="C1260" s="856"/>
      <c r="D1260" s="857"/>
      <c r="E1260" s="858"/>
      <c r="F1260" s="859"/>
      <c r="G1260" s="860"/>
      <c r="H1260" s="857"/>
      <c r="I1260" s="861"/>
      <c r="J1260" s="295"/>
      <c r="K1260" s="296">
        <f t="shared" si="20"/>
        <v>0</v>
      </c>
      <c r="L1260"/>
    </row>
    <row r="1261" spans="1:12">
      <c r="A1261" s="855" t="s">
        <v>607</v>
      </c>
      <c r="B1261" s="856"/>
      <c r="C1261" s="856"/>
      <c r="D1261" s="857"/>
      <c r="E1261" s="858"/>
      <c r="F1261" s="859"/>
      <c r="G1261" s="860"/>
      <c r="H1261" s="857"/>
      <c r="I1261" s="861"/>
      <c r="J1261" s="295"/>
      <c r="K1261" s="296">
        <f t="shared" si="20"/>
        <v>0</v>
      </c>
      <c r="L1261"/>
    </row>
    <row r="1262" spans="1:12">
      <c r="A1262" s="855" t="s">
        <v>607</v>
      </c>
      <c r="B1262" s="856"/>
      <c r="C1262" s="856"/>
      <c r="D1262" s="857"/>
      <c r="E1262" s="858"/>
      <c r="F1262" s="859"/>
      <c r="G1262" s="860"/>
      <c r="H1262" s="857"/>
      <c r="I1262" s="861"/>
      <c r="J1262" s="295"/>
      <c r="K1262" s="296">
        <f t="shared" si="20"/>
        <v>0</v>
      </c>
      <c r="L1262"/>
    </row>
    <row r="1263" spans="1:12">
      <c r="A1263" s="855" t="s">
        <v>607</v>
      </c>
      <c r="B1263" s="856"/>
      <c r="C1263" s="856"/>
      <c r="D1263" s="857"/>
      <c r="E1263" s="858"/>
      <c r="F1263" s="859"/>
      <c r="G1263" s="860"/>
      <c r="H1263" s="857"/>
      <c r="I1263" s="861"/>
      <c r="J1263" s="295"/>
      <c r="K1263" s="296">
        <f t="shared" si="20"/>
        <v>0</v>
      </c>
      <c r="L1263"/>
    </row>
    <row r="1264" spans="1:12">
      <c r="A1264" s="855" t="s">
        <v>607</v>
      </c>
      <c r="B1264" s="856"/>
      <c r="C1264" s="856"/>
      <c r="D1264" s="857"/>
      <c r="E1264" s="858"/>
      <c r="F1264" s="859"/>
      <c r="G1264" s="860"/>
      <c r="H1264" s="857"/>
      <c r="I1264" s="861"/>
      <c r="J1264" s="295"/>
      <c r="K1264" s="296">
        <f t="shared" si="20"/>
        <v>0</v>
      </c>
      <c r="L1264"/>
    </row>
    <row r="1265" spans="1:12">
      <c r="A1265" s="855" t="s">
        <v>607</v>
      </c>
      <c r="B1265" s="856"/>
      <c r="C1265" s="856"/>
      <c r="D1265" s="857"/>
      <c r="E1265" s="858"/>
      <c r="F1265" s="859"/>
      <c r="G1265" s="860"/>
      <c r="H1265" s="857"/>
      <c r="I1265" s="861"/>
      <c r="J1265" s="295"/>
      <c r="K1265" s="296">
        <f t="shared" si="20"/>
        <v>0</v>
      </c>
      <c r="L1265"/>
    </row>
    <row r="1266" spans="1:12">
      <c r="A1266" s="855" t="s">
        <v>607</v>
      </c>
      <c r="B1266" s="856"/>
      <c r="C1266" s="856"/>
      <c r="D1266" s="857"/>
      <c r="E1266" s="858"/>
      <c r="F1266" s="859"/>
      <c r="G1266" s="860"/>
      <c r="H1266" s="857"/>
      <c r="I1266" s="861"/>
      <c r="J1266" s="295"/>
      <c r="K1266" s="296">
        <f t="shared" si="20"/>
        <v>0</v>
      </c>
      <c r="L1266"/>
    </row>
    <row r="1267" spans="1:12">
      <c r="A1267" s="855" t="s">
        <v>607</v>
      </c>
      <c r="B1267" s="856"/>
      <c r="C1267" s="856"/>
      <c r="D1267" s="857"/>
      <c r="E1267" s="858"/>
      <c r="F1267" s="859"/>
      <c r="G1267" s="860"/>
      <c r="H1267" s="857"/>
      <c r="I1267" s="861"/>
      <c r="J1267" s="295"/>
      <c r="K1267" s="296">
        <f t="shared" si="20"/>
        <v>0</v>
      </c>
      <c r="L1267"/>
    </row>
    <row r="1268" spans="1:12">
      <c r="A1268" s="855" t="s">
        <v>607</v>
      </c>
      <c r="B1268" s="856"/>
      <c r="C1268" s="856"/>
      <c r="D1268" s="857"/>
      <c r="E1268" s="858"/>
      <c r="F1268" s="859"/>
      <c r="G1268" s="860"/>
      <c r="H1268" s="857"/>
      <c r="I1268" s="861"/>
      <c r="J1268" s="295"/>
      <c r="K1268" s="296">
        <f t="shared" si="20"/>
        <v>0</v>
      </c>
      <c r="L1268"/>
    </row>
    <row r="1269" spans="1:12">
      <c r="A1269" s="855" t="s">
        <v>602</v>
      </c>
      <c r="B1269" s="856"/>
      <c r="C1269" s="856"/>
      <c r="D1269" s="857"/>
      <c r="E1269" s="858"/>
      <c r="F1269" s="859"/>
      <c r="G1269" s="860"/>
      <c r="H1269" s="857"/>
      <c r="I1269" s="861"/>
      <c r="J1269" s="295"/>
      <c r="K1269" s="296">
        <f t="shared" si="20"/>
        <v>0</v>
      </c>
      <c r="L1269"/>
    </row>
    <row r="1270" spans="1:12">
      <c r="A1270" s="855" t="s">
        <v>602</v>
      </c>
      <c r="B1270" s="856"/>
      <c r="C1270" s="856"/>
      <c r="D1270" s="857"/>
      <c r="E1270" s="858"/>
      <c r="F1270" s="859"/>
      <c r="G1270" s="860"/>
      <c r="H1270" s="857"/>
      <c r="I1270" s="861"/>
      <c r="J1270" s="295"/>
      <c r="K1270" s="296">
        <f t="shared" si="20"/>
        <v>0</v>
      </c>
      <c r="L1270"/>
    </row>
    <row r="1271" spans="1:12">
      <c r="A1271" s="855" t="s">
        <v>602</v>
      </c>
      <c r="B1271" s="856"/>
      <c r="C1271" s="856"/>
      <c r="D1271" s="857"/>
      <c r="E1271" s="858"/>
      <c r="F1271" s="859"/>
      <c r="G1271" s="860"/>
      <c r="H1271" s="857"/>
      <c r="I1271" s="861"/>
      <c r="J1271" s="295"/>
      <c r="K1271" s="296">
        <f t="shared" si="20"/>
        <v>0</v>
      </c>
      <c r="L1271"/>
    </row>
    <row r="1272" spans="1:12">
      <c r="A1272" s="855" t="s">
        <v>602</v>
      </c>
      <c r="B1272" s="856"/>
      <c r="C1272" s="856"/>
      <c r="D1272" s="857"/>
      <c r="E1272" s="858"/>
      <c r="F1272" s="859"/>
      <c r="G1272" s="860"/>
      <c r="H1272" s="857"/>
      <c r="I1272" s="861"/>
      <c r="J1272" s="295"/>
      <c r="K1272" s="296">
        <f t="shared" si="20"/>
        <v>0</v>
      </c>
      <c r="L1272"/>
    </row>
    <row r="1273" spans="1:12">
      <c r="A1273" s="855" t="s">
        <v>602</v>
      </c>
      <c r="B1273" s="856"/>
      <c r="C1273" s="856"/>
      <c r="D1273" s="857"/>
      <c r="E1273" s="858"/>
      <c r="F1273" s="859"/>
      <c r="G1273" s="860"/>
      <c r="H1273" s="857"/>
      <c r="I1273" s="861"/>
      <c r="J1273" s="295"/>
      <c r="K1273" s="296">
        <f t="shared" si="20"/>
        <v>0</v>
      </c>
      <c r="L1273"/>
    </row>
    <row r="1274" spans="1:12">
      <c r="A1274" s="855" t="s">
        <v>602</v>
      </c>
      <c r="B1274" s="856"/>
      <c r="C1274" s="856"/>
      <c r="D1274" s="857"/>
      <c r="E1274" s="858"/>
      <c r="F1274" s="859"/>
      <c r="G1274" s="860"/>
      <c r="H1274" s="857"/>
      <c r="I1274" s="861"/>
      <c r="J1274" s="295"/>
      <c r="K1274" s="296">
        <f t="shared" si="20"/>
        <v>0</v>
      </c>
      <c r="L1274"/>
    </row>
    <row r="1275" spans="1:12">
      <c r="A1275" s="855" t="s">
        <v>602</v>
      </c>
      <c r="B1275" s="856"/>
      <c r="C1275" s="856"/>
      <c r="D1275" s="857"/>
      <c r="E1275" s="858"/>
      <c r="F1275" s="859"/>
      <c r="G1275" s="860"/>
      <c r="H1275" s="857"/>
      <c r="I1275" s="861"/>
      <c r="J1275" s="295"/>
      <c r="K1275" s="296">
        <f t="shared" si="20"/>
        <v>0</v>
      </c>
      <c r="L1275"/>
    </row>
    <row r="1276" spans="1:12">
      <c r="A1276" s="855" t="s">
        <v>602</v>
      </c>
      <c r="B1276" s="856"/>
      <c r="C1276" s="856"/>
      <c r="D1276" s="857"/>
      <c r="E1276" s="858"/>
      <c r="F1276" s="859"/>
      <c r="G1276" s="860"/>
      <c r="H1276" s="857"/>
      <c r="I1276" s="861"/>
      <c r="J1276" s="295"/>
      <c r="K1276" s="296">
        <f t="shared" si="20"/>
        <v>0</v>
      </c>
      <c r="L1276"/>
    </row>
    <row r="1277" spans="1:12">
      <c r="A1277" s="855" t="s">
        <v>602</v>
      </c>
      <c r="B1277" s="856"/>
      <c r="C1277" s="856"/>
      <c r="D1277" s="857"/>
      <c r="E1277" s="858"/>
      <c r="F1277" s="859"/>
      <c r="G1277" s="860"/>
      <c r="H1277" s="857"/>
      <c r="I1277" s="861"/>
      <c r="J1277" s="295"/>
      <c r="K1277" s="296">
        <f t="shared" si="20"/>
        <v>0</v>
      </c>
      <c r="L1277"/>
    </row>
    <row r="1278" spans="1:12">
      <c r="A1278" s="855" t="s">
        <v>602</v>
      </c>
      <c r="B1278" s="856"/>
      <c r="C1278" s="856"/>
      <c r="D1278" s="857"/>
      <c r="E1278" s="858"/>
      <c r="F1278" s="859"/>
      <c r="G1278" s="860"/>
      <c r="H1278" s="857"/>
      <c r="I1278" s="861"/>
      <c r="J1278" s="295"/>
      <c r="K1278" s="296">
        <f t="shared" si="20"/>
        <v>0</v>
      </c>
      <c r="L1278"/>
    </row>
    <row r="1279" spans="1:12">
      <c r="A1279" s="855" t="s">
        <v>602</v>
      </c>
      <c r="B1279" s="856"/>
      <c r="C1279" s="856"/>
      <c r="D1279" s="857"/>
      <c r="E1279" s="858"/>
      <c r="F1279" s="859"/>
      <c r="G1279" s="860"/>
      <c r="H1279" s="857"/>
      <c r="I1279" s="861"/>
      <c r="J1279" s="295"/>
      <c r="K1279" s="296">
        <f t="shared" si="20"/>
        <v>0</v>
      </c>
      <c r="L1279"/>
    </row>
    <row r="1280" spans="1:12">
      <c r="A1280" s="855" t="s">
        <v>602</v>
      </c>
      <c r="B1280" s="856"/>
      <c r="C1280" s="856"/>
      <c r="D1280" s="857"/>
      <c r="E1280" s="858"/>
      <c r="F1280" s="859"/>
      <c r="G1280" s="860"/>
      <c r="H1280" s="857"/>
      <c r="I1280" s="861"/>
      <c r="J1280" s="295"/>
      <c r="K1280" s="296">
        <f t="shared" si="20"/>
        <v>0</v>
      </c>
      <c r="L1280"/>
    </row>
    <row r="1281" spans="1:12">
      <c r="A1281" s="855" t="s">
        <v>602</v>
      </c>
      <c r="B1281" s="856"/>
      <c r="C1281" s="856"/>
      <c r="D1281" s="857"/>
      <c r="E1281" s="858"/>
      <c r="F1281" s="859"/>
      <c r="G1281" s="860"/>
      <c r="H1281" s="857"/>
      <c r="I1281" s="861"/>
      <c r="J1281" s="295"/>
      <c r="K1281" s="296">
        <f t="shared" si="20"/>
        <v>0</v>
      </c>
      <c r="L1281"/>
    </row>
    <row r="1282" spans="1:12">
      <c r="A1282" s="855" t="s">
        <v>602</v>
      </c>
      <c r="B1282" s="856"/>
      <c r="C1282" s="856"/>
      <c r="D1282" s="857"/>
      <c r="E1282" s="858"/>
      <c r="F1282" s="859"/>
      <c r="G1282" s="860"/>
      <c r="H1282" s="857"/>
      <c r="I1282" s="861"/>
      <c r="J1282" s="295"/>
      <c r="K1282" s="296">
        <f t="shared" si="20"/>
        <v>0</v>
      </c>
      <c r="L1282"/>
    </row>
    <row r="1283" spans="1:12">
      <c r="A1283" s="855" t="s">
        <v>602</v>
      </c>
      <c r="B1283" s="856"/>
      <c r="C1283" s="856"/>
      <c r="D1283" s="857"/>
      <c r="E1283" s="858"/>
      <c r="F1283" s="859"/>
      <c r="G1283" s="860"/>
      <c r="H1283" s="857"/>
      <c r="I1283" s="861"/>
      <c r="J1283" s="295"/>
      <c r="K1283" s="296">
        <f t="shared" si="20"/>
        <v>0</v>
      </c>
      <c r="L1283"/>
    </row>
    <row r="1284" spans="1:12">
      <c r="A1284" s="855" t="s">
        <v>602</v>
      </c>
      <c r="B1284" s="856"/>
      <c r="C1284" s="856"/>
      <c r="D1284" s="857"/>
      <c r="E1284" s="858"/>
      <c r="F1284" s="859"/>
      <c r="G1284" s="860"/>
      <c r="H1284" s="857"/>
      <c r="I1284" s="861"/>
      <c r="J1284" s="295"/>
      <c r="K1284" s="296">
        <f t="shared" si="20"/>
        <v>0</v>
      </c>
      <c r="L1284"/>
    </row>
    <row r="1285" spans="1:12">
      <c r="A1285" s="855" t="s">
        <v>607</v>
      </c>
      <c r="B1285" s="856"/>
      <c r="C1285" s="856"/>
      <c r="D1285" s="857"/>
      <c r="E1285" s="858"/>
      <c r="F1285" s="859"/>
      <c r="G1285" s="860"/>
      <c r="H1285" s="857"/>
      <c r="I1285" s="861"/>
      <c r="J1285" s="295"/>
      <c r="K1285" s="296">
        <f t="shared" si="20"/>
        <v>0</v>
      </c>
      <c r="L1285"/>
    </row>
    <row r="1286" spans="1:12">
      <c r="A1286" s="855" t="s">
        <v>607</v>
      </c>
      <c r="B1286" s="856"/>
      <c r="C1286" s="856"/>
      <c r="D1286" s="857"/>
      <c r="E1286" s="858"/>
      <c r="F1286" s="859"/>
      <c r="G1286" s="860"/>
      <c r="H1286" s="857"/>
      <c r="I1286" s="861"/>
      <c r="J1286" s="295"/>
      <c r="K1286" s="296">
        <f t="shared" si="20"/>
        <v>0</v>
      </c>
      <c r="L1286"/>
    </row>
    <row r="1287" spans="1:12">
      <c r="A1287" s="855" t="s">
        <v>607</v>
      </c>
      <c r="B1287" s="856"/>
      <c r="C1287" s="856"/>
      <c r="D1287" s="857"/>
      <c r="E1287" s="858"/>
      <c r="F1287" s="859"/>
      <c r="G1287" s="860"/>
      <c r="H1287" s="857"/>
      <c r="I1287" s="861"/>
      <c r="J1287" s="295"/>
      <c r="K1287" s="296">
        <f t="shared" si="20"/>
        <v>0</v>
      </c>
      <c r="L1287"/>
    </row>
    <row r="1288" spans="1:12">
      <c r="A1288" s="855" t="s">
        <v>607</v>
      </c>
      <c r="B1288" s="856"/>
      <c r="C1288" s="856"/>
      <c r="D1288" s="857"/>
      <c r="E1288" s="858"/>
      <c r="F1288" s="859"/>
      <c r="G1288" s="860"/>
      <c r="H1288" s="857"/>
      <c r="I1288" s="861"/>
      <c r="J1288" s="295"/>
      <c r="K1288" s="296">
        <f t="shared" si="20"/>
        <v>0</v>
      </c>
      <c r="L1288"/>
    </row>
    <row r="1289" spans="1:12">
      <c r="A1289" s="855" t="s">
        <v>602</v>
      </c>
      <c r="B1289" s="856"/>
      <c r="C1289" s="856"/>
      <c r="D1289" s="857"/>
      <c r="E1289" s="858"/>
      <c r="F1289" s="859"/>
      <c r="G1289" s="860"/>
      <c r="H1289" s="857"/>
      <c r="I1289" s="861"/>
      <c r="J1289" s="295"/>
      <c r="K1289" s="296">
        <f t="shared" ref="K1289:K1352" si="21">IF(LEFT(A1289,2)="TU",(J1289-I1289)*E1289/100*100000*2,(J1289-I1289)*E1289/100*100000)</f>
        <v>0</v>
      </c>
      <c r="L1289"/>
    </row>
    <row r="1290" spans="1:12">
      <c r="A1290" s="855" t="s">
        <v>607</v>
      </c>
      <c r="B1290" s="856"/>
      <c r="C1290" s="856"/>
      <c r="D1290" s="857"/>
      <c r="E1290" s="858"/>
      <c r="F1290" s="859"/>
      <c r="G1290" s="860"/>
      <c r="H1290" s="857"/>
      <c r="I1290" s="861"/>
      <c r="J1290" s="295"/>
      <c r="K1290" s="296">
        <f t="shared" si="21"/>
        <v>0</v>
      </c>
      <c r="L1290"/>
    </row>
    <row r="1291" spans="1:12">
      <c r="A1291" s="855" t="s">
        <v>607</v>
      </c>
      <c r="B1291" s="856"/>
      <c r="C1291" s="856"/>
      <c r="D1291" s="857"/>
      <c r="E1291" s="858"/>
      <c r="F1291" s="859"/>
      <c r="G1291" s="860"/>
      <c r="H1291" s="857"/>
      <c r="I1291" s="861"/>
      <c r="J1291" s="295"/>
      <c r="K1291" s="296">
        <f t="shared" si="21"/>
        <v>0</v>
      </c>
      <c r="L1291"/>
    </row>
    <row r="1292" spans="1:12">
      <c r="A1292" s="855" t="s">
        <v>607</v>
      </c>
      <c r="B1292" s="856"/>
      <c r="C1292" s="856"/>
      <c r="D1292" s="857"/>
      <c r="E1292" s="858"/>
      <c r="F1292" s="859"/>
      <c r="G1292" s="860"/>
      <c r="H1292" s="857"/>
      <c r="I1292" s="861"/>
      <c r="J1292" s="295"/>
      <c r="K1292" s="296">
        <f t="shared" si="21"/>
        <v>0</v>
      </c>
      <c r="L1292"/>
    </row>
    <row r="1293" spans="1:12">
      <c r="A1293" s="855" t="s">
        <v>607</v>
      </c>
      <c r="B1293" s="856"/>
      <c r="C1293" s="856"/>
      <c r="D1293" s="857"/>
      <c r="E1293" s="858"/>
      <c r="F1293" s="859"/>
      <c r="G1293" s="860"/>
      <c r="H1293" s="857"/>
      <c r="I1293" s="861"/>
      <c r="J1293" s="295"/>
      <c r="K1293" s="296">
        <f t="shared" si="21"/>
        <v>0</v>
      </c>
      <c r="L1293"/>
    </row>
    <row r="1294" spans="1:12">
      <c r="A1294" s="855" t="s">
        <v>607</v>
      </c>
      <c r="B1294" s="856"/>
      <c r="C1294" s="856"/>
      <c r="D1294" s="857"/>
      <c r="E1294" s="858"/>
      <c r="F1294" s="859"/>
      <c r="G1294" s="860"/>
      <c r="H1294" s="857"/>
      <c r="I1294" s="861"/>
      <c r="J1294" s="295"/>
      <c r="K1294" s="296">
        <f t="shared" si="21"/>
        <v>0</v>
      </c>
      <c r="L1294"/>
    </row>
    <row r="1295" spans="1:12">
      <c r="A1295" s="855" t="s">
        <v>607</v>
      </c>
      <c r="B1295" s="856"/>
      <c r="C1295" s="856"/>
      <c r="D1295" s="857"/>
      <c r="E1295" s="858"/>
      <c r="F1295" s="859"/>
      <c r="G1295" s="860"/>
      <c r="H1295" s="857"/>
      <c r="I1295" s="861"/>
      <c r="J1295" s="295"/>
      <c r="K1295" s="296">
        <f t="shared" si="21"/>
        <v>0</v>
      </c>
      <c r="L1295"/>
    </row>
    <row r="1296" spans="1:12">
      <c r="A1296" s="855" t="s">
        <v>607</v>
      </c>
      <c r="B1296" s="856"/>
      <c r="C1296" s="856"/>
      <c r="D1296" s="857"/>
      <c r="E1296" s="858"/>
      <c r="F1296" s="859"/>
      <c r="G1296" s="860"/>
      <c r="H1296" s="857"/>
      <c r="I1296" s="861"/>
      <c r="J1296" s="295"/>
      <c r="K1296" s="296">
        <f t="shared" si="21"/>
        <v>0</v>
      </c>
      <c r="L1296"/>
    </row>
    <row r="1297" spans="1:12">
      <c r="A1297" s="855" t="s">
        <v>607</v>
      </c>
      <c r="B1297" s="856"/>
      <c r="C1297" s="856"/>
      <c r="D1297" s="857"/>
      <c r="E1297" s="858"/>
      <c r="F1297" s="859"/>
      <c r="G1297" s="860"/>
      <c r="H1297" s="857"/>
      <c r="I1297" s="861"/>
      <c r="J1297" s="295"/>
      <c r="K1297" s="296">
        <f t="shared" si="21"/>
        <v>0</v>
      </c>
      <c r="L1297"/>
    </row>
    <row r="1298" spans="1:12">
      <c r="A1298" s="855" t="s">
        <v>602</v>
      </c>
      <c r="B1298" s="856"/>
      <c r="C1298" s="856"/>
      <c r="D1298" s="857"/>
      <c r="E1298" s="858"/>
      <c r="F1298" s="859"/>
      <c r="G1298" s="860"/>
      <c r="H1298" s="857"/>
      <c r="I1298" s="861"/>
      <c r="J1298" s="295"/>
      <c r="K1298" s="296">
        <f t="shared" si="21"/>
        <v>0</v>
      </c>
      <c r="L1298"/>
    </row>
    <row r="1299" spans="1:12">
      <c r="A1299" s="855" t="s">
        <v>602</v>
      </c>
      <c r="B1299" s="856"/>
      <c r="C1299" s="856"/>
      <c r="D1299" s="857"/>
      <c r="E1299" s="858"/>
      <c r="F1299" s="859"/>
      <c r="G1299" s="860"/>
      <c r="H1299" s="857"/>
      <c r="I1299" s="861"/>
      <c r="J1299" s="295"/>
      <c r="K1299" s="296">
        <f t="shared" si="21"/>
        <v>0</v>
      </c>
      <c r="L1299"/>
    </row>
    <row r="1300" spans="1:12">
      <c r="A1300" s="855" t="s">
        <v>602</v>
      </c>
      <c r="B1300" s="856"/>
      <c r="C1300" s="856"/>
      <c r="D1300" s="857"/>
      <c r="E1300" s="858"/>
      <c r="F1300" s="859"/>
      <c r="G1300" s="860"/>
      <c r="H1300" s="857"/>
      <c r="I1300" s="861"/>
      <c r="J1300" s="295"/>
      <c r="K1300" s="296">
        <f t="shared" si="21"/>
        <v>0</v>
      </c>
      <c r="L1300"/>
    </row>
    <row r="1301" spans="1:12">
      <c r="A1301" s="855" t="s">
        <v>602</v>
      </c>
      <c r="B1301" s="856"/>
      <c r="C1301" s="856"/>
      <c r="D1301" s="857"/>
      <c r="E1301" s="858"/>
      <c r="F1301" s="859"/>
      <c r="G1301" s="860"/>
      <c r="H1301" s="857"/>
      <c r="I1301" s="861"/>
      <c r="J1301" s="295"/>
      <c r="K1301" s="296">
        <f t="shared" si="21"/>
        <v>0</v>
      </c>
      <c r="L1301"/>
    </row>
    <row r="1302" spans="1:12">
      <c r="A1302" s="855" t="s">
        <v>602</v>
      </c>
      <c r="B1302" s="856"/>
      <c r="C1302" s="856"/>
      <c r="D1302" s="857"/>
      <c r="E1302" s="858"/>
      <c r="F1302" s="859"/>
      <c r="G1302" s="860"/>
      <c r="H1302" s="857"/>
      <c r="I1302" s="861"/>
      <c r="J1302" s="295"/>
      <c r="K1302" s="296">
        <f t="shared" si="21"/>
        <v>0</v>
      </c>
      <c r="L1302"/>
    </row>
    <row r="1303" spans="1:12">
      <c r="A1303" s="855" t="s">
        <v>607</v>
      </c>
      <c r="B1303" s="856"/>
      <c r="C1303" s="856"/>
      <c r="D1303" s="857"/>
      <c r="E1303" s="858"/>
      <c r="F1303" s="859"/>
      <c r="G1303" s="860"/>
      <c r="H1303" s="857"/>
      <c r="I1303" s="861"/>
      <c r="J1303" s="295"/>
      <c r="K1303" s="296">
        <f t="shared" si="21"/>
        <v>0</v>
      </c>
      <c r="L1303"/>
    </row>
    <row r="1304" spans="1:12">
      <c r="A1304" s="855" t="s">
        <v>607</v>
      </c>
      <c r="B1304" s="856"/>
      <c r="C1304" s="856"/>
      <c r="D1304" s="857"/>
      <c r="E1304" s="858"/>
      <c r="F1304" s="859"/>
      <c r="G1304" s="860"/>
      <c r="H1304" s="857"/>
      <c r="I1304" s="861"/>
      <c r="J1304" s="295"/>
      <c r="K1304" s="296">
        <f t="shared" si="21"/>
        <v>0</v>
      </c>
      <c r="L1304"/>
    </row>
    <row r="1305" spans="1:12">
      <c r="A1305" s="855" t="s">
        <v>607</v>
      </c>
      <c r="B1305" s="856"/>
      <c r="C1305" s="856"/>
      <c r="D1305" s="857"/>
      <c r="E1305" s="858"/>
      <c r="F1305" s="859"/>
      <c r="G1305" s="860"/>
      <c r="H1305" s="857"/>
      <c r="I1305" s="861"/>
      <c r="J1305" s="295"/>
      <c r="K1305" s="296">
        <f t="shared" si="21"/>
        <v>0</v>
      </c>
      <c r="L1305"/>
    </row>
    <row r="1306" spans="1:12">
      <c r="A1306" s="855" t="s">
        <v>607</v>
      </c>
      <c r="B1306" s="856"/>
      <c r="C1306" s="856"/>
      <c r="D1306" s="857"/>
      <c r="E1306" s="858"/>
      <c r="F1306" s="859"/>
      <c r="G1306" s="860"/>
      <c r="H1306" s="857"/>
      <c r="I1306" s="861"/>
      <c r="J1306" s="295"/>
      <c r="K1306" s="296">
        <f t="shared" si="21"/>
        <v>0</v>
      </c>
      <c r="L1306"/>
    </row>
    <row r="1307" spans="1:12">
      <c r="A1307" s="855" t="s">
        <v>607</v>
      </c>
      <c r="B1307" s="856"/>
      <c r="C1307" s="856"/>
      <c r="D1307" s="857"/>
      <c r="E1307" s="858"/>
      <c r="F1307" s="859"/>
      <c r="G1307" s="860"/>
      <c r="H1307" s="857"/>
      <c r="I1307" s="861"/>
      <c r="J1307" s="295"/>
      <c r="K1307" s="296">
        <f t="shared" si="21"/>
        <v>0</v>
      </c>
      <c r="L1307"/>
    </row>
    <row r="1308" spans="1:12">
      <c r="A1308" s="855" t="s">
        <v>607</v>
      </c>
      <c r="B1308" s="856"/>
      <c r="C1308" s="856"/>
      <c r="D1308" s="857"/>
      <c r="E1308" s="858"/>
      <c r="F1308" s="859"/>
      <c r="G1308" s="860"/>
      <c r="H1308" s="857"/>
      <c r="I1308" s="861"/>
      <c r="J1308" s="295"/>
      <c r="K1308" s="296">
        <f t="shared" si="21"/>
        <v>0</v>
      </c>
      <c r="L1308"/>
    </row>
    <row r="1309" spans="1:12">
      <c r="A1309" s="855" t="s">
        <v>607</v>
      </c>
      <c r="B1309" s="856"/>
      <c r="C1309" s="856"/>
      <c r="D1309" s="857"/>
      <c r="E1309" s="858"/>
      <c r="F1309" s="859"/>
      <c r="G1309" s="860"/>
      <c r="H1309" s="857"/>
      <c r="I1309" s="861"/>
      <c r="J1309" s="295"/>
      <c r="K1309" s="296">
        <f t="shared" si="21"/>
        <v>0</v>
      </c>
      <c r="L1309"/>
    </row>
    <row r="1310" spans="1:12">
      <c r="A1310" s="855" t="s">
        <v>607</v>
      </c>
      <c r="B1310" s="856"/>
      <c r="C1310" s="856"/>
      <c r="D1310" s="857"/>
      <c r="E1310" s="858"/>
      <c r="F1310" s="859"/>
      <c r="G1310" s="860"/>
      <c r="H1310" s="857"/>
      <c r="I1310" s="861"/>
      <c r="J1310" s="295"/>
      <c r="K1310" s="296">
        <f t="shared" si="21"/>
        <v>0</v>
      </c>
      <c r="L1310"/>
    </row>
    <row r="1311" spans="1:12">
      <c r="A1311" s="855" t="s">
        <v>607</v>
      </c>
      <c r="B1311" s="856"/>
      <c r="C1311" s="856"/>
      <c r="D1311" s="857"/>
      <c r="E1311" s="858"/>
      <c r="F1311" s="859"/>
      <c r="G1311" s="860"/>
      <c r="H1311" s="857"/>
      <c r="I1311" s="861"/>
      <c r="J1311" s="295"/>
      <c r="K1311" s="296">
        <f t="shared" si="21"/>
        <v>0</v>
      </c>
      <c r="L1311"/>
    </row>
    <row r="1312" spans="1:12">
      <c r="A1312" s="855" t="s">
        <v>607</v>
      </c>
      <c r="B1312" s="856"/>
      <c r="C1312" s="856"/>
      <c r="D1312" s="857"/>
      <c r="E1312" s="858"/>
      <c r="F1312" s="859"/>
      <c r="G1312" s="860"/>
      <c r="H1312" s="857"/>
      <c r="I1312" s="861"/>
      <c r="J1312" s="295"/>
      <c r="K1312" s="296">
        <f t="shared" si="21"/>
        <v>0</v>
      </c>
      <c r="L1312"/>
    </row>
    <row r="1313" spans="1:12">
      <c r="A1313" s="855" t="s">
        <v>607</v>
      </c>
      <c r="B1313" s="856"/>
      <c r="C1313" s="856"/>
      <c r="D1313" s="857"/>
      <c r="E1313" s="858"/>
      <c r="F1313" s="859"/>
      <c r="G1313" s="860"/>
      <c r="H1313" s="857"/>
      <c r="I1313" s="861"/>
      <c r="J1313" s="295"/>
      <c r="K1313" s="296">
        <f t="shared" si="21"/>
        <v>0</v>
      </c>
      <c r="L1313"/>
    </row>
    <row r="1314" spans="1:12">
      <c r="A1314" s="855" t="s">
        <v>607</v>
      </c>
      <c r="B1314" s="856"/>
      <c r="C1314" s="856"/>
      <c r="D1314" s="857"/>
      <c r="E1314" s="858"/>
      <c r="F1314" s="859"/>
      <c r="G1314" s="860"/>
      <c r="H1314" s="857"/>
      <c r="I1314" s="861"/>
      <c r="J1314" s="295"/>
      <c r="K1314" s="296">
        <f t="shared" si="21"/>
        <v>0</v>
      </c>
      <c r="L1314"/>
    </row>
    <row r="1315" spans="1:12">
      <c r="A1315" s="855" t="s">
        <v>607</v>
      </c>
      <c r="B1315" s="856"/>
      <c r="C1315" s="856"/>
      <c r="D1315" s="857"/>
      <c r="E1315" s="858"/>
      <c r="F1315" s="859"/>
      <c r="G1315" s="860"/>
      <c r="H1315" s="857"/>
      <c r="I1315" s="861"/>
      <c r="J1315" s="295"/>
      <c r="K1315" s="296">
        <f t="shared" si="21"/>
        <v>0</v>
      </c>
      <c r="L1315"/>
    </row>
    <row r="1316" spans="1:12">
      <c r="A1316" s="855" t="s">
        <v>607</v>
      </c>
      <c r="B1316" s="856"/>
      <c r="C1316" s="856"/>
      <c r="D1316" s="857"/>
      <c r="E1316" s="858"/>
      <c r="F1316" s="859"/>
      <c r="G1316" s="860"/>
      <c r="H1316" s="857"/>
      <c r="I1316" s="861"/>
      <c r="J1316" s="295"/>
      <c r="K1316" s="296">
        <f t="shared" si="21"/>
        <v>0</v>
      </c>
      <c r="L1316"/>
    </row>
    <row r="1317" spans="1:12">
      <c r="A1317" s="855" t="s">
        <v>607</v>
      </c>
      <c r="B1317" s="856"/>
      <c r="C1317" s="856"/>
      <c r="D1317" s="857"/>
      <c r="E1317" s="858"/>
      <c r="F1317" s="859"/>
      <c r="G1317" s="860"/>
      <c r="H1317" s="857"/>
      <c r="I1317" s="861"/>
      <c r="J1317" s="295"/>
      <c r="K1317" s="296">
        <f t="shared" si="21"/>
        <v>0</v>
      </c>
      <c r="L1317"/>
    </row>
    <row r="1318" spans="1:12">
      <c r="A1318" s="855" t="s">
        <v>607</v>
      </c>
      <c r="B1318" s="856"/>
      <c r="C1318" s="856"/>
      <c r="D1318" s="857"/>
      <c r="E1318" s="858"/>
      <c r="F1318" s="859"/>
      <c r="G1318" s="860"/>
      <c r="H1318" s="857"/>
      <c r="I1318" s="861"/>
      <c r="J1318" s="295"/>
      <c r="K1318" s="296">
        <f t="shared" si="21"/>
        <v>0</v>
      </c>
      <c r="L1318"/>
    </row>
    <row r="1319" spans="1:12">
      <c r="A1319" s="855" t="s">
        <v>607</v>
      </c>
      <c r="B1319" s="856"/>
      <c r="C1319" s="856"/>
      <c r="D1319" s="857"/>
      <c r="E1319" s="858"/>
      <c r="F1319" s="859"/>
      <c r="G1319" s="860"/>
      <c r="H1319" s="857"/>
      <c r="I1319" s="861"/>
      <c r="J1319" s="295"/>
      <c r="K1319" s="296">
        <f t="shared" si="21"/>
        <v>0</v>
      </c>
      <c r="L1319"/>
    </row>
    <row r="1320" spans="1:12">
      <c r="A1320" s="855" t="s">
        <v>607</v>
      </c>
      <c r="B1320" s="856"/>
      <c r="C1320" s="856"/>
      <c r="D1320" s="857"/>
      <c r="E1320" s="858"/>
      <c r="F1320" s="859"/>
      <c r="G1320" s="860"/>
      <c r="H1320" s="857"/>
      <c r="I1320" s="861"/>
      <c r="J1320" s="295"/>
      <c r="K1320" s="296">
        <f t="shared" si="21"/>
        <v>0</v>
      </c>
      <c r="L1320"/>
    </row>
    <row r="1321" spans="1:12">
      <c r="A1321" s="855" t="s">
        <v>607</v>
      </c>
      <c r="B1321" s="856"/>
      <c r="C1321" s="856"/>
      <c r="D1321" s="857"/>
      <c r="E1321" s="858"/>
      <c r="F1321" s="859"/>
      <c r="G1321" s="860"/>
      <c r="H1321" s="857"/>
      <c r="I1321" s="861"/>
      <c r="J1321" s="295"/>
      <c r="K1321" s="296">
        <f t="shared" si="21"/>
        <v>0</v>
      </c>
      <c r="L1321"/>
    </row>
    <row r="1322" spans="1:12">
      <c r="A1322" s="855" t="s">
        <v>607</v>
      </c>
      <c r="B1322" s="856"/>
      <c r="C1322" s="856"/>
      <c r="D1322" s="857"/>
      <c r="E1322" s="858"/>
      <c r="F1322" s="859"/>
      <c r="G1322" s="860"/>
      <c r="H1322" s="857"/>
      <c r="I1322" s="861"/>
      <c r="J1322" s="295"/>
      <c r="K1322" s="296">
        <f t="shared" si="21"/>
        <v>0</v>
      </c>
      <c r="L1322"/>
    </row>
    <row r="1323" spans="1:12">
      <c r="A1323" s="855" t="s">
        <v>607</v>
      </c>
      <c r="B1323" s="856"/>
      <c r="C1323" s="856"/>
      <c r="D1323" s="857"/>
      <c r="E1323" s="858"/>
      <c r="F1323" s="859"/>
      <c r="G1323" s="860"/>
      <c r="H1323" s="857"/>
      <c r="I1323" s="861"/>
      <c r="J1323" s="295"/>
      <c r="K1323" s="296">
        <f t="shared" si="21"/>
        <v>0</v>
      </c>
      <c r="L1323"/>
    </row>
    <row r="1324" spans="1:12">
      <c r="A1324" s="855" t="s">
        <v>607</v>
      </c>
      <c r="B1324" s="856"/>
      <c r="C1324" s="856"/>
      <c r="D1324" s="857"/>
      <c r="E1324" s="858"/>
      <c r="F1324" s="859"/>
      <c r="G1324" s="860"/>
      <c r="H1324" s="857"/>
      <c r="I1324" s="861"/>
      <c r="J1324" s="295"/>
      <c r="K1324" s="296">
        <f t="shared" si="21"/>
        <v>0</v>
      </c>
      <c r="L1324"/>
    </row>
    <row r="1325" spans="1:12">
      <c r="A1325" s="855" t="s">
        <v>607</v>
      </c>
      <c r="B1325" s="856"/>
      <c r="C1325" s="856"/>
      <c r="D1325" s="857"/>
      <c r="E1325" s="858"/>
      <c r="F1325" s="859"/>
      <c r="G1325" s="860"/>
      <c r="H1325" s="857"/>
      <c r="I1325" s="861"/>
      <c r="J1325" s="295"/>
      <c r="K1325" s="296">
        <f t="shared" si="21"/>
        <v>0</v>
      </c>
      <c r="L1325"/>
    </row>
    <row r="1326" spans="1:12">
      <c r="A1326" s="855" t="s">
        <v>602</v>
      </c>
      <c r="B1326" s="856"/>
      <c r="C1326" s="856"/>
      <c r="D1326" s="857"/>
      <c r="E1326" s="858"/>
      <c r="F1326" s="859"/>
      <c r="G1326" s="860"/>
      <c r="H1326" s="857"/>
      <c r="I1326" s="861"/>
      <c r="J1326" s="295"/>
      <c r="K1326" s="296">
        <f t="shared" si="21"/>
        <v>0</v>
      </c>
      <c r="L1326"/>
    </row>
    <row r="1327" spans="1:12">
      <c r="A1327" s="855" t="s">
        <v>607</v>
      </c>
      <c r="B1327" s="856"/>
      <c r="C1327" s="856"/>
      <c r="D1327" s="857"/>
      <c r="E1327" s="858"/>
      <c r="F1327" s="859"/>
      <c r="G1327" s="860"/>
      <c r="H1327" s="857"/>
      <c r="I1327" s="861"/>
      <c r="J1327" s="295"/>
      <c r="K1327" s="296">
        <f t="shared" si="21"/>
        <v>0</v>
      </c>
      <c r="L1327"/>
    </row>
    <row r="1328" spans="1:12">
      <c r="A1328" s="855" t="s">
        <v>607</v>
      </c>
      <c r="B1328" s="856"/>
      <c r="C1328" s="856"/>
      <c r="D1328" s="857"/>
      <c r="E1328" s="858"/>
      <c r="F1328" s="859"/>
      <c r="G1328" s="860"/>
      <c r="H1328" s="857"/>
      <c r="I1328" s="861"/>
      <c r="J1328" s="295"/>
      <c r="K1328" s="296">
        <f t="shared" si="21"/>
        <v>0</v>
      </c>
      <c r="L1328"/>
    </row>
    <row r="1329" spans="1:12">
      <c r="A1329" s="855" t="s">
        <v>602</v>
      </c>
      <c r="B1329" s="856"/>
      <c r="C1329" s="856"/>
      <c r="D1329" s="857"/>
      <c r="E1329" s="858"/>
      <c r="F1329" s="859"/>
      <c r="G1329" s="860"/>
      <c r="H1329" s="857"/>
      <c r="I1329" s="861"/>
      <c r="J1329" s="295"/>
      <c r="K1329" s="296">
        <f t="shared" si="21"/>
        <v>0</v>
      </c>
      <c r="L1329"/>
    </row>
    <row r="1330" spans="1:12">
      <c r="A1330" s="855" t="s">
        <v>602</v>
      </c>
      <c r="B1330" s="856"/>
      <c r="C1330" s="856"/>
      <c r="D1330" s="857"/>
      <c r="E1330" s="858"/>
      <c r="F1330" s="859"/>
      <c r="G1330" s="860"/>
      <c r="H1330" s="857"/>
      <c r="I1330" s="861"/>
      <c r="J1330" s="295"/>
      <c r="K1330" s="296">
        <f t="shared" si="21"/>
        <v>0</v>
      </c>
      <c r="L1330"/>
    </row>
    <row r="1331" spans="1:12">
      <c r="A1331" s="855" t="s">
        <v>602</v>
      </c>
      <c r="B1331" s="856"/>
      <c r="C1331" s="856"/>
      <c r="D1331" s="857"/>
      <c r="E1331" s="858"/>
      <c r="F1331" s="859"/>
      <c r="G1331" s="860"/>
      <c r="H1331" s="857"/>
      <c r="I1331" s="861"/>
      <c r="J1331" s="295"/>
      <c r="K1331" s="296">
        <f t="shared" si="21"/>
        <v>0</v>
      </c>
      <c r="L1331"/>
    </row>
    <row r="1332" spans="1:12">
      <c r="A1332" s="855" t="s">
        <v>607</v>
      </c>
      <c r="B1332" s="856"/>
      <c r="C1332" s="856"/>
      <c r="D1332" s="857"/>
      <c r="E1332" s="858"/>
      <c r="F1332" s="859"/>
      <c r="G1332" s="860"/>
      <c r="H1332" s="857"/>
      <c r="I1332" s="861"/>
      <c r="J1332" s="295"/>
      <c r="K1332" s="296">
        <f t="shared" si="21"/>
        <v>0</v>
      </c>
      <c r="L1332"/>
    </row>
    <row r="1333" spans="1:12">
      <c r="A1333" s="855" t="s">
        <v>607</v>
      </c>
      <c r="B1333" s="856"/>
      <c r="C1333" s="856"/>
      <c r="D1333" s="857"/>
      <c r="E1333" s="858"/>
      <c r="F1333" s="859"/>
      <c r="G1333" s="860"/>
      <c r="H1333" s="857"/>
      <c r="I1333" s="861"/>
      <c r="J1333" s="295"/>
      <c r="K1333" s="296">
        <f t="shared" si="21"/>
        <v>0</v>
      </c>
      <c r="L1333"/>
    </row>
    <row r="1334" spans="1:12">
      <c r="A1334" s="855" t="s">
        <v>602</v>
      </c>
      <c r="B1334" s="856"/>
      <c r="C1334" s="856"/>
      <c r="D1334" s="857"/>
      <c r="E1334" s="858"/>
      <c r="F1334" s="859"/>
      <c r="G1334" s="860"/>
      <c r="H1334" s="857"/>
      <c r="I1334" s="861"/>
      <c r="J1334" s="295"/>
      <c r="K1334" s="296">
        <f t="shared" si="21"/>
        <v>0</v>
      </c>
      <c r="L1334"/>
    </row>
    <row r="1335" spans="1:12">
      <c r="A1335" s="855" t="s">
        <v>602</v>
      </c>
      <c r="B1335" s="856"/>
      <c r="C1335" s="856"/>
      <c r="D1335" s="857"/>
      <c r="E1335" s="858"/>
      <c r="F1335" s="859"/>
      <c r="G1335" s="860"/>
      <c r="H1335" s="857"/>
      <c r="I1335" s="861"/>
      <c r="J1335" s="295"/>
      <c r="K1335" s="296">
        <f t="shared" si="21"/>
        <v>0</v>
      </c>
      <c r="L1335"/>
    </row>
    <row r="1336" spans="1:12">
      <c r="A1336" s="855" t="s">
        <v>607</v>
      </c>
      <c r="B1336" s="856"/>
      <c r="C1336" s="856"/>
      <c r="D1336" s="857"/>
      <c r="E1336" s="858"/>
      <c r="F1336" s="859"/>
      <c r="G1336" s="860"/>
      <c r="H1336" s="857"/>
      <c r="I1336" s="861"/>
      <c r="J1336" s="295"/>
      <c r="K1336" s="296">
        <f t="shared" si="21"/>
        <v>0</v>
      </c>
      <c r="L1336"/>
    </row>
    <row r="1337" spans="1:12">
      <c r="A1337" s="855" t="s">
        <v>607</v>
      </c>
      <c r="B1337" s="856"/>
      <c r="C1337" s="856"/>
      <c r="D1337" s="857"/>
      <c r="E1337" s="858"/>
      <c r="F1337" s="859"/>
      <c r="G1337" s="860"/>
      <c r="H1337" s="857"/>
      <c r="I1337" s="861"/>
      <c r="J1337" s="295"/>
      <c r="K1337" s="296">
        <f t="shared" si="21"/>
        <v>0</v>
      </c>
      <c r="L1337"/>
    </row>
    <row r="1338" spans="1:12">
      <c r="A1338" s="855" t="s">
        <v>607</v>
      </c>
      <c r="B1338" s="856"/>
      <c r="C1338" s="856"/>
      <c r="D1338" s="857"/>
      <c r="E1338" s="858"/>
      <c r="F1338" s="859"/>
      <c r="G1338" s="860"/>
      <c r="H1338" s="857"/>
      <c r="I1338" s="861"/>
      <c r="J1338" s="295"/>
      <c r="K1338" s="296">
        <f t="shared" si="21"/>
        <v>0</v>
      </c>
      <c r="L1338"/>
    </row>
    <row r="1339" spans="1:12">
      <c r="A1339" s="855" t="s">
        <v>607</v>
      </c>
      <c r="B1339" s="856"/>
      <c r="C1339" s="856"/>
      <c r="D1339" s="857"/>
      <c r="E1339" s="858"/>
      <c r="F1339" s="859"/>
      <c r="G1339" s="860"/>
      <c r="H1339" s="857"/>
      <c r="I1339" s="861"/>
      <c r="J1339" s="295"/>
      <c r="K1339" s="296">
        <f t="shared" si="21"/>
        <v>0</v>
      </c>
      <c r="L1339"/>
    </row>
    <row r="1340" spans="1:12">
      <c r="A1340" s="855" t="s">
        <v>607</v>
      </c>
      <c r="B1340" s="856"/>
      <c r="C1340" s="856"/>
      <c r="D1340" s="857"/>
      <c r="E1340" s="858"/>
      <c r="F1340" s="859"/>
      <c r="G1340" s="860"/>
      <c r="H1340" s="857"/>
      <c r="I1340" s="861"/>
      <c r="J1340" s="295"/>
      <c r="K1340" s="296">
        <f t="shared" si="21"/>
        <v>0</v>
      </c>
      <c r="L1340"/>
    </row>
    <row r="1341" spans="1:12">
      <c r="A1341" s="855" t="s">
        <v>607</v>
      </c>
      <c r="B1341" s="856"/>
      <c r="C1341" s="856"/>
      <c r="D1341" s="857"/>
      <c r="E1341" s="858"/>
      <c r="F1341" s="859"/>
      <c r="G1341" s="860"/>
      <c r="H1341" s="857"/>
      <c r="I1341" s="861"/>
      <c r="J1341" s="295"/>
      <c r="K1341" s="296">
        <f t="shared" si="21"/>
        <v>0</v>
      </c>
      <c r="L1341"/>
    </row>
    <row r="1342" spans="1:12">
      <c r="A1342" s="855" t="s">
        <v>602</v>
      </c>
      <c r="B1342" s="856"/>
      <c r="C1342" s="856"/>
      <c r="D1342" s="857"/>
      <c r="E1342" s="858"/>
      <c r="F1342" s="859"/>
      <c r="G1342" s="860"/>
      <c r="H1342" s="857"/>
      <c r="I1342" s="861"/>
      <c r="J1342" s="295"/>
      <c r="K1342" s="296">
        <f t="shared" si="21"/>
        <v>0</v>
      </c>
      <c r="L1342"/>
    </row>
    <row r="1343" spans="1:12">
      <c r="A1343" s="855" t="s">
        <v>602</v>
      </c>
      <c r="B1343" s="856"/>
      <c r="C1343" s="856"/>
      <c r="D1343" s="857"/>
      <c r="E1343" s="858"/>
      <c r="F1343" s="859"/>
      <c r="G1343" s="860"/>
      <c r="H1343" s="857"/>
      <c r="I1343" s="861"/>
      <c r="J1343" s="295"/>
      <c r="K1343" s="296">
        <f t="shared" si="21"/>
        <v>0</v>
      </c>
      <c r="L1343"/>
    </row>
    <row r="1344" spans="1:12">
      <c r="A1344" s="855" t="s">
        <v>602</v>
      </c>
      <c r="B1344" s="856"/>
      <c r="C1344" s="856"/>
      <c r="D1344" s="857"/>
      <c r="E1344" s="858"/>
      <c r="F1344" s="859"/>
      <c r="G1344" s="860"/>
      <c r="H1344" s="857"/>
      <c r="I1344" s="861"/>
      <c r="J1344" s="295"/>
      <c r="K1344" s="296">
        <f t="shared" si="21"/>
        <v>0</v>
      </c>
      <c r="L1344"/>
    </row>
    <row r="1345" spans="1:12">
      <c r="A1345" s="855" t="s">
        <v>602</v>
      </c>
      <c r="B1345" s="856"/>
      <c r="C1345" s="856"/>
      <c r="D1345" s="857"/>
      <c r="E1345" s="858"/>
      <c r="F1345" s="859"/>
      <c r="G1345" s="860"/>
      <c r="H1345" s="857"/>
      <c r="I1345" s="861"/>
      <c r="J1345" s="295"/>
      <c r="K1345" s="296">
        <f t="shared" si="21"/>
        <v>0</v>
      </c>
      <c r="L1345"/>
    </row>
    <row r="1346" spans="1:12">
      <c r="A1346" s="855" t="s">
        <v>602</v>
      </c>
      <c r="B1346" s="856"/>
      <c r="C1346" s="856"/>
      <c r="D1346" s="857"/>
      <c r="E1346" s="858"/>
      <c r="F1346" s="859"/>
      <c r="G1346" s="860"/>
      <c r="H1346" s="857"/>
      <c r="I1346" s="861"/>
      <c r="J1346" s="295"/>
      <c r="K1346" s="296">
        <f t="shared" si="21"/>
        <v>0</v>
      </c>
      <c r="L1346"/>
    </row>
    <row r="1347" spans="1:12">
      <c r="A1347" s="855" t="s">
        <v>602</v>
      </c>
      <c r="B1347" s="856"/>
      <c r="C1347" s="856"/>
      <c r="D1347" s="857"/>
      <c r="E1347" s="858"/>
      <c r="F1347" s="859"/>
      <c r="G1347" s="860"/>
      <c r="H1347" s="857"/>
      <c r="I1347" s="861"/>
      <c r="J1347" s="295"/>
      <c r="K1347" s="296">
        <f t="shared" si="21"/>
        <v>0</v>
      </c>
      <c r="L1347"/>
    </row>
    <row r="1348" spans="1:12">
      <c r="A1348" s="855" t="s">
        <v>602</v>
      </c>
      <c r="B1348" s="856"/>
      <c r="C1348" s="856"/>
      <c r="D1348" s="857"/>
      <c r="E1348" s="858"/>
      <c r="F1348" s="859"/>
      <c r="G1348" s="860"/>
      <c r="H1348" s="857"/>
      <c r="I1348" s="861"/>
      <c r="J1348" s="295"/>
      <c r="K1348" s="296">
        <f t="shared" si="21"/>
        <v>0</v>
      </c>
      <c r="L1348"/>
    </row>
    <row r="1349" spans="1:12">
      <c r="A1349" s="855" t="s">
        <v>602</v>
      </c>
      <c r="B1349" s="856"/>
      <c r="C1349" s="856"/>
      <c r="D1349" s="857"/>
      <c r="E1349" s="858"/>
      <c r="F1349" s="859"/>
      <c r="G1349" s="860"/>
      <c r="H1349" s="857"/>
      <c r="I1349" s="861"/>
      <c r="J1349" s="295"/>
      <c r="K1349" s="296">
        <f t="shared" si="21"/>
        <v>0</v>
      </c>
      <c r="L1349"/>
    </row>
    <row r="1350" spans="1:12">
      <c r="A1350" s="855" t="s">
        <v>602</v>
      </c>
      <c r="B1350" s="856"/>
      <c r="C1350" s="856"/>
      <c r="D1350" s="857"/>
      <c r="E1350" s="858"/>
      <c r="F1350" s="859"/>
      <c r="G1350" s="860"/>
      <c r="H1350" s="857"/>
      <c r="I1350" s="861"/>
      <c r="J1350" s="295"/>
      <c r="K1350" s="296">
        <f t="shared" si="21"/>
        <v>0</v>
      </c>
      <c r="L1350"/>
    </row>
    <row r="1351" spans="1:12">
      <c r="A1351" s="855" t="s">
        <v>602</v>
      </c>
      <c r="B1351" s="856"/>
      <c r="C1351" s="856"/>
      <c r="D1351" s="857"/>
      <c r="E1351" s="858"/>
      <c r="F1351" s="859"/>
      <c r="G1351" s="860"/>
      <c r="H1351" s="857"/>
      <c r="I1351" s="861"/>
      <c r="J1351" s="295"/>
      <c r="K1351" s="296">
        <f t="shared" si="21"/>
        <v>0</v>
      </c>
      <c r="L1351"/>
    </row>
    <row r="1352" spans="1:12">
      <c r="A1352" s="855" t="s">
        <v>602</v>
      </c>
      <c r="B1352" s="856"/>
      <c r="C1352" s="856"/>
      <c r="D1352" s="857"/>
      <c r="E1352" s="858"/>
      <c r="F1352" s="859"/>
      <c r="G1352" s="860"/>
      <c r="H1352" s="857"/>
      <c r="I1352" s="861"/>
      <c r="J1352" s="295"/>
      <c r="K1352" s="296">
        <f t="shared" si="21"/>
        <v>0</v>
      </c>
      <c r="L1352"/>
    </row>
    <row r="1353" spans="1:12">
      <c r="A1353" s="855" t="s">
        <v>602</v>
      </c>
      <c r="B1353" s="856"/>
      <c r="C1353" s="856"/>
      <c r="D1353" s="857"/>
      <c r="E1353" s="858"/>
      <c r="F1353" s="859"/>
      <c r="G1353" s="860"/>
      <c r="H1353" s="857"/>
      <c r="I1353" s="861"/>
      <c r="J1353" s="295"/>
      <c r="K1353" s="296">
        <f t="shared" ref="K1353:K1416" si="22">IF(LEFT(A1353,2)="TU",(J1353-I1353)*E1353/100*100000*2,(J1353-I1353)*E1353/100*100000)</f>
        <v>0</v>
      </c>
      <c r="L1353"/>
    </row>
    <row r="1354" spans="1:12">
      <c r="A1354" s="855" t="s">
        <v>607</v>
      </c>
      <c r="B1354" s="856"/>
      <c r="C1354" s="856"/>
      <c r="D1354" s="857"/>
      <c r="E1354" s="858"/>
      <c r="F1354" s="859"/>
      <c r="G1354" s="860"/>
      <c r="H1354" s="857"/>
      <c r="I1354" s="861"/>
      <c r="J1354" s="295"/>
      <c r="K1354" s="296">
        <f t="shared" si="22"/>
        <v>0</v>
      </c>
      <c r="L1354"/>
    </row>
    <row r="1355" spans="1:12">
      <c r="A1355" s="855" t="s">
        <v>602</v>
      </c>
      <c r="B1355" s="856"/>
      <c r="C1355" s="856"/>
      <c r="D1355" s="857"/>
      <c r="E1355" s="858"/>
      <c r="F1355" s="859"/>
      <c r="G1355" s="860"/>
      <c r="H1355" s="857"/>
      <c r="I1355" s="861"/>
      <c r="J1355" s="295"/>
      <c r="K1355" s="296">
        <f t="shared" si="22"/>
        <v>0</v>
      </c>
      <c r="L1355"/>
    </row>
    <row r="1356" spans="1:12">
      <c r="A1356" s="855" t="s">
        <v>602</v>
      </c>
      <c r="B1356" s="856"/>
      <c r="C1356" s="856"/>
      <c r="D1356" s="857"/>
      <c r="E1356" s="858"/>
      <c r="F1356" s="859"/>
      <c r="G1356" s="860"/>
      <c r="H1356" s="857"/>
      <c r="I1356" s="861"/>
      <c r="J1356" s="295"/>
      <c r="K1356" s="296">
        <f t="shared" si="22"/>
        <v>0</v>
      </c>
      <c r="L1356"/>
    </row>
    <row r="1357" spans="1:12">
      <c r="A1357" s="855" t="s">
        <v>602</v>
      </c>
      <c r="B1357" s="856"/>
      <c r="C1357" s="856"/>
      <c r="D1357" s="857"/>
      <c r="E1357" s="858"/>
      <c r="F1357" s="859"/>
      <c r="G1357" s="860"/>
      <c r="H1357" s="857"/>
      <c r="I1357" s="861"/>
      <c r="J1357" s="295"/>
      <c r="K1357" s="296">
        <f t="shared" si="22"/>
        <v>0</v>
      </c>
      <c r="L1357"/>
    </row>
    <row r="1358" spans="1:12">
      <c r="A1358" s="855" t="s">
        <v>602</v>
      </c>
      <c r="B1358" s="856"/>
      <c r="C1358" s="856"/>
      <c r="D1358" s="857"/>
      <c r="E1358" s="858"/>
      <c r="F1358" s="859"/>
      <c r="G1358" s="860"/>
      <c r="H1358" s="857"/>
      <c r="I1358" s="861"/>
      <c r="J1358" s="295"/>
      <c r="K1358" s="296">
        <f t="shared" si="22"/>
        <v>0</v>
      </c>
      <c r="L1358"/>
    </row>
    <row r="1359" spans="1:12">
      <c r="A1359" s="855" t="s">
        <v>607</v>
      </c>
      <c r="B1359" s="856"/>
      <c r="C1359" s="856"/>
      <c r="D1359" s="857"/>
      <c r="E1359" s="858"/>
      <c r="F1359" s="859"/>
      <c r="G1359" s="860"/>
      <c r="H1359" s="857"/>
      <c r="I1359" s="861"/>
      <c r="J1359" s="295"/>
      <c r="K1359" s="296">
        <f t="shared" si="22"/>
        <v>0</v>
      </c>
      <c r="L1359"/>
    </row>
    <row r="1360" spans="1:12">
      <c r="A1360" s="855" t="s">
        <v>607</v>
      </c>
      <c r="B1360" s="856"/>
      <c r="C1360" s="856"/>
      <c r="D1360" s="857"/>
      <c r="E1360" s="858"/>
      <c r="F1360" s="859"/>
      <c r="G1360" s="860"/>
      <c r="H1360" s="857"/>
      <c r="I1360" s="861"/>
      <c r="J1360" s="295"/>
      <c r="K1360" s="296">
        <f t="shared" si="22"/>
        <v>0</v>
      </c>
      <c r="L1360"/>
    </row>
    <row r="1361" spans="1:12">
      <c r="A1361" s="855" t="s">
        <v>602</v>
      </c>
      <c r="B1361" s="856"/>
      <c r="C1361" s="856"/>
      <c r="D1361" s="857"/>
      <c r="E1361" s="858"/>
      <c r="F1361" s="859"/>
      <c r="G1361" s="860"/>
      <c r="H1361" s="857"/>
      <c r="I1361" s="861"/>
      <c r="J1361" s="295"/>
      <c r="K1361" s="296">
        <f t="shared" si="22"/>
        <v>0</v>
      </c>
      <c r="L1361"/>
    </row>
    <row r="1362" spans="1:12">
      <c r="A1362" s="855" t="s">
        <v>602</v>
      </c>
      <c r="B1362" s="856"/>
      <c r="C1362" s="856"/>
      <c r="D1362" s="857"/>
      <c r="E1362" s="858"/>
      <c r="F1362" s="859"/>
      <c r="G1362" s="860"/>
      <c r="H1362" s="857"/>
      <c r="I1362" s="861"/>
      <c r="J1362" s="295"/>
      <c r="K1362" s="296">
        <f t="shared" si="22"/>
        <v>0</v>
      </c>
      <c r="L1362"/>
    </row>
    <row r="1363" spans="1:12">
      <c r="A1363" s="855" t="s">
        <v>602</v>
      </c>
      <c r="B1363" s="856"/>
      <c r="C1363" s="856"/>
      <c r="D1363" s="857"/>
      <c r="E1363" s="858"/>
      <c r="F1363" s="859"/>
      <c r="G1363" s="860"/>
      <c r="H1363" s="857"/>
      <c r="I1363" s="861"/>
      <c r="J1363" s="295"/>
      <c r="K1363" s="296">
        <f t="shared" si="22"/>
        <v>0</v>
      </c>
      <c r="L1363"/>
    </row>
    <row r="1364" spans="1:12">
      <c r="A1364" s="855" t="s">
        <v>602</v>
      </c>
      <c r="B1364" s="856"/>
      <c r="C1364" s="856"/>
      <c r="D1364" s="857"/>
      <c r="E1364" s="858"/>
      <c r="F1364" s="859"/>
      <c r="G1364" s="860"/>
      <c r="H1364" s="857"/>
      <c r="I1364" s="861"/>
      <c r="J1364" s="295"/>
      <c r="K1364" s="296">
        <f t="shared" si="22"/>
        <v>0</v>
      </c>
      <c r="L1364"/>
    </row>
    <row r="1365" spans="1:12">
      <c r="A1365" s="855" t="s">
        <v>602</v>
      </c>
      <c r="B1365" s="856"/>
      <c r="C1365" s="856"/>
      <c r="D1365" s="857"/>
      <c r="E1365" s="858"/>
      <c r="F1365" s="859"/>
      <c r="G1365" s="860"/>
      <c r="H1365" s="857"/>
      <c r="I1365" s="861"/>
      <c r="J1365" s="295"/>
      <c r="K1365" s="296">
        <f t="shared" si="22"/>
        <v>0</v>
      </c>
      <c r="L1365"/>
    </row>
    <row r="1366" spans="1:12">
      <c r="A1366" s="855" t="s">
        <v>602</v>
      </c>
      <c r="B1366" s="856"/>
      <c r="C1366" s="856"/>
      <c r="D1366" s="857"/>
      <c r="E1366" s="858"/>
      <c r="F1366" s="859"/>
      <c r="G1366" s="860"/>
      <c r="H1366" s="857"/>
      <c r="I1366" s="861"/>
      <c r="J1366" s="295"/>
      <c r="K1366" s="296">
        <f t="shared" si="22"/>
        <v>0</v>
      </c>
      <c r="L1366"/>
    </row>
    <row r="1367" spans="1:12">
      <c r="A1367" s="855" t="s">
        <v>602</v>
      </c>
      <c r="B1367" s="856"/>
      <c r="C1367" s="856"/>
      <c r="D1367" s="857"/>
      <c r="E1367" s="858"/>
      <c r="F1367" s="859"/>
      <c r="G1367" s="860"/>
      <c r="H1367" s="857"/>
      <c r="I1367" s="861"/>
      <c r="J1367" s="295"/>
      <c r="K1367" s="296">
        <f t="shared" si="22"/>
        <v>0</v>
      </c>
      <c r="L1367"/>
    </row>
    <row r="1368" spans="1:12">
      <c r="A1368" s="855" t="s">
        <v>602</v>
      </c>
      <c r="B1368" s="856"/>
      <c r="C1368" s="856"/>
      <c r="D1368" s="857"/>
      <c r="E1368" s="858"/>
      <c r="F1368" s="859"/>
      <c r="G1368" s="860"/>
      <c r="H1368" s="857"/>
      <c r="I1368" s="861"/>
      <c r="J1368" s="295"/>
      <c r="K1368" s="296">
        <f t="shared" si="22"/>
        <v>0</v>
      </c>
      <c r="L1368"/>
    </row>
    <row r="1369" spans="1:12">
      <c r="A1369" s="855" t="s">
        <v>602</v>
      </c>
      <c r="B1369" s="856"/>
      <c r="C1369" s="856"/>
      <c r="D1369" s="857"/>
      <c r="E1369" s="858"/>
      <c r="F1369" s="859"/>
      <c r="G1369" s="860"/>
      <c r="H1369" s="857"/>
      <c r="I1369" s="861"/>
      <c r="J1369" s="295"/>
      <c r="K1369" s="296">
        <f t="shared" si="22"/>
        <v>0</v>
      </c>
      <c r="L1369"/>
    </row>
    <row r="1370" spans="1:12">
      <c r="A1370" s="855" t="s">
        <v>629</v>
      </c>
      <c r="B1370" s="856"/>
      <c r="C1370" s="856"/>
      <c r="D1370" s="857"/>
      <c r="E1370" s="858"/>
      <c r="F1370" s="859"/>
      <c r="G1370" s="860"/>
      <c r="H1370" s="857"/>
      <c r="I1370" s="861"/>
      <c r="J1370" s="295"/>
      <c r="K1370" s="296">
        <f t="shared" si="22"/>
        <v>0</v>
      </c>
      <c r="L1370"/>
    </row>
    <row r="1371" spans="1:12">
      <c r="A1371" s="855" t="s">
        <v>631</v>
      </c>
      <c r="B1371" s="856"/>
      <c r="C1371" s="856"/>
      <c r="D1371" s="857"/>
      <c r="E1371" s="858"/>
      <c r="F1371" s="859"/>
      <c r="G1371" s="860"/>
      <c r="H1371" s="857"/>
      <c r="I1371" s="861"/>
      <c r="J1371" s="295"/>
      <c r="K1371" s="296">
        <f t="shared" si="22"/>
        <v>0</v>
      </c>
      <c r="L1371"/>
    </row>
    <row r="1372" spans="1:12">
      <c r="A1372" s="855" t="s">
        <v>631</v>
      </c>
      <c r="B1372" s="856"/>
      <c r="C1372" s="856"/>
      <c r="D1372" s="857"/>
      <c r="E1372" s="858"/>
      <c r="F1372" s="859"/>
      <c r="G1372" s="860"/>
      <c r="H1372" s="857"/>
      <c r="I1372" s="861"/>
      <c r="J1372" s="295"/>
      <c r="K1372" s="296">
        <f t="shared" si="22"/>
        <v>0</v>
      </c>
      <c r="L1372"/>
    </row>
    <row r="1373" spans="1:12">
      <c r="A1373" s="855" t="s">
        <v>629</v>
      </c>
      <c r="B1373" s="856"/>
      <c r="C1373" s="856"/>
      <c r="D1373" s="857"/>
      <c r="E1373" s="858"/>
      <c r="F1373" s="859"/>
      <c r="G1373" s="860"/>
      <c r="H1373" s="857"/>
      <c r="I1373" s="861"/>
      <c r="J1373" s="295"/>
      <c r="K1373" s="296">
        <f t="shared" si="22"/>
        <v>0</v>
      </c>
      <c r="L1373"/>
    </row>
    <row r="1374" spans="1:12">
      <c r="A1374" s="855" t="s">
        <v>629</v>
      </c>
      <c r="B1374" s="856"/>
      <c r="C1374" s="856"/>
      <c r="D1374" s="857"/>
      <c r="E1374" s="858"/>
      <c r="F1374" s="859"/>
      <c r="G1374" s="860"/>
      <c r="H1374" s="857"/>
      <c r="I1374" s="861"/>
      <c r="J1374" s="295"/>
      <c r="K1374" s="296">
        <f t="shared" si="22"/>
        <v>0</v>
      </c>
      <c r="L1374"/>
    </row>
    <row r="1375" spans="1:12">
      <c r="A1375" s="855" t="s">
        <v>629</v>
      </c>
      <c r="B1375" s="856"/>
      <c r="C1375" s="856"/>
      <c r="D1375" s="857"/>
      <c r="E1375" s="858"/>
      <c r="F1375" s="859"/>
      <c r="G1375" s="860"/>
      <c r="H1375" s="857"/>
      <c r="I1375" s="861"/>
      <c r="J1375" s="295"/>
      <c r="K1375" s="296">
        <f t="shared" si="22"/>
        <v>0</v>
      </c>
      <c r="L1375"/>
    </row>
    <row r="1376" spans="1:12">
      <c r="A1376" s="855" t="s">
        <v>629</v>
      </c>
      <c r="B1376" s="856"/>
      <c r="C1376" s="856"/>
      <c r="D1376" s="857"/>
      <c r="E1376" s="858"/>
      <c r="F1376" s="859"/>
      <c r="G1376" s="860"/>
      <c r="H1376" s="857"/>
      <c r="I1376" s="861"/>
      <c r="J1376" s="295"/>
      <c r="K1376" s="296">
        <f t="shared" si="22"/>
        <v>0</v>
      </c>
      <c r="L1376"/>
    </row>
    <row r="1377" spans="1:12">
      <c r="A1377" s="855" t="s">
        <v>629</v>
      </c>
      <c r="B1377" s="856"/>
      <c r="C1377" s="856"/>
      <c r="D1377" s="857"/>
      <c r="E1377" s="858"/>
      <c r="F1377" s="859"/>
      <c r="G1377" s="860"/>
      <c r="H1377" s="857"/>
      <c r="I1377" s="861"/>
      <c r="J1377" s="295"/>
      <c r="K1377" s="296">
        <f t="shared" si="22"/>
        <v>0</v>
      </c>
      <c r="L1377"/>
    </row>
    <row r="1378" spans="1:12">
      <c r="A1378" s="855" t="s">
        <v>631</v>
      </c>
      <c r="B1378" s="856"/>
      <c r="C1378" s="856"/>
      <c r="D1378" s="857"/>
      <c r="E1378" s="858"/>
      <c r="F1378" s="859"/>
      <c r="G1378" s="860"/>
      <c r="H1378" s="857"/>
      <c r="I1378" s="861"/>
      <c r="J1378" s="295"/>
      <c r="K1378" s="296">
        <f t="shared" si="22"/>
        <v>0</v>
      </c>
      <c r="L1378"/>
    </row>
    <row r="1379" spans="1:12">
      <c r="A1379" s="855" t="s">
        <v>629</v>
      </c>
      <c r="B1379" s="856"/>
      <c r="C1379" s="856"/>
      <c r="D1379" s="857"/>
      <c r="E1379" s="858"/>
      <c r="F1379" s="859"/>
      <c r="G1379" s="860"/>
      <c r="H1379" s="857"/>
      <c r="I1379" s="861"/>
      <c r="J1379" s="295"/>
      <c r="K1379" s="296">
        <f t="shared" si="22"/>
        <v>0</v>
      </c>
      <c r="L1379"/>
    </row>
    <row r="1380" spans="1:12">
      <c r="A1380" s="855" t="s">
        <v>629</v>
      </c>
      <c r="B1380" s="856"/>
      <c r="C1380" s="856"/>
      <c r="D1380" s="857"/>
      <c r="E1380" s="858"/>
      <c r="F1380" s="859"/>
      <c r="G1380" s="860"/>
      <c r="H1380" s="857"/>
      <c r="I1380" s="861"/>
      <c r="J1380" s="295"/>
      <c r="K1380" s="296">
        <f t="shared" si="22"/>
        <v>0</v>
      </c>
      <c r="L1380"/>
    </row>
    <row r="1381" spans="1:12">
      <c r="A1381" s="855" t="s">
        <v>629</v>
      </c>
      <c r="B1381" s="856"/>
      <c r="C1381" s="856"/>
      <c r="D1381" s="857"/>
      <c r="E1381" s="858"/>
      <c r="F1381" s="859"/>
      <c r="G1381" s="860"/>
      <c r="H1381" s="857"/>
      <c r="I1381" s="861"/>
      <c r="J1381" s="295"/>
      <c r="K1381" s="296">
        <f t="shared" si="22"/>
        <v>0</v>
      </c>
      <c r="L1381"/>
    </row>
    <row r="1382" spans="1:12">
      <c r="A1382" s="855" t="s">
        <v>629</v>
      </c>
      <c r="B1382" s="856"/>
      <c r="C1382" s="856"/>
      <c r="D1382" s="857"/>
      <c r="E1382" s="858"/>
      <c r="F1382" s="859"/>
      <c r="G1382" s="860"/>
      <c r="H1382" s="857"/>
      <c r="I1382" s="861"/>
      <c r="J1382" s="295"/>
      <c r="K1382" s="296">
        <f t="shared" si="22"/>
        <v>0</v>
      </c>
      <c r="L1382"/>
    </row>
    <row r="1383" spans="1:12">
      <c r="A1383" s="855" t="s">
        <v>631</v>
      </c>
      <c r="B1383" s="856"/>
      <c r="C1383" s="856"/>
      <c r="D1383" s="857"/>
      <c r="E1383" s="858"/>
      <c r="F1383" s="859"/>
      <c r="G1383" s="860"/>
      <c r="H1383" s="857"/>
      <c r="I1383" s="861"/>
      <c r="J1383" s="295"/>
      <c r="K1383" s="296">
        <f t="shared" si="22"/>
        <v>0</v>
      </c>
      <c r="L1383"/>
    </row>
    <row r="1384" spans="1:12">
      <c r="A1384" s="855" t="s">
        <v>631</v>
      </c>
      <c r="B1384" s="856"/>
      <c r="C1384" s="856"/>
      <c r="D1384" s="857"/>
      <c r="E1384" s="858"/>
      <c r="F1384" s="859"/>
      <c r="G1384" s="860"/>
      <c r="H1384" s="857"/>
      <c r="I1384" s="861"/>
      <c r="J1384" s="295"/>
      <c r="K1384" s="296">
        <f t="shared" si="22"/>
        <v>0</v>
      </c>
      <c r="L1384"/>
    </row>
    <row r="1385" spans="1:12">
      <c r="A1385" s="855" t="s">
        <v>629</v>
      </c>
      <c r="B1385" s="856"/>
      <c r="C1385" s="856"/>
      <c r="D1385" s="857"/>
      <c r="E1385" s="858"/>
      <c r="F1385" s="859"/>
      <c r="G1385" s="860"/>
      <c r="H1385" s="857"/>
      <c r="I1385" s="861"/>
      <c r="J1385" s="295"/>
      <c r="K1385" s="296">
        <f t="shared" si="22"/>
        <v>0</v>
      </c>
      <c r="L1385"/>
    </row>
    <row r="1386" spans="1:12">
      <c r="A1386" s="855" t="s">
        <v>629</v>
      </c>
      <c r="B1386" s="856"/>
      <c r="C1386" s="856"/>
      <c r="D1386" s="857"/>
      <c r="E1386" s="858"/>
      <c r="F1386" s="859"/>
      <c r="G1386" s="860"/>
      <c r="H1386" s="857"/>
      <c r="I1386" s="861"/>
      <c r="J1386" s="295"/>
      <c r="K1386" s="296">
        <f t="shared" si="22"/>
        <v>0</v>
      </c>
      <c r="L1386"/>
    </row>
    <row r="1387" spans="1:12">
      <c r="A1387" s="855" t="s">
        <v>629</v>
      </c>
      <c r="B1387" s="856"/>
      <c r="C1387" s="856"/>
      <c r="D1387" s="857"/>
      <c r="E1387" s="858"/>
      <c r="F1387" s="859"/>
      <c r="G1387" s="860"/>
      <c r="H1387" s="857"/>
      <c r="I1387" s="861"/>
      <c r="J1387" s="295"/>
      <c r="K1387" s="296">
        <f t="shared" si="22"/>
        <v>0</v>
      </c>
      <c r="L1387"/>
    </row>
    <row r="1388" spans="1:12">
      <c r="A1388" s="855" t="s">
        <v>629</v>
      </c>
      <c r="B1388" s="856"/>
      <c r="C1388" s="856"/>
      <c r="D1388" s="857"/>
      <c r="E1388" s="858"/>
      <c r="F1388" s="859"/>
      <c r="G1388" s="860"/>
      <c r="H1388" s="857"/>
      <c r="I1388" s="861"/>
      <c r="J1388" s="295"/>
      <c r="K1388" s="296">
        <f t="shared" si="22"/>
        <v>0</v>
      </c>
      <c r="L1388"/>
    </row>
    <row r="1389" spans="1:12">
      <c r="A1389" s="855" t="s">
        <v>629</v>
      </c>
      <c r="B1389" s="856"/>
      <c r="C1389" s="856"/>
      <c r="D1389" s="857"/>
      <c r="E1389" s="858"/>
      <c r="F1389" s="859"/>
      <c r="G1389" s="860"/>
      <c r="H1389" s="857"/>
      <c r="I1389" s="861"/>
      <c r="J1389" s="295"/>
      <c r="K1389" s="296">
        <f t="shared" si="22"/>
        <v>0</v>
      </c>
      <c r="L1389"/>
    </row>
    <row r="1390" spans="1:12">
      <c r="A1390" s="855" t="s">
        <v>629</v>
      </c>
      <c r="B1390" s="856"/>
      <c r="C1390" s="856"/>
      <c r="D1390" s="857"/>
      <c r="E1390" s="858"/>
      <c r="F1390" s="859"/>
      <c r="G1390" s="860"/>
      <c r="H1390" s="857"/>
      <c r="I1390" s="861"/>
      <c r="J1390" s="295"/>
      <c r="K1390" s="296">
        <f t="shared" si="22"/>
        <v>0</v>
      </c>
      <c r="L1390"/>
    </row>
    <row r="1391" spans="1:12">
      <c r="A1391" s="855" t="s">
        <v>629</v>
      </c>
      <c r="B1391" s="856"/>
      <c r="C1391" s="856"/>
      <c r="D1391" s="857"/>
      <c r="E1391" s="858"/>
      <c r="F1391" s="859"/>
      <c r="G1391" s="860"/>
      <c r="H1391" s="857"/>
      <c r="I1391" s="861"/>
      <c r="J1391" s="295"/>
      <c r="K1391" s="296">
        <f t="shared" si="22"/>
        <v>0</v>
      </c>
      <c r="L1391"/>
    </row>
    <row r="1392" spans="1:12">
      <c r="A1392" s="855" t="s">
        <v>629</v>
      </c>
      <c r="B1392" s="856"/>
      <c r="C1392" s="856"/>
      <c r="D1392" s="857"/>
      <c r="E1392" s="858"/>
      <c r="F1392" s="859"/>
      <c r="G1392" s="860"/>
      <c r="H1392" s="857"/>
      <c r="I1392" s="861"/>
      <c r="J1392" s="295"/>
      <c r="K1392" s="296">
        <f t="shared" si="22"/>
        <v>0</v>
      </c>
      <c r="L1392"/>
    </row>
    <row r="1393" spans="1:12">
      <c r="A1393" s="855" t="s">
        <v>629</v>
      </c>
      <c r="B1393" s="856"/>
      <c r="C1393" s="856"/>
      <c r="D1393" s="857"/>
      <c r="E1393" s="858"/>
      <c r="F1393" s="859"/>
      <c r="G1393" s="860"/>
      <c r="H1393" s="857"/>
      <c r="I1393" s="861"/>
      <c r="J1393" s="295"/>
      <c r="K1393" s="296">
        <f t="shared" si="22"/>
        <v>0</v>
      </c>
      <c r="L1393"/>
    </row>
    <row r="1394" spans="1:12">
      <c r="A1394" s="855" t="s">
        <v>629</v>
      </c>
      <c r="B1394" s="856"/>
      <c r="C1394" s="856"/>
      <c r="D1394" s="857"/>
      <c r="E1394" s="858"/>
      <c r="F1394" s="859"/>
      <c r="G1394" s="860"/>
      <c r="H1394" s="857"/>
      <c r="I1394" s="861"/>
      <c r="J1394" s="295"/>
      <c r="K1394" s="296">
        <f t="shared" si="22"/>
        <v>0</v>
      </c>
      <c r="L1394"/>
    </row>
    <row r="1395" spans="1:12">
      <c r="A1395" s="855" t="s">
        <v>629</v>
      </c>
      <c r="B1395" s="856"/>
      <c r="C1395" s="856"/>
      <c r="D1395" s="857"/>
      <c r="E1395" s="858"/>
      <c r="F1395" s="859"/>
      <c r="G1395" s="860"/>
      <c r="H1395" s="857"/>
      <c r="I1395" s="861"/>
      <c r="J1395" s="295"/>
      <c r="K1395" s="296">
        <f t="shared" si="22"/>
        <v>0</v>
      </c>
      <c r="L1395"/>
    </row>
    <row r="1396" spans="1:12">
      <c r="A1396" s="855" t="s">
        <v>629</v>
      </c>
      <c r="B1396" s="856"/>
      <c r="C1396" s="856"/>
      <c r="D1396" s="857"/>
      <c r="E1396" s="858"/>
      <c r="F1396" s="859"/>
      <c r="G1396" s="860"/>
      <c r="H1396" s="857"/>
      <c r="I1396" s="861"/>
      <c r="J1396" s="295"/>
      <c r="K1396" s="296">
        <f t="shared" si="22"/>
        <v>0</v>
      </c>
      <c r="L1396"/>
    </row>
    <row r="1397" spans="1:12">
      <c r="A1397" s="855" t="s">
        <v>662</v>
      </c>
      <c r="B1397" s="856"/>
      <c r="C1397" s="856"/>
      <c r="D1397" s="857"/>
      <c r="E1397" s="858"/>
      <c r="F1397" s="859"/>
      <c r="G1397" s="860"/>
      <c r="H1397" s="857"/>
      <c r="I1397" s="861"/>
      <c r="J1397" s="295"/>
      <c r="K1397" s="296">
        <f t="shared" si="22"/>
        <v>0</v>
      </c>
      <c r="L1397"/>
    </row>
    <row r="1398" spans="1:12">
      <c r="A1398" s="855" t="s">
        <v>662</v>
      </c>
      <c r="B1398" s="856"/>
      <c r="C1398" s="856"/>
      <c r="D1398" s="857"/>
      <c r="E1398" s="858"/>
      <c r="F1398" s="859"/>
      <c r="G1398" s="860"/>
      <c r="H1398" s="857"/>
      <c r="I1398" s="861"/>
      <c r="J1398" s="295"/>
      <c r="K1398" s="296">
        <f t="shared" si="22"/>
        <v>0</v>
      </c>
      <c r="L1398"/>
    </row>
    <row r="1399" spans="1:12">
      <c r="A1399" s="855" t="s">
        <v>662</v>
      </c>
      <c r="B1399" s="856"/>
      <c r="C1399" s="856"/>
      <c r="D1399" s="857"/>
      <c r="E1399" s="858"/>
      <c r="F1399" s="859"/>
      <c r="G1399" s="860"/>
      <c r="H1399" s="857"/>
      <c r="I1399" s="861"/>
      <c r="J1399" s="295"/>
      <c r="K1399" s="296">
        <f t="shared" si="22"/>
        <v>0</v>
      </c>
      <c r="L1399"/>
    </row>
    <row r="1400" spans="1:12">
      <c r="A1400" s="855" t="s">
        <v>629</v>
      </c>
      <c r="B1400" s="856"/>
      <c r="C1400" s="856"/>
      <c r="D1400" s="857"/>
      <c r="E1400" s="858"/>
      <c r="F1400" s="859"/>
      <c r="G1400" s="860"/>
      <c r="H1400" s="857"/>
      <c r="I1400" s="861"/>
      <c r="J1400" s="295"/>
      <c r="K1400" s="296">
        <f t="shared" si="22"/>
        <v>0</v>
      </c>
      <c r="L1400"/>
    </row>
    <row r="1401" spans="1:12">
      <c r="A1401" s="855" t="s">
        <v>629</v>
      </c>
      <c r="B1401" s="856"/>
      <c r="C1401" s="856"/>
      <c r="D1401" s="857"/>
      <c r="E1401" s="858"/>
      <c r="F1401" s="859"/>
      <c r="G1401" s="860"/>
      <c r="H1401" s="857"/>
      <c r="I1401" s="861"/>
      <c r="J1401" s="295"/>
      <c r="K1401" s="296">
        <f t="shared" si="22"/>
        <v>0</v>
      </c>
      <c r="L1401"/>
    </row>
    <row r="1402" spans="1:12">
      <c r="A1402" s="855" t="s">
        <v>629</v>
      </c>
      <c r="B1402" s="856"/>
      <c r="C1402" s="856"/>
      <c r="D1402" s="857"/>
      <c r="E1402" s="858"/>
      <c r="F1402" s="859"/>
      <c r="G1402" s="860"/>
      <c r="H1402" s="857"/>
      <c r="I1402" s="861"/>
      <c r="J1402" s="295"/>
      <c r="K1402" s="296">
        <f t="shared" si="22"/>
        <v>0</v>
      </c>
      <c r="L1402"/>
    </row>
    <row r="1403" spans="1:12">
      <c r="A1403" s="855" t="s">
        <v>629</v>
      </c>
      <c r="B1403" s="856"/>
      <c r="C1403" s="856"/>
      <c r="D1403" s="857"/>
      <c r="E1403" s="858"/>
      <c r="F1403" s="859"/>
      <c r="G1403" s="860"/>
      <c r="H1403" s="857"/>
      <c r="I1403" s="861"/>
      <c r="J1403" s="295"/>
      <c r="K1403" s="296">
        <f t="shared" si="22"/>
        <v>0</v>
      </c>
      <c r="L1403"/>
    </row>
    <row r="1404" spans="1:12">
      <c r="A1404" s="855"/>
      <c r="B1404" s="856"/>
      <c r="C1404" s="856"/>
      <c r="D1404" s="857"/>
      <c r="E1404" s="858"/>
      <c r="F1404" s="859"/>
      <c r="G1404" s="860"/>
      <c r="H1404" s="857"/>
      <c r="I1404" s="861"/>
      <c r="J1404" s="295"/>
      <c r="K1404" s="296">
        <f t="shared" si="22"/>
        <v>0</v>
      </c>
      <c r="L1404"/>
    </row>
    <row r="1405" spans="1:12">
      <c r="A1405" s="855"/>
      <c r="B1405" s="856"/>
      <c r="C1405" s="856"/>
      <c r="D1405" s="857"/>
      <c r="E1405" s="858"/>
      <c r="F1405" s="859"/>
      <c r="G1405" s="860"/>
      <c r="H1405" s="857"/>
      <c r="I1405" s="861"/>
      <c r="J1405" s="295"/>
      <c r="K1405" s="296">
        <f t="shared" si="22"/>
        <v>0</v>
      </c>
      <c r="L1405"/>
    </row>
    <row r="1406" spans="1:12">
      <c r="A1406" s="855"/>
      <c r="B1406" s="856"/>
      <c r="C1406" s="856"/>
      <c r="D1406" s="857"/>
      <c r="E1406" s="858"/>
      <c r="F1406" s="859"/>
      <c r="G1406" s="860"/>
      <c r="H1406" s="857"/>
      <c r="I1406" s="861"/>
      <c r="J1406" s="295"/>
      <c r="K1406" s="296">
        <f t="shared" si="22"/>
        <v>0</v>
      </c>
      <c r="L1406"/>
    </row>
    <row r="1407" spans="1:12">
      <c r="A1407" s="855"/>
      <c r="B1407" s="856"/>
      <c r="C1407" s="856"/>
      <c r="D1407" s="857"/>
      <c r="E1407" s="858"/>
      <c r="F1407" s="859"/>
      <c r="G1407" s="860"/>
      <c r="H1407" s="857"/>
      <c r="I1407" s="861"/>
      <c r="J1407" s="295"/>
      <c r="K1407" s="296">
        <f t="shared" si="22"/>
        <v>0</v>
      </c>
      <c r="L1407"/>
    </row>
    <row r="1408" spans="1:12">
      <c r="A1408" s="855"/>
      <c r="B1408" s="856"/>
      <c r="C1408" s="856"/>
      <c r="D1408" s="857"/>
      <c r="E1408" s="858"/>
      <c r="F1408" s="859"/>
      <c r="G1408" s="860"/>
      <c r="H1408" s="857"/>
      <c r="I1408" s="861"/>
      <c r="J1408" s="295"/>
      <c r="K1408" s="296">
        <f t="shared" si="22"/>
        <v>0</v>
      </c>
      <c r="L1408"/>
    </row>
    <row r="1409" spans="1:12">
      <c r="A1409" s="855"/>
      <c r="B1409" s="856"/>
      <c r="C1409" s="856"/>
      <c r="D1409" s="857"/>
      <c r="E1409" s="858"/>
      <c r="F1409" s="859"/>
      <c r="G1409" s="860"/>
      <c r="H1409" s="857"/>
      <c r="I1409" s="861"/>
      <c r="J1409" s="295"/>
      <c r="K1409" s="296">
        <f t="shared" si="22"/>
        <v>0</v>
      </c>
      <c r="L1409"/>
    </row>
    <row r="1410" spans="1:12">
      <c r="A1410" s="855"/>
      <c r="B1410" s="856"/>
      <c r="C1410" s="856"/>
      <c r="D1410" s="857"/>
      <c r="E1410" s="858"/>
      <c r="F1410" s="859"/>
      <c r="G1410" s="860"/>
      <c r="H1410" s="857"/>
      <c r="I1410" s="861"/>
      <c r="J1410" s="295"/>
      <c r="K1410" s="296">
        <f t="shared" si="22"/>
        <v>0</v>
      </c>
      <c r="L1410"/>
    </row>
    <row r="1411" spans="1:12">
      <c r="A1411" s="855"/>
      <c r="B1411" s="856"/>
      <c r="C1411" s="856"/>
      <c r="D1411" s="857"/>
      <c r="E1411" s="858"/>
      <c r="F1411" s="859"/>
      <c r="G1411" s="860"/>
      <c r="H1411" s="857"/>
      <c r="I1411" s="861"/>
      <c r="J1411" s="295"/>
      <c r="K1411" s="296">
        <f t="shared" si="22"/>
        <v>0</v>
      </c>
      <c r="L1411"/>
    </row>
    <row r="1412" spans="1:12">
      <c r="A1412" s="855"/>
      <c r="B1412" s="856"/>
      <c r="C1412" s="856"/>
      <c r="D1412" s="857"/>
      <c r="E1412" s="858"/>
      <c r="F1412" s="859"/>
      <c r="G1412" s="860"/>
      <c r="H1412" s="857"/>
      <c r="I1412" s="861"/>
      <c r="J1412" s="295"/>
      <c r="K1412" s="296">
        <f t="shared" si="22"/>
        <v>0</v>
      </c>
      <c r="L1412"/>
    </row>
    <row r="1413" spans="1:12">
      <c r="A1413" s="855"/>
      <c r="B1413" s="856"/>
      <c r="C1413" s="856"/>
      <c r="D1413" s="857"/>
      <c r="E1413" s="858"/>
      <c r="F1413" s="859"/>
      <c r="G1413" s="860"/>
      <c r="H1413" s="857"/>
      <c r="I1413" s="861"/>
      <c r="J1413" s="295"/>
      <c r="K1413" s="296">
        <f t="shared" si="22"/>
        <v>0</v>
      </c>
      <c r="L1413"/>
    </row>
    <row r="1414" spans="1:12">
      <c r="A1414" s="855"/>
      <c r="B1414" s="856"/>
      <c r="C1414" s="856"/>
      <c r="D1414" s="857"/>
      <c r="E1414" s="858"/>
      <c r="F1414" s="859"/>
      <c r="G1414" s="860"/>
      <c r="H1414" s="857"/>
      <c r="I1414" s="861"/>
      <c r="J1414" s="295"/>
      <c r="K1414" s="296">
        <f t="shared" si="22"/>
        <v>0</v>
      </c>
      <c r="L1414"/>
    </row>
    <row r="1415" spans="1:12">
      <c r="A1415" s="855"/>
      <c r="B1415" s="856"/>
      <c r="C1415" s="856"/>
      <c r="D1415" s="857"/>
      <c r="E1415" s="858"/>
      <c r="F1415" s="859"/>
      <c r="G1415" s="860"/>
      <c r="H1415" s="857"/>
      <c r="I1415" s="861"/>
      <c r="J1415" s="295"/>
      <c r="K1415" s="296">
        <f t="shared" si="22"/>
        <v>0</v>
      </c>
      <c r="L1415"/>
    </row>
    <row r="1416" spans="1:12">
      <c r="A1416" s="855"/>
      <c r="B1416" s="856"/>
      <c r="C1416" s="856"/>
      <c r="D1416" s="857"/>
      <c r="E1416" s="858"/>
      <c r="F1416" s="859"/>
      <c r="G1416" s="860"/>
      <c r="H1416" s="857"/>
      <c r="I1416" s="861"/>
      <c r="J1416" s="295"/>
      <c r="K1416" s="296">
        <f t="shared" si="22"/>
        <v>0</v>
      </c>
      <c r="L1416"/>
    </row>
    <row r="1417" spans="1:12">
      <c r="A1417" s="349" t="s">
        <v>166</v>
      </c>
      <c r="B1417" s="350"/>
      <c r="C1417" s="351"/>
      <c r="D1417" s="545"/>
      <c r="E1417" s="352">
        <f>SUM(E48:E48)</f>
        <v>20</v>
      </c>
      <c r="F1417" s="353"/>
      <c r="G1417" s="354">
        <f>SUM(G48:G48)</f>
        <v>-1540</v>
      </c>
      <c r="H1417" s="486"/>
      <c r="I1417" s="356"/>
      <c r="J1417" s="357"/>
      <c r="K1417" s="358">
        <f>SUM(K22:K1416)+L288</f>
        <v>-481320.3125</v>
      </c>
      <c r="L1417"/>
    </row>
    <row r="1418" spans="1:12">
      <c r="A1418" s="359" t="s">
        <v>169</v>
      </c>
      <c r="B1418" s="113"/>
      <c r="C1418" s="274"/>
      <c r="D1418" s="538"/>
      <c r="E1418" s="114"/>
      <c r="F1418" s="192"/>
      <c r="G1418" s="118"/>
      <c r="H1418" s="478"/>
      <c r="I1418" s="125"/>
      <c r="J1418" s="360"/>
      <c r="K1418" s="261"/>
      <c r="L1418"/>
    </row>
    <row r="1419" spans="1:12">
      <c r="A1419" s="206" t="s">
        <v>99</v>
      </c>
      <c r="B1419" s="207" t="s">
        <v>7</v>
      </c>
      <c r="C1419" s="207" t="s">
        <v>171</v>
      </c>
      <c r="D1419" s="535" t="s">
        <v>170</v>
      </c>
      <c r="E1419" s="208" t="s">
        <v>11</v>
      </c>
      <c r="F1419" s="207" t="s">
        <v>2</v>
      </c>
      <c r="G1419" s="209" t="s">
        <v>12</v>
      </c>
      <c r="H1419" s="482" t="s">
        <v>18</v>
      </c>
      <c r="I1419" s="209" t="s">
        <v>210</v>
      </c>
      <c r="J1419" s="207" t="s">
        <v>216</v>
      </c>
      <c r="K1419" s="260" t="s">
        <v>212</v>
      </c>
      <c r="L1419"/>
    </row>
    <row r="1420" spans="1:12">
      <c r="A1420" s="325" t="s">
        <v>201</v>
      </c>
      <c r="B1420" s="328">
        <v>40830</v>
      </c>
      <c r="C1420" s="329"/>
      <c r="D1420" s="542"/>
      <c r="E1420" s="330">
        <v>0</v>
      </c>
      <c r="F1420" s="331" t="s">
        <v>135</v>
      </c>
      <c r="G1420" s="332">
        <v>0</v>
      </c>
      <c r="H1420" s="483"/>
      <c r="I1420" s="335">
        <v>134.1</v>
      </c>
      <c r="J1420" s="335">
        <v>0</v>
      </c>
      <c r="K1420" s="336">
        <f t="shared" ref="K1420:K1425" si="23">(J1420-I1420)*E1420/100</f>
        <v>0</v>
      </c>
      <c r="L1420"/>
    </row>
    <row r="1421" spans="1:12">
      <c r="A1421" s="325" t="s">
        <v>203</v>
      </c>
      <c r="B1421" s="328">
        <v>40835</v>
      </c>
      <c r="C1421" s="329"/>
      <c r="D1421" s="542"/>
      <c r="E1421" s="330">
        <v>0</v>
      </c>
      <c r="F1421" s="331" t="s">
        <v>135</v>
      </c>
      <c r="G1421" s="332">
        <v>0</v>
      </c>
      <c r="H1421" s="483"/>
      <c r="I1421" s="335">
        <v>135.12</v>
      </c>
      <c r="J1421" s="335">
        <v>0</v>
      </c>
      <c r="K1421" s="336">
        <f t="shared" si="23"/>
        <v>0</v>
      </c>
      <c r="L1421"/>
    </row>
    <row r="1422" spans="1:12">
      <c r="A1422" s="337" t="s">
        <v>167</v>
      </c>
      <c r="B1422" s="340">
        <v>39090</v>
      </c>
      <c r="C1422" s="341"/>
      <c r="D1422" s="543"/>
      <c r="E1422" s="342">
        <v>0</v>
      </c>
      <c r="F1422" s="343" t="s">
        <v>135</v>
      </c>
      <c r="G1422" s="344">
        <v>0</v>
      </c>
      <c r="H1422" s="484" t="s">
        <v>21</v>
      </c>
      <c r="I1422" s="347">
        <v>108.77</v>
      </c>
      <c r="J1422" s="347">
        <v>0</v>
      </c>
      <c r="K1422" s="348">
        <f t="shared" si="23"/>
        <v>0</v>
      </c>
      <c r="L1422"/>
    </row>
    <row r="1423" spans="1:12">
      <c r="A1423" s="337" t="s">
        <v>167</v>
      </c>
      <c r="B1423" s="340">
        <v>38954</v>
      </c>
      <c r="C1423" s="341"/>
      <c r="D1423" s="543"/>
      <c r="E1423" s="342">
        <v>0</v>
      </c>
      <c r="F1423" s="343" t="s">
        <v>135</v>
      </c>
      <c r="G1423" s="344">
        <v>0</v>
      </c>
      <c r="H1423" s="484"/>
      <c r="I1423" s="347">
        <v>109.88</v>
      </c>
      <c r="J1423" s="347">
        <v>0</v>
      </c>
      <c r="K1423" s="348">
        <f t="shared" si="23"/>
        <v>0</v>
      </c>
      <c r="L1423"/>
    </row>
    <row r="1424" spans="1:12">
      <c r="A1424" s="285" t="s">
        <v>168</v>
      </c>
      <c r="B1424" s="288">
        <v>39220</v>
      </c>
      <c r="C1424" s="289" t="s">
        <v>21</v>
      </c>
      <c r="D1424" s="544"/>
      <c r="E1424" s="290">
        <v>0</v>
      </c>
      <c r="F1424" s="291" t="s">
        <v>135</v>
      </c>
      <c r="G1424" s="292">
        <v>0</v>
      </c>
      <c r="H1424" s="485" t="s">
        <v>23</v>
      </c>
      <c r="I1424" s="295">
        <v>102.55500000000001</v>
      </c>
      <c r="J1424" s="295">
        <v>0</v>
      </c>
      <c r="K1424" s="296">
        <f t="shared" si="23"/>
        <v>0</v>
      </c>
      <c r="L1424"/>
    </row>
    <row r="1425" spans="1:12">
      <c r="A1425" s="285" t="s">
        <v>168</v>
      </c>
      <c r="B1425" s="288">
        <v>39224</v>
      </c>
      <c r="C1425" s="289" t="s">
        <v>21</v>
      </c>
      <c r="D1425" s="544"/>
      <c r="E1425" s="290">
        <v>0</v>
      </c>
      <c r="F1425" s="291" t="s">
        <v>135</v>
      </c>
      <c r="G1425" s="292">
        <v>0</v>
      </c>
      <c r="H1425" s="485"/>
      <c r="I1425" s="295">
        <v>102.89</v>
      </c>
      <c r="J1425" s="295">
        <v>0</v>
      </c>
      <c r="K1425" s="296">
        <f t="shared" si="23"/>
        <v>0</v>
      </c>
      <c r="L1425"/>
    </row>
    <row r="1426" spans="1:12">
      <c r="A1426" s="349" t="s">
        <v>166</v>
      </c>
      <c r="B1426" s="350"/>
      <c r="C1426" s="351"/>
      <c r="D1426" s="545"/>
      <c r="E1426" s="352">
        <f>SUM(E1420:E1425)</f>
        <v>0</v>
      </c>
      <c r="F1426" s="353"/>
      <c r="G1426" s="354">
        <f>SUM(G1420:G1425)</f>
        <v>0</v>
      </c>
      <c r="H1426" s="486"/>
      <c r="I1426" s="356"/>
      <c r="J1426" s="357"/>
      <c r="K1426" s="358">
        <f>SUM(K1420:K1425)</f>
        <v>0</v>
      </c>
      <c r="L1426"/>
    </row>
    <row r="1427" spans="1:12">
      <c r="A1427" s="716" t="s">
        <v>326</v>
      </c>
      <c r="B1427" s="108"/>
      <c r="C1427" s="275"/>
      <c r="D1427" s="546"/>
      <c r="E1427" s="70"/>
      <c r="F1427" s="203"/>
      <c r="G1427" s="105"/>
      <c r="H1427" s="487"/>
      <c r="I1427" s="204"/>
      <c r="J1427" s="205"/>
      <c r="K1427" s="106"/>
      <c r="L1427"/>
    </row>
    <row r="1428" spans="1:12">
      <c r="A1428" s="206" t="s">
        <v>99</v>
      </c>
      <c r="B1428" s="207" t="s">
        <v>7</v>
      </c>
      <c r="C1428" s="207" t="s">
        <v>171</v>
      </c>
      <c r="D1428" s="535" t="s">
        <v>170</v>
      </c>
      <c r="E1428" s="208" t="s">
        <v>11</v>
      </c>
      <c r="F1428" s="207" t="s">
        <v>2</v>
      </c>
      <c r="G1428" s="209" t="s">
        <v>12</v>
      </c>
      <c r="H1428" s="482" t="s">
        <v>18</v>
      </c>
      <c r="I1428" s="209" t="s">
        <v>10</v>
      </c>
      <c r="J1428" s="207" t="s">
        <v>216</v>
      </c>
      <c r="K1428" s="260" t="s">
        <v>212</v>
      </c>
      <c r="L1428"/>
    </row>
    <row r="1429" spans="1:12">
      <c r="A1429" s="325"/>
      <c r="B1429" s="328"/>
      <c r="C1429" s="329"/>
      <c r="D1429" s="542"/>
      <c r="E1429" s="330"/>
      <c r="F1429" s="331"/>
      <c r="G1429" s="332"/>
      <c r="H1429" s="483"/>
      <c r="I1429" s="335">
        <v>135.12</v>
      </c>
      <c r="J1429" s="335">
        <v>0</v>
      </c>
      <c r="K1429" s="336">
        <f>(J1429-I1429)*E1429/100</f>
        <v>0</v>
      </c>
      <c r="L1429"/>
    </row>
    <row r="1430" spans="1:12">
      <c r="A1430" s="337"/>
      <c r="B1430" s="340"/>
      <c r="C1430" s="341"/>
      <c r="D1430" s="543"/>
      <c r="E1430" s="342"/>
      <c r="F1430" s="343"/>
      <c r="G1430" s="344"/>
      <c r="H1430" s="484"/>
      <c r="I1430" s="347">
        <v>108.77</v>
      </c>
      <c r="J1430" s="347">
        <v>0</v>
      </c>
      <c r="K1430" s="348">
        <f>(J1430-I1430)*E1430/100</f>
        <v>0</v>
      </c>
      <c r="L1430"/>
    </row>
    <row r="1431" spans="1:12">
      <c r="A1431" s="337"/>
      <c r="B1431" s="340"/>
      <c r="C1431" s="341"/>
      <c r="D1431" s="543"/>
      <c r="E1431" s="342"/>
      <c r="F1431" s="343"/>
      <c r="G1431" s="344"/>
      <c r="H1431" s="484"/>
      <c r="I1431" s="347">
        <v>109.88</v>
      </c>
      <c r="J1431" s="347">
        <v>0</v>
      </c>
      <c r="K1431" s="348">
        <f>(J1431-I1431)*E1431/100</f>
        <v>0</v>
      </c>
      <c r="L1431"/>
    </row>
    <row r="1432" spans="1:12">
      <c r="A1432" s="285"/>
      <c r="B1432" s="288"/>
      <c r="C1432" s="289"/>
      <c r="D1432" s="544"/>
      <c r="E1432" s="290"/>
      <c r="F1432" s="291"/>
      <c r="G1432" s="292"/>
      <c r="H1432" s="485"/>
      <c r="I1432" s="295">
        <v>102.55500000000001</v>
      </c>
      <c r="J1432" s="295">
        <v>0</v>
      </c>
      <c r="K1432" s="296">
        <f>(J1432-I1432)*E1432/100</f>
        <v>0</v>
      </c>
      <c r="L1432"/>
    </row>
    <row r="1433" spans="1:12">
      <c r="A1433" s="285"/>
      <c r="B1433" s="288"/>
      <c r="C1433" s="289"/>
      <c r="D1433" s="544"/>
      <c r="E1433" s="290"/>
      <c r="F1433" s="291"/>
      <c r="G1433" s="292"/>
      <c r="H1433" s="485"/>
      <c r="I1433" s="295">
        <v>102.89</v>
      </c>
      <c r="J1433" s="295">
        <v>0</v>
      </c>
      <c r="K1433" s="296">
        <f>(J1433-I1433)*E1433/100</f>
        <v>0</v>
      </c>
      <c r="L1433"/>
    </row>
    <row r="1434" spans="1:12">
      <c r="A1434" s="349" t="s">
        <v>166</v>
      </c>
      <c r="B1434" s="350"/>
      <c r="C1434" s="351"/>
      <c r="D1434" s="545"/>
      <c r="E1434" s="352">
        <f>SUM(E1429:E1433)</f>
        <v>0</v>
      </c>
      <c r="F1434" s="353"/>
      <c r="G1434" s="354">
        <f>SUM(G1429:G1433)</f>
        <v>0</v>
      </c>
      <c r="H1434" s="486"/>
      <c r="I1434" s="356"/>
      <c r="J1434" s="357"/>
      <c r="K1434" s="358">
        <f>SUM(K1429:K1433)</f>
        <v>0</v>
      </c>
      <c r="L1434"/>
    </row>
    <row r="1435" spans="1:12">
      <c r="B1435"/>
      <c r="C1435"/>
      <c r="D1435"/>
      <c r="E1435"/>
      <c r="F1435"/>
      <c r="G1435" s="14"/>
      <c r="H1435" s="488"/>
      <c r="I1435"/>
      <c r="J1435"/>
      <c r="L1435"/>
    </row>
    <row r="1436" spans="1:12">
      <c r="B1436"/>
      <c r="C1436"/>
      <c r="D1436"/>
      <c r="E1436"/>
      <c r="F1436"/>
      <c r="G1436" s="14"/>
      <c r="H1436" s="488"/>
      <c r="I1436"/>
      <c r="J1436"/>
      <c r="L1436"/>
    </row>
    <row r="1437" spans="1:12">
      <c r="B1437"/>
      <c r="C1437"/>
      <c r="D1437"/>
      <c r="E1437"/>
      <c r="F1437"/>
      <c r="G1437" s="14"/>
      <c r="H1437" s="488"/>
      <c r="I1437"/>
      <c r="J1437"/>
      <c r="L1437"/>
    </row>
    <row r="1438" spans="1:12">
      <c r="B1438"/>
      <c r="C1438"/>
      <c r="D1438"/>
      <c r="E1438"/>
      <c r="F1438"/>
      <c r="G1438" s="14"/>
      <c r="H1438" s="488"/>
      <c r="I1438"/>
      <c r="J1438"/>
      <c r="L1438"/>
    </row>
    <row r="1439" spans="1:12">
      <c r="B1439"/>
      <c r="C1439"/>
      <c r="D1439"/>
      <c r="E1439"/>
      <c r="F1439"/>
      <c r="G1439" s="14"/>
      <c r="H1439" s="488"/>
      <c r="I1439"/>
      <c r="J1439"/>
      <c r="L1439"/>
    </row>
    <row r="1440" spans="1:12">
      <c r="B1440"/>
      <c r="C1440"/>
      <c r="D1440"/>
      <c r="E1440"/>
      <c r="F1440"/>
      <c r="G1440" s="14"/>
      <c r="H1440" s="488"/>
      <c r="I1440"/>
      <c r="J1440"/>
      <c r="L1440"/>
    </row>
    <row r="1441" spans="2:12">
      <c r="B1441"/>
      <c r="C1441"/>
      <c r="D1441"/>
      <c r="E1441"/>
      <c r="F1441"/>
      <c r="G1441" s="14"/>
      <c r="H1441" s="488"/>
      <c r="I1441"/>
      <c r="J1441"/>
      <c r="L1441"/>
    </row>
    <row r="1442" spans="2:12">
      <c r="B1442"/>
      <c r="C1442"/>
      <c r="D1442"/>
      <c r="E1442"/>
      <c r="F1442"/>
      <c r="G1442" s="14"/>
      <c r="H1442" s="488"/>
      <c r="I1442"/>
      <c r="J1442"/>
      <c r="L1442"/>
    </row>
    <row r="1443" spans="2:12">
      <c r="B1443"/>
      <c r="C1443"/>
      <c r="D1443"/>
      <c r="E1443"/>
      <c r="F1443"/>
      <c r="G1443" s="14"/>
      <c r="H1443" s="488"/>
      <c r="I1443"/>
      <c r="J1443"/>
      <c r="L1443"/>
    </row>
    <row r="1444" spans="2:12">
      <c r="B1444"/>
      <c r="C1444"/>
      <c r="D1444"/>
      <c r="E1444"/>
      <c r="F1444"/>
      <c r="G1444" s="14"/>
      <c r="H1444" s="488"/>
      <c r="I1444"/>
      <c r="J1444"/>
      <c r="L1444"/>
    </row>
    <row r="1445" spans="2:12">
      <c r="B1445"/>
      <c r="C1445"/>
      <c r="D1445"/>
      <c r="E1445"/>
      <c r="F1445"/>
      <c r="G1445" s="14"/>
      <c r="H1445" s="488"/>
      <c r="I1445"/>
      <c r="J1445"/>
      <c r="L1445"/>
    </row>
    <row r="1446" spans="2:12">
      <c r="B1446"/>
      <c r="C1446"/>
      <c r="D1446"/>
      <c r="E1446"/>
      <c r="F1446"/>
      <c r="G1446" s="14"/>
      <c r="H1446" s="488"/>
      <c r="I1446"/>
      <c r="J1446"/>
      <c r="L1446"/>
    </row>
    <row r="1447" spans="2:12">
      <c r="B1447"/>
      <c r="C1447"/>
      <c r="D1447"/>
      <c r="E1447"/>
      <c r="F1447"/>
      <c r="G1447" s="14"/>
      <c r="H1447" s="488"/>
      <c r="I1447"/>
      <c r="J1447"/>
      <c r="L1447"/>
    </row>
    <row r="1448" spans="2:12">
      <c r="B1448"/>
      <c r="C1448"/>
      <c r="D1448"/>
      <c r="E1448"/>
      <c r="F1448"/>
      <c r="G1448" s="14"/>
      <c r="H1448" s="488"/>
      <c r="I1448"/>
      <c r="J1448"/>
      <c r="L1448"/>
    </row>
    <row r="1449" spans="2:12">
      <c r="B1449"/>
      <c r="C1449"/>
      <c r="D1449"/>
      <c r="E1449"/>
      <c r="F1449"/>
      <c r="G1449" s="14"/>
      <c r="H1449" s="488"/>
      <c r="I1449"/>
      <c r="J1449"/>
      <c r="L1449"/>
    </row>
    <row r="1450" spans="2:12">
      <c r="B1450"/>
      <c r="C1450"/>
      <c r="D1450"/>
      <c r="E1450"/>
      <c r="F1450"/>
      <c r="G1450" s="14"/>
      <c r="H1450" s="488"/>
      <c r="I1450"/>
      <c r="J1450"/>
      <c r="L1450"/>
    </row>
    <row r="1451" spans="2:12">
      <c r="B1451"/>
      <c r="C1451"/>
      <c r="D1451"/>
      <c r="E1451"/>
      <c r="F1451"/>
      <c r="G1451" s="14"/>
      <c r="H1451" s="488"/>
      <c r="I1451"/>
      <c r="J1451"/>
      <c r="L1451"/>
    </row>
    <row r="1452" spans="2:12">
      <c r="B1452"/>
      <c r="C1452"/>
      <c r="D1452"/>
      <c r="E1452"/>
      <c r="F1452"/>
      <c r="G1452" s="14"/>
      <c r="H1452" s="489"/>
      <c r="I1452"/>
      <c r="J1452"/>
      <c r="L1452"/>
    </row>
    <row r="1453" spans="2:12">
      <c r="B1453"/>
      <c r="C1453"/>
      <c r="D1453"/>
      <c r="E1453"/>
      <c r="F1453"/>
      <c r="G1453" s="14"/>
      <c r="H1453" s="489"/>
      <c r="I1453"/>
      <c r="J1453"/>
      <c r="L1453"/>
    </row>
    <row r="1454" spans="2:12">
      <c r="B1454"/>
      <c r="C1454"/>
      <c r="D1454"/>
      <c r="E1454"/>
      <c r="F1454"/>
      <c r="G1454" s="14"/>
      <c r="H1454" s="489"/>
      <c r="I1454"/>
      <c r="J1454"/>
      <c r="L1454"/>
    </row>
    <row r="1455" spans="2:12">
      <c r="B1455"/>
      <c r="C1455"/>
      <c r="D1455"/>
      <c r="E1455"/>
      <c r="F1455"/>
      <c r="G1455" s="14"/>
      <c r="H1455" s="489"/>
      <c r="I1455"/>
      <c r="J1455"/>
      <c r="L1455"/>
    </row>
    <row r="1456" spans="2:12">
      <c r="B1456"/>
      <c r="C1456"/>
      <c r="D1456"/>
      <c r="E1456"/>
      <c r="F1456"/>
      <c r="G1456" s="14"/>
      <c r="H1456" s="489"/>
      <c r="I1456"/>
      <c r="J1456"/>
      <c r="L1456"/>
    </row>
    <row r="1457" spans="2:12">
      <c r="B1457"/>
      <c r="C1457"/>
      <c r="D1457"/>
      <c r="E1457"/>
      <c r="F1457"/>
      <c r="G1457" s="14"/>
      <c r="H1457" s="489"/>
      <c r="I1457"/>
      <c r="J1457"/>
      <c r="L1457"/>
    </row>
    <row r="1458" spans="2:12">
      <c r="B1458"/>
      <c r="C1458"/>
      <c r="D1458"/>
      <c r="E1458"/>
      <c r="F1458"/>
      <c r="G1458" s="14"/>
      <c r="H1458" s="489"/>
      <c r="I1458"/>
      <c r="J1458"/>
      <c r="L1458"/>
    </row>
    <row r="1459" spans="2:12">
      <c r="B1459"/>
      <c r="C1459"/>
      <c r="D1459"/>
      <c r="E1459"/>
      <c r="F1459"/>
      <c r="G1459" s="14"/>
      <c r="H1459" s="489"/>
      <c r="I1459"/>
      <c r="J1459"/>
      <c r="L1459"/>
    </row>
    <row r="1460" spans="2:12">
      <c r="B1460"/>
      <c r="C1460"/>
      <c r="D1460"/>
      <c r="E1460"/>
      <c r="F1460"/>
      <c r="G1460" s="14"/>
      <c r="H1460" s="489"/>
      <c r="I1460"/>
      <c r="J1460"/>
      <c r="L1460"/>
    </row>
    <row r="1461" spans="2:12">
      <c r="B1461"/>
      <c r="C1461"/>
      <c r="D1461"/>
      <c r="E1461"/>
      <c r="F1461"/>
      <c r="G1461" s="14"/>
      <c r="H1461" s="489"/>
      <c r="I1461"/>
      <c r="J1461"/>
      <c r="L1461"/>
    </row>
    <row r="1462" spans="2:12">
      <c r="B1462"/>
      <c r="C1462"/>
      <c r="D1462"/>
      <c r="E1462"/>
      <c r="F1462"/>
      <c r="G1462" s="14"/>
      <c r="H1462" s="489"/>
      <c r="I1462"/>
      <c r="J1462"/>
      <c r="L1462"/>
    </row>
    <row r="1463" spans="2:12">
      <c r="B1463"/>
      <c r="C1463"/>
      <c r="D1463"/>
      <c r="E1463"/>
      <c r="F1463"/>
      <c r="G1463" s="14"/>
      <c r="H1463" s="489"/>
      <c r="I1463"/>
      <c r="J1463"/>
      <c r="L1463"/>
    </row>
    <row r="1464" spans="2:12">
      <c r="B1464"/>
      <c r="C1464"/>
      <c r="D1464"/>
      <c r="E1464"/>
      <c r="F1464"/>
      <c r="G1464" s="14"/>
      <c r="H1464" s="489"/>
      <c r="I1464"/>
      <c r="J1464"/>
      <c r="L1464"/>
    </row>
    <row r="1465" spans="2:12">
      <c r="B1465"/>
      <c r="C1465"/>
      <c r="D1465"/>
      <c r="E1465"/>
      <c r="F1465"/>
      <c r="G1465" s="14"/>
      <c r="H1465" s="489"/>
      <c r="I1465"/>
      <c r="J1465"/>
      <c r="L1465"/>
    </row>
    <row r="1466" spans="2:12">
      <c r="B1466"/>
      <c r="C1466"/>
      <c r="D1466"/>
      <c r="E1466"/>
      <c r="F1466"/>
      <c r="G1466" s="14"/>
      <c r="H1466" s="489"/>
      <c r="I1466"/>
      <c r="J1466"/>
      <c r="L1466"/>
    </row>
    <row r="1467" spans="2:12">
      <c r="B1467"/>
      <c r="C1467"/>
      <c r="D1467"/>
      <c r="E1467"/>
      <c r="F1467"/>
      <c r="G1467" s="14"/>
      <c r="H1467" s="489"/>
      <c r="I1467"/>
      <c r="J1467"/>
      <c r="L1467"/>
    </row>
    <row r="1468" spans="2:12">
      <c r="B1468"/>
      <c r="C1468"/>
      <c r="D1468"/>
      <c r="E1468"/>
      <c r="F1468"/>
      <c r="G1468" s="14"/>
      <c r="H1468" s="489"/>
      <c r="I1468"/>
      <c r="J1468"/>
      <c r="L1468"/>
    </row>
    <row r="1469" spans="2:12">
      <c r="B1469"/>
      <c r="C1469"/>
      <c r="D1469"/>
      <c r="E1469"/>
      <c r="F1469"/>
      <c r="G1469" s="14"/>
      <c r="H1469" s="489"/>
      <c r="I1469"/>
      <c r="J1469"/>
      <c r="L1469"/>
    </row>
    <row r="1470" spans="2:12">
      <c r="B1470"/>
      <c r="C1470"/>
      <c r="D1470"/>
      <c r="E1470"/>
      <c r="F1470"/>
      <c r="G1470" s="14"/>
      <c r="H1470" s="489"/>
      <c r="I1470"/>
      <c r="J1470"/>
      <c r="L1470"/>
    </row>
    <row r="1471" spans="2:12">
      <c r="B1471"/>
      <c r="C1471"/>
      <c r="D1471"/>
      <c r="E1471"/>
      <c r="F1471"/>
      <c r="G1471" s="14"/>
      <c r="H1471" s="489"/>
      <c r="I1471"/>
      <c r="J1471"/>
      <c r="L1471"/>
    </row>
    <row r="1472" spans="2:12">
      <c r="B1472"/>
      <c r="C1472"/>
      <c r="D1472"/>
      <c r="E1472"/>
      <c r="F1472"/>
      <c r="G1472" s="14"/>
      <c r="H1472" s="489"/>
      <c r="I1472"/>
      <c r="J1472"/>
      <c r="L1472"/>
    </row>
    <row r="1473" spans="2:12">
      <c r="B1473"/>
      <c r="C1473"/>
      <c r="D1473"/>
      <c r="E1473"/>
      <c r="F1473"/>
      <c r="G1473" s="14"/>
      <c r="H1473" s="489"/>
      <c r="I1473"/>
      <c r="J1473"/>
      <c r="L1473"/>
    </row>
    <row r="1474" spans="2:12">
      <c r="B1474"/>
      <c r="C1474"/>
      <c r="D1474"/>
      <c r="E1474"/>
      <c r="F1474"/>
      <c r="G1474" s="14"/>
      <c r="H1474" s="489"/>
      <c r="I1474"/>
      <c r="J1474"/>
      <c r="L1474"/>
    </row>
    <row r="1475" spans="2:12">
      <c r="B1475"/>
      <c r="C1475"/>
      <c r="D1475"/>
      <c r="E1475"/>
      <c r="F1475"/>
      <c r="G1475" s="14"/>
      <c r="H1475" s="489"/>
      <c r="I1475"/>
      <c r="J1475"/>
      <c r="L1475"/>
    </row>
    <row r="1476" spans="2:12">
      <c r="B1476"/>
      <c r="C1476"/>
      <c r="D1476"/>
      <c r="E1476"/>
      <c r="F1476"/>
      <c r="G1476" s="14"/>
      <c r="H1476" s="489"/>
      <c r="I1476"/>
      <c r="J1476"/>
      <c r="L1476"/>
    </row>
    <row r="1477" spans="2:12">
      <c r="B1477"/>
      <c r="C1477"/>
      <c r="D1477"/>
      <c r="E1477"/>
      <c r="F1477"/>
      <c r="G1477" s="14"/>
      <c r="H1477" s="489"/>
      <c r="I1477"/>
      <c r="J1477"/>
      <c r="L1477"/>
    </row>
    <row r="1478" spans="2:12">
      <c r="B1478"/>
      <c r="C1478"/>
      <c r="D1478"/>
      <c r="E1478"/>
      <c r="F1478"/>
      <c r="G1478" s="14"/>
      <c r="H1478" s="489"/>
      <c r="I1478"/>
      <c r="J1478"/>
      <c r="L1478"/>
    </row>
    <row r="1479" spans="2:12">
      <c r="B1479"/>
      <c r="C1479"/>
      <c r="D1479"/>
      <c r="E1479"/>
      <c r="F1479"/>
      <c r="G1479" s="14"/>
      <c r="H1479" s="489"/>
      <c r="I1479"/>
      <c r="J1479"/>
      <c r="L1479"/>
    </row>
    <row r="1480" spans="2:12">
      <c r="B1480"/>
      <c r="C1480"/>
      <c r="D1480"/>
      <c r="E1480"/>
      <c r="F1480"/>
      <c r="G1480" s="14"/>
      <c r="H1480" s="489"/>
      <c r="I1480"/>
      <c r="J1480"/>
      <c r="L1480"/>
    </row>
    <row r="1481" spans="2:12">
      <c r="B1481"/>
      <c r="C1481"/>
      <c r="D1481"/>
      <c r="E1481"/>
      <c r="F1481"/>
      <c r="G1481" s="14"/>
      <c r="H1481" s="489"/>
      <c r="I1481"/>
      <c r="J1481"/>
      <c r="L1481"/>
    </row>
    <row r="1482" spans="2:12">
      <c r="B1482"/>
      <c r="C1482"/>
      <c r="D1482"/>
      <c r="E1482"/>
      <c r="F1482"/>
      <c r="G1482" s="14"/>
      <c r="H1482" s="489"/>
      <c r="I1482"/>
      <c r="J1482"/>
      <c r="L1482"/>
    </row>
    <row r="1483" spans="2:12">
      <c r="B1483"/>
      <c r="C1483"/>
      <c r="D1483"/>
      <c r="E1483"/>
      <c r="F1483"/>
      <c r="G1483" s="14"/>
      <c r="H1483" s="489"/>
      <c r="I1483"/>
      <c r="J1483"/>
      <c r="L1483"/>
    </row>
    <row r="1484" spans="2:12">
      <c r="B1484"/>
      <c r="C1484"/>
      <c r="D1484"/>
      <c r="E1484"/>
      <c r="F1484"/>
      <c r="G1484" s="14"/>
      <c r="H1484" s="489"/>
      <c r="I1484"/>
      <c r="J1484"/>
      <c r="L1484"/>
    </row>
    <row r="1485" spans="2:12">
      <c r="B1485"/>
      <c r="C1485"/>
      <c r="D1485"/>
      <c r="E1485"/>
      <c r="F1485"/>
      <c r="G1485" s="14"/>
      <c r="H1485" s="489"/>
      <c r="I1485"/>
      <c r="J1485"/>
      <c r="L1485"/>
    </row>
    <row r="1486" spans="2:12">
      <c r="B1486"/>
      <c r="C1486"/>
      <c r="D1486"/>
      <c r="E1486"/>
      <c r="F1486"/>
      <c r="G1486" s="14"/>
      <c r="H1486" s="489"/>
      <c r="I1486"/>
      <c r="J1486"/>
      <c r="L1486"/>
    </row>
    <row r="1487" spans="2:12">
      <c r="B1487"/>
      <c r="C1487"/>
      <c r="D1487"/>
      <c r="E1487"/>
      <c r="F1487"/>
      <c r="G1487" s="14"/>
      <c r="H1487" s="489"/>
      <c r="I1487"/>
      <c r="J1487"/>
      <c r="L1487"/>
    </row>
    <row r="1488" spans="2:12">
      <c r="B1488"/>
      <c r="C1488"/>
      <c r="D1488"/>
      <c r="E1488"/>
      <c r="F1488"/>
      <c r="G1488" s="14"/>
      <c r="H1488" s="489"/>
      <c r="I1488"/>
      <c r="J1488"/>
      <c r="L1488"/>
    </row>
    <row r="1489" spans="2:12">
      <c r="B1489"/>
      <c r="C1489"/>
      <c r="D1489"/>
      <c r="E1489"/>
      <c r="F1489"/>
      <c r="G1489" s="14"/>
      <c r="H1489" s="489"/>
      <c r="I1489"/>
      <c r="J1489"/>
      <c r="L1489"/>
    </row>
    <row r="1490" spans="2:12">
      <c r="B1490"/>
      <c r="C1490"/>
      <c r="D1490"/>
      <c r="E1490"/>
      <c r="F1490"/>
      <c r="G1490" s="14"/>
      <c r="H1490" s="489"/>
      <c r="I1490"/>
      <c r="J1490"/>
      <c r="L1490"/>
    </row>
    <row r="1491" spans="2:12">
      <c r="B1491"/>
      <c r="C1491"/>
      <c r="D1491"/>
      <c r="E1491"/>
      <c r="F1491"/>
      <c r="G1491" s="14"/>
      <c r="H1491" s="489"/>
      <c r="I1491"/>
      <c r="J1491"/>
      <c r="L1491"/>
    </row>
    <row r="1492" spans="2:12">
      <c r="B1492"/>
      <c r="C1492"/>
      <c r="D1492"/>
      <c r="E1492"/>
      <c r="F1492"/>
      <c r="G1492" s="14"/>
      <c r="H1492" s="489"/>
      <c r="I1492"/>
      <c r="J1492"/>
      <c r="L1492"/>
    </row>
    <row r="1493" spans="2:12">
      <c r="B1493"/>
      <c r="C1493"/>
      <c r="D1493"/>
      <c r="E1493"/>
      <c r="F1493"/>
      <c r="G1493" s="14"/>
      <c r="H1493" s="489"/>
      <c r="I1493"/>
      <c r="J1493"/>
      <c r="L1493"/>
    </row>
    <row r="1494" spans="2:12">
      <c r="B1494"/>
      <c r="C1494"/>
      <c r="D1494"/>
      <c r="E1494"/>
      <c r="F1494"/>
      <c r="G1494" s="14"/>
      <c r="H1494" s="489"/>
      <c r="I1494"/>
      <c r="J1494"/>
      <c r="L1494"/>
    </row>
    <row r="1495" spans="2:12">
      <c r="B1495"/>
      <c r="C1495"/>
      <c r="D1495"/>
      <c r="E1495"/>
      <c r="F1495"/>
      <c r="G1495" s="14"/>
      <c r="H1495" s="489"/>
      <c r="I1495"/>
      <c r="J1495"/>
      <c r="L1495"/>
    </row>
    <row r="1496" spans="2:12">
      <c r="B1496"/>
      <c r="C1496"/>
      <c r="D1496"/>
      <c r="E1496"/>
      <c r="F1496"/>
      <c r="G1496" s="14"/>
      <c r="H1496" s="489"/>
      <c r="I1496"/>
      <c r="J1496"/>
      <c r="L1496"/>
    </row>
    <row r="1497" spans="2:12">
      <c r="B1497"/>
      <c r="C1497"/>
      <c r="D1497"/>
      <c r="E1497"/>
      <c r="F1497"/>
      <c r="G1497" s="14"/>
      <c r="H1497" s="489"/>
      <c r="I1497"/>
      <c r="J1497"/>
      <c r="L1497"/>
    </row>
    <row r="1498" spans="2:12">
      <c r="B1498"/>
      <c r="C1498"/>
      <c r="D1498"/>
      <c r="E1498"/>
      <c r="F1498"/>
      <c r="G1498" s="14"/>
      <c r="H1498" s="489"/>
      <c r="I1498"/>
      <c r="J1498"/>
      <c r="L1498"/>
    </row>
    <row r="1499" spans="2:12">
      <c r="B1499"/>
      <c r="C1499"/>
      <c r="D1499"/>
      <c r="E1499"/>
      <c r="F1499"/>
      <c r="G1499" s="14"/>
      <c r="H1499" s="489"/>
      <c r="I1499"/>
      <c r="J1499"/>
      <c r="L1499"/>
    </row>
    <row r="1500" spans="2:12">
      <c r="B1500"/>
      <c r="C1500"/>
      <c r="D1500"/>
      <c r="E1500"/>
      <c r="F1500"/>
      <c r="G1500" s="14"/>
      <c r="H1500" s="489"/>
      <c r="I1500"/>
      <c r="J1500"/>
      <c r="L1500"/>
    </row>
    <row r="1501" spans="2:12">
      <c r="B1501"/>
      <c r="C1501"/>
      <c r="D1501"/>
      <c r="E1501"/>
      <c r="F1501"/>
      <c r="G1501" s="14"/>
      <c r="H1501" s="489"/>
      <c r="I1501"/>
      <c r="J1501"/>
      <c r="L1501"/>
    </row>
    <row r="1502" spans="2:12">
      <c r="B1502"/>
      <c r="C1502"/>
      <c r="D1502"/>
      <c r="E1502"/>
      <c r="F1502"/>
      <c r="G1502" s="14"/>
      <c r="H1502" s="489"/>
      <c r="I1502"/>
      <c r="J1502"/>
      <c r="L1502"/>
    </row>
    <row r="1503" spans="2:12">
      <c r="B1503"/>
      <c r="C1503"/>
      <c r="D1503"/>
      <c r="E1503"/>
      <c r="F1503"/>
      <c r="G1503" s="14"/>
      <c r="H1503" s="489"/>
      <c r="I1503"/>
      <c r="J1503"/>
      <c r="L1503"/>
    </row>
    <row r="1504" spans="2:12">
      <c r="B1504"/>
      <c r="C1504"/>
      <c r="D1504"/>
      <c r="E1504"/>
      <c r="F1504"/>
      <c r="G1504" s="14"/>
      <c r="H1504" s="489"/>
      <c r="I1504"/>
      <c r="J1504"/>
      <c r="L1504"/>
    </row>
    <row r="1505" spans="2:12">
      <c r="B1505"/>
      <c r="C1505"/>
      <c r="D1505"/>
      <c r="E1505"/>
      <c r="F1505"/>
      <c r="G1505" s="14"/>
      <c r="H1505" s="489"/>
      <c r="I1505"/>
      <c r="J1505"/>
      <c r="L1505"/>
    </row>
    <row r="1506" spans="2:12">
      <c r="B1506"/>
      <c r="C1506"/>
      <c r="D1506"/>
      <c r="E1506"/>
      <c r="F1506"/>
      <c r="G1506" s="14"/>
      <c r="H1506" s="489"/>
      <c r="I1506"/>
      <c r="J1506"/>
      <c r="L1506"/>
    </row>
    <row r="1507" spans="2:12">
      <c r="B1507"/>
      <c r="C1507"/>
      <c r="D1507"/>
      <c r="E1507"/>
      <c r="F1507"/>
      <c r="G1507" s="14"/>
      <c r="H1507" s="489"/>
      <c r="I1507"/>
      <c r="J1507"/>
      <c r="L1507"/>
    </row>
    <row r="1508" spans="2:12">
      <c r="B1508"/>
      <c r="C1508"/>
      <c r="D1508"/>
      <c r="E1508"/>
      <c r="F1508"/>
      <c r="G1508" s="14"/>
      <c r="H1508" s="489"/>
      <c r="I1508"/>
      <c r="J1508"/>
      <c r="L1508"/>
    </row>
    <row r="1509" spans="2:12">
      <c r="B1509"/>
      <c r="C1509"/>
      <c r="D1509"/>
      <c r="E1509"/>
      <c r="F1509"/>
      <c r="G1509" s="14"/>
      <c r="H1509" s="489"/>
      <c r="I1509"/>
      <c r="J1509"/>
      <c r="L1509"/>
    </row>
    <row r="1510" spans="2:12">
      <c r="B1510"/>
      <c r="C1510"/>
      <c r="D1510"/>
      <c r="E1510"/>
      <c r="F1510"/>
      <c r="G1510" s="14"/>
      <c r="H1510" s="489"/>
      <c r="I1510"/>
      <c r="J1510"/>
      <c r="L1510"/>
    </row>
    <row r="1511" spans="2:12">
      <c r="B1511"/>
      <c r="C1511"/>
      <c r="D1511"/>
      <c r="E1511"/>
      <c r="F1511"/>
      <c r="G1511" s="14"/>
      <c r="H1511" s="489"/>
      <c r="I1511"/>
      <c r="J1511"/>
      <c r="L1511"/>
    </row>
    <row r="1512" spans="2:12">
      <c r="B1512"/>
      <c r="C1512"/>
      <c r="D1512"/>
      <c r="E1512"/>
      <c r="F1512"/>
      <c r="G1512" s="14"/>
      <c r="H1512" s="489"/>
      <c r="I1512"/>
      <c r="J1512"/>
      <c r="L1512"/>
    </row>
    <row r="1513" spans="2:12">
      <c r="B1513"/>
      <c r="C1513"/>
      <c r="D1513"/>
      <c r="E1513"/>
      <c r="F1513"/>
      <c r="G1513" s="14"/>
      <c r="H1513" s="489"/>
      <c r="I1513"/>
      <c r="J1513"/>
      <c r="L1513"/>
    </row>
    <row r="1514" spans="2:12">
      <c r="B1514"/>
      <c r="C1514"/>
      <c r="D1514"/>
      <c r="E1514"/>
      <c r="F1514"/>
      <c r="G1514" s="14"/>
      <c r="H1514" s="489"/>
      <c r="I1514"/>
      <c r="J1514"/>
      <c r="L1514"/>
    </row>
    <row r="1515" spans="2:12">
      <c r="B1515"/>
      <c r="C1515"/>
      <c r="D1515"/>
      <c r="E1515"/>
      <c r="F1515"/>
      <c r="G1515" s="14"/>
      <c r="H1515" s="489"/>
      <c r="I1515"/>
      <c r="J1515"/>
      <c r="L1515"/>
    </row>
    <row r="1516" spans="2:12">
      <c r="B1516"/>
      <c r="C1516"/>
      <c r="D1516"/>
      <c r="E1516"/>
      <c r="F1516"/>
      <c r="G1516" s="14"/>
      <c r="H1516" s="489"/>
      <c r="I1516"/>
      <c r="J1516"/>
      <c r="L1516"/>
    </row>
    <row r="1517" spans="2:12">
      <c r="B1517"/>
      <c r="C1517"/>
      <c r="D1517"/>
      <c r="E1517"/>
      <c r="F1517"/>
      <c r="G1517" s="14"/>
      <c r="H1517" s="489"/>
      <c r="I1517"/>
      <c r="J1517"/>
      <c r="L1517"/>
    </row>
    <row r="1518" spans="2:12">
      <c r="B1518"/>
      <c r="C1518"/>
      <c r="D1518"/>
      <c r="E1518"/>
      <c r="F1518"/>
      <c r="G1518" s="14"/>
      <c r="H1518" s="489"/>
      <c r="I1518"/>
      <c r="J1518"/>
      <c r="L1518"/>
    </row>
    <row r="1519" spans="2:12">
      <c r="B1519"/>
      <c r="C1519"/>
      <c r="D1519"/>
      <c r="E1519"/>
      <c r="F1519"/>
      <c r="G1519" s="14"/>
      <c r="H1519" s="489"/>
      <c r="I1519"/>
      <c r="J1519"/>
      <c r="L1519"/>
    </row>
    <row r="1520" spans="2:12">
      <c r="B1520"/>
      <c r="C1520"/>
      <c r="D1520"/>
      <c r="E1520"/>
      <c r="F1520"/>
      <c r="G1520" s="14"/>
      <c r="H1520" s="489"/>
      <c r="I1520"/>
      <c r="J1520"/>
      <c r="L1520"/>
    </row>
    <row r="1521" spans="2:12">
      <c r="B1521"/>
      <c r="C1521"/>
      <c r="D1521"/>
      <c r="E1521"/>
      <c r="F1521"/>
      <c r="G1521" s="14"/>
      <c r="H1521" s="489"/>
      <c r="I1521"/>
      <c r="J1521"/>
      <c r="L1521"/>
    </row>
    <row r="1522" spans="2:12">
      <c r="B1522"/>
      <c r="C1522"/>
      <c r="D1522"/>
      <c r="E1522"/>
      <c r="F1522"/>
      <c r="G1522" s="14"/>
      <c r="H1522" s="489"/>
      <c r="I1522"/>
      <c r="J1522"/>
      <c r="L1522"/>
    </row>
    <row r="1523" spans="2:12">
      <c r="B1523"/>
      <c r="C1523"/>
      <c r="D1523"/>
      <c r="E1523"/>
      <c r="F1523"/>
      <c r="G1523" s="14"/>
      <c r="H1523" s="489"/>
      <c r="I1523"/>
      <c r="J1523"/>
      <c r="L1523"/>
    </row>
    <row r="1524" spans="2:12">
      <c r="B1524"/>
      <c r="C1524"/>
      <c r="D1524"/>
      <c r="E1524"/>
      <c r="F1524"/>
      <c r="G1524" s="14"/>
      <c r="H1524" s="489"/>
      <c r="I1524"/>
      <c r="J1524"/>
      <c r="L1524"/>
    </row>
    <row r="1525" spans="2:12">
      <c r="B1525"/>
      <c r="C1525"/>
      <c r="D1525"/>
      <c r="E1525"/>
      <c r="F1525"/>
      <c r="G1525" s="14"/>
      <c r="H1525" s="489"/>
      <c r="I1525"/>
      <c r="J1525"/>
      <c r="L1525"/>
    </row>
    <row r="1526" spans="2:12">
      <c r="B1526"/>
      <c r="C1526"/>
      <c r="D1526"/>
      <c r="E1526"/>
      <c r="F1526"/>
      <c r="G1526" s="14"/>
      <c r="H1526" s="489"/>
      <c r="I1526"/>
      <c r="J1526"/>
      <c r="L1526"/>
    </row>
    <row r="1527" spans="2:12">
      <c r="B1527"/>
      <c r="C1527"/>
      <c r="D1527"/>
      <c r="E1527"/>
      <c r="F1527"/>
      <c r="G1527" s="14"/>
      <c r="H1527" s="489"/>
      <c r="I1527"/>
      <c r="J1527"/>
      <c r="L1527"/>
    </row>
    <row r="1528" spans="2:12">
      <c r="B1528"/>
      <c r="C1528"/>
      <c r="D1528"/>
      <c r="E1528"/>
      <c r="F1528"/>
      <c r="G1528" s="14"/>
      <c r="H1528" s="489"/>
      <c r="I1528"/>
      <c r="J1528"/>
      <c r="L1528"/>
    </row>
    <row r="1529" spans="2:12">
      <c r="B1529"/>
      <c r="C1529"/>
      <c r="D1529"/>
      <c r="E1529"/>
      <c r="F1529"/>
      <c r="G1529" s="14"/>
      <c r="H1529" s="489"/>
      <c r="I1529"/>
      <c r="J1529"/>
      <c r="L1529"/>
    </row>
    <row r="1530" spans="2:12">
      <c r="B1530"/>
      <c r="C1530"/>
      <c r="D1530"/>
      <c r="E1530"/>
      <c r="F1530"/>
      <c r="G1530" s="14"/>
      <c r="H1530" s="489"/>
      <c r="I1530"/>
      <c r="J1530"/>
      <c r="L1530"/>
    </row>
    <row r="1531" spans="2:12">
      <c r="B1531"/>
      <c r="C1531"/>
      <c r="D1531"/>
      <c r="E1531"/>
      <c r="F1531"/>
      <c r="G1531" s="14"/>
      <c r="H1531" s="489"/>
      <c r="I1531"/>
      <c r="J1531"/>
      <c r="L1531"/>
    </row>
    <row r="1532" spans="2:12">
      <c r="B1532"/>
      <c r="C1532"/>
      <c r="D1532"/>
      <c r="E1532"/>
      <c r="F1532"/>
      <c r="G1532" s="14"/>
      <c r="H1532" s="489"/>
      <c r="I1532"/>
      <c r="J1532"/>
      <c r="L1532"/>
    </row>
    <row r="1533" spans="2:12">
      <c r="B1533"/>
      <c r="C1533"/>
      <c r="D1533"/>
      <c r="E1533"/>
      <c r="F1533"/>
      <c r="G1533" s="14"/>
      <c r="H1533" s="489"/>
      <c r="I1533"/>
      <c r="J1533"/>
      <c r="L1533"/>
    </row>
    <row r="1534" spans="2:12">
      <c r="B1534"/>
      <c r="C1534"/>
      <c r="D1534"/>
      <c r="E1534"/>
      <c r="F1534"/>
      <c r="G1534" s="14"/>
      <c r="H1534" s="489"/>
      <c r="I1534"/>
      <c r="J1534"/>
      <c r="L1534"/>
    </row>
    <row r="1535" spans="2:12">
      <c r="B1535"/>
      <c r="C1535"/>
      <c r="D1535"/>
      <c r="E1535"/>
      <c r="F1535"/>
      <c r="G1535" s="14"/>
      <c r="H1535" s="489"/>
      <c r="I1535"/>
      <c r="J1535"/>
      <c r="L1535"/>
    </row>
    <row r="1536" spans="2:12">
      <c r="B1536"/>
      <c r="C1536"/>
      <c r="D1536"/>
      <c r="E1536"/>
      <c r="F1536"/>
      <c r="G1536" s="14"/>
      <c r="H1536" s="489"/>
      <c r="I1536"/>
      <c r="J1536"/>
      <c r="L1536"/>
    </row>
    <row r="1537" spans="2:12">
      <c r="B1537"/>
      <c r="C1537"/>
      <c r="D1537"/>
      <c r="E1537"/>
      <c r="F1537"/>
      <c r="G1537" s="14"/>
      <c r="H1537" s="489"/>
      <c r="I1537"/>
      <c r="J1537"/>
      <c r="L1537"/>
    </row>
    <row r="1538" spans="2:12">
      <c r="B1538"/>
      <c r="C1538"/>
      <c r="D1538"/>
      <c r="E1538"/>
      <c r="F1538"/>
      <c r="G1538" s="14"/>
      <c r="H1538" s="489"/>
      <c r="I1538"/>
      <c r="J1538"/>
      <c r="L1538"/>
    </row>
    <row r="1539" spans="2:12">
      <c r="B1539"/>
      <c r="C1539"/>
      <c r="D1539"/>
      <c r="E1539"/>
      <c r="F1539"/>
      <c r="G1539" s="14"/>
      <c r="H1539" s="489"/>
      <c r="I1539"/>
      <c r="J1539"/>
      <c r="L1539"/>
    </row>
    <row r="1540" spans="2:12">
      <c r="B1540"/>
      <c r="C1540"/>
      <c r="D1540"/>
      <c r="E1540"/>
      <c r="F1540"/>
      <c r="G1540" s="14"/>
      <c r="H1540" s="489"/>
      <c r="I1540"/>
      <c r="J1540"/>
      <c r="L1540"/>
    </row>
    <row r="1541" spans="2:12">
      <c r="B1541"/>
      <c r="C1541"/>
      <c r="D1541"/>
      <c r="E1541"/>
      <c r="F1541"/>
      <c r="G1541" s="14"/>
      <c r="H1541" s="489"/>
      <c r="I1541"/>
      <c r="J1541"/>
      <c r="L1541"/>
    </row>
    <row r="1542" spans="2:12">
      <c r="B1542"/>
      <c r="C1542"/>
      <c r="D1542"/>
      <c r="E1542"/>
      <c r="F1542"/>
      <c r="G1542" s="14"/>
      <c r="H1542" s="489"/>
      <c r="I1542"/>
      <c r="J1542"/>
      <c r="L1542"/>
    </row>
    <row r="1543" spans="2:12">
      <c r="B1543"/>
      <c r="C1543"/>
      <c r="D1543"/>
      <c r="E1543"/>
      <c r="F1543"/>
      <c r="G1543" s="14"/>
      <c r="H1543" s="489"/>
      <c r="I1543"/>
      <c r="J1543"/>
      <c r="L1543"/>
    </row>
    <row r="1544" spans="2:12">
      <c r="B1544"/>
      <c r="C1544"/>
      <c r="D1544"/>
      <c r="E1544"/>
      <c r="F1544"/>
      <c r="G1544" s="14"/>
      <c r="H1544" s="489"/>
      <c r="I1544"/>
      <c r="J1544"/>
      <c r="L1544"/>
    </row>
    <row r="1545" spans="2:12">
      <c r="B1545"/>
      <c r="C1545"/>
      <c r="D1545"/>
      <c r="E1545"/>
      <c r="F1545"/>
      <c r="G1545" s="14"/>
      <c r="H1545" s="489"/>
      <c r="I1545"/>
      <c r="J1545"/>
      <c r="L1545"/>
    </row>
    <row r="1546" spans="2:12">
      <c r="B1546"/>
      <c r="C1546"/>
      <c r="D1546"/>
      <c r="E1546"/>
      <c r="F1546"/>
      <c r="G1546" s="14"/>
      <c r="H1546" s="489"/>
      <c r="I1546"/>
      <c r="J1546"/>
      <c r="L1546"/>
    </row>
    <row r="1547" spans="2:12">
      <c r="B1547"/>
      <c r="C1547"/>
      <c r="D1547"/>
      <c r="E1547"/>
      <c r="F1547"/>
      <c r="G1547" s="14"/>
      <c r="H1547" s="489"/>
      <c r="I1547"/>
      <c r="J1547"/>
      <c r="L1547"/>
    </row>
    <row r="1548" spans="2:12">
      <c r="B1548"/>
      <c r="C1548"/>
      <c r="D1548"/>
      <c r="E1548"/>
      <c r="F1548"/>
      <c r="G1548" s="14"/>
      <c r="H1548" s="489"/>
      <c r="I1548"/>
      <c r="J1548"/>
      <c r="L1548"/>
    </row>
    <row r="1549" spans="2:12">
      <c r="B1549"/>
      <c r="C1549"/>
      <c r="D1549"/>
      <c r="E1549"/>
      <c r="F1549"/>
      <c r="G1549" s="14"/>
      <c r="H1549" s="489"/>
      <c r="I1549"/>
      <c r="J1549"/>
      <c r="L1549"/>
    </row>
    <row r="1550" spans="2:12">
      <c r="B1550"/>
      <c r="C1550"/>
      <c r="D1550"/>
      <c r="E1550"/>
      <c r="F1550"/>
      <c r="G1550" s="14"/>
      <c r="H1550" s="489"/>
      <c r="I1550"/>
      <c r="J1550"/>
      <c r="L1550"/>
    </row>
    <row r="1551" spans="2:12">
      <c r="B1551"/>
      <c r="C1551"/>
      <c r="D1551"/>
      <c r="E1551"/>
      <c r="F1551"/>
      <c r="G1551" s="14"/>
      <c r="H1551" s="489"/>
      <c r="I1551"/>
      <c r="J1551"/>
      <c r="L1551"/>
    </row>
    <row r="1552" spans="2:12">
      <c r="B1552"/>
      <c r="C1552"/>
      <c r="D1552"/>
      <c r="E1552"/>
      <c r="F1552"/>
      <c r="G1552" s="14"/>
      <c r="H1552" s="489"/>
      <c r="I1552"/>
      <c r="J1552"/>
      <c r="L1552"/>
    </row>
    <row r="1553" spans="2:12">
      <c r="B1553"/>
      <c r="C1553"/>
      <c r="D1553"/>
      <c r="E1553"/>
      <c r="F1553"/>
      <c r="G1553" s="14"/>
      <c r="H1553" s="489"/>
      <c r="I1553"/>
      <c r="J1553"/>
      <c r="L1553"/>
    </row>
    <row r="1554" spans="2:12">
      <c r="B1554"/>
      <c r="C1554"/>
      <c r="D1554"/>
      <c r="E1554"/>
      <c r="F1554"/>
      <c r="G1554" s="14"/>
      <c r="H1554" s="489"/>
      <c r="I1554"/>
      <c r="J1554"/>
      <c r="L1554"/>
    </row>
    <row r="1555" spans="2:12">
      <c r="B1555"/>
      <c r="C1555"/>
      <c r="D1555"/>
      <c r="E1555"/>
      <c r="F1555"/>
      <c r="G1555" s="14"/>
      <c r="H1555" s="489"/>
      <c r="I1555"/>
      <c r="J1555"/>
      <c r="L1555"/>
    </row>
    <row r="1556" spans="2:12">
      <c r="B1556"/>
      <c r="C1556"/>
      <c r="D1556"/>
      <c r="E1556"/>
      <c r="F1556"/>
      <c r="G1556" s="14"/>
      <c r="H1556" s="489"/>
      <c r="I1556"/>
      <c r="J1556"/>
      <c r="L1556"/>
    </row>
    <row r="1557" spans="2:12">
      <c r="B1557"/>
      <c r="C1557"/>
      <c r="D1557"/>
      <c r="E1557"/>
      <c r="F1557"/>
      <c r="G1557" s="14"/>
      <c r="H1557" s="489"/>
      <c r="I1557"/>
      <c r="J1557"/>
      <c r="L1557"/>
    </row>
    <row r="1558" spans="2:12">
      <c r="B1558"/>
      <c r="C1558"/>
      <c r="D1558"/>
      <c r="E1558"/>
      <c r="F1558"/>
      <c r="G1558" s="14"/>
      <c r="H1558" s="489"/>
      <c r="I1558"/>
      <c r="J1558"/>
      <c r="L1558"/>
    </row>
    <row r="1559" spans="2:12">
      <c r="B1559"/>
      <c r="C1559"/>
      <c r="D1559"/>
      <c r="E1559"/>
      <c r="F1559"/>
      <c r="G1559" s="14"/>
      <c r="H1559" s="489"/>
      <c r="I1559"/>
      <c r="J1559"/>
      <c r="L1559"/>
    </row>
    <row r="1560" spans="2:12">
      <c r="B1560"/>
      <c r="C1560"/>
      <c r="D1560"/>
      <c r="E1560"/>
      <c r="F1560"/>
      <c r="G1560" s="14"/>
      <c r="H1560" s="489"/>
      <c r="I1560"/>
      <c r="J1560"/>
      <c r="L1560"/>
    </row>
    <row r="1561" spans="2:12">
      <c r="B1561"/>
      <c r="C1561"/>
      <c r="D1561"/>
      <c r="E1561"/>
      <c r="F1561"/>
      <c r="G1561" s="14"/>
      <c r="H1561" s="489"/>
      <c r="I1561"/>
      <c r="J1561"/>
      <c r="L1561"/>
    </row>
    <row r="1562" spans="2:12">
      <c r="B1562"/>
      <c r="C1562"/>
      <c r="D1562"/>
      <c r="E1562"/>
      <c r="F1562"/>
      <c r="G1562" s="14"/>
      <c r="H1562" s="489"/>
      <c r="I1562"/>
      <c r="J1562"/>
      <c r="L1562"/>
    </row>
    <row r="1563" spans="2:12">
      <c r="B1563"/>
      <c r="C1563"/>
      <c r="D1563"/>
      <c r="E1563"/>
      <c r="F1563"/>
      <c r="G1563" s="14"/>
      <c r="H1563" s="489"/>
      <c r="I1563"/>
      <c r="J1563"/>
      <c r="L1563"/>
    </row>
    <row r="1564" spans="2:12">
      <c r="B1564"/>
      <c r="C1564"/>
      <c r="D1564"/>
      <c r="E1564"/>
      <c r="F1564"/>
      <c r="G1564" s="14"/>
      <c r="H1564" s="489"/>
      <c r="I1564"/>
      <c r="J1564"/>
      <c r="L1564"/>
    </row>
    <row r="1565" spans="2:12">
      <c r="B1565"/>
      <c r="C1565"/>
      <c r="D1565"/>
      <c r="E1565"/>
      <c r="F1565"/>
      <c r="G1565" s="14"/>
      <c r="H1565" s="489"/>
      <c r="I1565"/>
      <c r="J1565"/>
      <c r="L1565"/>
    </row>
    <row r="1566" spans="2:12">
      <c r="B1566"/>
      <c r="C1566"/>
      <c r="D1566"/>
      <c r="E1566"/>
      <c r="F1566"/>
      <c r="G1566" s="14"/>
      <c r="H1566" s="489"/>
      <c r="I1566"/>
      <c r="J1566"/>
      <c r="L1566"/>
    </row>
    <row r="1567" spans="2:12">
      <c r="B1567"/>
      <c r="C1567"/>
      <c r="D1567"/>
      <c r="E1567"/>
      <c r="F1567"/>
      <c r="G1567" s="14"/>
      <c r="H1567" s="489"/>
      <c r="I1567"/>
      <c r="J1567"/>
      <c r="L1567"/>
    </row>
    <row r="1568" spans="2:12">
      <c r="B1568"/>
      <c r="C1568"/>
      <c r="D1568"/>
      <c r="E1568"/>
      <c r="F1568"/>
      <c r="G1568" s="14"/>
      <c r="H1568" s="489"/>
      <c r="I1568"/>
      <c r="J1568"/>
      <c r="L1568"/>
    </row>
    <row r="1569" spans="2:12">
      <c r="B1569"/>
      <c r="C1569"/>
      <c r="D1569"/>
      <c r="E1569"/>
      <c r="F1569"/>
      <c r="G1569" s="14"/>
      <c r="H1569" s="489"/>
      <c r="I1569"/>
      <c r="J1569"/>
      <c r="L1569"/>
    </row>
    <row r="1570" spans="2:12">
      <c r="B1570"/>
      <c r="C1570"/>
      <c r="D1570"/>
      <c r="E1570"/>
      <c r="F1570"/>
      <c r="G1570" s="14"/>
      <c r="H1570" s="489"/>
      <c r="I1570"/>
      <c r="J1570"/>
      <c r="L1570"/>
    </row>
    <row r="1571" spans="2:12">
      <c r="B1571"/>
      <c r="C1571"/>
      <c r="D1571"/>
      <c r="E1571"/>
      <c r="F1571"/>
      <c r="G1571" s="14"/>
      <c r="H1571" s="489"/>
      <c r="I1571"/>
      <c r="J1571"/>
      <c r="L1571"/>
    </row>
    <row r="1572" spans="2:12">
      <c r="B1572"/>
      <c r="C1572"/>
      <c r="D1572"/>
      <c r="E1572"/>
      <c r="F1572"/>
      <c r="G1572" s="14"/>
      <c r="H1572" s="489"/>
      <c r="I1572"/>
      <c r="J1572"/>
      <c r="L1572"/>
    </row>
    <row r="1573" spans="2:12">
      <c r="B1573"/>
      <c r="C1573"/>
      <c r="D1573"/>
      <c r="E1573"/>
      <c r="F1573"/>
      <c r="G1573" s="14"/>
      <c r="H1573" s="489"/>
      <c r="I1573"/>
      <c r="J1573"/>
      <c r="L1573"/>
    </row>
    <row r="1574" spans="2:12">
      <c r="B1574"/>
      <c r="C1574"/>
      <c r="D1574"/>
      <c r="E1574"/>
      <c r="F1574"/>
      <c r="G1574" s="14"/>
      <c r="H1574" s="489"/>
      <c r="I1574"/>
      <c r="J1574"/>
      <c r="L1574"/>
    </row>
    <row r="1575" spans="2:12">
      <c r="B1575"/>
      <c r="C1575"/>
      <c r="D1575"/>
      <c r="E1575"/>
      <c r="F1575"/>
      <c r="G1575" s="14"/>
      <c r="H1575" s="489"/>
      <c r="I1575"/>
      <c r="J1575"/>
      <c r="L1575"/>
    </row>
    <row r="1576" spans="2:12">
      <c r="B1576"/>
      <c r="C1576"/>
      <c r="D1576"/>
      <c r="E1576"/>
      <c r="F1576"/>
      <c r="G1576" s="14"/>
      <c r="H1576" s="489"/>
      <c r="I1576"/>
      <c r="J1576"/>
      <c r="L1576"/>
    </row>
    <row r="1577" spans="2:12">
      <c r="B1577"/>
      <c r="C1577"/>
      <c r="D1577"/>
      <c r="E1577"/>
      <c r="F1577"/>
      <c r="G1577" s="14"/>
      <c r="H1577" s="489"/>
      <c r="I1577"/>
      <c r="J1577"/>
      <c r="L1577"/>
    </row>
    <row r="1578" spans="2:12">
      <c r="B1578"/>
      <c r="C1578"/>
      <c r="D1578"/>
      <c r="E1578"/>
      <c r="F1578"/>
      <c r="G1578" s="14"/>
      <c r="H1578" s="489"/>
      <c r="I1578"/>
      <c r="J1578"/>
      <c r="L1578"/>
    </row>
    <row r="1579" spans="2:12">
      <c r="B1579"/>
      <c r="C1579"/>
      <c r="D1579"/>
      <c r="E1579"/>
      <c r="F1579"/>
      <c r="G1579" s="14"/>
      <c r="H1579" s="489"/>
      <c r="I1579"/>
      <c r="J1579"/>
      <c r="L1579"/>
    </row>
    <row r="1580" spans="2:12">
      <c r="B1580"/>
      <c r="C1580"/>
      <c r="D1580"/>
      <c r="E1580"/>
      <c r="F1580"/>
      <c r="G1580" s="14"/>
      <c r="H1580" s="489"/>
      <c r="I1580"/>
      <c r="J1580"/>
      <c r="L1580"/>
    </row>
    <row r="1581" spans="2:12">
      <c r="B1581"/>
      <c r="C1581"/>
      <c r="D1581"/>
      <c r="E1581"/>
      <c r="F1581"/>
      <c r="G1581" s="14"/>
      <c r="H1581" s="489"/>
      <c r="I1581"/>
      <c r="J1581"/>
      <c r="L1581"/>
    </row>
    <row r="1582" spans="2:12">
      <c r="B1582"/>
      <c r="C1582"/>
      <c r="D1582"/>
      <c r="E1582"/>
      <c r="F1582"/>
      <c r="G1582" s="14"/>
      <c r="H1582" s="489"/>
      <c r="I1582"/>
      <c r="J1582"/>
      <c r="L1582"/>
    </row>
    <row r="1583" spans="2:12">
      <c r="B1583"/>
      <c r="C1583"/>
      <c r="D1583"/>
      <c r="E1583"/>
      <c r="F1583"/>
      <c r="G1583" s="14"/>
      <c r="H1583" s="489"/>
      <c r="I1583"/>
      <c r="J1583"/>
      <c r="L1583"/>
    </row>
    <row r="1584" spans="2:12">
      <c r="B1584"/>
      <c r="C1584"/>
      <c r="D1584"/>
      <c r="E1584"/>
      <c r="F1584"/>
      <c r="G1584" s="14"/>
      <c r="H1584" s="489"/>
      <c r="I1584"/>
      <c r="J1584"/>
      <c r="L1584"/>
    </row>
    <row r="1585" spans="2:12">
      <c r="B1585"/>
      <c r="C1585"/>
      <c r="D1585"/>
      <c r="E1585"/>
      <c r="F1585"/>
      <c r="G1585" s="14"/>
      <c r="H1585" s="489"/>
      <c r="I1585"/>
      <c r="J1585"/>
      <c r="L1585"/>
    </row>
    <row r="1586" spans="2:12">
      <c r="B1586"/>
      <c r="C1586"/>
      <c r="D1586"/>
      <c r="E1586"/>
      <c r="F1586"/>
      <c r="G1586" s="14"/>
      <c r="H1586" s="489"/>
      <c r="I1586"/>
      <c r="J1586"/>
      <c r="L1586"/>
    </row>
    <row r="1587" spans="2:12">
      <c r="B1587"/>
      <c r="C1587"/>
      <c r="D1587"/>
      <c r="E1587"/>
      <c r="F1587"/>
      <c r="G1587" s="14"/>
      <c r="H1587" s="489"/>
      <c r="I1587"/>
      <c r="J1587"/>
      <c r="L1587"/>
    </row>
    <row r="1588" spans="2:12">
      <c r="B1588"/>
      <c r="C1588"/>
      <c r="D1588"/>
      <c r="E1588"/>
      <c r="F1588"/>
      <c r="G1588" s="14"/>
      <c r="H1588" s="489"/>
      <c r="I1588"/>
      <c r="J1588"/>
      <c r="L1588"/>
    </row>
    <row r="1589" spans="2:12">
      <c r="B1589"/>
      <c r="C1589"/>
      <c r="D1589"/>
      <c r="E1589"/>
      <c r="F1589"/>
      <c r="G1589" s="14"/>
      <c r="H1589" s="489"/>
      <c r="I1589"/>
      <c r="J1589"/>
      <c r="L1589"/>
    </row>
    <row r="1590" spans="2:12">
      <c r="B1590"/>
      <c r="C1590"/>
      <c r="D1590"/>
      <c r="E1590"/>
      <c r="F1590"/>
      <c r="G1590" s="14"/>
      <c r="H1590" s="489"/>
      <c r="I1590"/>
      <c r="J1590"/>
      <c r="L1590"/>
    </row>
    <row r="1591" spans="2:12">
      <c r="B1591"/>
      <c r="C1591"/>
      <c r="D1591"/>
      <c r="E1591"/>
      <c r="F1591"/>
      <c r="G1591" s="14"/>
      <c r="H1591" s="489"/>
      <c r="I1591"/>
      <c r="J1591"/>
      <c r="L1591"/>
    </row>
    <row r="1592" spans="2:12">
      <c r="B1592"/>
      <c r="C1592"/>
      <c r="D1592"/>
      <c r="E1592"/>
      <c r="F1592"/>
      <c r="G1592" s="14"/>
      <c r="H1592" s="489"/>
      <c r="I1592"/>
      <c r="J1592"/>
      <c r="L1592"/>
    </row>
    <row r="1593" spans="2:12">
      <c r="B1593"/>
      <c r="C1593"/>
      <c r="D1593"/>
      <c r="E1593"/>
      <c r="F1593"/>
      <c r="G1593" s="14"/>
      <c r="H1593" s="489"/>
      <c r="I1593"/>
      <c r="J1593"/>
      <c r="L1593"/>
    </row>
    <row r="1594" spans="2:12">
      <c r="B1594"/>
      <c r="C1594"/>
      <c r="D1594"/>
      <c r="E1594"/>
      <c r="F1594"/>
      <c r="G1594" s="14"/>
      <c r="H1594" s="489"/>
      <c r="I1594"/>
      <c r="J1594"/>
      <c r="L1594"/>
    </row>
    <row r="1595" spans="2:12">
      <c r="B1595"/>
      <c r="C1595"/>
      <c r="D1595"/>
      <c r="E1595"/>
      <c r="F1595"/>
      <c r="G1595" s="14"/>
      <c r="H1595" s="489"/>
      <c r="I1595"/>
      <c r="J1595"/>
      <c r="L1595"/>
    </row>
    <row r="1596" spans="2:12">
      <c r="B1596"/>
      <c r="C1596"/>
      <c r="D1596"/>
      <c r="E1596"/>
      <c r="F1596"/>
      <c r="G1596" s="14"/>
      <c r="H1596" s="489"/>
      <c r="I1596"/>
      <c r="J1596"/>
      <c r="L1596"/>
    </row>
    <row r="1597" spans="2:12">
      <c r="B1597"/>
      <c r="C1597"/>
      <c r="D1597"/>
      <c r="E1597"/>
      <c r="F1597"/>
      <c r="G1597" s="14"/>
      <c r="H1597" s="489"/>
      <c r="I1597"/>
      <c r="J1597"/>
      <c r="L1597"/>
    </row>
    <row r="1598" spans="2:12">
      <c r="B1598"/>
      <c r="C1598"/>
      <c r="D1598"/>
      <c r="E1598"/>
      <c r="F1598"/>
      <c r="G1598" s="14"/>
      <c r="H1598" s="489"/>
      <c r="I1598"/>
      <c r="J1598"/>
      <c r="L1598"/>
    </row>
    <row r="1599" spans="2:12">
      <c r="B1599"/>
      <c r="C1599"/>
      <c r="D1599"/>
      <c r="E1599"/>
      <c r="F1599"/>
      <c r="G1599" s="14"/>
      <c r="H1599" s="489"/>
      <c r="I1599"/>
      <c r="J1599"/>
      <c r="L1599"/>
    </row>
    <row r="1600" spans="2:12">
      <c r="B1600"/>
      <c r="C1600"/>
      <c r="D1600"/>
      <c r="E1600"/>
      <c r="F1600"/>
      <c r="G1600" s="14"/>
      <c r="H1600" s="489"/>
      <c r="I1600"/>
      <c r="J1600"/>
      <c r="L1600"/>
    </row>
    <row r="1601" spans="2:12">
      <c r="B1601"/>
      <c r="C1601"/>
      <c r="D1601"/>
      <c r="E1601"/>
      <c r="F1601"/>
      <c r="G1601" s="14"/>
      <c r="H1601" s="489"/>
      <c r="I1601"/>
      <c r="J1601"/>
      <c r="L1601"/>
    </row>
    <row r="1602" spans="2:12">
      <c r="B1602"/>
      <c r="C1602"/>
      <c r="D1602"/>
      <c r="E1602"/>
      <c r="F1602"/>
      <c r="G1602" s="14"/>
      <c r="H1602" s="489"/>
      <c r="I1602"/>
      <c r="J1602"/>
      <c r="L1602"/>
    </row>
    <row r="1603" spans="2:12">
      <c r="B1603"/>
      <c r="C1603"/>
      <c r="D1603"/>
      <c r="E1603"/>
      <c r="F1603"/>
      <c r="G1603" s="14"/>
      <c r="H1603" s="489"/>
      <c r="I1603"/>
      <c r="J1603"/>
      <c r="L1603"/>
    </row>
    <row r="1604" spans="2:12">
      <c r="B1604"/>
      <c r="C1604"/>
      <c r="D1604"/>
      <c r="E1604"/>
      <c r="F1604"/>
      <c r="G1604" s="14"/>
      <c r="H1604" s="489"/>
      <c r="I1604"/>
      <c r="J1604"/>
      <c r="L1604"/>
    </row>
    <row r="1605" spans="2:12">
      <c r="B1605"/>
      <c r="C1605"/>
      <c r="D1605"/>
      <c r="E1605"/>
      <c r="F1605"/>
      <c r="G1605" s="14"/>
      <c r="H1605" s="489"/>
      <c r="I1605"/>
      <c r="J1605"/>
      <c r="L1605"/>
    </row>
    <row r="1606" spans="2:12">
      <c r="B1606"/>
      <c r="C1606"/>
      <c r="D1606"/>
      <c r="E1606"/>
      <c r="F1606"/>
      <c r="G1606" s="14"/>
      <c r="H1606" s="489"/>
      <c r="I1606"/>
      <c r="J1606"/>
      <c r="L1606"/>
    </row>
    <row r="1607" spans="2:12">
      <c r="B1607"/>
      <c r="C1607"/>
      <c r="D1607"/>
      <c r="E1607"/>
      <c r="F1607"/>
      <c r="G1607" s="14"/>
      <c r="H1607" s="489"/>
      <c r="I1607"/>
      <c r="J1607"/>
      <c r="L1607"/>
    </row>
    <row r="1608" spans="2:12">
      <c r="B1608"/>
      <c r="C1608"/>
      <c r="D1608"/>
      <c r="E1608"/>
      <c r="F1608"/>
      <c r="G1608" s="14"/>
      <c r="H1608" s="489"/>
      <c r="I1608"/>
      <c r="J1608"/>
      <c r="L1608"/>
    </row>
    <row r="1609" spans="2:12">
      <c r="B1609"/>
      <c r="C1609"/>
      <c r="D1609"/>
      <c r="E1609"/>
      <c r="F1609"/>
      <c r="G1609" s="14"/>
      <c r="H1609" s="489"/>
      <c r="I1609"/>
      <c r="J1609"/>
      <c r="L1609"/>
    </row>
    <row r="1610" spans="2:12">
      <c r="B1610"/>
      <c r="C1610"/>
      <c r="D1610"/>
      <c r="E1610"/>
      <c r="F1610"/>
      <c r="G1610" s="14"/>
      <c r="H1610" s="489"/>
      <c r="I1610"/>
      <c r="J1610"/>
      <c r="L1610"/>
    </row>
    <row r="1611" spans="2:12">
      <c r="B1611"/>
      <c r="C1611"/>
      <c r="D1611"/>
      <c r="E1611"/>
      <c r="F1611"/>
      <c r="G1611" s="14"/>
      <c r="H1611" s="489"/>
      <c r="I1611"/>
      <c r="J1611"/>
      <c r="L1611"/>
    </row>
    <row r="1612" spans="2:12">
      <c r="B1612"/>
      <c r="C1612"/>
      <c r="D1612"/>
      <c r="E1612"/>
      <c r="F1612"/>
      <c r="G1612" s="14"/>
      <c r="H1612" s="489"/>
      <c r="I1612"/>
      <c r="J1612"/>
      <c r="L1612"/>
    </row>
    <row r="1613" spans="2:12">
      <c r="B1613"/>
      <c r="C1613"/>
      <c r="D1613"/>
      <c r="E1613"/>
      <c r="F1613"/>
      <c r="G1613" s="14"/>
      <c r="H1613" s="489"/>
      <c r="I1613"/>
      <c r="J1613"/>
      <c r="L1613"/>
    </row>
    <row r="1614" spans="2:12">
      <c r="B1614"/>
      <c r="C1614"/>
      <c r="D1614"/>
      <c r="E1614"/>
      <c r="F1614"/>
      <c r="G1614" s="14"/>
      <c r="H1614" s="489"/>
      <c r="I1614"/>
      <c r="J1614"/>
      <c r="L1614"/>
    </row>
    <row r="1615" spans="2:12">
      <c r="B1615"/>
      <c r="C1615"/>
      <c r="D1615"/>
      <c r="E1615"/>
      <c r="F1615"/>
      <c r="G1615" s="14"/>
      <c r="H1615" s="489"/>
      <c r="I1615"/>
      <c r="J1615"/>
      <c r="L1615"/>
    </row>
    <row r="1616" spans="2:12">
      <c r="B1616"/>
      <c r="C1616"/>
      <c r="D1616"/>
      <c r="E1616"/>
      <c r="F1616"/>
      <c r="G1616" s="14"/>
      <c r="H1616" s="489"/>
      <c r="I1616"/>
      <c r="J1616"/>
      <c r="L1616"/>
    </row>
    <row r="1617" spans="2:12">
      <c r="B1617"/>
      <c r="C1617"/>
      <c r="D1617"/>
      <c r="E1617"/>
      <c r="F1617"/>
      <c r="G1617" s="14"/>
      <c r="H1617" s="489"/>
      <c r="I1617"/>
      <c r="J1617"/>
      <c r="L1617"/>
    </row>
    <row r="1618" spans="2:12">
      <c r="B1618"/>
      <c r="C1618"/>
      <c r="D1618"/>
      <c r="E1618"/>
      <c r="F1618"/>
      <c r="G1618" s="14"/>
      <c r="H1618" s="489"/>
      <c r="I1618"/>
      <c r="J1618"/>
      <c r="L1618"/>
    </row>
    <row r="1619" spans="2:12">
      <c r="B1619"/>
      <c r="C1619"/>
      <c r="D1619"/>
      <c r="E1619"/>
      <c r="F1619"/>
      <c r="G1619" s="14"/>
      <c r="H1619" s="489"/>
      <c r="I1619"/>
      <c r="J1619"/>
      <c r="L1619"/>
    </row>
    <row r="1620" spans="2:12">
      <c r="B1620"/>
      <c r="C1620"/>
      <c r="D1620"/>
      <c r="E1620"/>
      <c r="F1620"/>
      <c r="G1620" s="14"/>
      <c r="H1620" s="489"/>
      <c r="I1620"/>
      <c r="J1620"/>
      <c r="L1620"/>
    </row>
    <row r="1621" spans="2:12">
      <c r="B1621"/>
      <c r="C1621"/>
      <c r="D1621"/>
      <c r="E1621"/>
      <c r="F1621"/>
      <c r="G1621" s="14"/>
      <c r="H1621" s="489"/>
      <c r="I1621"/>
      <c r="J1621"/>
      <c r="L1621"/>
    </row>
    <row r="1622" spans="2:12">
      <c r="B1622"/>
      <c r="C1622"/>
      <c r="D1622"/>
      <c r="E1622"/>
      <c r="F1622"/>
      <c r="G1622" s="14"/>
      <c r="H1622" s="489"/>
      <c r="I1622"/>
      <c r="J1622"/>
      <c r="L1622"/>
    </row>
    <row r="1623" spans="2:12">
      <c r="B1623"/>
      <c r="C1623"/>
      <c r="D1623"/>
      <c r="E1623"/>
      <c r="F1623"/>
      <c r="G1623" s="14"/>
      <c r="H1623" s="489"/>
      <c r="I1623"/>
      <c r="J1623"/>
      <c r="L1623"/>
    </row>
    <row r="1624" spans="2:12">
      <c r="B1624"/>
      <c r="C1624"/>
      <c r="D1624"/>
      <c r="E1624"/>
      <c r="F1624"/>
      <c r="G1624" s="14"/>
      <c r="H1624" s="489"/>
      <c r="I1624"/>
      <c r="J1624"/>
      <c r="L1624"/>
    </row>
    <row r="1625" spans="2:12">
      <c r="B1625"/>
      <c r="C1625"/>
      <c r="D1625"/>
      <c r="E1625"/>
      <c r="F1625"/>
      <c r="G1625" s="14"/>
      <c r="H1625" s="489"/>
      <c r="I1625"/>
      <c r="J1625"/>
      <c r="L1625"/>
    </row>
    <row r="1626" spans="2:12">
      <c r="B1626"/>
      <c r="C1626"/>
      <c r="D1626"/>
      <c r="E1626"/>
      <c r="F1626"/>
      <c r="G1626" s="14"/>
      <c r="H1626" s="489"/>
      <c r="I1626"/>
      <c r="J1626"/>
      <c r="L1626"/>
    </row>
    <row r="1627" spans="2:12">
      <c r="B1627"/>
      <c r="C1627"/>
      <c r="D1627"/>
      <c r="E1627"/>
      <c r="F1627"/>
      <c r="G1627" s="14"/>
      <c r="H1627" s="489"/>
      <c r="I1627"/>
      <c r="J1627"/>
      <c r="L1627"/>
    </row>
    <row r="1628" spans="2:12">
      <c r="B1628"/>
      <c r="C1628"/>
      <c r="D1628"/>
      <c r="E1628"/>
      <c r="F1628"/>
      <c r="G1628" s="14"/>
      <c r="H1628" s="489"/>
      <c r="I1628"/>
      <c r="J1628"/>
      <c r="L1628"/>
    </row>
    <row r="1629" spans="2:12">
      <c r="B1629"/>
      <c r="C1629"/>
      <c r="D1629"/>
      <c r="E1629"/>
      <c r="F1629"/>
      <c r="G1629" s="14"/>
      <c r="H1629" s="489"/>
      <c r="I1629"/>
      <c r="J1629"/>
      <c r="L1629"/>
    </row>
    <row r="1630" spans="2:12">
      <c r="B1630"/>
      <c r="C1630"/>
      <c r="D1630"/>
      <c r="E1630"/>
      <c r="F1630"/>
      <c r="G1630" s="14"/>
      <c r="H1630" s="489"/>
      <c r="I1630"/>
      <c r="J1630"/>
      <c r="L1630"/>
    </row>
    <row r="1631" spans="2:12">
      <c r="B1631"/>
      <c r="C1631"/>
      <c r="D1631"/>
      <c r="E1631"/>
      <c r="F1631"/>
      <c r="G1631" s="14"/>
      <c r="H1631" s="489"/>
      <c r="I1631"/>
      <c r="J1631"/>
      <c r="L1631"/>
    </row>
    <row r="1632" spans="2:12">
      <c r="B1632"/>
      <c r="C1632"/>
      <c r="D1632"/>
      <c r="E1632"/>
      <c r="F1632"/>
      <c r="G1632" s="14"/>
      <c r="H1632" s="489"/>
      <c r="I1632"/>
      <c r="J1632"/>
      <c r="L1632"/>
    </row>
    <row r="1633" spans="2:12">
      <c r="B1633"/>
      <c r="C1633"/>
      <c r="D1633"/>
      <c r="E1633"/>
      <c r="F1633"/>
      <c r="G1633" s="14"/>
      <c r="H1633" s="489"/>
      <c r="I1633"/>
      <c r="J1633"/>
      <c r="L1633"/>
    </row>
    <row r="1634" spans="2:12">
      <c r="B1634"/>
      <c r="C1634"/>
      <c r="D1634"/>
      <c r="E1634"/>
      <c r="F1634"/>
      <c r="G1634" s="14"/>
      <c r="H1634" s="489"/>
      <c r="I1634"/>
      <c r="J1634"/>
      <c r="L1634"/>
    </row>
    <row r="1635" spans="2:12">
      <c r="B1635"/>
      <c r="C1635"/>
      <c r="D1635"/>
      <c r="E1635"/>
      <c r="F1635"/>
      <c r="G1635" s="14"/>
      <c r="H1635" s="489"/>
      <c r="I1635"/>
      <c r="J1635"/>
      <c r="L1635"/>
    </row>
    <row r="1636" spans="2:12">
      <c r="B1636"/>
      <c r="C1636"/>
      <c r="D1636"/>
      <c r="E1636"/>
      <c r="F1636"/>
      <c r="G1636" s="14"/>
      <c r="H1636" s="489"/>
      <c r="I1636"/>
      <c r="J1636"/>
      <c r="L1636"/>
    </row>
    <row r="1637" spans="2:12">
      <c r="B1637"/>
      <c r="C1637"/>
      <c r="D1637"/>
      <c r="E1637"/>
      <c r="F1637"/>
      <c r="G1637" s="14"/>
      <c r="H1637" s="489"/>
      <c r="I1637"/>
      <c r="J1637"/>
      <c r="L1637"/>
    </row>
    <row r="1638" spans="2:12">
      <c r="B1638"/>
      <c r="C1638"/>
      <c r="D1638"/>
      <c r="E1638"/>
      <c r="F1638"/>
      <c r="G1638" s="14"/>
      <c r="H1638" s="489"/>
      <c r="I1638"/>
      <c r="J1638"/>
      <c r="L1638"/>
    </row>
    <row r="1639" spans="2:12">
      <c r="B1639"/>
      <c r="C1639"/>
      <c r="D1639"/>
      <c r="E1639"/>
      <c r="F1639"/>
      <c r="G1639" s="14"/>
      <c r="H1639" s="489"/>
      <c r="I1639"/>
      <c r="J1639"/>
      <c r="L1639"/>
    </row>
    <row r="1640" spans="2:12">
      <c r="B1640"/>
      <c r="C1640"/>
      <c r="D1640"/>
      <c r="E1640"/>
      <c r="F1640"/>
      <c r="G1640" s="14"/>
      <c r="H1640" s="489"/>
      <c r="I1640"/>
      <c r="J1640"/>
      <c r="L1640"/>
    </row>
    <row r="1641" spans="2:12">
      <c r="B1641"/>
      <c r="C1641"/>
      <c r="D1641"/>
      <c r="E1641"/>
      <c r="F1641"/>
      <c r="G1641" s="14"/>
      <c r="H1641" s="489"/>
      <c r="I1641"/>
      <c r="J1641"/>
      <c r="L1641"/>
    </row>
    <row r="1642" spans="2:12">
      <c r="B1642"/>
      <c r="C1642"/>
      <c r="D1642"/>
      <c r="E1642"/>
      <c r="F1642"/>
      <c r="G1642" s="14"/>
      <c r="H1642" s="489"/>
      <c r="I1642"/>
      <c r="J1642"/>
      <c r="L1642"/>
    </row>
    <row r="1643" spans="2:12">
      <c r="B1643"/>
      <c r="C1643"/>
      <c r="D1643"/>
      <c r="E1643"/>
      <c r="F1643"/>
      <c r="G1643" s="14"/>
      <c r="H1643" s="489"/>
      <c r="I1643"/>
      <c r="J1643"/>
      <c r="L1643"/>
    </row>
    <row r="1644" spans="2:12">
      <c r="B1644"/>
      <c r="C1644"/>
      <c r="D1644"/>
      <c r="E1644"/>
      <c r="F1644"/>
      <c r="G1644" s="14"/>
      <c r="H1644" s="489"/>
      <c r="I1644"/>
      <c r="J1644"/>
      <c r="L1644"/>
    </row>
    <row r="1645" spans="2:12">
      <c r="B1645"/>
      <c r="C1645"/>
      <c r="D1645"/>
      <c r="E1645"/>
      <c r="F1645"/>
      <c r="G1645" s="14"/>
      <c r="H1645" s="489"/>
      <c r="I1645"/>
      <c r="J1645"/>
      <c r="L1645"/>
    </row>
    <row r="1646" spans="2:12">
      <c r="B1646"/>
      <c r="C1646"/>
      <c r="D1646"/>
      <c r="E1646"/>
      <c r="F1646"/>
      <c r="G1646" s="14"/>
      <c r="H1646" s="489"/>
      <c r="I1646"/>
      <c r="J1646"/>
      <c r="L1646"/>
    </row>
    <row r="1647" spans="2:12">
      <c r="B1647"/>
      <c r="C1647"/>
      <c r="D1647"/>
      <c r="E1647"/>
      <c r="F1647"/>
      <c r="G1647" s="14"/>
      <c r="H1647" s="489"/>
      <c r="I1647"/>
      <c r="J1647"/>
      <c r="L1647"/>
    </row>
    <row r="1648" spans="2:12">
      <c r="B1648"/>
      <c r="C1648"/>
      <c r="D1648"/>
      <c r="E1648"/>
      <c r="F1648"/>
      <c r="G1648" s="14"/>
      <c r="H1648" s="489"/>
      <c r="I1648"/>
      <c r="J1648"/>
      <c r="L1648"/>
    </row>
    <row r="1649" spans="2:12">
      <c r="B1649"/>
      <c r="C1649"/>
      <c r="D1649"/>
      <c r="E1649"/>
      <c r="F1649"/>
      <c r="G1649" s="14"/>
      <c r="H1649" s="489"/>
      <c r="I1649"/>
      <c r="J1649"/>
      <c r="L1649"/>
    </row>
    <row r="1650" spans="2:12">
      <c r="B1650"/>
      <c r="C1650"/>
      <c r="D1650"/>
      <c r="E1650"/>
      <c r="F1650"/>
      <c r="G1650" s="14"/>
      <c r="H1650" s="489"/>
      <c r="I1650"/>
      <c r="J1650"/>
      <c r="L1650"/>
    </row>
    <row r="1651" spans="2:12">
      <c r="B1651"/>
      <c r="C1651"/>
      <c r="D1651"/>
      <c r="E1651"/>
      <c r="F1651"/>
      <c r="G1651" s="14"/>
      <c r="H1651" s="489"/>
      <c r="I1651"/>
      <c r="J1651"/>
      <c r="L1651"/>
    </row>
    <row r="1652" spans="2:12">
      <c r="B1652"/>
      <c r="C1652"/>
      <c r="D1652"/>
      <c r="E1652"/>
      <c r="F1652"/>
      <c r="G1652" s="14"/>
      <c r="H1652" s="489"/>
      <c r="I1652"/>
      <c r="J1652"/>
      <c r="L1652"/>
    </row>
    <row r="1653" spans="2:12">
      <c r="B1653"/>
      <c r="C1653"/>
      <c r="D1653"/>
      <c r="E1653"/>
      <c r="F1653"/>
      <c r="G1653" s="14"/>
      <c r="H1653" s="489"/>
      <c r="I1653"/>
      <c r="J1653"/>
      <c r="L1653"/>
    </row>
    <row r="1654" spans="2:12">
      <c r="B1654"/>
      <c r="C1654"/>
      <c r="D1654"/>
      <c r="E1654"/>
      <c r="F1654"/>
      <c r="G1654" s="14"/>
      <c r="H1654" s="489"/>
      <c r="I1654"/>
      <c r="J1654"/>
      <c r="L1654"/>
    </row>
    <row r="1655" spans="2:12">
      <c r="B1655"/>
      <c r="C1655"/>
      <c r="D1655"/>
      <c r="E1655"/>
      <c r="F1655"/>
      <c r="G1655" s="14"/>
      <c r="H1655" s="489"/>
      <c r="I1655"/>
      <c r="J1655"/>
      <c r="L1655"/>
    </row>
    <row r="1656" spans="2:12">
      <c r="B1656"/>
      <c r="C1656"/>
      <c r="D1656"/>
      <c r="E1656"/>
      <c r="F1656"/>
      <c r="G1656" s="14"/>
      <c r="H1656" s="489"/>
      <c r="I1656"/>
      <c r="J1656"/>
      <c r="L1656"/>
    </row>
    <row r="1657" spans="2:12">
      <c r="B1657"/>
      <c r="C1657"/>
      <c r="D1657"/>
      <c r="E1657"/>
      <c r="F1657"/>
      <c r="G1657" s="14"/>
      <c r="H1657" s="489"/>
      <c r="I1657"/>
      <c r="J1657"/>
      <c r="L1657"/>
    </row>
    <row r="1658" spans="2:12">
      <c r="B1658"/>
      <c r="C1658"/>
      <c r="D1658"/>
      <c r="E1658"/>
      <c r="F1658"/>
      <c r="G1658" s="14"/>
      <c r="H1658" s="489"/>
      <c r="I1658"/>
      <c r="J1658"/>
      <c r="L1658"/>
    </row>
    <row r="1659" spans="2:12">
      <c r="B1659"/>
      <c r="C1659"/>
      <c r="D1659"/>
      <c r="E1659"/>
      <c r="F1659"/>
      <c r="G1659" s="14"/>
      <c r="H1659" s="489"/>
      <c r="I1659"/>
      <c r="J1659"/>
      <c r="L1659"/>
    </row>
    <row r="1660" spans="2:12">
      <c r="B1660"/>
      <c r="C1660"/>
      <c r="D1660"/>
      <c r="E1660"/>
      <c r="F1660"/>
      <c r="G1660" s="14"/>
      <c r="H1660" s="489"/>
      <c r="I1660"/>
      <c r="J1660"/>
      <c r="L1660"/>
    </row>
    <row r="1661" spans="2:12">
      <c r="B1661"/>
      <c r="C1661"/>
      <c r="D1661"/>
      <c r="E1661"/>
      <c r="F1661"/>
      <c r="G1661" s="14"/>
      <c r="H1661" s="489"/>
      <c r="I1661"/>
      <c r="J1661"/>
      <c r="L1661"/>
    </row>
    <row r="1662" spans="2:12">
      <c r="B1662"/>
      <c r="C1662"/>
      <c r="D1662"/>
      <c r="E1662"/>
      <c r="F1662"/>
      <c r="G1662" s="14"/>
      <c r="H1662" s="489"/>
      <c r="I1662"/>
      <c r="J1662"/>
      <c r="L1662"/>
    </row>
    <row r="1663" spans="2:12">
      <c r="B1663"/>
      <c r="C1663"/>
      <c r="D1663"/>
      <c r="E1663"/>
      <c r="F1663"/>
      <c r="G1663" s="14"/>
      <c r="H1663" s="489"/>
      <c r="I1663"/>
      <c r="J1663"/>
      <c r="L1663"/>
    </row>
    <row r="1664" spans="2:12">
      <c r="B1664"/>
      <c r="C1664"/>
      <c r="D1664"/>
      <c r="E1664"/>
      <c r="F1664"/>
      <c r="G1664" s="14"/>
      <c r="H1664" s="489"/>
      <c r="I1664"/>
      <c r="J1664"/>
      <c r="L1664"/>
    </row>
    <row r="1665" spans="2:12">
      <c r="B1665"/>
      <c r="C1665"/>
      <c r="D1665"/>
      <c r="E1665"/>
      <c r="F1665"/>
      <c r="G1665" s="14"/>
      <c r="H1665" s="489"/>
      <c r="I1665"/>
      <c r="J1665"/>
      <c r="L1665"/>
    </row>
    <row r="1666" spans="2:12">
      <c r="B1666"/>
      <c r="C1666"/>
      <c r="D1666"/>
      <c r="E1666"/>
      <c r="F1666"/>
      <c r="G1666" s="14"/>
      <c r="H1666" s="489"/>
      <c r="I1666"/>
      <c r="J1666"/>
      <c r="L1666"/>
    </row>
    <row r="1667" spans="2:12">
      <c r="B1667"/>
      <c r="C1667"/>
      <c r="D1667"/>
      <c r="E1667"/>
      <c r="F1667"/>
      <c r="G1667" s="14"/>
      <c r="H1667" s="489"/>
      <c r="I1667"/>
      <c r="J1667"/>
      <c r="L1667"/>
    </row>
    <row r="1668" spans="2:12">
      <c r="B1668"/>
      <c r="C1668"/>
      <c r="D1668"/>
      <c r="E1668"/>
      <c r="F1668"/>
      <c r="G1668" s="14"/>
      <c r="H1668" s="489"/>
      <c r="I1668"/>
      <c r="J1668"/>
      <c r="L1668"/>
    </row>
    <row r="1669" spans="2:12">
      <c r="B1669"/>
      <c r="C1669"/>
      <c r="D1669"/>
      <c r="E1669"/>
      <c r="F1669"/>
      <c r="G1669" s="14"/>
      <c r="H1669" s="489"/>
      <c r="I1669"/>
      <c r="J1669"/>
      <c r="L1669"/>
    </row>
    <row r="1670" spans="2:12">
      <c r="B1670"/>
      <c r="C1670"/>
      <c r="D1670"/>
      <c r="E1670"/>
      <c r="F1670"/>
      <c r="G1670" s="14"/>
      <c r="H1670" s="489"/>
      <c r="I1670"/>
      <c r="J1670"/>
      <c r="L1670"/>
    </row>
    <row r="1671" spans="2:12">
      <c r="B1671"/>
      <c r="C1671"/>
      <c r="D1671"/>
      <c r="E1671"/>
      <c r="F1671"/>
      <c r="G1671" s="14"/>
      <c r="H1671" s="489"/>
      <c r="I1671"/>
      <c r="J1671"/>
      <c r="L1671"/>
    </row>
    <row r="1672" spans="2:12">
      <c r="B1672"/>
      <c r="C1672"/>
      <c r="D1672"/>
      <c r="E1672"/>
      <c r="F1672"/>
      <c r="G1672" s="14"/>
      <c r="H1672" s="489"/>
      <c r="I1672"/>
      <c r="J1672"/>
      <c r="L1672"/>
    </row>
    <row r="1673" spans="2:12">
      <c r="B1673"/>
      <c r="C1673"/>
      <c r="D1673"/>
      <c r="E1673"/>
      <c r="F1673"/>
      <c r="G1673" s="14"/>
      <c r="H1673" s="489"/>
      <c r="I1673"/>
      <c r="J1673"/>
      <c r="L1673"/>
    </row>
    <row r="1674" spans="2:12">
      <c r="B1674"/>
      <c r="C1674"/>
      <c r="D1674"/>
      <c r="E1674"/>
      <c r="F1674"/>
      <c r="G1674" s="14"/>
      <c r="H1674" s="489"/>
      <c r="I1674"/>
      <c r="J1674"/>
      <c r="L1674"/>
    </row>
    <row r="1675" spans="2:12">
      <c r="B1675"/>
      <c r="C1675"/>
      <c r="D1675"/>
      <c r="E1675"/>
      <c r="F1675"/>
      <c r="G1675" s="14"/>
      <c r="H1675" s="489"/>
      <c r="I1675"/>
      <c r="J1675"/>
      <c r="L1675"/>
    </row>
    <row r="1676" spans="2:12">
      <c r="B1676"/>
      <c r="C1676"/>
      <c r="D1676"/>
      <c r="E1676"/>
      <c r="F1676"/>
      <c r="G1676" s="14"/>
      <c r="H1676" s="489"/>
      <c r="I1676"/>
      <c r="J1676"/>
      <c r="L1676"/>
    </row>
    <row r="1677" spans="2:12">
      <c r="B1677"/>
      <c r="C1677"/>
      <c r="D1677"/>
      <c r="E1677"/>
      <c r="F1677"/>
      <c r="G1677" s="14"/>
      <c r="H1677" s="489"/>
      <c r="I1677"/>
      <c r="J1677"/>
      <c r="L1677"/>
    </row>
    <row r="1678" spans="2:12">
      <c r="B1678"/>
      <c r="C1678"/>
      <c r="D1678"/>
      <c r="E1678"/>
      <c r="F1678"/>
      <c r="G1678" s="14"/>
      <c r="H1678" s="489"/>
      <c r="I1678"/>
      <c r="J1678"/>
      <c r="L1678"/>
    </row>
    <row r="1679" spans="2:12">
      <c r="B1679"/>
      <c r="C1679"/>
      <c r="D1679"/>
      <c r="E1679"/>
      <c r="F1679"/>
      <c r="G1679" s="14"/>
      <c r="H1679" s="489"/>
      <c r="I1679"/>
      <c r="J1679"/>
      <c r="L1679"/>
    </row>
    <row r="1680" spans="2:12">
      <c r="B1680"/>
      <c r="C1680"/>
      <c r="D1680"/>
      <c r="E1680"/>
      <c r="F1680"/>
      <c r="G1680" s="14"/>
      <c r="H1680" s="489"/>
      <c r="I1680"/>
      <c r="J1680"/>
      <c r="L1680"/>
    </row>
    <row r="1681" spans="2:12">
      <c r="B1681"/>
      <c r="C1681"/>
      <c r="D1681"/>
      <c r="E1681"/>
      <c r="F1681"/>
      <c r="G1681" s="14"/>
      <c r="H1681" s="489"/>
      <c r="I1681"/>
      <c r="J1681"/>
      <c r="L1681"/>
    </row>
    <row r="1682" spans="2:12">
      <c r="B1682"/>
      <c r="C1682"/>
      <c r="D1682"/>
      <c r="E1682"/>
      <c r="F1682"/>
      <c r="G1682" s="14"/>
      <c r="H1682" s="489"/>
      <c r="I1682"/>
      <c r="J1682"/>
      <c r="L1682"/>
    </row>
    <row r="1683" spans="2:12">
      <c r="B1683"/>
      <c r="C1683"/>
      <c r="D1683"/>
      <c r="E1683"/>
      <c r="F1683"/>
      <c r="G1683" s="14"/>
      <c r="H1683" s="489"/>
      <c r="I1683"/>
      <c r="J1683"/>
      <c r="L1683"/>
    </row>
    <row r="1684" spans="2:12">
      <c r="B1684"/>
      <c r="C1684"/>
      <c r="D1684"/>
      <c r="E1684"/>
      <c r="F1684"/>
      <c r="G1684" s="14"/>
      <c r="H1684" s="489"/>
      <c r="I1684"/>
      <c r="J1684"/>
      <c r="L1684"/>
    </row>
    <row r="1685" spans="2:12">
      <c r="B1685"/>
      <c r="C1685"/>
      <c r="D1685"/>
      <c r="E1685"/>
      <c r="F1685"/>
      <c r="G1685" s="14"/>
      <c r="H1685" s="489"/>
      <c r="I1685"/>
      <c r="J1685"/>
      <c r="L1685"/>
    </row>
    <row r="1686" spans="2:12">
      <c r="B1686"/>
      <c r="C1686"/>
      <c r="D1686"/>
      <c r="E1686"/>
      <c r="F1686"/>
      <c r="G1686" s="14"/>
      <c r="H1686" s="489"/>
      <c r="I1686"/>
      <c r="J1686"/>
      <c r="L1686"/>
    </row>
    <row r="1687" spans="2:12">
      <c r="B1687"/>
      <c r="C1687"/>
      <c r="D1687"/>
      <c r="E1687"/>
      <c r="F1687"/>
      <c r="G1687" s="14"/>
      <c r="H1687" s="489"/>
      <c r="I1687"/>
      <c r="J1687"/>
      <c r="L1687"/>
    </row>
    <row r="1688" spans="2:12">
      <c r="B1688"/>
      <c r="C1688"/>
      <c r="D1688"/>
      <c r="E1688"/>
      <c r="F1688"/>
      <c r="G1688" s="14"/>
      <c r="H1688" s="489"/>
      <c r="I1688"/>
      <c r="J1688"/>
      <c r="L1688"/>
    </row>
    <row r="1689" spans="2:12">
      <c r="B1689"/>
      <c r="C1689"/>
      <c r="D1689"/>
      <c r="E1689"/>
      <c r="F1689"/>
      <c r="G1689" s="14"/>
      <c r="H1689" s="489"/>
      <c r="I1689"/>
      <c r="J1689"/>
      <c r="L1689"/>
    </row>
    <row r="1690" spans="2:12">
      <c r="B1690"/>
      <c r="C1690"/>
      <c r="D1690"/>
      <c r="E1690"/>
      <c r="F1690"/>
      <c r="G1690" s="14"/>
      <c r="H1690" s="489"/>
      <c r="I1690"/>
      <c r="J1690"/>
      <c r="L1690"/>
    </row>
    <row r="1691" spans="2:12">
      <c r="B1691"/>
      <c r="C1691"/>
      <c r="D1691"/>
      <c r="E1691"/>
      <c r="F1691"/>
      <c r="G1691" s="14"/>
      <c r="H1691" s="489"/>
      <c r="I1691"/>
      <c r="J1691"/>
      <c r="L1691"/>
    </row>
    <row r="1692" spans="2:12">
      <c r="B1692"/>
      <c r="C1692"/>
      <c r="D1692"/>
      <c r="E1692"/>
      <c r="F1692"/>
      <c r="G1692" s="14"/>
      <c r="H1692" s="489"/>
      <c r="I1692"/>
      <c r="J1692"/>
      <c r="L1692"/>
    </row>
    <row r="1693" spans="2:12">
      <c r="B1693"/>
      <c r="C1693"/>
      <c r="D1693"/>
      <c r="E1693"/>
      <c r="F1693"/>
      <c r="G1693" s="14"/>
      <c r="H1693" s="489"/>
      <c r="I1693"/>
      <c r="J1693"/>
      <c r="L1693"/>
    </row>
    <row r="1694" spans="2:12">
      <c r="B1694"/>
      <c r="C1694"/>
      <c r="D1694"/>
      <c r="E1694"/>
      <c r="F1694"/>
      <c r="G1694" s="14"/>
      <c r="H1694" s="489"/>
      <c r="I1694"/>
      <c r="J1694"/>
      <c r="L1694"/>
    </row>
    <row r="1695" spans="2:12">
      <c r="B1695"/>
      <c r="C1695"/>
      <c r="D1695"/>
      <c r="E1695"/>
      <c r="F1695"/>
      <c r="G1695" s="14"/>
      <c r="H1695" s="489"/>
      <c r="I1695"/>
      <c r="J1695"/>
      <c r="L1695"/>
    </row>
    <row r="1696" spans="2:12">
      <c r="B1696"/>
      <c r="C1696"/>
      <c r="D1696"/>
      <c r="E1696"/>
      <c r="F1696"/>
      <c r="G1696" s="14"/>
      <c r="H1696" s="489"/>
      <c r="I1696"/>
      <c r="J1696"/>
      <c r="L1696"/>
    </row>
    <row r="1697" spans="2:12">
      <c r="B1697"/>
      <c r="C1697"/>
      <c r="D1697"/>
      <c r="E1697"/>
      <c r="F1697"/>
      <c r="G1697" s="14"/>
      <c r="H1697" s="489"/>
      <c r="I1697"/>
      <c r="J1697"/>
      <c r="L1697"/>
    </row>
    <row r="1698" spans="2:12">
      <c r="B1698"/>
      <c r="C1698"/>
      <c r="D1698"/>
      <c r="E1698"/>
      <c r="F1698"/>
      <c r="G1698" s="14"/>
      <c r="H1698" s="489"/>
      <c r="I1698"/>
      <c r="J1698"/>
      <c r="L1698"/>
    </row>
    <row r="1699" spans="2:12">
      <c r="B1699"/>
      <c r="C1699"/>
      <c r="D1699"/>
      <c r="E1699"/>
      <c r="F1699"/>
      <c r="G1699" s="14"/>
      <c r="H1699" s="489"/>
      <c r="I1699"/>
      <c r="J1699"/>
      <c r="L1699"/>
    </row>
    <row r="1700" spans="2:12">
      <c r="B1700"/>
      <c r="C1700"/>
      <c r="D1700"/>
      <c r="E1700"/>
      <c r="F1700"/>
      <c r="G1700" s="14"/>
      <c r="H1700" s="489"/>
      <c r="I1700"/>
      <c r="J1700"/>
      <c r="L1700"/>
    </row>
    <row r="1701" spans="2:12">
      <c r="B1701"/>
      <c r="C1701"/>
      <c r="D1701"/>
      <c r="E1701"/>
      <c r="F1701"/>
      <c r="G1701" s="14"/>
      <c r="H1701" s="489"/>
      <c r="I1701"/>
      <c r="J1701"/>
      <c r="L1701"/>
    </row>
    <row r="1702" spans="2:12">
      <c r="B1702"/>
      <c r="C1702"/>
      <c r="D1702"/>
      <c r="E1702"/>
      <c r="F1702"/>
      <c r="G1702" s="14"/>
      <c r="H1702" s="489"/>
      <c r="I1702"/>
      <c r="J1702"/>
      <c r="L1702"/>
    </row>
    <row r="1703" spans="2:12">
      <c r="B1703"/>
      <c r="C1703"/>
      <c r="D1703"/>
      <c r="E1703"/>
      <c r="F1703"/>
      <c r="G1703" s="14"/>
      <c r="H1703" s="489"/>
      <c r="I1703"/>
      <c r="J1703"/>
      <c r="L1703"/>
    </row>
    <row r="1704" spans="2:12">
      <c r="B1704"/>
      <c r="C1704"/>
      <c r="D1704"/>
      <c r="E1704"/>
      <c r="F1704"/>
      <c r="G1704" s="14"/>
      <c r="H1704" s="489"/>
      <c r="I1704"/>
      <c r="J1704"/>
      <c r="L1704"/>
    </row>
    <row r="1705" spans="2:12">
      <c r="B1705"/>
      <c r="C1705"/>
      <c r="D1705"/>
      <c r="E1705"/>
      <c r="F1705"/>
      <c r="G1705" s="14"/>
      <c r="H1705" s="489"/>
      <c r="I1705"/>
      <c r="J1705"/>
      <c r="L1705"/>
    </row>
    <row r="1706" spans="2:12">
      <c r="B1706"/>
      <c r="C1706"/>
      <c r="D1706"/>
      <c r="E1706"/>
      <c r="F1706"/>
      <c r="G1706" s="14"/>
      <c r="H1706" s="489"/>
      <c r="I1706"/>
      <c r="J1706"/>
      <c r="L1706"/>
    </row>
    <row r="1707" spans="2:12">
      <c r="B1707"/>
      <c r="C1707"/>
      <c r="D1707"/>
      <c r="E1707"/>
      <c r="F1707"/>
      <c r="G1707" s="14"/>
      <c r="H1707" s="489"/>
      <c r="I1707"/>
      <c r="J1707"/>
      <c r="L1707"/>
    </row>
    <row r="1708" spans="2:12">
      <c r="B1708"/>
      <c r="C1708"/>
      <c r="D1708"/>
      <c r="E1708"/>
      <c r="F1708"/>
      <c r="G1708" s="14"/>
      <c r="H1708" s="489"/>
      <c r="I1708"/>
      <c r="J1708"/>
      <c r="L1708"/>
    </row>
    <row r="1709" spans="2:12">
      <c r="B1709"/>
      <c r="C1709"/>
      <c r="D1709"/>
      <c r="E1709"/>
      <c r="F1709"/>
      <c r="G1709" s="14"/>
      <c r="H1709" s="489"/>
      <c r="I1709"/>
      <c r="J1709"/>
      <c r="L1709"/>
    </row>
    <row r="1710" spans="2:12">
      <c r="B1710"/>
      <c r="C1710"/>
      <c r="D1710"/>
      <c r="E1710"/>
      <c r="F1710"/>
      <c r="G1710" s="14"/>
      <c r="H1710" s="489"/>
      <c r="I1710"/>
      <c r="J1710"/>
      <c r="L1710"/>
    </row>
    <row r="1711" spans="2:12">
      <c r="B1711"/>
      <c r="C1711"/>
      <c r="D1711"/>
      <c r="E1711"/>
      <c r="F1711"/>
      <c r="G1711" s="14"/>
      <c r="H1711" s="489"/>
      <c r="I1711"/>
      <c r="J1711"/>
      <c r="L1711"/>
    </row>
    <row r="1712" spans="2:12">
      <c r="B1712"/>
      <c r="C1712"/>
      <c r="D1712"/>
      <c r="E1712"/>
      <c r="F1712"/>
      <c r="G1712" s="14"/>
      <c r="H1712" s="489"/>
      <c r="I1712"/>
      <c r="J1712"/>
      <c r="L1712"/>
    </row>
    <row r="1713" spans="2:12">
      <c r="B1713"/>
      <c r="C1713"/>
      <c r="D1713"/>
      <c r="E1713"/>
      <c r="F1713"/>
      <c r="G1713" s="14"/>
      <c r="H1713" s="489"/>
      <c r="I1713"/>
      <c r="J1713"/>
      <c r="L1713"/>
    </row>
    <row r="1714" spans="2:12">
      <c r="B1714"/>
      <c r="C1714"/>
      <c r="D1714"/>
      <c r="E1714"/>
      <c r="F1714"/>
      <c r="G1714" s="14"/>
      <c r="H1714" s="489"/>
      <c r="I1714"/>
      <c r="J1714"/>
      <c r="L1714"/>
    </row>
    <row r="1715" spans="2:12">
      <c r="B1715"/>
      <c r="C1715"/>
      <c r="D1715"/>
      <c r="E1715"/>
      <c r="F1715"/>
      <c r="G1715" s="14"/>
      <c r="H1715" s="489"/>
      <c r="I1715"/>
      <c r="J1715"/>
      <c r="L1715"/>
    </row>
    <row r="1716" spans="2:12">
      <c r="B1716"/>
      <c r="C1716"/>
      <c r="D1716"/>
      <c r="E1716"/>
      <c r="F1716"/>
      <c r="G1716" s="14"/>
      <c r="H1716" s="489"/>
      <c r="I1716"/>
      <c r="J1716"/>
      <c r="L1716"/>
    </row>
    <row r="1717" spans="2:12">
      <c r="B1717"/>
      <c r="C1717"/>
      <c r="D1717"/>
      <c r="E1717"/>
      <c r="F1717"/>
      <c r="G1717" s="14"/>
      <c r="H1717" s="489"/>
      <c r="I1717"/>
      <c r="J1717"/>
      <c r="L1717"/>
    </row>
    <row r="1718" spans="2:12">
      <c r="B1718"/>
      <c r="C1718"/>
      <c r="D1718"/>
      <c r="E1718"/>
      <c r="F1718"/>
      <c r="G1718" s="14"/>
      <c r="H1718" s="489"/>
      <c r="I1718"/>
      <c r="J1718"/>
      <c r="L1718"/>
    </row>
    <row r="1719" spans="2:12">
      <c r="B1719"/>
      <c r="C1719"/>
      <c r="D1719"/>
      <c r="E1719"/>
      <c r="F1719"/>
      <c r="G1719" s="14"/>
      <c r="H1719" s="489"/>
      <c r="I1719"/>
      <c r="J1719"/>
      <c r="L1719"/>
    </row>
    <row r="1720" spans="2:12">
      <c r="B1720"/>
      <c r="C1720"/>
      <c r="D1720"/>
      <c r="E1720"/>
      <c r="F1720"/>
      <c r="G1720" s="14"/>
      <c r="H1720" s="489"/>
      <c r="I1720"/>
      <c r="J1720"/>
      <c r="L1720"/>
    </row>
    <row r="1721" spans="2:12">
      <c r="B1721"/>
      <c r="C1721"/>
      <c r="D1721"/>
      <c r="E1721"/>
      <c r="F1721"/>
      <c r="G1721" s="14"/>
      <c r="H1721" s="489"/>
      <c r="I1721"/>
      <c r="J1721"/>
      <c r="L1721"/>
    </row>
    <row r="1722" spans="2:12">
      <c r="B1722"/>
      <c r="C1722"/>
      <c r="D1722"/>
      <c r="E1722"/>
      <c r="F1722"/>
      <c r="G1722" s="14"/>
      <c r="H1722" s="489"/>
      <c r="I1722"/>
      <c r="J1722"/>
      <c r="L1722"/>
    </row>
    <row r="1723" spans="2:12">
      <c r="B1723"/>
      <c r="C1723"/>
      <c r="D1723"/>
      <c r="E1723"/>
      <c r="F1723"/>
      <c r="G1723" s="14"/>
      <c r="H1723" s="489"/>
      <c r="I1723"/>
      <c r="J1723"/>
      <c r="L1723"/>
    </row>
    <row r="1724" spans="2:12">
      <c r="B1724"/>
      <c r="C1724"/>
      <c r="D1724"/>
      <c r="E1724"/>
      <c r="F1724"/>
      <c r="G1724" s="14"/>
      <c r="H1724" s="489"/>
      <c r="I1724"/>
      <c r="J1724"/>
      <c r="L1724"/>
    </row>
    <row r="1725" spans="2:12">
      <c r="B1725"/>
      <c r="C1725"/>
      <c r="D1725"/>
      <c r="E1725"/>
      <c r="F1725"/>
      <c r="G1725" s="14"/>
      <c r="H1725" s="489"/>
      <c r="I1725"/>
      <c r="J1725"/>
      <c r="L1725"/>
    </row>
    <row r="1726" spans="2:12">
      <c r="B1726"/>
      <c r="C1726"/>
      <c r="D1726"/>
      <c r="E1726"/>
      <c r="F1726"/>
      <c r="G1726" s="14"/>
      <c r="H1726" s="489"/>
      <c r="I1726"/>
      <c r="J1726"/>
      <c r="L1726"/>
    </row>
    <row r="1727" spans="2:12">
      <c r="B1727"/>
      <c r="C1727"/>
      <c r="D1727"/>
      <c r="E1727"/>
      <c r="F1727"/>
      <c r="G1727" s="14"/>
      <c r="H1727" s="489"/>
      <c r="I1727"/>
      <c r="J1727"/>
      <c r="L1727"/>
    </row>
    <row r="1728" spans="2:12">
      <c r="B1728"/>
      <c r="C1728"/>
      <c r="D1728"/>
      <c r="E1728"/>
      <c r="F1728"/>
      <c r="G1728" s="14"/>
      <c r="H1728" s="489"/>
      <c r="I1728"/>
      <c r="J1728"/>
      <c r="L1728"/>
    </row>
    <row r="1729" spans="2:12">
      <c r="B1729"/>
      <c r="C1729"/>
      <c r="D1729"/>
      <c r="E1729"/>
      <c r="F1729"/>
      <c r="G1729" s="14"/>
      <c r="H1729" s="489"/>
      <c r="I1729"/>
      <c r="J1729"/>
      <c r="L1729"/>
    </row>
    <row r="1730" spans="2:12">
      <c r="B1730"/>
      <c r="C1730"/>
      <c r="D1730"/>
      <c r="E1730"/>
      <c r="F1730"/>
      <c r="G1730" s="14"/>
      <c r="H1730" s="489"/>
      <c r="I1730"/>
      <c r="J1730"/>
      <c r="L1730"/>
    </row>
    <row r="1731" spans="2:12">
      <c r="B1731"/>
      <c r="C1731"/>
      <c r="D1731"/>
      <c r="E1731"/>
      <c r="F1731"/>
      <c r="G1731" s="14"/>
      <c r="H1731" s="489"/>
      <c r="I1731"/>
      <c r="J1731"/>
      <c r="L1731"/>
    </row>
    <row r="1732" spans="2:12">
      <c r="B1732"/>
      <c r="C1732"/>
      <c r="D1732"/>
      <c r="E1732"/>
      <c r="F1732"/>
      <c r="G1732" s="14"/>
      <c r="H1732" s="489"/>
      <c r="I1732"/>
      <c r="J1732"/>
      <c r="L1732"/>
    </row>
    <row r="1733" spans="2:12">
      <c r="B1733"/>
      <c r="C1733"/>
      <c r="D1733"/>
      <c r="E1733"/>
      <c r="F1733"/>
      <c r="G1733" s="14"/>
      <c r="H1733" s="489"/>
      <c r="I1733"/>
      <c r="J1733"/>
      <c r="L1733"/>
    </row>
    <row r="1734" spans="2:12">
      <c r="B1734"/>
      <c r="C1734"/>
      <c r="D1734"/>
      <c r="E1734"/>
      <c r="F1734"/>
      <c r="G1734" s="14"/>
      <c r="H1734" s="489"/>
      <c r="I1734"/>
      <c r="J1734"/>
      <c r="L1734"/>
    </row>
    <row r="1735" spans="2:12">
      <c r="B1735"/>
      <c r="C1735"/>
      <c r="D1735"/>
      <c r="E1735"/>
      <c r="F1735"/>
      <c r="G1735" s="14"/>
      <c r="H1735" s="489"/>
      <c r="I1735"/>
      <c r="J1735"/>
      <c r="L1735"/>
    </row>
    <row r="1736" spans="2:12">
      <c r="B1736"/>
      <c r="C1736"/>
      <c r="D1736"/>
      <c r="E1736"/>
      <c r="F1736"/>
      <c r="G1736" s="14"/>
      <c r="H1736" s="489"/>
      <c r="I1736"/>
      <c r="J1736"/>
      <c r="L1736"/>
    </row>
    <row r="1737" spans="2:12">
      <c r="B1737"/>
      <c r="C1737"/>
      <c r="D1737"/>
      <c r="E1737"/>
      <c r="F1737"/>
      <c r="G1737" s="14"/>
      <c r="H1737" s="489"/>
      <c r="I1737"/>
      <c r="J1737"/>
      <c r="L1737"/>
    </row>
    <row r="1738" spans="2:12">
      <c r="B1738"/>
      <c r="C1738"/>
      <c r="D1738"/>
      <c r="E1738"/>
      <c r="F1738"/>
      <c r="G1738" s="14"/>
      <c r="H1738" s="489"/>
      <c r="I1738"/>
      <c r="J1738"/>
      <c r="L1738"/>
    </row>
    <row r="1739" spans="2:12">
      <c r="B1739"/>
      <c r="C1739"/>
      <c r="D1739"/>
      <c r="E1739"/>
      <c r="F1739"/>
      <c r="G1739" s="14"/>
      <c r="H1739" s="489"/>
      <c r="I1739"/>
      <c r="J1739"/>
      <c r="L1739"/>
    </row>
    <row r="1740" spans="2:12">
      <c r="B1740"/>
      <c r="C1740"/>
      <c r="D1740"/>
      <c r="E1740"/>
      <c r="F1740"/>
      <c r="G1740" s="14"/>
      <c r="H1740" s="489"/>
      <c r="I1740"/>
      <c r="J1740"/>
      <c r="L1740"/>
    </row>
    <row r="1741" spans="2:12">
      <c r="B1741"/>
      <c r="C1741"/>
      <c r="D1741"/>
      <c r="E1741"/>
      <c r="F1741"/>
      <c r="G1741" s="14"/>
      <c r="H1741" s="489"/>
      <c r="I1741"/>
      <c r="J1741"/>
      <c r="L1741"/>
    </row>
    <row r="1742" spans="2:12">
      <c r="B1742"/>
      <c r="C1742"/>
      <c r="D1742"/>
      <c r="E1742"/>
      <c r="F1742"/>
      <c r="G1742" s="14"/>
      <c r="H1742" s="489"/>
      <c r="I1742"/>
      <c r="J1742"/>
      <c r="L1742"/>
    </row>
    <row r="1743" spans="2:12">
      <c r="B1743"/>
      <c r="C1743"/>
      <c r="D1743"/>
      <c r="E1743"/>
      <c r="F1743"/>
      <c r="G1743" s="14"/>
      <c r="H1743" s="489"/>
      <c r="I1743"/>
      <c r="J1743"/>
      <c r="L1743"/>
    </row>
    <row r="1744" spans="2:12">
      <c r="B1744"/>
      <c r="C1744"/>
      <c r="D1744"/>
      <c r="E1744"/>
      <c r="F1744"/>
      <c r="G1744" s="14"/>
      <c r="H1744" s="489"/>
      <c r="I1744"/>
      <c r="J1744"/>
      <c r="L1744"/>
    </row>
    <row r="1745" spans="2:12">
      <c r="B1745"/>
      <c r="C1745"/>
      <c r="D1745"/>
      <c r="E1745"/>
      <c r="F1745"/>
      <c r="G1745" s="14"/>
      <c r="H1745" s="489"/>
      <c r="I1745"/>
      <c r="J1745"/>
      <c r="L1745"/>
    </row>
    <row r="1746" spans="2:12">
      <c r="B1746"/>
      <c r="C1746"/>
      <c r="D1746"/>
      <c r="E1746"/>
      <c r="F1746"/>
      <c r="G1746" s="14"/>
      <c r="H1746" s="489"/>
      <c r="I1746"/>
      <c r="J1746"/>
      <c r="L1746"/>
    </row>
    <row r="1747" spans="2:12">
      <c r="B1747"/>
      <c r="C1747"/>
      <c r="D1747"/>
      <c r="E1747"/>
      <c r="F1747"/>
      <c r="G1747" s="14"/>
      <c r="H1747" s="489"/>
      <c r="I1747"/>
      <c r="J1747"/>
      <c r="L1747"/>
    </row>
    <row r="1748" spans="2:12">
      <c r="B1748"/>
      <c r="C1748"/>
      <c r="D1748"/>
      <c r="E1748"/>
      <c r="F1748"/>
      <c r="G1748" s="14"/>
      <c r="H1748" s="489"/>
      <c r="I1748"/>
      <c r="J1748"/>
      <c r="L1748"/>
    </row>
    <row r="1749" spans="2:12">
      <c r="B1749"/>
      <c r="C1749"/>
      <c r="D1749"/>
      <c r="E1749"/>
      <c r="F1749"/>
      <c r="G1749" s="14"/>
      <c r="H1749" s="489"/>
      <c r="I1749"/>
      <c r="J1749"/>
      <c r="L1749"/>
    </row>
    <row r="1750" spans="2:12">
      <c r="B1750"/>
      <c r="C1750"/>
      <c r="D1750"/>
      <c r="E1750"/>
      <c r="F1750"/>
      <c r="G1750" s="14"/>
      <c r="H1750" s="489"/>
      <c r="I1750"/>
      <c r="J1750"/>
      <c r="L1750"/>
    </row>
    <row r="1751" spans="2:12">
      <c r="B1751"/>
      <c r="C1751"/>
      <c r="D1751"/>
      <c r="E1751"/>
      <c r="F1751"/>
      <c r="G1751" s="14"/>
      <c r="H1751" s="489"/>
      <c r="I1751"/>
      <c r="J1751"/>
      <c r="L1751"/>
    </row>
    <row r="1752" spans="2:12">
      <c r="B1752"/>
      <c r="C1752"/>
      <c r="D1752"/>
      <c r="E1752"/>
      <c r="F1752"/>
      <c r="G1752" s="14"/>
      <c r="H1752" s="489"/>
      <c r="I1752"/>
      <c r="J1752"/>
      <c r="L1752"/>
    </row>
    <row r="1753" spans="2:12">
      <c r="B1753"/>
      <c r="C1753"/>
      <c r="D1753"/>
      <c r="E1753"/>
      <c r="F1753"/>
      <c r="G1753" s="14"/>
      <c r="H1753" s="489"/>
      <c r="I1753"/>
      <c r="J1753"/>
      <c r="L1753"/>
    </row>
    <row r="1754" spans="2:12">
      <c r="B1754"/>
      <c r="C1754"/>
      <c r="D1754"/>
      <c r="E1754"/>
      <c r="F1754"/>
      <c r="G1754" s="14"/>
      <c r="H1754" s="489"/>
      <c r="I1754"/>
      <c r="J1754"/>
      <c r="L1754"/>
    </row>
    <row r="1755" spans="2:12">
      <c r="B1755"/>
      <c r="C1755"/>
      <c r="D1755"/>
      <c r="E1755"/>
      <c r="F1755"/>
      <c r="G1755" s="14"/>
      <c r="H1755" s="489"/>
      <c r="I1755"/>
      <c r="J1755"/>
      <c r="L1755"/>
    </row>
    <row r="1756" spans="2:12">
      <c r="B1756"/>
      <c r="C1756"/>
      <c r="D1756"/>
      <c r="E1756"/>
      <c r="F1756"/>
      <c r="G1756" s="14"/>
      <c r="H1756" s="489"/>
      <c r="I1756"/>
      <c r="J1756"/>
      <c r="L1756"/>
    </row>
    <row r="1757" spans="2:12">
      <c r="B1757"/>
      <c r="C1757"/>
      <c r="D1757"/>
      <c r="E1757"/>
      <c r="F1757"/>
      <c r="G1757" s="14"/>
      <c r="H1757" s="489"/>
      <c r="I1757"/>
      <c r="J1757"/>
      <c r="L1757"/>
    </row>
    <row r="1758" spans="2:12">
      <c r="B1758"/>
      <c r="C1758"/>
      <c r="D1758"/>
      <c r="E1758"/>
      <c r="F1758"/>
      <c r="G1758" s="14"/>
      <c r="H1758" s="489"/>
      <c r="I1758"/>
      <c r="J1758"/>
      <c r="L1758"/>
    </row>
    <row r="1759" spans="2:12">
      <c r="B1759"/>
      <c r="C1759"/>
      <c r="D1759"/>
      <c r="E1759"/>
      <c r="F1759"/>
      <c r="G1759" s="14"/>
      <c r="H1759" s="489"/>
      <c r="I1759"/>
      <c r="J1759"/>
      <c r="L1759"/>
    </row>
    <row r="1760" spans="2:12">
      <c r="B1760"/>
      <c r="C1760"/>
      <c r="D1760"/>
      <c r="E1760"/>
      <c r="F1760"/>
      <c r="G1760" s="14"/>
      <c r="H1760" s="489"/>
      <c r="I1760"/>
      <c r="J1760"/>
      <c r="L1760"/>
    </row>
    <row r="1761" spans="2:12">
      <c r="B1761"/>
      <c r="C1761"/>
      <c r="D1761"/>
      <c r="E1761"/>
      <c r="F1761"/>
      <c r="G1761" s="14"/>
      <c r="H1761" s="489"/>
      <c r="I1761"/>
      <c r="J1761"/>
      <c r="L1761"/>
    </row>
    <row r="1762" spans="2:12">
      <c r="B1762"/>
      <c r="C1762"/>
      <c r="D1762"/>
      <c r="E1762"/>
      <c r="F1762"/>
      <c r="G1762" s="14"/>
      <c r="H1762" s="489"/>
      <c r="I1762"/>
      <c r="J1762"/>
      <c r="L1762"/>
    </row>
    <row r="1763" spans="2:12">
      <c r="B1763"/>
      <c r="C1763"/>
      <c r="D1763"/>
      <c r="E1763"/>
      <c r="F1763"/>
      <c r="G1763" s="14"/>
      <c r="H1763" s="489"/>
      <c r="I1763"/>
      <c r="J1763"/>
      <c r="L1763"/>
    </row>
    <row r="1764" spans="2:12">
      <c r="B1764"/>
      <c r="C1764"/>
      <c r="D1764"/>
      <c r="E1764"/>
      <c r="F1764"/>
      <c r="G1764" s="14"/>
      <c r="H1764" s="489"/>
      <c r="I1764"/>
      <c r="J1764"/>
      <c r="L1764"/>
    </row>
    <row r="1765" spans="2:12">
      <c r="B1765"/>
      <c r="C1765"/>
      <c r="D1765"/>
      <c r="E1765"/>
      <c r="F1765"/>
      <c r="G1765" s="14"/>
      <c r="H1765" s="489"/>
      <c r="I1765"/>
      <c r="J1765"/>
      <c r="L1765"/>
    </row>
    <row r="1766" spans="2:12">
      <c r="B1766"/>
      <c r="C1766"/>
      <c r="D1766"/>
      <c r="E1766"/>
      <c r="F1766"/>
      <c r="G1766" s="14"/>
      <c r="H1766" s="489"/>
      <c r="I1766"/>
      <c r="J1766"/>
      <c r="L1766"/>
    </row>
    <row r="1767" spans="2:12">
      <c r="B1767"/>
      <c r="C1767"/>
      <c r="D1767"/>
      <c r="E1767"/>
      <c r="F1767"/>
      <c r="G1767" s="14"/>
      <c r="H1767" s="489"/>
      <c r="I1767"/>
      <c r="J1767"/>
      <c r="L1767"/>
    </row>
    <row r="1768" spans="2:12">
      <c r="B1768"/>
      <c r="C1768"/>
      <c r="D1768"/>
      <c r="E1768"/>
      <c r="F1768"/>
      <c r="G1768" s="14"/>
      <c r="H1768" s="489"/>
      <c r="I1768"/>
      <c r="J1768"/>
      <c r="L1768"/>
    </row>
    <row r="1769" spans="2:12">
      <c r="B1769"/>
      <c r="C1769"/>
      <c r="D1769"/>
      <c r="E1769"/>
      <c r="F1769"/>
      <c r="G1769" s="14"/>
      <c r="H1769" s="489"/>
      <c r="I1769"/>
      <c r="J1769"/>
      <c r="L1769"/>
    </row>
    <row r="1770" spans="2:12">
      <c r="B1770"/>
      <c r="C1770"/>
      <c r="D1770"/>
      <c r="E1770"/>
      <c r="F1770"/>
      <c r="G1770" s="14"/>
      <c r="H1770" s="489"/>
      <c r="I1770"/>
      <c r="J1770"/>
      <c r="L1770"/>
    </row>
    <row r="1771" spans="2:12">
      <c r="B1771"/>
      <c r="C1771"/>
      <c r="D1771"/>
      <c r="E1771"/>
      <c r="F1771"/>
      <c r="G1771" s="14"/>
      <c r="H1771" s="489"/>
      <c r="I1771"/>
      <c r="J1771"/>
      <c r="L1771"/>
    </row>
    <row r="1772" spans="2:12">
      <c r="B1772"/>
      <c r="C1772"/>
      <c r="D1772"/>
      <c r="E1772"/>
      <c r="F1772"/>
      <c r="G1772" s="14"/>
      <c r="H1772" s="489"/>
      <c r="I1772"/>
      <c r="J1772"/>
      <c r="L1772"/>
    </row>
    <row r="1773" spans="2:12">
      <c r="B1773"/>
      <c r="C1773"/>
      <c r="D1773"/>
      <c r="E1773"/>
      <c r="F1773"/>
      <c r="G1773" s="14"/>
      <c r="H1773" s="489"/>
      <c r="I1773"/>
      <c r="J1773"/>
      <c r="L1773"/>
    </row>
    <row r="1774" spans="2:12">
      <c r="B1774"/>
      <c r="C1774"/>
      <c r="D1774"/>
      <c r="E1774"/>
      <c r="F1774"/>
      <c r="G1774" s="14"/>
      <c r="H1774" s="489"/>
      <c r="I1774"/>
      <c r="J1774"/>
      <c r="L1774"/>
    </row>
    <row r="1775" spans="2:12">
      <c r="B1775"/>
      <c r="C1775"/>
      <c r="D1775"/>
      <c r="E1775"/>
      <c r="F1775"/>
      <c r="G1775" s="14"/>
      <c r="H1775" s="489"/>
      <c r="I1775"/>
      <c r="J1775"/>
      <c r="L1775"/>
    </row>
    <row r="1776" spans="2:12">
      <c r="B1776"/>
      <c r="C1776"/>
      <c r="D1776"/>
      <c r="E1776"/>
      <c r="F1776"/>
      <c r="G1776" s="14"/>
      <c r="H1776" s="489"/>
      <c r="I1776"/>
      <c r="J1776"/>
      <c r="L1776"/>
    </row>
    <row r="1777" spans="2:12">
      <c r="B1777"/>
      <c r="C1777"/>
      <c r="D1777"/>
      <c r="E1777"/>
      <c r="F1777"/>
      <c r="G1777" s="14"/>
      <c r="H1777" s="489"/>
      <c r="I1777"/>
      <c r="J1777"/>
      <c r="L1777"/>
    </row>
    <row r="1778" spans="2:12">
      <c r="B1778"/>
      <c r="C1778"/>
      <c r="D1778"/>
      <c r="E1778"/>
      <c r="F1778"/>
      <c r="G1778" s="14"/>
      <c r="H1778" s="489"/>
      <c r="I1778"/>
      <c r="J1778"/>
      <c r="L1778"/>
    </row>
    <row r="1779" spans="2:12">
      <c r="B1779"/>
      <c r="C1779"/>
      <c r="D1779"/>
      <c r="E1779"/>
      <c r="F1779"/>
      <c r="G1779" s="14"/>
      <c r="H1779" s="489"/>
      <c r="I1779"/>
      <c r="J1779"/>
      <c r="L1779"/>
    </row>
    <row r="1780" spans="2:12">
      <c r="B1780"/>
      <c r="C1780"/>
      <c r="D1780"/>
      <c r="E1780"/>
      <c r="F1780"/>
      <c r="G1780" s="14"/>
      <c r="H1780" s="489"/>
      <c r="I1780"/>
      <c r="J1780"/>
      <c r="L1780"/>
    </row>
    <row r="1781" spans="2:12">
      <c r="B1781"/>
      <c r="C1781"/>
      <c r="D1781"/>
      <c r="E1781"/>
      <c r="F1781"/>
      <c r="G1781" s="14"/>
      <c r="H1781" s="489"/>
      <c r="I1781"/>
      <c r="J1781"/>
      <c r="L1781"/>
    </row>
    <row r="1782" spans="2:12">
      <c r="B1782"/>
      <c r="C1782"/>
      <c r="D1782"/>
      <c r="E1782"/>
      <c r="F1782"/>
      <c r="G1782" s="14"/>
      <c r="H1782" s="489"/>
      <c r="I1782"/>
      <c r="J1782"/>
      <c r="L1782"/>
    </row>
    <row r="1783" spans="2:12">
      <c r="B1783"/>
      <c r="C1783"/>
      <c r="D1783"/>
      <c r="E1783"/>
      <c r="F1783"/>
      <c r="G1783" s="14"/>
      <c r="H1783" s="489"/>
      <c r="I1783"/>
      <c r="J1783"/>
      <c r="L1783"/>
    </row>
    <row r="1784" spans="2:12">
      <c r="B1784"/>
      <c r="C1784"/>
      <c r="D1784"/>
      <c r="E1784"/>
      <c r="F1784"/>
      <c r="G1784" s="14"/>
      <c r="H1784" s="489"/>
      <c r="I1784"/>
      <c r="J1784"/>
      <c r="L1784"/>
    </row>
    <row r="1785" spans="2:12">
      <c r="B1785"/>
      <c r="C1785"/>
      <c r="D1785"/>
      <c r="E1785"/>
      <c r="F1785"/>
      <c r="G1785" s="14"/>
      <c r="I1785"/>
      <c r="J1785"/>
      <c r="L1785"/>
    </row>
    <row r="1786" spans="2:12">
      <c r="B1786"/>
      <c r="C1786"/>
      <c r="D1786"/>
      <c r="E1786"/>
      <c r="F1786"/>
      <c r="G1786" s="14"/>
      <c r="I1786"/>
      <c r="J1786"/>
      <c r="L1786"/>
    </row>
    <row r="1787" spans="2:12">
      <c r="B1787"/>
      <c r="C1787"/>
      <c r="D1787"/>
      <c r="E1787"/>
      <c r="F1787"/>
      <c r="G1787" s="14"/>
      <c r="I1787"/>
      <c r="J1787"/>
      <c r="L1787"/>
    </row>
    <row r="1788" spans="2:12">
      <c r="B1788"/>
      <c r="C1788"/>
      <c r="D1788"/>
      <c r="E1788"/>
      <c r="F1788"/>
      <c r="G1788" s="14"/>
      <c r="I1788"/>
      <c r="J1788"/>
      <c r="L1788"/>
    </row>
    <row r="1789" spans="2:12">
      <c r="B1789"/>
      <c r="C1789"/>
      <c r="D1789"/>
      <c r="E1789"/>
      <c r="F1789"/>
      <c r="G1789" s="14"/>
      <c r="I1789"/>
      <c r="J1789"/>
      <c r="L1789"/>
    </row>
    <row r="1790" spans="2:12">
      <c r="B1790"/>
      <c r="C1790"/>
      <c r="D1790"/>
      <c r="E1790"/>
      <c r="F1790"/>
      <c r="G1790" s="14"/>
      <c r="I1790"/>
      <c r="J1790"/>
      <c r="L1790"/>
    </row>
    <row r="1791" spans="2:12">
      <c r="B1791"/>
      <c r="C1791"/>
      <c r="D1791"/>
      <c r="E1791"/>
      <c r="F1791"/>
      <c r="G1791" s="14"/>
      <c r="I1791"/>
      <c r="J1791"/>
      <c r="L1791"/>
    </row>
    <row r="1792" spans="2:12">
      <c r="B1792"/>
      <c r="C1792"/>
      <c r="D1792"/>
      <c r="E1792"/>
      <c r="F1792"/>
      <c r="G1792" s="14"/>
      <c r="I1792"/>
      <c r="J1792"/>
      <c r="L1792"/>
    </row>
    <row r="1793" spans="2:12">
      <c r="B1793"/>
      <c r="C1793"/>
      <c r="D1793"/>
      <c r="E1793"/>
      <c r="F1793"/>
      <c r="G1793" s="14"/>
      <c r="I1793"/>
      <c r="J1793"/>
      <c r="L1793"/>
    </row>
    <row r="1794" spans="2:12">
      <c r="B1794"/>
      <c r="C1794"/>
      <c r="D1794"/>
      <c r="E1794"/>
      <c r="F1794"/>
      <c r="G1794" s="14"/>
      <c r="I1794"/>
      <c r="J1794"/>
      <c r="L1794"/>
    </row>
    <row r="1795" spans="2:12">
      <c r="B1795"/>
      <c r="C1795"/>
      <c r="D1795"/>
      <c r="E1795"/>
      <c r="F1795"/>
      <c r="G1795" s="14"/>
      <c r="I1795"/>
      <c r="J1795"/>
      <c r="L1795"/>
    </row>
    <row r="1796" spans="2:12">
      <c r="B1796"/>
      <c r="C1796"/>
      <c r="D1796"/>
      <c r="E1796"/>
      <c r="F1796"/>
      <c r="G1796" s="14"/>
      <c r="H1796"/>
      <c r="I1796"/>
      <c r="J1796"/>
      <c r="L1796"/>
    </row>
    <row r="1797" spans="2:12">
      <c r="B1797"/>
      <c r="C1797"/>
      <c r="D1797"/>
      <c r="E1797"/>
      <c r="F1797"/>
      <c r="G1797" s="14"/>
      <c r="H1797"/>
      <c r="I1797"/>
      <c r="J1797"/>
      <c r="L1797"/>
    </row>
    <row r="1798" spans="2:12">
      <c r="B1798"/>
      <c r="C1798"/>
      <c r="D1798"/>
      <c r="E1798"/>
      <c r="F1798"/>
      <c r="G1798" s="14"/>
      <c r="H1798"/>
      <c r="I1798"/>
      <c r="J1798"/>
      <c r="L1798"/>
    </row>
    <row r="1799" spans="2:12">
      <c r="B1799"/>
      <c r="C1799"/>
      <c r="D1799"/>
      <c r="E1799"/>
      <c r="F1799"/>
      <c r="G1799" s="14"/>
      <c r="H1799"/>
      <c r="I1799"/>
      <c r="J1799"/>
      <c r="L1799"/>
    </row>
    <row r="1800" spans="2:12">
      <c r="B1800"/>
      <c r="C1800"/>
      <c r="D1800"/>
      <c r="E1800"/>
      <c r="F1800"/>
      <c r="G1800" s="14"/>
      <c r="H1800"/>
      <c r="I1800"/>
      <c r="J1800"/>
      <c r="L1800"/>
    </row>
    <row r="1801" spans="2:12">
      <c r="B1801"/>
      <c r="C1801"/>
      <c r="D1801"/>
      <c r="E1801"/>
      <c r="F1801"/>
      <c r="G1801" s="14"/>
      <c r="H1801"/>
      <c r="I1801"/>
      <c r="J1801"/>
      <c r="L1801"/>
    </row>
    <row r="1802" spans="2:12">
      <c r="B1802"/>
      <c r="C1802"/>
      <c r="D1802"/>
      <c r="E1802"/>
      <c r="F1802"/>
      <c r="G1802" s="14"/>
      <c r="H1802"/>
      <c r="I1802"/>
      <c r="J1802"/>
      <c r="L1802"/>
    </row>
    <row r="1803" spans="2:12">
      <c r="B1803"/>
      <c r="C1803"/>
      <c r="D1803"/>
      <c r="E1803"/>
      <c r="F1803"/>
      <c r="G1803" s="14"/>
      <c r="H1803"/>
      <c r="I1803"/>
      <c r="J1803"/>
      <c r="L1803"/>
    </row>
    <row r="1804" spans="2:12">
      <c r="B1804"/>
      <c r="C1804"/>
      <c r="D1804"/>
      <c r="E1804"/>
      <c r="F1804"/>
      <c r="G1804" s="14"/>
      <c r="H1804"/>
      <c r="I1804"/>
      <c r="J1804"/>
      <c r="L1804"/>
    </row>
    <row r="1805" spans="2:12">
      <c r="B1805"/>
      <c r="C1805"/>
      <c r="D1805"/>
      <c r="E1805"/>
      <c r="F1805"/>
      <c r="G1805" s="14"/>
      <c r="H1805"/>
      <c r="I1805"/>
      <c r="J1805"/>
      <c r="L1805"/>
    </row>
    <row r="1806" spans="2:12">
      <c r="B1806"/>
      <c r="C1806"/>
      <c r="D1806"/>
      <c r="E1806"/>
      <c r="F1806"/>
      <c r="G1806" s="14"/>
      <c r="H1806"/>
      <c r="I1806"/>
      <c r="J1806"/>
      <c r="L1806"/>
    </row>
    <row r="1807" spans="2:12">
      <c r="B1807"/>
      <c r="C1807"/>
      <c r="D1807"/>
      <c r="E1807"/>
      <c r="F1807"/>
      <c r="G1807" s="14"/>
      <c r="H1807"/>
      <c r="I1807"/>
      <c r="J1807"/>
      <c r="L1807"/>
    </row>
    <row r="1808" spans="2:12">
      <c r="B1808"/>
      <c r="C1808"/>
      <c r="D1808"/>
      <c r="E1808"/>
      <c r="F1808"/>
      <c r="G1808" s="14"/>
      <c r="H1808"/>
      <c r="I1808"/>
      <c r="J1808"/>
      <c r="L1808"/>
    </row>
    <row r="1809" spans="2:12">
      <c r="B1809"/>
      <c r="C1809"/>
      <c r="D1809"/>
      <c r="E1809"/>
      <c r="F1809"/>
      <c r="G1809" s="14"/>
      <c r="H1809"/>
      <c r="I1809"/>
      <c r="J1809"/>
      <c r="L1809"/>
    </row>
    <row r="1810" spans="2:12">
      <c r="B1810"/>
      <c r="C1810"/>
      <c r="D1810"/>
      <c r="E1810"/>
      <c r="F1810"/>
      <c r="G1810" s="14"/>
      <c r="H1810"/>
      <c r="I1810"/>
      <c r="J1810"/>
      <c r="L1810"/>
    </row>
    <row r="1811" spans="2:12">
      <c r="B1811"/>
      <c r="C1811"/>
      <c r="D1811"/>
      <c r="E1811"/>
      <c r="F1811"/>
      <c r="G1811" s="14"/>
      <c r="H1811"/>
      <c r="I1811"/>
      <c r="J1811"/>
      <c r="L1811"/>
    </row>
    <row r="1812" spans="2:12">
      <c r="B1812"/>
      <c r="C1812"/>
      <c r="D1812"/>
      <c r="E1812"/>
      <c r="F1812"/>
      <c r="G1812" s="14"/>
      <c r="H1812"/>
      <c r="I1812"/>
      <c r="J1812"/>
      <c r="L1812"/>
    </row>
    <row r="1813" spans="2:12">
      <c r="B1813"/>
      <c r="C1813"/>
      <c r="D1813"/>
      <c r="E1813"/>
      <c r="F1813"/>
      <c r="G1813" s="14"/>
      <c r="H1813"/>
      <c r="I1813"/>
      <c r="J1813"/>
      <c r="L1813"/>
    </row>
    <row r="1814" spans="2:12">
      <c r="B1814"/>
      <c r="C1814"/>
      <c r="D1814"/>
      <c r="E1814"/>
      <c r="F1814"/>
      <c r="G1814" s="14"/>
      <c r="H1814"/>
      <c r="I1814"/>
      <c r="J1814"/>
      <c r="L1814"/>
    </row>
    <row r="1815" spans="2:12">
      <c r="B1815"/>
      <c r="C1815"/>
      <c r="D1815"/>
      <c r="E1815"/>
      <c r="F1815"/>
      <c r="G1815" s="14"/>
      <c r="H1815"/>
      <c r="I1815"/>
      <c r="J1815"/>
      <c r="L1815"/>
    </row>
    <row r="1816" spans="2:12">
      <c r="B1816"/>
      <c r="C1816"/>
      <c r="D1816"/>
      <c r="E1816"/>
      <c r="F1816"/>
      <c r="G1816" s="14"/>
      <c r="H1816"/>
      <c r="I1816"/>
      <c r="J1816"/>
      <c r="L1816"/>
    </row>
    <row r="1817" spans="2:12">
      <c r="B1817"/>
      <c r="C1817"/>
      <c r="D1817"/>
      <c r="E1817"/>
      <c r="F1817"/>
      <c r="G1817" s="14"/>
      <c r="H1817"/>
      <c r="I1817"/>
      <c r="J1817"/>
      <c r="L1817"/>
    </row>
    <row r="1818" spans="2:12">
      <c r="B1818"/>
      <c r="C1818"/>
      <c r="D1818"/>
      <c r="E1818"/>
      <c r="F1818"/>
      <c r="G1818" s="14"/>
      <c r="H1818"/>
      <c r="I1818"/>
      <c r="J1818"/>
      <c r="L1818"/>
    </row>
    <row r="1819" spans="2:12">
      <c r="B1819"/>
      <c r="C1819"/>
      <c r="D1819"/>
      <c r="E1819"/>
      <c r="F1819"/>
      <c r="G1819" s="14"/>
      <c r="H1819"/>
      <c r="I1819"/>
      <c r="J1819"/>
      <c r="L1819"/>
    </row>
    <row r="1820" spans="2:12">
      <c r="B1820"/>
      <c r="C1820"/>
      <c r="D1820"/>
      <c r="E1820"/>
      <c r="F1820"/>
      <c r="G1820" s="14"/>
      <c r="H1820"/>
      <c r="I1820"/>
      <c r="J1820"/>
      <c r="L1820"/>
    </row>
    <row r="1821" spans="2:12">
      <c r="B1821"/>
      <c r="C1821"/>
      <c r="D1821"/>
      <c r="E1821"/>
      <c r="F1821"/>
      <c r="G1821" s="14"/>
      <c r="H1821"/>
      <c r="I1821"/>
      <c r="J1821"/>
      <c r="L1821"/>
    </row>
    <row r="1822" spans="2:12">
      <c r="B1822"/>
      <c r="C1822"/>
      <c r="D1822"/>
      <c r="E1822"/>
      <c r="F1822"/>
      <c r="G1822" s="14"/>
      <c r="H1822"/>
      <c r="I1822"/>
      <c r="J1822"/>
      <c r="L1822"/>
    </row>
    <row r="1823" spans="2:12">
      <c r="B1823"/>
      <c r="C1823"/>
      <c r="D1823"/>
      <c r="E1823"/>
      <c r="F1823"/>
      <c r="G1823" s="14"/>
      <c r="H1823"/>
      <c r="I1823"/>
      <c r="J1823"/>
      <c r="L1823"/>
    </row>
    <row r="1824" spans="2:12">
      <c r="B1824"/>
      <c r="C1824"/>
      <c r="D1824"/>
      <c r="E1824"/>
      <c r="F1824"/>
      <c r="G1824" s="14"/>
      <c r="H1824"/>
      <c r="I1824"/>
      <c r="J1824"/>
      <c r="L1824"/>
    </row>
    <row r="1825" spans="2:12">
      <c r="B1825"/>
      <c r="C1825"/>
      <c r="D1825"/>
      <c r="E1825"/>
      <c r="F1825"/>
      <c r="G1825" s="14"/>
      <c r="H1825"/>
      <c r="I1825"/>
      <c r="J1825"/>
      <c r="L1825"/>
    </row>
    <row r="1826" spans="2:12">
      <c r="B1826"/>
      <c r="C1826"/>
      <c r="D1826"/>
      <c r="E1826"/>
      <c r="F1826"/>
      <c r="G1826" s="14"/>
      <c r="H1826"/>
      <c r="I1826"/>
      <c r="J1826"/>
      <c r="L1826"/>
    </row>
    <row r="1827" spans="2:12">
      <c r="B1827"/>
      <c r="C1827"/>
      <c r="D1827"/>
      <c r="E1827"/>
      <c r="F1827"/>
      <c r="G1827" s="14"/>
      <c r="H1827"/>
      <c r="I1827"/>
      <c r="J1827"/>
      <c r="L1827"/>
    </row>
    <row r="1828" spans="2:12">
      <c r="B1828"/>
      <c r="C1828"/>
      <c r="D1828"/>
      <c r="E1828"/>
      <c r="F1828"/>
      <c r="G1828" s="14"/>
      <c r="H1828"/>
      <c r="I1828"/>
      <c r="J1828"/>
      <c r="L1828"/>
    </row>
    <row r="1829" spans="2:12">
      <c r="B1829"/>
      <c r="C1829"/>
      <c r="D1829"/>
      <c r="E1829"/>
      <c r="F1829"/>
      <c r="G1829" s="14"/>
      <c r="H1829"/>
      <c r="I1829"/>
      <c r="J1829"/>
      <c r="L1829"/>
    </row>
    <row r="1830" spans="2:12">
      <c r="B1830"/>
      <c r="C1830"/>
      <c r="D1830"/>
      <c r="E1830"/>
      <c r="F1830"/>
      <c r="G1830" s="14"/>
      <c r="H1830"/>
      <c r="I1830"/>
      <c r="J1830"/>
      <c r="L1830"/>
    </row>
    <row r="1831" spans="2:12">
      <c r="B1831"/>
      <c r="C1831"/>
      <c r="D1831"/>
      <c r="E1831"/>
      <c r="F1831"/>
      <c r="G1831" s="14"/>
      <c r="H1831"/>
      <c r="I1831"/>
      <c r="J1831"/>
      <c r="L1831"/>
    </row>
    <row r="1832" spans="2:12">
      <c r="B1832"/>
      <c r="C1832"/>
      <c r="D1832"/>
      <c r="E1832"/>
      <c r="F1832"/>
      <c r="G1832" s="14"/>
      <c r="H1832"/>
      <c r="I1832"/>
      <c r="J1832"/>
    </row>
    <row r="1833" spans="2:12">
      <c r="B1833"/>
      <c r="C1833"/>
      <c r="D1833"/>
      <c r="E1833"/>
      <c r="F1833"/>
      <c r="G1833" s="14"/>
      <c r="H1833"/>
      <c r="I1833"/>
      <c r="J1833"/>
    </row>
    <row r="1834" spans="2:12">
      <c r="B1834"/>
      <c r="C1834"/>
      <c r="D1834"/>
      <c r="E1834"/>
      <c r="F1834"/>
      <c r="G1834" s="14"/>
      <c r="H1834"/>
      <c r="I1834"/>
      <c r="J1834"/>
    </row>
    <row r="1835" spans="2:12">
      <c r="B1835"/>
      <c r="C1835"/>
      <c r="D1835"/>
      <c r="E1835"/>
      <c r="F1835"/>
      <c r="G1835" s="14"/>
      <c r="H1835"/>
      <c r="I1835"/>
      <c r="J1835"/>
    </row>
    <row r="1836" spans="2:12">
      <c r="B1836"/>
      <c r="C1836"/>
      <c r="D1836"/>
      <c r="E1836"/>
      <c r="F1836"/>
      <c r="G1836" s="14"/>
      <c r="H1836"/>
      <c r="I1836"/>
      <c r="J1836"/>
    </row>
    <row r="1837" spans="2:12">
      <c r="B1837"/>
      <c r="C1837"/>
      <c r="D1837"/>
      <c r="E1837"/>
      <c r="F1837"/>
      <c r="G1837" s="14"/>
      <c r="H1837"/>
      <c r="I1837"/>
      <c r="J1837"/>
    </row>
    <row r="1838" spans="2:12">
      <c r="B1838"/>
      <c r="C1838"/>
      <c r="D1838"/>
      <c r="E1838"/>
      <c r="F1838"/>
      <c r="G1838" s="14"/>
      <c r="H1838"/>
      <c r="I1838"/>
      <c r="J1838"/>
    </row>
    <row r="1839" spans="2:12">
      <c r="B1839"/>
      <c r="C1839"/>
      <c r="D1839"/>
      <c r="E1839"/>
      <c r="F1839"/>
      <c r="G1839" s="14"/>
      <c r="H1839"/>
      <c r="I1839"/>
      <c r="J1839"/>
    </row>
    <row r="1840" spans="2:12">
      <c r="B1840"/>
      <c r="C1840"/>
      <c r="D1840"/>
      <c r="E1840"/>
      <c r="F1840"/>
      <c r="G1840" s="14"/>
      <c r="H1840"/>
      <c r="I1840"/>
      <c r="J1840"/>
    </row>
    <row r="1841" spans="2:10">
      <c r="B1841"/>
      <c r="C1841"/>
      <c r="D1841"/>
      <c r="E1841"/>
      <c r="F1841"/>
      <c r="G1841" s="14"/>
      <c r="H1841"/>
      <c r="I1841"/>
      <c r="J1841"/>
    </row>
    <row r="1842" spans="2:10">
      <c r="B1842"/>
      <c r="C1842"/>
      <c r="D1842"/>
      <c r="E1842"/>
      <c r="F1842"/>
      <c r="G1842" s="14"/>
      <c r="H1842"/>
      <c r="I1842"/>
      <c r="J1842"/>
    </row>
    <row r="1843" spans="2:10">
      <c r="B1843"/>
      <c r="C1843"/>
      <c r="D1843"/>
      <c r="E1843"/>
      <c r="F1843"/>
      <c r="G1843" s="14"/>
      <c r="H1843"/>
      <c r="I1843"/>
      <c r="J1843"/>
    </row>
    <row r="1844" spans="2:10">
      <c r="B1844"/>
      <c r="C1844"/>
      <c r="D1844"/>
      <c r="E1844"/>
      <c r="F1844"/>
      <c r="G1844" s="14"/>
      <c r="H1844"/>
      <c r="I1844"/>
      <c r="J1844"/>
    </row>
    <row r="1845" spans="2:10">
      <c r="B1845"/>
      <c r="C1845"/>
      <c r="D1845"/>
      <c r="E1845"/>
      <c r="F1845"/>
      <c r="G1845" s="14"/>
      <c r="H1845"/>
      <c r="I1845"/>
      <c r="J1845"/>
    </row>
    <row r="1846" spans="2:10">
      <c r="B1846"/>
      <c r="C1846"/>
      <c r="D1846"/>
      <c r="E1846"/>
      <c r="F1846"/>
      <c r="G1846" s="14"/>
      <c r="H1846"/>
      <c r="I1846"/>
      <c r="J1846"/>
    </row>
    <row r="1847" spans="2:10">
      <c r="B1847"/>
      <c r="C1847"/>
      <c r="D1847"/>
      <c r="E1847"/>
      <c r="F1847"/>
      <c r="G1847" s="14"/>
      <c r="H1847"/>
      <c r="I1847"/>
      <c r="J1847"/>
    </row>
    <row r="1848" spans="2:10">
      <c r="B1848"/>
      <c r="C1848"/>
      <c r="D1848"/>
      <c r="E1848"/>
      <c r="F1848"/>
      <c r="G1848" s="14"/>
      <c r="H1848"/>
      <c r="I1848"/>
      <c r="J1848"/>
    </row>
    <row r="1849" spans="2:10">
      <c r="B1849"/>
      <c r="C1849"/>
      <c r="D1849"/>
      <c r="E1849"/>
      <c r="F1849"/>
      <c r="G1849" s="14"/>
      <c r="H1849"/>
      <c r="I1849"/>
      <c r="J1849"/>
    </row>
    <row r="1850" spans="2:10">
      <c r="B1850"/>
      <c r="C1850"/>
      <c r="D1850"/>
      <c r="E1850"/>
      <c r="F1850"/>
      <c r="G1850" s="14"/>
      <c r="H1850"/>
      <c r="I1850"/>
      <c r="J1850"/>
    </row>
    <row r="1851" spans="2:10">
      <c r="B1851"/>
      <c r="C1851"/>
      <c r="D1851"/>
      <c r="E1851"/>
      <c r="F1851"/>
      <c r="G1851" s="14"/>
      <c r="H1851"/>
      <c r="I1851"/>
      <c r="J1851"/>
    </row>
    <row r="1852" spans="2:10">
      <c r="B1852"/>
      <c r="C1852"/>
      <c r="D1852"/>
      <c r="E1852"/>
      <c r="F1852"/>
      <c r="G1852" s="14"/>
      <c r="H1852"/>
      <c r="I1852"/>
      <c r="J1852"/>
    </row>
    <row r="1853" spans="2:10">
      <c r="B1853"/>
      <c r="C1853"/>
      <c r="D1853"/>
      <c r="E1853"/>
      <c r="F1853"/>
      <c r="G1853" s="14"/>
      <c r="H1853"/>
      <c r="I1853"/>
      <c r="J1853"/>
    </row>
    <row r="1854" spans="2:10">
      <c r="B1854"/>
      <c r="C1854"/>
      <c r="D1854"/>
      <c r="E1854"/>
      <c r="F1854"/>
      <c r="G1854" s="14"/>
      <c r="H1854"/>
      <c r="I1854"/>
      <c r="J1854"/>
    </row>
    <row r="1855" spans="2:10">
      <c r="B1855"/>
      <c r="C1855"/>
      <c r="D1855"/>
      <c r="E1855"/>
      <c r="F1855"/>
      <c r="G1855" s="14"/>
      <c r="H1855"/>
      <c r="I1855"/>
      <c r="J1855"/>
    </row>
    <row r="1856" spans="2:10">
      <c r="B1856"/>
      <c r="C1856"/>
      <c r="D1856"/>
      <c r="E1856"/>
      <c r="F1856"/>
      <c r="G1856" s="14"/>
      <c r="H1856"/>
      <c r="I1856"/>
      <c r="J1856"/>
    </row>
    <row r="1857" spans="2:10">
      <c r="B1857"/>
      <c r="C1857"/>
      <c r="D1857"/>
      <c r="E1857"/>
      <c r="F1857"/>
      <c r="G1857" s="14"/>
      <c r="H1857"/>
      <c r="I1857"/>
      <c r="J1857"/>
    </row>
    <row r="1858" spans="2:10">
      <c r="B1858"/>
      <c r="C1858"/>
      <c r="D1858"/>
      <c r="E1858"/>
      <c r="F1858"/>
      <c r="G1858" s="14"/>
      <c r="H1858"/>
      <c r="I1858"/>
      <c r="J1858"/>
    </row>
    <row r="1859" spans="2:10">
      <c r="B1859"/>
      <c r="C1859"/>
      <c r="D1859"/>
      <c r="E1859"/>
      <c r="F1859"/>
      <c r="G1859" s="14"/>
      <c r="H1859"/>
      <c r="I1859"/>
      <c r="J1859"/>
    </row>
    <row r="1860" spans="2:10">
      <c r="B1860"/>
      <c r="C1860"/>
      <c r="D1860"/>
      <c r="E1860"/>
      <c r="F1860"/>
      <c r="G1860" s="14"/>
      <c r="H1860"/>
      <c r="I1860"/>
      <c r="J1860"/>
    </row>
    <row r="1861" spans="2:10">
      <c r="B1861"/>
      <c r="C1861"/>
      <c r="D1861"/>
      <c r="E1861"/>
      <c r="F1861"/>
      <c r="G1861" s="14"/>
      <c r="H1861"/>
      <c r="I1861"/>
      <c r="J1861"/>
    </row>
    <row r="1862" spans="2:10">
      <c r="B1862"/>
      <c r="C1862"/>
      <c r="D1862"/>
      <c r="E1862"/>
      <c r="F1862"/>
      <c r="G1862" s="14"/>
      <c r="H1862"/>
      <c r="I1862"/>
      <c r="J1862"/>
    </row>
    <row r="1863" spans="2:10">
      <c r="B1863"/>
      <c r="C1863"/>
      <c r="D1863"/>
      <c r="E1863"/>
      <c r="F1863"/>
      <c r="G1863" s="14"/>
      <c r="H1863"/>
      <c r="I1863"/>
      <c r="J1863"/>
    </row>
    <row r="1864" spans="2:10">
      <c r="B1864"/>
      <c r="C1864"/>
      <c r="D1864"/>
      <c r="E1864"/>
      <c r="F1864"/>
      <c r="G1864" s="14"/>
      <c r="H1864"/>
      <c r="I1864"/>
      <c r="J1864"/>
    </row>
    <row r="1865" spans="2:10">
      <c r="B1865"/>
      <c r="C1865"/>
      <c r="D1865"/>
      <c r="E1865"/>
      <c r="F1865"/>
      <c r="G1865" s="14"/>
      <c r="H1865"/>
      <c r="I1865"/>
      <c r="J1865"/>
    </row>
    <row r="1866" spans="2:10">
      <c r="B1866"/>
      <c r="C1866"/>
      <c r="D1866"/>
      <c r="E1866"/>
      <c r="F1866"/>
      <c r="G1866" s="14"/>
      <c r="H1866"/>
      <c r="I1866"/>
      <c r="J1866"/>
    </row>
    <row r="1867" spans="2:10">
      <c r="B1867"/>
      <c r="C1867"/>
      <c r="D1867"/>
      <c r="E1867"/>
      <c r="F1867"/>
      <c r="G1867" s="14"/>
      <c r="H1867"/>
      <c r="I1867"/>
      <c r="J1867"/>
    </row>
    <row r="1868" spans="2:10">
      <c r="B1868"/>
      <c r="C1868"/>
      <c r="D1868"/>
      <c r="E1868"/>
      <c r="F1868"/>
      <c r="G1868" s="14"/>
      <c r="H1868"/>
      <c r="I1868"/>
      <c r="J1868"/>
    </row>
    <row r="1869" spans="2:10">
      <c r="B1869"/>
      <c r="C1869"/>
      <c r="D1869"/>
      <c r="E1869"/>
      <c r="F1869"/>
      <c r="G1869" s="14"/>
      <c r="H1869"/>
      <c r="I1869"/>
      <c r="J1869"/>
    </row>
    <row r="1870" spans="2:10">
      <c r="B1870"/>
      <c r="C1870"/>
      <c r="D1870"/>
      <c r="E1870"/>
      <c r="F1870"/>
      <c r="G1870" s="14"/>
      <c r="H1870"/>
      <c r="I1870"/>
      <c r="J1870"/>
    </row>
    <row r="1871" spans="2:10">
      <c r="B1871"/>
      <c r="C1871"/>
      <c r="D1871"/>
      <c r="E1871"/>
      <c r="F1871"/>
      <c r="G1871" s="14"/>
      <c r="H1871"/>
      <c r="I1871"/>
      <c r="J1871"/>
    </row>
    <row r="1872" spans="2:10">
      <c r="B1872"/>
      <c r="C1872"/>
      <c r="D1872"/>
      <c r="E1872"/>
      <c r="F1872"/>
      <c r="G1872" s="14"/>
      <c r="H1872"/>
      <c r="I1872"/>
      <c r="J1872"/>
    </row>
    <row r="1873" spans="2:10">
      <c r="B1873"/>
      <c r="C1873"/>
      <c r="D1873"/>
      <c r="E1873"/>
      <c r="F1873"/>
      <c r="G1873" s="14"/>
      <c r="H1873"/>
      <c r="I1873"/>
      <c r="J1873"/>
    </row>
    <row r="1874" spans="2:10">
      <c r="B1874"/>
      <c r="C1874"/>
      <c r="D1874"/>
      <c r="E1874"/>
      <c r="F1874"/>
      <c r="G1874" s="14"/>
      <c r="H1874"/>
      <c r="I1874"/>
      <c r="J1874"/>
    </row>
    <row r="1875" spans="2:10">
      <c r="B1875"/>
      <c r="C1875"/>
      <c r="D1875"/>
      <c r="E1875"/>
      <c r="F1875"/>
      <c r="G1875" s="14"/>
      <c r="H1875"/>
      <c r="I1875"/>
      <c r="J1875"/>
    </row>
    <row r="1876" spans="2:10">
      <c r="B1876"/>
      <c r="C1876"/>
      <c r="D1876"/>
      <c r="E1876"/>
      <c r="F1876"/>
      <c r="G1876" s="14"/>
      <c r="H1876"/>
      <c r="I1876"/>
      <c r="J1876"/>
    </row>
    <row r="1877" spans="2:10">
      <c r="B1877"/>
      <c r="C1877"/>
      <c r="D1877"/>
      <c r="E1877"/>
      <c r="F1877"/>
      <c r="G1877" s="14"/>
      <c r="H1877"/>
      <c r="I1877"/>
      <c r="J1877"/>
    </row>
    <row r="1878" spans="2:10">
      <c r="B1878"/>
      <c r="C1878"/>
      <c r="D1878"/>
      <c r="E1878"/>
      <c r="F1878"/>
      <c r="G1878" s="14"/>
      <c r="H1878"/>
      <c r="I1878"/>
      <c r="J1878"/>
    </row>
    <row r="1879" spans="2:10">
      <c r="B1879"/>
      <c r="C1879"/>
      <c r="D1879"/>
      <c r="E1879"/>
      <c r="F1879"/>
      <c r="G1879" s="14"/>
      <c r="H1879"/>
      <c r="I1879"/>
      <c r="J1879"/>
    </row>
    <row r="1880" spans="2:10">
      <c r="B1880"/>
      <c r="C1880"/>
      <c r="D1880"/>
      <c r="E1880"/>
      <c r="F1880"/>
      <c r="G1880" s="14"/>
      <c r="H1880"/>
      <c r="I1880"/>
      <c r="J1880"/>
    </row>
    <row r="1881" spans="2:10">
      <c r="B1881"/>
      <c r="C1881"/>
      <c r="D1881"/>
      <c r="E1881"/>
      <c r="F1881"/>
      <c r="G1881" s="14"/>
      <c r="H1881"/>
      <c r="I1881"/>
      <c r="J1881"/>
    </row>
    <row r="1882" spans="2:10">
      <c r="B1882"/>
      <c r="C1882"/>
      <c r="D1882"/>
      <c r="E1882"/>
      <c r="F1882"/>
      <c r="G1882" s="14"/>
      <c r="H1882"/>
      <c r="I1882"/>
      <c r="J1882"/>
    </row>
    <row r="1883" spans="2:10">
      <c r="B1883"/>
      <c r="C1883"/>
      <c r="D1883"/>
      <c r="E1883"/>
      <c r="F1883"/>
      <c r="G1883" s="14"/>
      <c r="H1883"/>
      <c r="I1883"/>
      <c r="J1883"/>
    </row>
    <row r="1884" spans="2:10">
      <c r="B1884"/>
      <c r="C1884"/>
      <c r="D1884"/>
      <c r="E1884"/>
      <c r="F1884"/>
      <c r="G1884" s="14"/>
      <c r="H1884"/>
      <c r="I1884"/>
      <c r="J1884"/>
    </row>
    <row r="1885" spans="2:10">
      <c r="B1885"/>
      <c r="C1885"/>
      <c r="D1885"/>
      <c r="E1885"/>
      <c r="F1885"/>
      <c r="G1885" s="14"/>
      <c r="H1885"/>
      <c r="I1885"/>
      <c r="J1885"/>
    </row>
    <row r="1886" spans="2:10">
      <c r="B1886"/>
      <c r="C1886"/>
      <c r="D1886"/>
      <c r="E1886"/>
      <c r="F1886"/>
      <c r="G1886" s="14"/>
      <c r="H1886"/>
      <c r="I1886"/>
      <c r="J1886"/>
    </row>
    <row r="1887" spans="2:10">
      <c r="B1887"/>
      <c r="C1887"/>
      <c r="D1887"/>
      <c r="E1887"/>
      <c r="F1887"/>
      <c r="G1887" s="14"/>
      <c r="H1887"/>
      <c r="I1887"/>
      <c r="J1887"/>
    </row>
    <row r="1888" spans="2:10">
      <c r="B1888"/>
      <c r="C1888"/>
      <c r="D1888"/>
      <c r="E1888"/>
      <c r="F1888"/>
      <c r="G1888" s="14"/>
      <c r="H1888"/>
      <c r="I1888"/>
      <c r="J1888"/>
    </row>
    <row r="1889" spans="2:10">
      <c r="B1889"/>
      <c r="C1889"/>
      <c r="D1889"/>
      <c r="E1889"/>
      <c r="F1889"/>
      <c r="G1889" s="14"/>
      <c r="H1889"/>
      <c r="I1889"/>
      <c r="J1889"/>
    </row>
    <row r="1890" spans="2:10">
      <c r="B1890"/>
      <c r="C1890"/>
      <c r="D1890"/>
      <c r="E1890"/>
      <c r="F1890"/>
      <c r="G1890" s="14"/>
      <c r="H1890"/>
      <c r="I1890"/>
      <c r="J1890"/>
    </row>
    <row r="1891" spans="2:10">
      <c r="B1891"/>
      <c r="C1891"/>
      <c r="D1891"/>
      <c r="E1891"/>
      <c r="F1891"/>
      <c r="G1891" s="14"/>
      <c r="H1891"/>
      <c r="I1891"/>
      <c r="J1891"/>
    </row>
    <row r="1892" spans="2:10">
      <c r="B1892"/>
      <c r="C1892"/>
      <c r="D1892"/>
      <c r="E1892"/>
      <c r="F1892"/>
      <c r="G1892" s="14"/>
      <c r="H1892"/>
      <c r="I1892"/>
      <c r="J1892"/>
    </row>
    <row r="1893" spans="2:10">
      <c r="B1893"/>
      <c r="C1893"/>
      <c r="D1893"/>
      <c r="E1893"/>
      <c r="F1893"/>
      <c r="G1893" s="14"/>
      <c r="H1893"/>
      <c r="I1893"/>
      <c r="J1893"/>
    </row>
    <row r="1894" spans="2:10">
      <c r="B1894"/>
      <c r="C1894"/>
      <c r="D1894"/>
      <c r="E1894"/>
      <c r="F1894"/>
      <c r="G1894" s="14"/>
      <c r="H1894"/>
      <c r="I1894"/>
      <c r="J1894"/>
    </row>
    <row r="1895" spans="2:10">
      <c r="B1895"/>
      <c r="C1895"/>
      <c r="D1895"/>
      <c r="E1895"/>
      <c r="F1895"/>
      <c r="G1895" s="14"/>
      <c r="H1895"/>
      <c r="I1895"/>
      <c r="J1895"/>
    </row>
    <row r="1896" spans="2:10">
      <c r="B1896"/>
      <c r="C1896"/>
      <c r="D1896"/>
      <c r="E1896"/>
      <c r="F1896"/>
      <c r="G1896" s="14"/>
      <c r="H1896"/>
      <c r="I1896"/>
      <c r="J1896"/>
    </row>
    <row r="1897" spans="2:10">
      <c r="B1897"/>
      <c r="C1897"/>
      <c r="D1897"/>
      <c r="E1897"/>
      <c r="F1897"/>
      <c r="G1897" s="14"/>
      <c r="H1897"/>
      <c r="I1897"/>
      <c r="J1897"/>
    </row>
    <row r="1898" spans="2:10">
      <c r="B1898"/>
      <c r="C1898"/>
      <c r="D1898"/>
      <c r="E1898"/>
      <c r="F1898"/>
      <c r="G1898" s="14"/>
      <c r="H1898"/>
      <c r="I1898"/>
      <c r="J1898"/>
    </row>
    <row r="1899" spans="2:10">
      <c r="B1899"/>
      <c r="C1899"/>
      <c r="D1899"/>
      <c r="E1899"/>
      <c r="F1899"/>
      <c r="G1899" s="14"/>
      <c r="H1899"/>
      <c r="I1899"/>
      <c r="J1899"/>
    </row>
    <row r="1900" spans="2:10">
      <c r="B1900"/>
      <c r="C1900"/>
      <c r="D1900"/>
      <c r="E1900"/>
      <c r="F1900"/>
      <c r="G1900" s="14"/>
      <c r="H1900"/>
      <c r="I1900"/>
      <c r="J1900"/>
    </row>
    <row r="1901" spans="2:10">
      <c r="B1901"/>
      <c r="C1901"/>
      <c r="D1901"/>
      <c r="E1901"/>
      <c r="F1901"/>
      <c r="G1901" s="14"/>
      <c r="H1901"/>
      <c r="I1901"/>
      <c r="J1901"/>
    </row>
    <row r="1902" spans="2:10">
      <c r="B1902"/>
      <c r="C1902"/>
      <c r="D1902"/>
      <c r="E1902"/>
      <c r="F1902"/>
      <c r="G1902" s="14"/>
      <c r="H1902"/>
      <c r="I1902"/>
      <c r="J1902"/>
    </row>
    <row r="1903" spans="2:10">
      <c r="B1903"/>
      <c r="C1903"/>
      <c r="D1903"/>
      <c r="E1903"/>
      <c r="F1903"/>
      <c r="G1903" s="14"/>
      <c r="H1903"/>
      <c r="I1903"/>
      <c r="J1903"/>
    </row>
    <row r="1904" spans="2:10">
      <c r="B1904"/>
      <c r="C1904"/>
      <c r="D1904"/>
      <c r="E1904"/>
      <c r="F1904"/>
      <c r="G1904" s="14"/>
      <c r="H1904"/>
      <c r="I1904"/>
      <c r="J1904"/>
    </row>
    <row r="1905" spans="2:10">
      <c r="B1905"/>
      <c r="C1905"/>
      <c r="D1905"/>
      <c r="E1905"/>
      <c r="F1905"/>
      <c r="G1905" s="14"/>
      <c r="H1905"/>
      <c r="I1905"/>
      <c r="J1905"/>
    </row>
    <row r="1906" spans="2:10">
      <c r="B1906"/>
      <c r="C1906"/>
      <c r="D1906"/>
      <c r="E1906"/>
      <c r="F1906"/>
      <c r="G1906" s="14"/>
      <c r="H1906"/>
      <c r="I1906"/>
      <c r="J1906"/>
    </row>
    <row r="1907" spans="2:10">
      <c r="B1907"/>
      <c r="C1907"/>
      <c r="D1907"/>
      <c r="E1907"/>
      <c r="F1907"/>
      <c r="G1907" s="14"/>
      <c r="H1907"/>
      <c r="I1907"/>
      <c r="J1907"/>
    </row>
    <row r="1908" spans="2:10">
      <c r="B1908"/>
      <c r="C1908"/>
      <c r="D1908"/>
      <c r="E1908"/>
      <c r="F1908"/>
      <c r="G1908" s="14"/>
      <c r="H1908"/>
      <c r="I1908"/>
      <c r="J1908"/>
    </row>
    <row r="1909" spans="2:10">
      <c r="B1909"/>
      <c r="C1909"/>
      <c r="D1909"/>
      <c r="E1909"/>
      <c r="F1909"/>
      <c r="G1909" s="14"/>
      <c r="H1909"/>
      <c r="I1909"/>
      <c r="J1909"/>
    </row>
    <row r="1910" spans="2:10">
      <c r="B1910"/>
      <c r="C1910"/>
      <c r="D1910"/>
      <c r="E1910"/>
      <c r="F1910"/>
      <c r="G1910" s="14"/>
      <c r="H1910"/>
      <c r="I1910"/>
      <c r="J1910"/>
    </row>
    <row r="1911" spans="2:10">
      <c r="B1911"/>
      <c r="C1911"/>
      <c r="D1911"/>
      <c r="E1911"/>
      <c r="F1911"/>
      <c r="G1911" s="14"/>
      <c r="H1911"/>
      <c r="I1911"/>
      <c r="J1911"/>
    </row>
    <row r="1912" spans="2:10">
      <c r="B1912"/>
      <c r="C1912"/>
      <c r="D1912"/>
      <c r="E1912"/>
      <c r="F1912"/>
      <c r="G1912" s="14"/>
      <c r="H1912"/>
      <c r="I1912"/>
      <c r="J1912"/>
    </row>
    <row r="1913" spans="2:10">
      <c r="B1913"/>
      <c r="C1913"/>
      <c r="D1913"/>
      <c r="E1913"/>
      <c r="F1913"/>
      <c r="G1913" s="14"/>
      <c r="H1913"/>
      <c r="I1913"/>
      <c r="J1913"/>
    </row>
    <row r="1914" spans="2:10">
      <c r="B1914"/>
      <c r="C1914"/>
      <c r="D1914"/>
      <c r="E1914"/>
      <c r="F1914"/>
      <c r="G1914" s="14"/>
      <c r="H1914"/>
      <c r="I1914"/>
      <c r="J1914"/>
    </row>
    <row r="1915" spans="2:10">
      <c r="B1915"/>
      <c r="C1915"/>
      <c r="D1915"/>
      <c r="E1915"/>
      <c r="F1915"/>
      <c r="G1915" s="14"/>
      <c r="H1915"/>
      <c r="I1915"/>
      <c r="J1915"/>
    </row>
    <row r="1916" spans="2:10">
      <c r="B1916"/>
      <c r="C1916"/>
      <c r="D1916"/>
      <c r="E1916"/>
      <c r="F1916"/>
      <c r="G1916" s="14"/>
      <c r="H1916"/>
      <c r="I1916"/>
      <c r="J1916"/>
    </row>
    <row r="1917" spans="2:10">
      <c r="B1917"/>
      <c r="C1917"/>
      <c r="D1917"/>
      <c r="E1917"/>
      <c r="F1917"/>
      <c r="G1917" s="14"/>
      <c r="H1917"/>
      <c r="I1917"/>
      <c r="J1917"/>
    </row>
    <row r="1918" spans="2:10">
      <c r="B1918"/>
      <c r="C1918"/>
      <c r="D1918"/>
      <c r="E1918"/>
      <c r="F1918"/>
      <c r="G1918" s="14"/>
      <c r="H1918"/>
      <c r="I1918"/>
      <c r="J1918"/>
    </row>
    <row r="1919" spans="2:10">
      <c r="B1919"/>
      <c r="C1919"/>
      <c r="D1919"/>
      <c r="E1919"/>
      <c r="F1919"/>
      <c r="G1919" s="14"/>
      <c r="H1919"/>
      <c r="I1919"/>
      <c r="J1919"/>
    </row>
    <row r="1920" spans="2:10">
      <c r="B1920"/>
      <c r="C1920"/>
      <c r="D1920"/>
      <c r="E1920"/>
      <c r="F1920"/>
      <c r="G1920" s="14"/>
      <c r="H1920"/>
      <c r="I1920"/>
      <c r="J1920"/>
    </row>
    <row r="1921" spans="2:10">
      <c r="B1921"/>
      <c r="C1921"/>
      <c r="D1921"/>
      <c r="E1921"/>
      <c r="F1921"/>
      <c r="G1921" s="14"/>
      <c r="H1921"/>
      <c r="I1921"/>
      <c r="J1921"/>
    </row>
    <row r="1922" spans="2:10">
      <c r="B1922"/>
      <c r="C1922"/>
      <c r="D1922"/>
      <c r="E1922"/>
      <c r="F1922"/>
      <c r="G1922" s="14"/>
      <c r="H1922"/>
      <c r="I1922"/>
      <c r="J1922"/>
    </row>
    <row r="1923" spans="2:10">
      <c r="B1923"/>
      <c r="C1923"/>
      <c r="D1923"/>
      <c r="E1923"/>
      <c r="F1923"/>
      <c r="G1923" s="14"/>
      <c r="H1923"/>
      <c r="I1923"/>
      <c r="J1923"/>
    </row>
    <row r="1924" spans="2:10">
      <c r="B1924"/>
      <c r="C1924"/>
      <c r="D1924"/>
      <c r="E1924"/>
      <c r="F1924"/>
      <c r="G1924" s="14"/>
      <c r="H1924"/>
      <c r="I1924"/>
      <c r="J1924"/>
    </row>
    <row r="1925" spans="2:10">
      <c r="B1925"/>
      <c r="C1925"/>
      <c r="D1925"/>
      <c r="E1925"/>
      <c r="F1925"/>
      <c r="G1925" s="14"/>
      <c r="H1925"/>
      <c r="I1925"/>
      <c r="J1925"/>
    </row>
    <row r="1926" spans="2:10">
      <c r="B1926"/>
      <c r="C1926"/>
      <c r="D1926"/>
      <c r="E1926"/>
      <c r="F1926"/>
      <c r="G1926" s="14"/>
      <c r="H1926"/>
      <c r="I1926"/>
      <c r="J1926"/>
    </row>
    <row r="1927" spans="2:10">
      <c r="B1927"/>
      <c r="C1927"/>
      <c r="D1927"/>
      <c r="E1927"/>
      <c r="F1927"/>
      <c r="G1927" s="14"/>
      <c r="H1927"/>
      <c r="I1927"/>
      <c r="J1927"/>
    </row>
    <row r="1928" spans="2:10">
      <c r="B1928"/>
      <c r="C1928"/>
      <c r="D1928"/>
      <c r="E1928"/>
      <c r="F1928"/>
      <c r="G1928" s="14"/>
      <c r="H1928"/>
      <c r="I1928"/>
      <c r="J1928"/>
    </row>
    <row r="1929" spans="2:10">
      <c r="B1929"/>
      <c r="C1929"/>
      <c r="D1929"/>
      <c r="E1929"/>
      <c r="F1929"/>
      <c r="G1929" s="14"/>
      <c r="H1929"/>
      <c r="I1929"/>
      <c r="J1929"/>
    </row>
    <row r="1930" spans="2:10">
      <c r="B1930"/>
      <c r="C1930"/>
      <c r="D1930"/>
      <c r="E1930"/>
      <c r="F1930"/>
      <c r="G1930" s="14"/>
      <c r="H1930"/>
      <c r="I1930"/>
      <c r="J1930"/>
    </row>
    <row r="1931" spans="2:10">
      <c r="B1931"/>
      <c r="C1931"/>
      <c r="D1931"/>
      <c r="E1931"/>
      <c r="F1931"/>
      <c r="G1931" s="14"/>
      <c r="H1931"/>
      <c r="I1931"/>
      <c r="J1931"/>
    </row>
    <row r="1932" spans="2:10">
      <c r="B1932"/>
      <c r="C1932"/>
      <c r="D1932"/>
      <c r="E1932"/>
      <c r="F1932"/>
      <c r="G1932" s="14"/>
      <c r="H1932"/>
      <c r="I1932"/>
      <c r="J1932"/>
    </row>
    <row r="1933" spans="2:10">
      <c r="B1933"/>
      <c r="C1933"/>
      <c r="D1933"/>
      <c r="E1933"/>
      <c r="F1933"/>
      <c r="G1933" s="14"/>
      <c r="H1933"/>
      <c r="I1933"/>
      <c r="J1933"/>
    </row>
    <row r="1934" spans="2:10">
      <c r="B1934"/>
      <c r="C1934"/>
      <c r="D1934"/>
      <c r="E1934"/>
      <c r="F1934"/>
      <c r="G1934" s="14"/>
      <c r="H1934"/>
      <c r="I1934"/>
      <c r="J1934"/>
    </row>
    <row r="1935" spans="2:10">
      <c r="B1935"/>
      <c r="C1935"/>
      <c r="D1935"/>
      <c r="E1935"/>
      <c r="F1935"/>
      <c r="G1935" s="14"/>
      <c r="H1935"/>
      <c r="I1935"/>
      <c r="J1935"/>
    </row>
    <row r="1936" spans="2:10">
      <c r="B1936"/>
      <c r="C1936"/>
      <c r="D1936"/>
      <c r="E1936"/>
      <c r="F1936"/>
      <c r="G1936" s="14"/>
      <c r="H1936"/>
      <c r="I1936"/>
      <c r="J1936"/>
    </row>
    <row r="1937" spans="2:10">
      <c r="B1937"/>
      <c r="C1937"/>
      <c r="D1937"/>
      <c r="E1937"/>
      <c r="F1937"/>
      <c r="G1937" s="14"/>
      <c r="H1937"/>
      <c r="I1937"/>
      <c r="J1937"/>
    </row>
    <row r="1938" spans="2:10">
      <c r="B1938"/>
      <c r="C1938"/>
      <c r="D1938"/>
      <c r="E1938"/>
      <c r="F1938"/>
      <c r="G1938" s="14"/>
      <c r="H1938"/>
      <c r="I1938"/>
      <c r="J1938"/>
    </row>
    <row r="1939" spans="2:10">
      <c r="B1939"/>
      <c r="C1939"/>
      <c r="D1939"/>
      <c r="E1939"/>
      <c r="F1939"/>
      <c r="G1939" s="14"/>
      <c r="H1939"/>
      <c r="I1939"/>
      <c r="J1939"/>
    </row>
    <row r="1940" spans="2:10">
      <c r="B1940"/>
      <c r="C1940"/>
      <c r="D1940"/>
      <c r="E1940"/>
      <c r="F1940"/>
      <c r="G1940" s="14"/>
      <c r="H1940"/>
      <c r="I1940"/>
      <c r="J1940"/>
    </row>
    <row r="1941" spans="2:10">
      <c r="B1941"/>
      <c r="C1941"/>
      <c r="D1941"/>
      <c r="E1941"/>
      <c r="F1941"/>
      <c r="G1941" s="14"/>
      <c r="H1941"/>
      <c r="I1941"/>
      <c r="J1941"/>
    </row>
    <row r="1942" spans="2:10">
      <c r="B1942"/>
      <c r="C1942"/>
      <c r="D1942"/>
      <c r="E1942"/>
      <c r="F1942"/>
      <c r="G1942" s="14"/>
      <c r="H1942"/>
      <c r="I1942"/>
      <c r="J1942"/>
    </row>
    <row r="1943" spans="2:10">
      <c r="B1943"/>
      <c r="C1943"/>
      <c r="D1943"/>
      <c r="E1943"/>
      <c r="F1943"/>
      <c r="G1943" s="14"/>
      <c r="H1943"/>
      <c r="I1943"/>
      <c r="J1943"/>
    </row>
    <row r="1944" spans="2:10">
      <c r="B1944"/>
      <c r="C1944"/>
      <c r="D1944"/>
      <c r="E1944"/>
      <c r="F1944"/>
      <c r="G1944" s="14"/>
      <c r="H1944"/>
      <c r="I1944"/>
      <c r="J1944"/>
    </row>
    <row r="1945" spans="2:10">
      <c r="B1945"/>
      <c r="C1945"/>
      <c r="D1945"/>
      <c r="E1945"/>
      <c r="F1945"/>
      <c r="G1945" s="14"/>
      <c r="H1945"/>
      <c r="I1945"/>
      <c r="J1945"/>
    </row>
    <row r="1946" spans="2:10">
      <c r="B1946"/>
      <c r="C1946"/>
      <c r="D1946"/>
      <c r="E1946"/>
      <c r="F1946"/>
      <c r="G1946" s="14"/>
      <c r="H1946"/>
      <c r="I1946"/>
      <c r="J1946"/>
    </row>
    <row r="1947" spans="2:10">
      <c r="B1947"/>
      <c r="C1947"/>
      <c r="D1947"/>
      <c r="E1947"/>
      <c r="F1947"/>
      <c r="G1947" s="14"/>
      <c r="H1947"/>
      <c r="I1947"/>
      <c r="J1947"/>
    </row>
    <row r="1948" spans="2:10">
      <c r="B1948"/>
      <c r="C1948"/>
      <c r="D1948"/>
      <c r="E1948"/>
      <c r="F1948"/>
      <c r="G1948" s="14"/>
      <c r="H1948"/>
      <c r="I1948"/>
      <c r="J1948"/>
    </row>
    <row r="1949" spans="2:10">
      <c r="B1949"/>
      <c r="C1949"/>
      <c r="D1949"/>
      <c r="E1949"/>
      <c r="F1949"/>
      <c r="G1949" s="14"/>
      <c r="H1949"/>
      <c r="I1949"/>
      <c r="J1949"/>
    </row>
    <row r="1950" spans="2:10">
      <c r="B1950"/>
      <c r="C1950"/>
      <c r="D1950"/>
      <c r="E1950"/>
      <c r="F1950"/>
      <c r="G1950" s="14"/>
      <c r="H1950"/>
      <c r="I1950"/>
      <c r="J1950"/>
    </row>
    <row r="1951" spans="2:10">
      <c r="B1951"/>
      <c r="C1951"/>
      <c r="D1951"/>
      <c r="E1951"/>
      <c r="F1951"/>
      <c r="G1951" s="14"/>
      <c r="H1951"/>
      <c r="I1951"/>
      <c r="J1951"/>
    </row>
    <row r="1952" spans="2:10">
      <c r="B1952"/>
      <c r="C1952"/>
      <c r="D1952"/>
      <c r="E1952"/>
      <c r="F1952"/>
      <c r="G1952" s="14"/>
      <c r="H1952"/>
      <c r="I1952"/>
      <c r="J1952"/>
    </row>
    <row r="1953" spans="2:10">
      <c r="B1953"/>
      <c r="C1953"/>
      <c r="D1953"/>
      <c r="E1953"/>
      <c r="F1953"/>
      <c r="G1953" s="14"/>
      <c r="H1953"/>
      <c r="I1953"/>
      <c r="J1953"/>
    </row>
    <row r="1954" spans="2:10">
      <c r="B1954"/>
      <c r="C1954"/>
      <c r="D1954"/>
      <c r="E1954"/>
      <c r="F1954"/>
      <c r="G1954" s="14"/>
      <c r="H1954"/>
      <c r="I1954"/>
      <c r="J1954"/>
    </row>
    <row r="1955" spans="2:10">
      <c r="B1955"/>
      <c r="C1955"/>
      <c r="D1955"/>
      <c r="E1955"/>
      <c r="F1955"/>
      <c r="G1955" s="14"/>
      <c r="H1955"/>
      <c r="I1955"/>
      <c r="J1955"/>
    </row>
    <row r="1956" spans="2:10">
      <c r="B1956"/>
      <c r="C1956"/>
      <c r="D1956"/>
      <c r="E1956"/>
      <c r="F1956"/>
      <c r="G1956" s="14"/>
      <c r="H1956"/>
      <c r="I1956"/>
      <c r="J1956"/>
    </row>
    <row r="1957" spans="2:10">
      <c r="B1957"/>
      <c r="C1957"/>
      <c r="D1957"/>
      <c r="E1957"/>
      <c r="F1957"/>
      <c r="G1957" s="14"/>
      <c r="H1957"/>
      <c r="I1957"/>
      <c r="J1957"/>
    </row>
    <row r="1958" spans="2:10">
      <c r="B1958"/>
      <c r="C1958"/>
      <c r="D1958"/>
      <c r="E1958"/>
      <c r="F1958"/>
      <c r="G1958" s="14"/>
      <c r="H1958"/>
      <c r="I1958"/>
      <c r="J1958"/>
    </row>
    <row r="1959" spans="2:10">
      <c r="B1959"/>
      <c r="C1959"/>
      <c r="D1959"/>
      <c r="E1959"/>
      <c r="F1959"/>
      <c r="G1959" s="14"/>
      <c r="H1959"/>
      <c r="I1959"/>
      <c r="J1959"/>
    </row>
    <row r="1960" spans="2:10">
      <c r="B1960"/>
      <c r="C1960"/>
      <c r="D1960"/>
      <c r="E1960"/>
      <c r="F1960"/>
      <c r="G1960" s="14"/>
      <c r="H1960"/>
      <c r="I1960"/>
      <c r="J1960"/>
    </row>
    <row r="1961" spans="2:10">
      <c r="B1961"/>
      <c r="C1961"/>
      <c r="D1961"/>
      <c r="E1961"/>
      <c r="F1961"/>
      <c r="G1961" s="14"/>
      <c r="H1961"/>
      <c r="I1961"/>
      <c r="J1961"/>
    </row>
    <row r="1962" spans="2:10">
      <c r="B1962"/>
      <c r="C1962"/>
      <c r="D1962"/>
      <c r="E1962"/>
      <c r="F1962"/>
      <c r="G1962" s="14"/>
      <c r="H1962"/>
      <c r="I1962"/>
      <c r="J1962"/>
    </row>
    <row r="1963" spans="2:10">
      <c r="B1963"/>
      <c r="C1963"/>
      <c r="D1963"/>
      <c r="E1963"/>
      <c r="F1963"/>
      <c r="G1963" s="14"/>
      <c r="H1963"/>
      <c r="I1963"/>
      <c r="J1963"/>
    </row>
    <row r="1964" spans="2:10">
      <c r="B1964"/>
      <c r="C1964"/>
      <c r="D1964"/>
      <c r="E1964"/>
      <c r="F1964"/>
      <c r="G1964" s="14"/>
      <c r="H1964"/>
      <c r="I1964"/>
      <c r="J1964"/>
    </row>
    <row r="1965" spans="2:10">
      <c r="B1965"/>
      <c r="C1965"/>
      <c r="D1965"/>
      <c r="E1965"/>
      <c r="F1965"/>
      <c r="G1965" s="14"/>
      <c r="H1965"/>
      <c r="I1965"/>
      <c r="J1965"/>
    </row>
    <row r="1966" spans="2:10">
      <c r="B1966"/>
      <c r="C1966"/>
      <c r="D1966"/>
      <c r="E1966"/>
      <c r="F1966"/>
      <c r="G1966" s="14"/>
      <c r="H1966"/>
      <c r="I1966"/>
      <c r="J1966"/>
    </row>
    <row r="1967" spans="2:10">
      <c r="B1967"/>
      <c r="C1967"/>
      <c r="D1967"/>
      <c r="E1967"/>
      <c r="F1967"/>
      <c r="G1967" s="14"/>
      <c r="H1967"/>
      <c r="I1967"/>
      <c r="J1967"/>
    </row>
    <row r="1968" spans="2:10">
      <c r="B1968"/>
      <c r="C1968"/>
      <c r="D1968"/>
      <c r="E1968"/>
      <c r="F1968"/>
      <c r="G1968" s="14"/>
      <c r="H1968"/>
      <c r="I1968"/>
      <c r="J1968"/>
    </row>
    <row r="1969" spans="2:10">
      <c r="B1969"/>
      <c r="C1969"/>
      <c r="D1969"/>
      <c r="E1969"/>
      <c r="F1969"/>
      <c r="G1969" s="14"/>
      <c r="H1969"/>
      <c r="I1969"/>
      <c r="J1969"/>
    </row>
    <row r="1970" spans="2:10">
      <c r="B1970"/>
      <c r="C1970"/>
      <c r="D1970"/>
      <c r="E1970"/>
      <c r="F1970"/>
      <c r="G1970" s="14"/>
      <c r="H1970"/>
      <c r="I1970"/>
      <c r="J1970"/>
    </row>
    <row r="1971" spans="2:10">
      <c r="B1971"/>
      <c r="C1971"/>
      <c r="D1971"/>
      <c r="E1971"/>
      <c r="F1971"/>
      <c r="G1971" s="14"/>
      <c r="H1971"/>
      <c r="I1971"/>
      <c r="J1971"/>
    </row>
    <row r="1972" spans="2:10">
      <c r="B1972"/>
      <c r="C1972"/>
      <c r="D1972"/>
      <c r="E1972"/>
      <c r="F1972"/>
      <c r="G1972" s="14"/>
      <c r="H1972"/>
      <c r="I1972"/>
      <c r="J1972"/>
    </row>
    <row r="1973" spans="2:10">
      <c r="B1973"/>
      <c r="C1973"/>
      <c r="D1973"/>
      <c r="E1973"/>
      <c r="F1973"/>
      <c r="G1973" s="14"/>
      <c r="H1973"/>
      <c r="I1973"/>
      <c r="J1973"/>
    </row>
    <row r="1974" spans="2:10">
      <c r="B1974"/>
      <c r="C1974"/>
      <c r="D1974"/>
      <c r="E1974"/>
      <c r="F1974"/>
      <c r="G1974" s="14"/>
      <c r="H1974"/>
      <c r="I1974"/>
      <c r="J1974"/>
    </row>
    <row r="1975" spans="2:10">
      <c r="B1975"/>
      <c r="C1975"/>
      <c r="D1975"/>
      <c r="E1975"/>
      <c r="F1975"/>
      <c r="G1975" s="14"/>
      <c r="H1975"/>
      <c r="I1975"/>
      <c r="J1975"/>
    </row>
    <row r="1976" spans="2:10">
      <c r="B1976"/>
      <c r="C1976"/>
      <c r="D1976"/>
      <c r="E1976"/>
      <c r="F1976"/>
      <c r="G1976" s="14"/>
      <c r="H1976"/>
      <c r="I1976"/>
      <c r="J1976"/>
    </row>
    <row r="1977" spans="2:10">
      <c r="B1977"/>
      <c r="C1977"/>
      <c r="D1977"/>
      <c r="E1977"/>
      <c r="F1977"/>
      <c r="G1977" s="14"/>
      <c r="H1977"/>
      <c r="I1977"/>
      <c r="J1977"/>
    </row>
    <row r="1978" spans="2:10">
      <c r="B1978"/>
      <c r="C1978"/>
      <c r="D1978"/>
      <c r="E1978"/>
      <c r="F1978"/>
      <c r="G1978" s="14"/>
      <c r="H1978"/>
      <c r="I1978"/>
      <c r="J1978"/>
    </row>
    <row r="1979" spans="2:10">
      <c r="B1979"/>
      <c r="C1979"/>
      <c r="D1979"/>
      <c r="E1979"/>
      <c r="F1979"/>
      <c r="G1979" s="14"/>
      <c r="H1979"/>
      <c r="I1979"/>
      <c r="J1979"/>
    </row>
    <row r="1980" spans="2:10">
      <c r="B1980"/>
      <c r="C1980"/>
      <c r="D1980"/>
      <c r="E1980"/>
      <c r="F1980"/>
      <c r="G1980" s="14"/>
      <c r="H1980"/>
      <c r="I1980"/>
      <c r="J1980"/>
    </row>
    <row r="1981" spans="2:10">
      <c r="B1981"/>
      <c r="C1981"/>
      <c r="D1981"/>
      <c r="E1981"/>
      <c r="F1981"/>
      <c r="G1981" s="14"/>
      <c r="H1981"/>
      <c r="I1981"/>
      <c r="J1981"/>
    </row>
    <row r="1982" spans="2:10">
      <c r="B1982"/>
      <c r="C1982"/>
      <c r="D1982"/>
      <c r="E1982"/>
      <c r="F1982"/>
      <c r="G1982" s="14"/>
      <c r="H1982"/>
      <c r="I1982"/>
      <c r="J1982"/>
    </row>
    <row r="1983" spans="2:10">
      <c r="B1983"/>
      <c r="C1983"/>
      <c r="D1983"/>
      <c r="E1983"/>
      <c r="F1983"/>
      <c r="G1983" s="14"/>
      <c r="H1983"/>
      <c r="I1983"/>
      <c r="J1983"/>
    </row>
    <row r="1984" spans="2:10">
      <c r="B1984"/>
      <c r="C1984"/>
      <c r="D1984"/>
      <c r="E1984"/>
      <c r="F1984"/>
      <c r="G1984" s="14"/>
      <c r="H1984"/>
      <c r="I1984"/>
      <c r="J1984"/>
    </row>
    <row r="1985" spans="2:10">
      <c r="B1985"/>
      <c r="C1985"/>
      <c r="D1985"/>
      <c r="E1985"/>
      <c r="F1985"/>
      <c r="G1985" s="14"/>
      <c r="H1985"/>
      <c r="I1985"/>
      <c r="J1985"/>
    </row>
    <row r="1986" spans="2:10">
      <c r="B1986"/>
      <c r="C1986"/>
      <c r="D1986"/>
      <c r="E1986"/>
      <c r="F1986"/>
      <c r="G1986" s="14"/>
      <c r="H1986"/>
      <c r="I1986"/>
      <c r="J1986"/>
    </row>
    <row r="1987" spans="2:10">
      <c r="B1987"/>
      <c r="C1987"/>
      <c r="D1987"/>
      <c r="E1987"/>
      <c r="F1987"/>
      <c r="G1987" s="14"/>
      <c r="H1987"/>
      <c r="I1987"/>
      <c r="J1987"/>
    </row>
    <row r="1988" spans="2:10">
      <c r="B1988"/>
      <c r="C1988"/>
      <c r="D1988"/>
      <c r="E1988"/>
      <c r="F1988"/>
      <c r="G1988" s="14"/>
      <c r="H1988"/>
      <c r="I1988"/>
      <c r="J1988"/>
    </row>
    <row r="1989" spans="2:10">
      <c r="B1989"/>
      <c r="C1989"/>
      <c r="D1989"/>
      <c r="E1989"/>
      <c r="F1989"/>
      <c r="G1989" s="14"/>
      <c r="H1989"/>
      <c r="I1989"/>
      <c r="J1989"/>
    </row>
    <row r="1990" spans="2:10">
      <c r="B1990"/>
      <c r="C1990"/>
      <c r="D1990"/>
      <c r="E1990"/>
      <c r="F1990"/>
      <c r="G1990" s="14"/>
      <c r="H1990"/>
      <c r="I1990"/>
      <c r="J1990"/>
    </row>
    <row r="1991" spans="2:10">
      <c r="B1991"/>
      <c r="C1991"/>
      <c r="D1991"/>
      <c r="E1991"/>
      <c r="F1991"/>
      <c r="G1991" s="14"/>
      <c r="H1991"/>
      <c r="I1991"/>
      <c r="J1991"/>
    </row>
    <row r="1992" spans="2:10">
      <c r="B1992"/>
      <c r="C1992"/>
      <c r="D1992"/>
      <c r="E1992"/>
      <c r="F1992"/>
      <c r="G1992" s="14"/>
      <c r="H1992"/>
      <c r="I1992"/>
      <c r="J1992"/>
    </row>
    <row r="1993" spans="2:10">
      <c r="B1993"/>
      <c r="C1993"/>
      <c r="D1993"/>
      <c r="E1993"/>
      <c r="F1993"/>
      <c r="G1993" s="14"/>
      <c r="H1993"/>
      <c r="I1993"/>
      <c r="J1993"/>
    </row>
    <row r="1994" spans="2:10">
      <c r="B1994"/>
      <c r="C1994"/>
      <c r="D1994"/>
      <c r="E1994"/>
      <c r="F1994"/>
      <c r="G1994" s="14"/>
      <c r="H1994"/>
      <c r="I1994"/>
      <c r="J1994"/>
    </row>
    <row r="1995" spans="2:10">
      <c r="B1995"/>
      <c r="C1995"/>
      <c r="D1995"/>
      <c r="E1995"/>
      <c r="F1995"/>
      <c r="G1995" s="14"/>
      <c r="H1995"/>
      <c r="I1995"/>
      <c r="J1995"/>
    </row>
    <row r="1996" spans="2:10">
      <c r="B1996"/>
      <c r="C1996"/>
      <c r="D1996"/>
      <c r="E1996"/>
      <c r="F1996"/>
      <c r="G1996" s="14"/>
      <c r="H1996"/>
      <c r="I1996"/>
      <c r="J1996"/>
    </row>
    <row r="1997" spans="2:10">
      <c r="B1997"/>
      <c r="C1997"/>
      <c r="D1997"/>
      <c r="E1997"/>
      <c r="F1997"/>
      <c r="G1997" s="14"/>
      <c r="H1997"/>
      <c r="I1997"/>
      <c r="J1997"/>
    </row>
    <row r="1998" spans="2:10">
      <c r="B1998"/>
      <c r="C1998"/>
      <c r="D1998"/>
      <c r="E1998"/>
      <c r="F1998"/>
      <c r="G1998" s="14"/>
      <c r="H1998"/>
      <c r="I1998"/>
      <c r="J1998"/>
    </row>
    <row r="1999" spans="2:10">
      <c r="B1999"/>
      <c r="C1999"/>
      <c r="D1999"/>
      <c r="E1999"/>
      <c r="F1999"/>
      <c r="G1999" s="14"/>
      <c r="H1999"/>
      <c r="I1999"/>
      <c r="J1999"/>
    </row>
    <row r="2000" spans="2:10">
      <c r="B2000"/>
      <c r="C2000"/>
      <c r="D2000"/>
      <c r="E2000"/>
      <c r="F2000"/>
      <c r="G2000" s="14"/>
      <c r="H2000"/>
      <c r="I2000"/>
      <c r="J2000"/>
    </row>
    <row r="2001" spans="2:10">
      <c r="B2001"/>
      <c r="C2001"/>
      <c r="D2001"/>
      <c r="E2001"/>
      <c r="F2001"/>
      <c r="G2001" s="14"/>
      <c r="H2001"/>
      <c r="I2001"/>
      <c r="J2001"/>
    </row>
    <row r="2002" spans="2:10">
      <c r="B2002"/>
      <c r="C2002"/>
      <c r="D2002"/>
      <c r="E2002"/>
      <c r="F2002"/>
      <c r="G2002" s="14"/>
      <c r="H2002"/>
      <c r="I2002"/>
      <c r="J2002"/>
    </row>
    <row r="2003" spans="2:10">
      <c r="B2003"/>
      <c r="C2003"/>
      <c r="D2003"/>
      <c r="E2003"/>
      <c r="F2003"/>
      <c r="G2003" s="14"/>
      <c r="H2003"/>
      <c r="I2003"/>
      <c r="J2003"/>
    </row>
    <row r="2004" spans="2:10">
      <c r="B2004"/>
      <c r="C2004"/>
      <c r="D2004"/>
      <c r="E2004"/>
      <c r="F2004"/>
      <c r="G2004" s="14"/>
      <c r="H2004"/>
      <c r="I2004"/>
      <c r="J2004"/>
    </row>
    <row r="2005" spans="2:10">
      <c r="B2005"/>
      <c r="C2005"/>
      <c r="D2005"/>
      <c r="E2005"/>
      <c r="F2005"/>
      <c r="G2005" s="14"/>
      <c r="H2005"/>
      <c r="I2005"/>
      <c r="J2005"/>
    </row>
    <row r="2006" spans="2:10">
      <c r="B2006"/>
      <c r="C2006"/>
      <c r="D2006"/>
      <c r="E2006"/>
      <c r="F2006"/>
      <c r="G2006" s="14"/>
      <c r="H2006"/>
      <c r="I2006"/>
      <c r="J2006"/>
    </row>
    <row r="2007" spans="2:10">
      <c r="B2007"/>
      <c r="C2007"/>
      <c r="D2007"/>
      <c r="E2007"/>
      <c r="F2007"/>
      <c r="G2007" s="14"/>
      <c r="H2007"/>
      <c r="I2007"/>
      <c r="J2007"/>
    </row>
    <row r="2008" spans="2:10">
      <c r="B2008"/>
      <c r="C2008"/>
      <c r="D2008"/>
      <c r="E2008"/>
      <c r="F2008"/>
      <c r="G2008" s="14"/>
      <c r="H2008"/>
      <c r="I2008"/>
      <c r="J2008"/>
    </row>
    <row r="2009" spans="2:10">
      <c r="B2009"/>
      <c r="C2009"/>
      <c r="D2009"/>
      <c r="E2009"/>
      <c r="F2009"/>
      <c r="G2009" s="14"/>
      <c r="H2009"/>
      <c r="I2009"/>
      <c r="J2009"/>
    </row>
    <row r="2010" spans="2:10">
      <c r="B2010"/>
      <c r="C2010"/>
      <c r="D2010"/>
      <c r="E2010"/>
      <c r="F2010"/>
      <c r="G2010" s="14"/>
      <c r="H2010"/>
      <c r="I2010"/>
      <c r="J2010"/>
    </row>
    <row r="2011" spans="2:10">
      <c r="B2011"/>
      <c r="C2011"/>
      <c r="D2011"/>
      <c r="E2011"/>
      <c r="F2011"/>
      <c r="G2011" s="14"/>
      <c r="H2011"/>
      <c r="I2011"/>
      <c r="J2011"/>
    </row>
    <row r="2012" spans="2:10">
      <c r="B2012"/>
      <c r="C2012"/>
      <c r="D2012"/>
      <c r="E2012"/>
      <c r="F2012"/>
      <c r="G2012" s="14"/>
      <c r="H2012"/>
      <c r="I2012"/>
      <c r="J2012"/>
    </row>
    <row r="2013" spans="2:10">
      <c r="B2013"/>
      <c r="C2013"/>
      <c r="D2013"/>
      <c r="E2013"/>
      <c r="F2013"/>
      <c r="G2013" s="14"/>
      <c r="H2013"/>
      <c r="I2013"/>
      <c r="J2013"/>
    </row>
    <row r="2014" spans="2:10">
      <c r="B2014"/>
      <c r="C2014"/>
      <c r="D2014"/>
      <c r="E2014"/>
      <c r="F2014"/>
      <c r="G2014" s="14"/>
      <c r="H2014"/>
      <c r="I2014"/>
      <c r="J2014"/>
    </row>
    <row r="2015" spans="2:10">
      <c r="B2015"/>
      <c r="C2015"/>
      <c r="D2015"/>
      <c r="E2015"/>
      <c r="F2015"/>
      <c r="G2015" s="14"/>
      <c r="H2015"/>
      <c r="I2015"/>
      <c r="J2015"/>
    </row>
    <row r="2016" spans="2:10">
      <c r="B2016"/>
      <c r="C2016"/>
      <c r="D2016"/>
      <c r="E2016"/>
      <c r="F2016"/>
      <c r="G2016" s="14"/>
      <c r="H2016"/>
      <c r="I2016"/>
      <c r="J2016"/>
    </row>
    <row r="2017" spans="2:10">
      <c r="B2017"/>
      <c r="C2017"/>
      <c r="D2017"/>
      <c r="E2017"/>
      <c r="F2017"/>
      <c r="G2017" s="14"/>
      <c r="H2017"/>
      <c r="I2017"/>
      <c r="J2017"/>
    </row>
    <row r="2018" spans="2:10">
      <c r="B2018"/>
      <c r="C2018"/>
      <c r="D2018"/>
      <c r="E2018"/>
      <c r="F2018"/>
      <c r="G2018" s="14"/>
      <c r="H2018"/>
      <c r="I2018"/>
      <c r="J2018"/>
    </row>
    <row r="2019" spans="2:10">
      <c r="B2019"/>
      <c r="C2019"/>
      <c r="D2019"/>
      <c r="E2019"/>
      <c r="F2019"/>
      <c r="G2019" s="14"/>
      <c r="H2019"/>
      <c r="I2019"/>
      <c r="J2019"/>
    </row>
    <row r="2020" spans="2:10">
      <c r="B2020"/>
      <c r="C2020"/>
      <c r="D2020"/>
      <c r="E2020"/>
      <c r="F2020"/>
      <c r="G2020" s="14"/>
      <c r="H2020"/>
      <c r="I2020"/>
      <c r="J2020"/>
    </row>
    <row r="2021" spans="2:10">
      <c r="B2021"/>
      <c r="C2021"/>
      <c r="D2021"/>
      <c r="E2021"/>
      <c r="F2021"/>
      <c r="G2021" s="14"/>
      <c r="H2021"/>
      <c r="I2021"/>
      <c r="J2021"/>
    </row>
    <row r="2022" spans="2:10">
      <c r="B2022"/>
      <c r="C2022"/>
      <c r="D2022"/>
      <c r="E2022"/>
      <c r="F2022"/>
      <c r="G2022" s="14"/>
      <c r="H2022"/>
      <c r="I2022"/>
      <c r="J2022"/>
    </row>
    <row r="2023" spans="2:10">
      <c r="B2023"/>
      <c r="C2023"/>
      <c r="D2023"/>
      <c r="E2023"/>
      <c r="F2023"/>
      <c r="G2023" s="14"/>
      <c r="H2023"/>
      <c r="I2023"/>
      <c r="J2023"/>
    </row>
    <row r="2024" spans="2:10">
      <c r="B2024"/>
      <c r="C2024"/>
      <c r="D2024"/>
      <c r="E2024"/>
      <c r="F2024"/>
      <c r="G2024" s="14"/>
      <c r="H2024"/>
      <c r="I2024"/>
      <c r="J2024"/>
    </row>
    <row r="2025" spans="2:10">
      <c r="B2025"/>
      <c r="C2025"/>
      <c r="D2025"/>
      <c r="E2025"/>
      <c r="F2025"/>
      <c r="G2025" s="14"/>
      <c r="H2025"/>
      <c r="I2025"/>
      <c r="J2025"/>
    </row>
    <row r="2026" spans="2:10">
      <c r="B2026"/>
      <c r="C2026"/>
      <c r="D2026"/>
      <c r="E2026"/>
      <c r="F2026"/>
      <c r="G2026" s="14"/>
      <c r="H2026"/>
      <c r="I2026"/>
      <c r="J2026"/>
    </row>
    <row r="2027" spans="2:10">
      <c r="B2027"/>
      <c r="C2027"/>
      <c r="D2027"/>
      <c r="E2027"/>
      <c r="F2027"/>
      <c r="G2027" s="14"/>
      <c r="H2027"/>
      <c r="I2027"/>
      <c r="J2027"/>
    </row>
    <row r="2028" spans="2:10">
      <c r="B2028"/>
      <c r="C2028"/>
      <c r="D2028"/>
      <c r="E2028"/>
      <c r="F2028"/>
      <c r="G2028" s="14"/>
      <c r="H2028"/>
      <c r="I2028"/>
      <c r="J2028"/>
    </row>
    <row r="2029" spans="2:10">
      <c r="B2029"/>
      <c r="C2029"/>
      <c r="D2029"/>
      <c r="E2029"/>
      <c r="F2029"/>
      <c r="G2029" s="14"/>
      <c r="H2029"/>
      <c r="I2029"/>
      <c r="J2029"/>
    </row>
    <row r="2030" spans="2:10">
      <c r="B2030"/>
      <c r="C2030"/>
      <c r="D2030"/>
      <c r="E2030"/>
      <c r="F2030"/>
      <c r="G2030" s="14"/>
      <c r="H2030"/>
      <c r="I2030"/>
      <c r="J2030"/>
    </row>
    <row r="2031" spans="2:10">
      <c r="B2031"/>
      <c r="C2031"/>
      <c r="D2031"/>
      <c r="E2031"/>
      <c r="F2031"/>
      <c r="G2031" s="14"/>
      <c r="H2031"/>
      <c r="I2031"/>
      <c r="J2031"/>
    </row>
    <row r="2032" spans="2:10">
      <c r="B2032"/>
      <c r="C2032"/>
      <c r="D2032"/>
      <c r="E2032"/>
      <c r="F2032"/>
      <c r="G2032" s="14"/>
      <c r="H2032"/>
      <c r="I2032"/>
      <c r="J2032"/>
    </row>
  </sheetData>
  <phoneticPr fontId="3" type="noConversion"/>
  <conditionalFormatting sqref="K22:K1416">
    <cfRule type="expression" dxfId="30" priority="1">
      <formula>LEFT(A22,2)="TU"</formula>
    </cfRule>
  </conditionalFormatting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92D050"/>
  </sheetPr>
  <dimension ref="A1:S684"/>
  <sheetViews>
    <sheetView topLeftCell="A34" zoomScale="115" zoomScaleNormal="115" workbookViewId="0">
      <selection activeCell="I47" sqref="I47"/>
    </sheetView>
  </sheetViews>
  <sheetFormatPr defaultRowHeight="16.5"/>
  <cols>
    <col min="1" max="1" width="14.625" bestFit="1" customWidth="1"/>
    <col min="2" max="2" width="17.125" style="14" bestFit="1" customWidth="1"/>
    <col min="3" max="3" width="12.25" style="14" customWidth="1"/>
    <col min="4" max="4" width="16.25" style="534" customWidth="1"/>
    <col min="5" max="5" width="15.625" style="2" customWidth="1"/>
    <col min="6" max="6" width="12.375" style="14" customWidth="1"/>
    <col min="7" max="7" width="10" customWidth="1"/>
    <col min="8" max="8" width="17.25" style="555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343</v>
      </c>
      <c r="F1" s="2"/>
      <c r="H1" s="474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307</v>
      </c>
      <c r="S2" s="131" t="s">
        <v>21</v>
      </c>
    </row>
    <row r="3" spans="1:19" s="102" customFormat="1">
      <c r="A3" s="773" t="s">
        <v>514</v>
      </c>
      <c r="B3" s="802">
        <v>44435</v>
      </c>
      <c r="C3" s="774"/>
      <c r="D3" s="775"/>
      <c r="E3" s="776">
        <v>0</v>
      </c>
      <c r="F3" s="774"/>
      <c r="G3" s="779">
        <f>-VLOOKUP(A3,'market px'!K$1:P$80,3,FALSE)*E3/1000000</f>
        <v>0</v>
      </c>
      <c r="H3" s="778"/>
      <c r="I3" s="777">
        <v>102.4952</v>
      </c>
      <c r="J3" s="774">
        <f>VLOOKUP(A3,'market px'!K$2:P$80,6,FALSE)</f>
        <v>102.6726</v>
      </c>
      <c r="K3" s="698">
        <f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690" t="s">
        <v>557</v>
      </c>
      <c r="B4" s="691"/>
      <c r="C4" s="774"/>
      <c r="D4" s="775"/>
      <c r="E4" s="776">
        <v>50000000</v>
      </c>
      <c r="F4" s="774"/>
      <c r="G4" s="779">
        <f>-VLOOKUP(A4,'market px'!K$1:P$80,3,FALSE)*E4/1000000</f>
        <v>-29400</v>
      </c>
      <c r="H4" s="778"/>
      <c r="I4" s="835">
        <v>103.849</v>
      </c>
      <c r="J4" s="774">
        <f>VLOOKUP(A4,'market px'!K$2:P$80,6,FALSE)</f>
        <v>103.646</v>
      </c>
      <c r="K4" s="698">
        <f>(J4-I4)*E4/100</f>
        <v>-101500.00000000147</v>
      </c>
      <c r="L4" s="693"/>
      <c r="M4" s="93"/>
      <c r="N4" s="93"/>
      <c r="O4" s="93"/>
      <c r="P4" s="93"/>
      <c r="Q4" s="93"/>
      <c r="S4" s="103"/>
    </row>
    <row r="5" spans="1:19" s="102" customFormat="1">
      <c r="A5" s="690"/>
      <c r="B5" s="691"/>
      <c r="C5" s="691"/>
      <c r="D5" s="692"/>
      <c r="E5" s="693"/>
      <c r="F5" s="693"/>
      <c r="G5" s="779"/>
      <c r="H5" s="695"/>
      <c r="I5" s="696"/>
      <c r="J5" s="696"/>
      <c r="K5" s="698"/>
      <c r="L5" s="693"/>
      <c r="M5" s="93"/>
      <c r="N5" s="93"/>
      <c r="O5" s="93"/>
      <c r="P5" s="93"/>
      <c r="Q5" s="93"/>
      <c r="S5" s="103"/>
    </row>
    <row r="6" spans="1:19" s="116" customFormat="1">
      <c r="A6" s="690"/>
      <c r="B6" s="691"/>
      <c r="C6" s="691"/>
      <c r="D6" s="699"/>
      <c r="E6" s="693"/>
      <c r="F6" s="693"/>
      <c r="G6" s="779"/>
      <c r="H6" s="695"/>
      <c r="I6" s="696"/>
      <c r="J6" s="696"/>
      <c r="K6" s="698"/>
      <c r="L6" s="693"/>
      <c r="S6" s="320"/>
    </row>
    <row r="7" spans="1:19" s="116" customFormat="1">
      <c r="A7" s="690"/>
      <c r="B7" s="691"/>
      <c r="C7" s="691"/>
      <c r="D7" s="699"/>
      <c r="E7" s="693"/>
      <c r="F7" s="693"/>
      <c r="G7" s="779"/>
      <c r="H7" s="695"/>
      <c r="I7" s="696"/>
      <c r="J7" s="696"/>
      <c r="K7" s="698"/>
      <c r="L7" s="693"/>
      <c r="S7" s="117"/>
    </row>
    <row r="8" spans="1:19" s="116" customFormat="1">
      <c r="A8" s="690"/>
      <c r="B8" s="691"/>
      <c r="C8" s="691"/>
      <c r="D8" s="699"/>
      <c r="E8" s="693"/>
      <c r="F8" s="693"/>
      <c r="G8" s="779"/>
      <c r="H8" s="695"/>
      <c r="I8" s="696"/>
      <c r="J8" s="696"/>
      <c r="K8" s="698"/>
      <c r="L8" s="693"/>
      <c r="S8" s="117"/>
    </row>
    <row r="9" spans="1:19" s="93" customFormat="1">
      <c r="A9" s="690" t="s">
        <v>432</v>
      </c>
      <c r="B9" s="700">
        <v>44252</v>
      </c>
      <c r="C9" s="691"/>
      <c r="D9" s="701"/>
      <c r="E9" s="702">
        <v>0</v>
      </c>
      <c r="F9" s="693"/>
      <c r="G9" s="779">
        <f>-VLOOKUP(A9,'market px'!K$2:P$50,3,FALSE)*E9/1000000</f>
        <v>0</v>
      </c>
      <c r="H9" s="703"/>
      <c r="I9" s="704">
        <v>99.840199999999996</v>
      </c>
      <c r="J9" s="696">
        <v>99.840199999999996</v>
      </c>
      <c r="K9" s="698">
        <f>(J9-I9)*E9/100</f>
        <v>0</v>
      </c>
      <c r="L9" s="693"/>
    </row>
    <row r="10" spans="1:19" s="93" customFormat="1">
      <c r="A10" s="690" t="s">
        <v>363</v>
      </c>
      <c r="B10" s="700">
        <v>44064</v>
      </c>
      <c r="C10" s="691"/>
      <c r="D10" s="701"/>
      <c r="E10" s="702">
        <v>0</v>
      </c>
      <c r="F10" s="693"/>
      <c r="G10" s="779">
        <f>-VLOOKUP(A10,'market px'!K$2:P$25,3,FALSE)*E10/1000000</f>
        <v>0</v>
      </c>
      <c r="H10" s="703"/>
      <c r="I10" s="704">
        <v>97.344700000000003</v>
      </c>
      <c r="J10" s="696">
        <v>97.344700000000003</v>
      </c>
      <c r="K10" s="698">
        <f>(J10-I10)*E10/100</f>
        <v>0</v>
      </c>
      <c r="L10" s="693"/>
      <c r="S10" s="131" t="s">
        <v>21</v>
      </c>
    </row>
    <row r="11" spans="1:19" s="93" customFormat="1">
      <c r="A11" s="690" t="s">
        <v>401</v>
      </c>
      <c r="B11" s="700">
        <v>44196</v>
      </c>
      <c r="C11" s="691"/>
      <c r="D11" s="701"/>
      <c r="E11" s="683">
        <v>0</v>
      </c>
      <c r="F11" s="693"/>
      <c r="G11" s="779">
        <f>-VLOOKUP(A11,'market px'!K$2:P$25,3,FALSE)*E11/1000000</f>
        <v>0</v>
      </c>
      <c r="H11" s="703"/>
      <c r="I11" s="704">
        <v>101.3485</v>
      </c>
      <c r="J11" s="696">
        <v>101.3485</v>
      </c>
      <c r="K11" s="698">
        <f>(J11-I11)*E11/100</f>
        <v>0</v>
      </c>
      <c r="L11" s="693"/>
      <c r="S11" s="131"/>
    </row>
    <row r="12" spans="1:19" s="93" customFormat="1">
      <c r="A12" s="690" t="s">
        <v>401</v>
      </c>
      <c r="B12" s="700">
        <v>43865</v>
      </c>
      <c r="C12" s="691"/>
      <c r="D12" s="701"/>
      <c r="E12" s="683">
        <v>0</v>
      </c>
      <c r="F12" s="693"/>
      <c r="G12" s="779">
        <f>-VLOOKUP(A12,'market px'!K$2:P$25,3,FALSE)*E12/1000000</f>
        <v>0</v>
      </c>
      <c r="H12" s="703"/>
      <c r="I12" s="704">
        <v>100.51349999999999</v>
      </c>
      <c r="J12" s="696">
        <v>100.51349999999999</v>
      </c>
      <c r="K12" s="698">
        <f>(J12-I12)*E12/100</f>
        <v>0</v>
      </c>
      <c r="L12" s="693"/>
      <c r="S12" s="131"/>
    </row>
    <row r="13" spans="1:19" s="93" customFormat="1">
      <c r="A13" s="690" t="s">
        <v>415</v>
      </c>
      <c r="B13" s="700">
        <v>44252</v>
      </c>
      <c r="C13" s="691"/>
      <c r="D13" s="701"/>
      <c r="E13" s="702">
        <v>0</v>
      </c>
      <c r="F13" s="693"/>
      <c r="G13" s="779">
        <f>-VLOOKUP(A13,'market px'!K$2:P$25,3,FALSE)*E13/1000000</f>
        <v>0</v>
      </c>
      <c r="H13" s="703"/>
      <c r="I13" s="704">
        <v>99.955399999999997</v>
      </c>
      <c r="J13" s="696">
        <v>99.955399999999997</v>
      </c>
      <c r="K13" s="698">
        <f>(J13-I13)*E13/100</f>
        <v>0</v>
      </c>
      <c r="L13" s="693"/>
      <c r="S13" s="131"/>
    </row>
    <row r="14" spans="1:19" s="102" customFormat="1">
      <c r="A14" s="690"/>
      <c r="B14" s="700"/>
      <c r="C14" s="700"/>
      <c r="D14" s="701"/>
      <c r="E14" s="705"/>
      <c r="F14" s="693"/>
      <c r="G14" s="694"/>
      <c r="H14" s="706"/>
      <c r="I14" s="704"/>
      <c r="J14" s="697"/>
      <c r="K14" s="698"/>
      <c r="L14" s="693"/>
      <c r="M14" s="93"/>
      <c r="N14" s="93"/>
      <c r="O14" s="93"/>
      <c r="P14" s="93"/>
      <c r="Q14" s="93"/>
      <c r="S14" s="103"/>
    </row>
    <row r="15" spans="1:19">
      <c r="A15" s="111" t="s">
        <v>166</v>
      </c>
      <c r="B15" s="313"/>
      <c r="C15" s="313"/>
      <c r="D15" s="539"/>
      <c r="E15" s="314">
        <f>SUM(E3:E14)</f>
        <v>50000000</v>
      </c>
      <c r="F15" s="314"/>
      <c r="G15" s="316">
        <f>SUM(G3:G14)</f>
        <v>-29400</v>
      </c>
      <c r="H15" s="479"/>
      <c r="I15" s="323"/>
      <c r="J15" s="318"/>
      <c r="K15" s="316">
        <f>SUM(K3:K14)</f>
        <v>-101500.00000000147</v>
      </c>
      <c r="L15" s="316"/>
    </row>
    <row r="16" spans="1:19">
      <c r="A16" t="s">
        <v>162</v>
      </c>
    </row>
    <row r="17" spans="1:19" s="93" customFormat="1">
      <c r="A17" s="206" t="s">
        <v>234</v>
      </c>
      <c r="B17" s="207" t="s">
        <v>176</v>
      </c>
      <c r="C17" s="207" t="s">
        <v>171</v>
      </c>
      <c r="D17" s="535" t="s">
        <v>170</v>
      </c>
      <c r="E17" s="208" t="s">
        <v>11</v>
      </c>
      <c r="F17" s="207" t="s">
        <v>2</v>
      </c>
      <c r="G17" s="209" t="s">
        <v>12</v>
      </c>
      <c r="H17" s="567" t="s">
        <v>236</v>
      </c>
      <c r="I17" s="209" t="s">
        <v>210</v>
      </c>
      <c r="J17" s="207" t="s">
        <v>211</v>
      </c>
      <c r="K17" s="260" t="s">
        <v>212</v>
      </c>
      <c r="L17" s="377"/>
      <c r="S17" s="131" t="s">
        <v>21</v>
      </c>
    </row>
    <row r="18" spans="1:19" s="102" customFormat="1">
      <c r="A18" s="690" t="s">
        <v>363</v>
      </c>
      <c r="B18" s="122">
        <v>44064</v>
      </c>
      <c r="C18" s="122"/>
      <c r="D18" s="536"/>
      <c r="E18" s="88">
        <v>0</v>
      </c>
      <c r="F18" s="122">
        <f>'Ryan-UR'!F4</f>
        <v>0</v>
      </c>
      <c r="G18" s="552">
        <f>-VLOOKUP(A18,'market px'!K$1:P$6,3,FALSE)*E18/1000000</f>
        <v>0</v>
      </c>
      <c r="H18" s="475">
        <f>'Ryan-UR'!H4</f>
        <v>0</v>
      </c>
      <c r="I18" s="396">
        <v>97.344700000000003</v>
      </c>
      <c r="J18" s="396">
        <f>VLOOKUP(A18,'market px'!K$2:P$15,6,FALSE)</f>
        <v>97.667400000000001</v>
      </c>
      <c r="K18" s="104">
        <f>(J18-I18)*E18/100</f>
        <v>0</v>
      </c>
      <c r="L18" s="382"/>
      <c r="M18" s="93"/>
      <c r="N18" s="93"/>
      <c r="O18" s="93"/>
      <c r="P18" s="93"/>
      <c r="Q18" s="93"/>
      <c r="S18" s="103"/>
    </row>
    <row r="19" spans="1:19" s="102" customFormat="1">
      <c r="A19" s="690" t="s">
        <v>365</v>
      </c>
      <c r="B19" s="122">
        <v>42535</v>
      </c>
      <c r="C19" s="122"/>
      <c r="D19" s="536"/>
      <c r="E19" s="88">
        <v>0</v>
      </c>
      <c r="F19" s="122">
        <v>45713</v>
      </c>
      <c r="G19" s="552">
        <f>-LOOKUP(A19,'market px'!K$2:K$497,'market px'!M$2:M$497)*E19/1000000</f>
        <v>0</v>
      </c>
      <c r="H19" s="475"/>
      <c r="I19" s="396">
        <v>99.9375</v>
      </c>
      <c r="J19" s="396">
        <f>VLOOKUP(A19,'market px'!$K$2:$P$5,6,FALSE)</f>
        <v>0</v>
      </c>
      <c r="K19" s="104">
        <f t="shared" ref="K19:K26" si="0">(J19-I19)*E19/100</f>
        <v>0</v>
      </c>
      <c r="L19" s="382"/>
      <c r="M19" s="93"/>
      <c r="N19" s="93"/>
      <c r="O19" s="93"/>
      <c r="P19" s="93"/>
      <c r="Q19" s="93"/>
      <c r="S19" s="103"/>
    </row>
    <row r="20" spans="1:19" s="102" customFormat="1">
      <c r="A20" s="690" t="s">
        <v>365</v>
      </c>
      <c r="B20" s="122">
        <v>42535</v>
      </c>
      <c r="C20" s="122"/>
      <c r="D20" s="536"/>
      <c r="E20" s="88">
        <v>0</v>
      </c>
      <c r="F20" s="122">
        <v>42505</v>
      </c>
      <c r="G20" s="552">
        <f>-LOOKUP(A20,'market px'!K$2:K$497,'market px'!M$2:M$497)*E20/1000000</f>
        <v>0</v>
      </c>
      <c r="H20" s="475"/>
      <c r="I20" s="129">
        <v>107.3125</v>
      </c>
      <c r="J20" s="396">
        <f>VLOOKUP(A20,'market px'!$K$2:$P$5,6,FALSE)</f>
        <v>0</v>
      </c>
      <c r="K20" s="104">
        <f t="shared" si="0"/>
        <v>0</v>
      </c>
      <c r="L20" s="382"/>
      <c r="M20" s="93"/>
      <c r="N20" s="93"/>
      <c r="O20" s="93"/>
      <c r="P20" s="93"/>
      <c r="Q20" s="93"/>
      <c r="S20" s="103"/>
    </row>
    <row r="21" spans="1:19" s="102" customFormat="1">
      <c r="A21" s="690" t="s">
        <v>365</v>
      </c>
      <c r="B21" s="122">
        <v>42549</v>
      </c>
      <c r="C21" s="122"/>
      <c r="D21" s="536"/>
      <c r="E21" s="88">
        <v>0</v>
      </c>
      <c r="F21" s="122">
        <v>39568</v>
      </c>
      <c r="G21" s="552">
        <f>-LOOKUP(A21,'market px'!K$2:K$497,'market px'!M$2:M$497)*E21/1000000</f>
        <v>0</v>
      </c>
      <c r="H21" s="475"/>
      <c r="I21" s="129">
        <v>104.296875</v>
      </c>
      <c r="J21" s="396">
        <f>VLOOKUP(A21,'market px'!$K$2:$P$5,6,FALSE)</f>
        <v>0</v>
      </c>
      <c r="K21" s="104">
        <f t="shared" si="0"/>
        <v>0</v>
      </c>
      <c r="L21" s="382"/>
      <c r="M21" s="93"/>
      <c r="N21" s="93"/>
      <c r="O21" s="93"/>
      <c r="P21" s="93"/>
      <c r="Q21" s="93"/>
      <c r="S21" s="103"/>
    </row>
    <row r="22" spans="1:19" s="102" customFormat="1">
      <c r="A22" s="690" t="s">
        <v>365</v>
      </c>
      <c r="B22" s="122">
        <v>42587</v>
      </c>
      <c r="C22" s="122"/>
      <c r="D22" s="536"/>
      <c r="E22" s="88">
        <v>0</v>
      </c>
      <c r="F22" s="122">
        <v>44048</v>
      </c>
      <c r="G22" s="552">
        <f>-LOOKUP(A22,'market px'!K$2:K$497,'market px'!M$2:M$497)*E22/1000000</f>
        <v>0</v>
      </c>
      <c r="H22" s="475"/>
      <c r="I22" s="129">
        <v>100.4765625</v>
      </c>
      <c r="J22" s="396">
        <f>VLOOKUP(A22,'market px'!$K$2:$P$5,6,FALSE)</f>
        <v>0</v>
      </c>
      <c r="K22" s="104">
        <f t="shared" si="0"/>
        <v>0</v>
      </c>
      <c r="L22" s="382"/>
      <c r="M22" s="93">
        <f>-LOOKUP(A18,'market px'!K$2:K$497,'market px'!M$2:M$497)</f>
        <v>-862</v>
      </c>
      <c r="N22" s="93"/>
      <c r="O22" s="93"/>
      <c r="P22" s="93"/>
      <c r="Q22" s="93"/>
      <c r="S22" s="103"/>
    </row>
    <row r="23" spans="1:19" s="102" customFormat="1">
      <c r="A23" s="690" t="s">
        <v>365</v>
      </c>
      <c r="B23" s="265">
        <v>42594</v>
      </c>
      <c r="C23" s="265"/>
      <c r="D23" s="537"/>
      <c r="E23" s="266">
        <v>0</v>
      </c>
      <c r="F23" s="265">
        <v>39568</v>
      </c>
      <c r="G23" s="552">
        <f>-LOOKUP(A23,'market px'!K$2:K$497,'market px'!M$2:M$497)*E23/1000000</f>
        <v>0</v>
      </c>
      <c r="H23" s="476"/>
      <c r="I23" s="268">
        <v>100.91796875</v>
      </c>
      <c r="J23" s="396">
        <f>VLOOKUP(A23,'market px'!$K$2:$P$5,6,FALSE)</f>
        <v>0</v>
      </c>
      <c r="K23" s="104">
        <f t="shared" si="0"/>
        <v>0</v>
      </c>
      <c r="L23" s="382"/>
      <c r="M23" s="93"/>
      <c r="N23" s="93"/>
      <c r="O23" s="93"/>
      <c r="P23" s="93"/>
      <c r="Q23" s="93"/>
      <c r="S23" s="103"/>
    </row>
    <row r="24" spans="1:19" s="116" customFormat="1">
      <c r="A24" s="690" t="s">
        <v>365</v>
      </c>
      <c r="B24" s="113">
        <v>42611</v>
      </c>
      <c r="C24" s="113"/>
      <c r="D24" s="538"/>
      <c r="E24" s="114">
        <v>0</v>
      </c>
      <c r="F24" s="113">
        <v>39568</v>
      </c>
      <c r="G24" s="552">
        <f>-LOOKUP(A24,'market px'!K$2:K$497,'market px'!M$2:M$497)*E24/1000000</f>
        <v>0</v>
      </c>
      <c r="H24" s="477"/>
      <c r="I24" s="319">
        <v>99.9375</v>
      </c>
      <c r="J24" s="396">
        <f>VLOOKUP(A24,'market px'!$K$2:$P$5,6,FALSE)</f>
        <v>0</v>
      </c>
      <c r="K24" s="261">
        <f t="shared" si="0"/>
        <v>0</v>
      </c>
      <c r="L24" s="382"/>
      <c r="S24" s="320"/>
    </row>
    <row r="25" spans="1:19" s="116" customFormat="1">
      <c r="A25" s="690" t="s">
        <v>365</v>
      </c>
      <c r="B25" s="113">
        <v>42621</v>
      </c>
      <c r="C25" s="113"/>
      <c r="D25" s="538"/>
      <c r="E25" s="114">
        <v>0</v>
      </c>
      <c r="F25" s="113">
        <v>39568</v>
      </c>
      <c r="G25" s="552">
        <f>-LOOKUP(A25,'market px'!K$2:K$497,'market px'!M$2:M$497)*E25/1000000</f>
        <v>0</v>
      </c>
      <c r="H25" s="477"/>
      <c r="I25" s="319">
        <v>100.6875</v>
      </c>
      <c r="J25" s="396">
        <f>VLOOKUP(A25,'market px'!$K$2:$P$5,6,FALSE)</f>
        <v>0</v>
      </c>
      <c r="K25" s="261">
        <f t="shared" si="0"/>
        <v>0</v>
      </c>
      <c r="L25" s="382"/>
      <c r="S25" s="320"/>
    </row>
    <row r="26" spans="1:19" s="116" customFormat="1">
      <c r="A26" s="690" t="s">
        <v>365</v>
      </c>
      <c r="B26" s="113">
        <v>38839</v>
      </c>
      <c r="C26" s="113"/>
      <c r="D26" s="538"/>
      <c r="E26" s="114">
        <v>0</v>
      </c>
      <c r="F26" s="113">
        <v>42019</v>
      </c>
      <c r="G26" s="552">
        <f>-LOOKUP(A26,'market px'!K$2:K$497,'market px'!M$2:M$497)*E26/1000000</f>
        <v>0</v>
      </c>
      <c r="H26" s="557" t="s">
        <v>23</v>
      </c>
      <c r="I26" s="319">
        <v>99.875</v>
      </c>
      <c r="J26" s="396">
        <f>VLOOKUP(A26,'market px'!$K$2:$P$5,6,FALSE)</f>
        <v>0</v>
      </c>
      <c r="K26" s="261">
        <f t="shared" si="0"/>
        <v>0</v>
      </c>
      <c r="L26" s="382"/>
      <c r="S26" s="117"/>
    </row>
    <row r="27" spans="1:19" s="116" customFormat="1">
      <c r="A27" s="111" t="s">
        <v>166</v>
      </c>
      <c r="B27" s="313"/>
      <c r="C27" s="313"/>
      <c r="D27" s="539"/>
      <c r="E27" s="314">
        <f>SUM(E18:E26)</f>
        <v>0</v>
      </c>
      <c r="F27" s="313"/>
      <c r="G27" s="316">
        <f>SUM(G18:G26)</f>
        <v>0</v>
      </c>
      <c r="H27" s="558"/>
      <c r="I27" s="323"/>
      <c r="J27" s="318"/>
      <c r="K27" s="316">
        <f>SUM(K18:K26)</f>
        <v>0</v>
      </c>
      <c r="L27" s="383"/>
      <c r="S27" s="117"/>
    </row>
    <row r="28" spans="1:19" s="93" customFormat="1">
      <c r="A28" s="93" t="s">
        <v>163</v>
      </c>
      <c r="B28" s="97"/>
      <c r="C28" s="97"/>
      <c r="D28" s="540"/>
      <c r="E28" s="100"/>
      <c r="F28" s="97"/>
      <c r="H28" s="559"/>
      <c r="I28" s="99"/>
      <c r="J28" s="99"/>
      <c r="L28" s="377"/>
    </row>
    <row r="29" spans="1:19" s="93" customFormat="1">
      <c r="A29" s="206" t="s">
        <v>234</v>
      </c>
      <c r="B29" s="207" t="s">
        <v>7</v>
      </c>
      <c r="C29" s="207" t="s">
        <v>171</v>
      </c>
      <c r="D29" s="535" t="s">
        <v>170</v>
      </c>
      <c r="E29" s="208" t="s">
        <v>11</v>
      </c>
      <c r="F29" s="207" t="s">
        <v>2</v>
      </c>
      <c r="G29" s="209" t="s">
        <v>12</v>
      </c>
      <c r="H29" s="567" t="s">
        <v>18</v>
      </c>
      <c r="I29" s="209" t="s">
        <v>213</v>
      </c>
      <c r="J29" s="207" t="s">
        <v>214</v>
      </c>
      <c r="K29" s="260" t="s">
        <v>215</v>
      </c>
      <c r="L29" s="377"/>
      <c r="S29" s="131" t="s">
        <v>21</v>
      </c>
    </row>
    <row r="30" spans="1:19" s="102" customFormat="1">
      <c r="A30" s="87" t="s">
        <v>300</v>
      </c>
      <c r="B30" s="122">
        <v>38898</v>
      </c>
      <c r="C30" s="122"/>
      <c r="D30" s="536"/>
      <c r="E30" s="88">
        <f t="shared" ref="E30:E35" si="1">1000000*0</f>
        <v>0</v>
      </c>
      <c r="F30" s="122">
        <v>42505</v>
      </c>
      <c r="G30" s="550">
        <f>-LOOKUP(A30,'market px'!K$2:K$497,'market px'!M$2:M$497)*E30/1000000</f>
        <v>0</v>
      </c>
      <c r="H30" s="475" t="s">
        <v>23</v>
      </c>
      <c r="I30" s="129">
        <v>99.46875</v>
      </c>
      <c r="J30" s="396">
        <f>LOOKUP(A30,'market px'!K$2:K$497,'market px'!P$2:$P$497)</f>
        <v>98.219200000000001</v>
      </c>
      <c r="K30" s="104">
        <f t="shared" ref="K30:K35" si="2">(J30-I30)*E30/100</f>
        <v>0</v>
      </c>
      <c r="L30" s="378"/>
      <c r="M30" s="93"/>
      <c r="N30" s="93"/>
      <c r="O30" s="93"/>
      <c r="P30" s="93"/>
      <c r="Q30" s="93"/>
      <c r="S30" s="103"/>
    </row>
    <row r="31" spans="1:19" s="102" customFormat="1">
      <c r="A31" s="87" t="s">
        <v>300</v>
      </c>
      <c r="B31" s="122">
        <v>38853</v>
      </c>
      <c r="C31" s="122"/>
      <c r="D31" s="536"/>
      <c r="E31" s="88">
        <f t="shared" si="1"/>
        <v>0</v>
      </c>
      <c r="F31" s="122">
        <v>42505</v>
      </c>
      <c r="G31" s="550">
        <f>-LOOKUP(A31,'market px'!K$2:K$497,'market px'!M$2:M$497)*E31/1000000</f>
        <v>0</v>
      </c>
      <c r="H31" s="475" t="s">
        <v>23</v>
      </c>
      <c r="I31" s="129">
        <v>95.90234375</v>
      </c>
      <c r="J31" s="129">
        <f>LOOKUP(A31,'market px'!K$2:K$497,'market px'!P$2:$P$497)</f>
        <v>98.219200000000001</v>
      </c>
      <c r="K31" s="104">
        <f t="shared" si="2"/>
        <v>0</v>
      </c>
      <c r="L31" s="378"/>
      <c r="M31" s="93"/>
      <c r="N31" s="93"/>
      <c r="O31" s="93"/>
      <c r="P31" s="93"/>
      <c r="Q31" s="93"/>
      <c r="S31" s="103"/>
    </row>
    <row r="32" spans="1:19" s="102" customFormat="1">
      <c r="A32" s="262" t="s">
        <v>300</v>
      </c>
      <c r="B32" s="265">
        <v>38839</v>
      </c>
      <c r="C32" s="265"/>
      <c r="D32" s="537"/>
      <c r="E32" s="266">
        <f t="shared" si="1"/>
        <v>0</v>
      </c>
      <c r="F32" s="265">
        <v>39568</v>
      </c>
      <c r="G32" s="551">
        <f>-LOOKUP(A32,'market px'!K$2:K$497,'market px'!M$2:M$497)*E32/1000000</f>
        <v>0</v>
      </c>
      <c r="H32" s="476"/>
      <c r="I32" s="268">
        <v>99.875</v>
      </c>
      <c r="J32" s="268">
        <f>LOOKUP(A32,'market px'!K$2:K$497,'market px'!P$2:$P$497)</f>
        <v>98.219200000000001</v>
      </c>
      <c r="K32" s="269">
        <f t="shared" si="2"/>
        <v>0</v>
      </c>
      <c r="L32" s="378"/>
      <c r="M32" s="93"/>
      <c r="N32" s="93"/>
      <c r="O32" s="93"/>
      <c r="P32" s="93"/>
      <c r="Q32" s="93"/>
      <c r="S32" s="103"/>
    </row>
    <row r="33" spans="1:19" s="102" customFormat="1">
      <c r="A33" s="262" t="s">
        <v>300</v>
      </c>
      <c r="B33" s="265">
        <v>38839</v>
      </c>
      <c r="C33" s="265"/>
      <c r="D33" s="537"/>
      <c r="E33" s="266">
        <f t="shared" si="1"/>
        <v>0</v>
      </c>
      <c r="F33" s="265">
        <v>39568</v>
      </c>
      <c r="G33" s="551">
        <f>-LOOKUP(A33,'market px'!K$2:K$497,'market px'!M$2:M$497)*E33/1000000</f>
        <v>0</v>
      </c>
      <c r="H33" s="476" t="s">
        <v>23</v>
      </c>
      <c r="I33" s="268">
        <v>99.875</v>
      </c>
      <c r="J33" s="268">
        <f>LOOKUP(A33,'market px'!K$2:K$497,'market px'!P$2:$P$497)</f>
        <v>98.219200000000001</v>
      </c>
      <c r="K33" s="269">
        <f t="shared" si="2"/>
        <v>0</v>
      </c>
      <c r="L33" s="378"/>
      <c r="M33" s="93"/>
      <c r="N33" s="93"/>
      <c r="O33" s="93"/>
      <c r="P33" s="93"/>
      <c r="Q33" s="93"/>
      <c r="S33" s="103"/>
    </row>
    <row r="34" spans="1:19" s="116" customFormat="1">
      <c r="A34" s="110" t="s">
        <v>300</v>
      </c>
      <c r="B34" s="113">
        <v>38839</v>
      </c>
      <c r="C34" s="113"/>
      <c r="D34" s="538"/>
      <c r="E34" s="114">
        <f t="shared" si="1"/>
        <v>0</v>
      </c>
      <c r="F34" s="113">
        <v>39568</v>
      </c>
      <c r="G34" s="552">
        <f>-LOOKUP(A34,'market px'!K$2:K$497,'market px'!M$2:M$497)*E34/1000000</f>
        <v>0</v>
      </c>
      <c r="H34" s="477" t="s">
        <v>23</v>
      </c>
      <c r="I34" s="319">
        <v>99.875</v>
      </c>
      <c r="J34" s="319">
        <f>LOOKUP(A34,'market px'!K$2:K$497,'market px'!P$2:$P$497)</f>
        <v>98.219200000000001</v>
      </c>
      <c r="K34" s="261">
        <f t="shared" si="2"/>
        <v>0</v>
      </c>
      <c r="L34" s="379"/>
      <c r="S34" s="320"/>
    </row>
    <row r="35" spans="1:19" s="116" customFormat="1">
      <c r="A35" s="110" t="s">
        <v>300</v>
      </c>
      <c r="B35" s="113">
        <v>38839</v>
      </c>
      <c r="C35" s="113"/>
      <c r="D35" s="538"/>
      <c r="E35" s="114">
        <f t="shared" si="1"/>
        <v>0</v>
      </c>
      <c r="F35" s="113">
        <v>42019</v>
      </c>
      <c r="G35" s="552">
        <f>-LOOKUP(A35,'market px'!K$2:K$497,'market px'!M$2:M$497)*E35/1000000</f>
        <v>0</v>
      </c>
      <c r="H35" s="557" t="s">
        <v>23</v>
      </c>
      <c r="I35" s="319">
        <v>99.875</v>
      </c>
      <c r="J35" s="319">
        <f>LOOKUP(A35,'market px'!K$2:K$497,'market px'!P$2:$P$497)</f>
        <v>98.219200000000001</v>
      </c>
      <c r="K35" s="261">
        <f t="shared" si="2"/>
        <v>0</v>
      </c>
      <c r="L35" s="380"/>
      <c r="S35" s="117"/>
    </row>
    <row r="36" spans="1:19" s="532" customFormat="1" ht="17.25" thickBot="1">
      <c r="A36" s="361" t="s">
        <v>166</v>
      </c>
      <c r="B36" s="363"/>
      <c r="C36" s="363"/>
      <c r="D36" s="541"/>
      <c r="E36" s="364">
        <f>SUM(E30:E35)</f>
        <v>0</v>
      </c>
      <c r="F36" s="363"/>
      <c r="G36" s="365">
        <f>SUM(G30:G35)</f>
        <v>0</v>
      </c>
      <c r="H36" s="560"/>
      <c r="I36" s="367"/>
      <c r="J36" s="366"/>
      <c r="K36" s="365">
        <f>SUM(K30:K35)</f>
        <v>0</v>
      </c>
      <c r="L36" s="531"/>
      <c r="S36" s="533"/>
    </row>
    <row r="37" spans="1:19" s="116" customFormat="1" ht="17.25" thickTop="1">
      <c r="A37" s="324" t="s">
        <v>164</v>
      </c>
      <c r="B37" s="313"/>
      <c r="C37" s="313"/>
      <c r="D37" s="539"/>
      <c r="E37" s="314"/>
      <c r="F37" s="313"/>
      <c r="G37" s="316"/>
      <c r="H37" s="558"/>
      <c r="I37" s="323"/>
      <c r="J37" s="318"/>
      <c r="K37" s="316"/>
      <c r="L37" s="380"/>
      <c r="S37" s="117"/>
    </row>
    <row r="38" spans="1:19" s="93" customFormat="1">
      <c r="A38" s="206" t="s">
        <v>261</v>
      </c>
      <c r="B38" s="207" t="s">
        <v>262</v>
      </c>
      <c r="C38" s="207" t="s">
        <v>263</v>
      </c>
      <c r="D38" s="535" t="s">
        <v>264</v>
      </c>
      <c r="E38" s="208" t="s">
        <v>302</v>
      </c>
      <c r="F38" s="207" t="s">
        <v>265</v>
      </c>
      <c r="G38" s="209" t="s">
        <v>266</v>
      </c>
      <c r="H38" s="567" t="s">
        <v>267</v>
      </c>
      <c r="I38" s="209" t="s">
        <v>268</v>
      </c>
      <c r="J38" s="207" t="s">
        <v>269</v>
      </c>
      <c r="K38" s="260" t="s">
        <v>270</v>
      </c>
      <c r="L38" s="377"/>
      <c r="M38"/>
      <c r="N38"/>
      <c r="O38"/>
      <c r="P38"/>
      <c r="Q38"/>
      <c r="S38" s="131" t="s">
        <v>21</v>
      </c>
    </row>
    <row r="39" spans="1:19" s="93" customFormat="1">
      <c r="A39" s="325" t="s">
        <v>629</v>
      </c>
      <c r="B39" s="333" t="s">
        <v>744</v>
      </c>
      <c r="C39" s="333" t="s">
        <v>339</v>
      </c>
      <c r="D39" s="819" t="s">
        <v>339</v>
      </c>
      <c r="E39" s="872">
        <v>0</v>
      </c>
      <c r="F39" s="333" t="s">
        <v>304</v>
      </c>
      <c r="G39" s="332">
        <f t="shared" ref="G39:G42" si="3">-77*E39</f>
        <v>0</v>
      </c>
      <c r="H39" s="334" t="s">
        <v>765</v>
      </c>
      <c r="I39" s="820">
        <v>114.765625</v>
      </c>
      <c r="J39" s="335">
        <f>_xlfn.IFNA(VLOOKUP(A39,'market px'!$B$2:$F$20,5,FALSE),0)</f>
        <v>111.28125</v>
      </c>
      <c r="K39" s="845">
        <f t="shared" ref="K39:K56" si="4">IF(LEFT(A39,2)="TU",(J39-I39)*E39/100*100000*2,(J39-I39)*E39/100*100000)</f>
        <v>0</v>
      </c>
      <c r="L39" s="377"/>
    </row>
    <row r="40" spans="1:19" s="93" customFormat="1">
      <c r="A40" s="325" t="s">
        <v>629</v>
      </c>
      <c r="B40" s="333" t="s">
        <v>666</v>
      </c>
      <c r="C40" s="333" t="s">
        <v>339</v>
      </c>
      <c r="D40" s="819" t="s">
        <v>339</v>
      </c>
      <c r="E40" s="872">
        <v>0</v>
      </c>
      <c r="F40" s="333" t="s">
        <v>304</v>
      </c>
      <c r="G40" s="332">
        <f t="shared" si="3"/>
        <v>0</v>
      </c>
      <c r="H40" s="334" t="s">
        <v>667</v>
      </c>
      <c r="I40" s="820">
        <v>113.71875</v>
      </c>
      <c r="J40" s="335">
        <f>_xlfn.IFNA(VLOOKUP(A40,'market px'!$B$2:$F$20,5,FALSE),0)</f>
        <v>111.28125</v>
      </c>
      <c r="K40" s="845">
        <f t="shared" si="4"/>
        <v>0</v>
      </c>
      <c r="L40" s="377"/>
    </row>
    <row r="41" spans="1:19" s="93" customFormat="1">
      <c r="A41" s="325" t="s">
        <v>629</v>
      </c>
      <c r="B41" s="333" t="s">
        <v>975</v>
      </c>
      <c r="C41" s="333" t="s">
        <v>339</v>
      </c>
      <c r="D41" s="819" t="s">
        <v>339</v>
      </c>
      <c r="E41" s="872">
        <v>0</v>
      </c>
      <c r="F41" s="333" t="s">
        <v>304</v>
      </c>
      <c r="G41" s="332">
        <f t="shared" si="3"/>
        <v>0</v>
      </c>
      <c r="H41" s="334" t="s">
        <v>979</v>
      </c>
      <c r="I41" s="820">
        <v>113.1875</v>
      </c>
      <c r="J41" s="335">
        <f>_xlfn.IFNA(VLOOKUP(A41,'market px'!$B$2:$F$20,5,FALSE),0)</f>
        <v>111.28125</v>
      </c>
      <c r="K41" s="845">
        <f t="shared" si="4"/>
        <v>0</v>
      </c>
      <c r="L41" s="377"/>
    </row>
    <row r="42" spans="1:19" s="93" customFormat="1">
      <c r="A42" s="325" t="s">
        <v>629</v>
      </c>
      <c r="B42" s="333" t="s">
        <v>935</v>
      </c>
      <c r="C42" s="333" t="s">
        <v>339</v>
      </c>
      <c r="D42" s="819" t="s">
        <v>339</v>
      </c>
      <c r="E42" s="872">
        <v>0</v>
      </c>
      <c r="F42" s="333" t="s">
        <v>304</v>
      </c>
      <c r="G42" s="332">
        <f t="shared" si="3"/>
        <v>0</v>
      </c>
      <c r="H42" s="334" t="s">
        <v>936</v>
      </c>
      <c r="I42" s="820">
        <v>114.125</v>
      </c>
      <c r="J42" s="335">
        <f>_xlfn.IFNA(VLOOKUP(A42,'market px'!$B$2:$F$20,5,FALSE),0)</f>
        <v>111.28125</v>
      </c>
      <c r="K42" s="845">
        <f t="shared" si="4"/>
        <v>0</v>
      </c>
      <c r="L42" s="377"/>
    </row>
    <row r="43" spans="1:19" s="93" customFormat="1">
      <c r="A43" s="325" t="s">
        <v>639</v>
      </c>
      <c r="B43" s="333" t="s">
        <v>939</v>
      </c>
      <c r="C43" s="333" t="s">
        <v>339</v>
      </c>
      <c r="D43" s="819" t="s">
        <v>339</v>
      </c>
      <c r="E43" s="872">
        <v>0</v>
      </c>
      <c r="F43" s="333" t="s">
        <v>304</v>
      </c>
      <c r="G43" s="332">
        <f>-18.6*2*E43</f>
        <v>0</v>
      </c>
      <c r="H43" s="334" t="s">
        <v>942</v>
      </c>
      <c r="I43" s="820">
        <v>102.40625</v>
      </c>
      <c r="J43" s="335">
        <f>_xlfn.IFNA(VLOOKUP(A43,'market px'!$B$2:$F$20,5,FALSE),0)</f>
        <v>101.76953125</v>
      </c>
      <c r="K43" s="845">
        <f t="shared" ref="K43:K45" si="5">IF(LEFT(A43,2)="TU",(J43-I43)*E43/100*100000*2,(J43-I43)*E43/100*100000)</f>
        <v>0</v>
      </c>
      <c r="L43" s="377"/>
    </row>
    <row r="44" spans="1:19" s="93" customFormat="1">
      <c r="A44" s="325" t="s">
        <v>639</v>
      </c>
      <c r="B44" s="333" t="s">
        <v>1005</v>
      </c>
      <c r="C44" s="333" t="s">
        <v>339</v>
      </c>
      <c r="D44" s="819" t="s">
        <v>339</v>
      </c>
      <c r="E44" s="872">
        <v>0</v>
      </c>
      <c r="F44" s="333" t="s">
        <v>304</v>
      </c>
      <c r="G44" s="332">
        <f>-18.6*2*E44</f>
        <v>0</v>
      </c>
      <c r="H44" s="334" t="s">
        <v>1006</v>
      </c>
      <c r="I44" s="820">
        <v>102.01953125</v>
      </c>
      <c r="J44" s="335">
        <f>_xlfn.IFNA(VLOOKUP(A44,'market px'!$B$2:$F$20,5,FALSE),0)</f>
        <v>101.76953125</v>
      </c>
      <c r="K44" s="845">
        <f t="shared" si="5"/>
        <v>0</v>
      </c>
      <c r="L44" s="377"/>
    </row>
    <row r="45" spans="1:19" s="93" customFormat="1">
      <c r="A45" s="325" t="s">
        <v>647</v>
      </c>
      <c r="B45" s="333" t="s">
        <v>1239</v>
      </c>
      <c r="C45" s="333" t="s">
        <v>339</v>
      </c>
      <c r="D45" s="819" t="s">
        <v>339</v>
      </c>
      <c r="E45" s="872">
        <v>0</v>
      </c>
      <c r="F45" s="333" t="s">
        <v>304</v>
      </c>
      <c r="G45" s="332">
        <f t="shared" ref="G45:G47" si="6">-42.7*E45</f>
        <v>0</v>
      </c>
      <c r="H45" s="334" t="s">
        <v>1250</v>
      </c>
      <c r="I45" s="820">
        <v>109.25</v>
      </c>
      <c r="J45" s="335">
        <f>_xlfn.IFNA(VLOOKUP(A45,'market px'!$B$2:$F$20,5,FALSE),0)</f>
        <v>110.8515625</v>
      </c>
      <c r="K45" s="845">
        <f t="shared" si="5"/>
        <v>0</v>
      </c>
      <c r="L45" s="377"/>
    </row>
    <row r="46" spans="1:19" s="270" customFormat="1">
      <c r="A46" s="325" t="s">
        <v>647</v>
      </c>
      <c r="B46" s="333" t="s">
        <v>1491</v>
      </c>
      <c r="C46" s="333" t="s">
        <v>339</v>
      </c>
      <c r="D46" s="819" t="s">
        <v>339</v>
      </c>
      <c r="E46" s="872">
        <v>10</v>
      </c>
      <c r="F46" s="333" t="s">
        <v>304</v>
      </c>
      <c r="G46" s="332">
        <f t="shared" si="6"/>
        <v>-427</v>
      </c>
      <c r="H46" s="334" t="s">
        <v>1503</v>
      </c>
      <c r="I46" s="820">
        <v>109.2734375</v>
      </c>
      <c r="J46" s="335">
        <f>_xlfn.IFNA(VLOOKUP(A46,'market px'!$B$2:$F$20,5,FALSE),0)</f>
        <v>110.8515625</v>
      </c>
      <c r="K46" s="845">
        <f t="shared" si="4"/>
        <v>15781.25</v>
      </c>
      <c r="L46" s="381"/>
    </row>
    <row r="47" spans="1:19" s="270" customFormat="1">
      <c r="A47" s="325" t="s">
        <v>647</v>
      </c>
      <c r="B47" s="333" t="s">
        <v>1491</v>
      </c>
      <c r="C47" s="333" t="s">
        <v>339</v>
      </c>
      <c r="D47" s="819" t="s">
        <v>339</v>
      </c>
      <c r="E47" s="872">
        <v>10</v>
      </c>
      <c r="F47" s="333" t="s">
        <v>304</v>
      </c>
      <c r="G47" s="332">
        <f t="shared" si="6"/>
        <v>-427</v>
      </c>
      <c r="H47" s="334" t="s">
        <v>1522</v>
      </c>
      <c r="I47" s="820">
        <v>109.375</v>
      </c>
      <c r="J47" s="335">
        <f>_xlfn.IFNA(VLOOKUP(A47,'market px'!$B$2:$F$20,5,FALSE),0)</f>
        <v>110.8515625</v>
      </c>
      <c r="K47" s="845">
        <f t="shared" si="4"/>
        <v>14765.624999999998</v>
      </c>
      <c r="L47" s="381"/>
    </row>
    <row r="48" spans="1:19" s="270" customFormat="1">
      <c r="A48" s="325" t="s">
        <v>1116</v>
      </c>
      <c r="B48" s="333" t="s">
        <v>1115</v>
      </c>
      <c r="C48" s="333" t="s">
        <v>339</v>
      </c>
      <c r="D48" s="819" t="s">
        <v>339</v>
      </c>
      <c r="E48" s="872">
        <v>0</v>
      </c>
      <c r="F48" s="333" t="s">
        <v>304</v>
      </c>
      <c r="G48" s="332">
        <f>-198*E48</f>
        <v>0</v>
      </c>
      <c r="H48" s="334" t="s">
        <v>1117</v>
      </c>
      <c r="I48" s="820">
        <v>123.5625</v>
      </c>
      <c r="J48" s="335">
        <f>_xlfn.IFNA(VLOOKUP(A48,'market px'!$B$2:$F$20,5,FALSE),0)</f>
        <v>134.09375</v>
      </c>
      <c r="K48" s="845">
        <f t="shared" si="4"/>
        <v>0</v>
      </c>
      <c r="L48" s="381"/>
    </row>
    <row r="49" spans="1:19" s="270" customFormat="1">
      <c r="A49" s="325" t="s">
        <v>587</v>
      </c>
      <c r="B49" s="333" t="s">
        <v>370</v>
      </c>
      <c r="C49" s="333" t="s">
        <v>339</v>
      </c>
      <c r="D49" s="819" t="s">
        <v>339</v>
      </c>
      <c r="E49" s="872">
        <v>0</v>
      </c>
      <c r="F49" s="333" t="s">
        <v>304</v>
      </c>
      <c r="G49" s="332">
        <f>-198*E49</f>
        <v>0</v>
      </c>
      <c r="H49" s="334" t="s">
        <v>371</v>
      </c>
      <c r="I49" s="820">
        <v>138.953125</v>
      </c>
      <c r="J49" s="335">
        <f>_xlfn.IFNA(VLOOKUP(A49,'market px'!$B$2:$F$20,5,FALSE),0)</f>
        <v>0</v>
      </c>
      <c r="K49" s="845">
        <f t="shared" si="4"/>
        <v>0</v>
      </c>
      <c r="L49" s="381"/>
    </row>
    <row r="50" spans="1:19" s="270" customFormat="1">
      <c r="A50" s="325" t="s">
        <v>579</v>
      </c>
      <c r="B50" s="333" t="s">
        <v>580</v>
      </c>
      <c r="C50" s="333" t="s">
        <v>339</v>
      </c>
      <c r="D50" s="819" t="s">
        <v>339</v>
      </c>
      <c r="E50" s="872">
        <v>0</v>
      </c>
      <c r="F50" s="333" t="s">
        <v>304</v>
      </c>
      <c r="G50" s="332">
        <f>-198*E50</f>
        <v>0</v>
      </c>
      <c r="H50" s="334" t="s">
        <v>581</v>
      </c>
      <c r="I50" s="820">
        <v>152.25</v>
      </c>
      <c r="J50" s="335">
        <f>_xlfn.IFNA(VLOOKUP(A50,'market px'!$B$2:$F$20,5,FALSE),0)</f>
        <v>0</v>
      </c>
      <c r="K50" s="845">
        <f t="shared" si="4"/>
        <v>0</v>
      </c>
      <c r="L50" s="381"/>
    </row>
    <row r="51" spans="1:19" s="270" customFormat="1">
      <c r="A51" s="325" t="s">
        <v>589</v>
      </c>
      <c r="B51" s="333" t="s">
        <v>595</v>
      </c>
      <c r="C51" s="333" t="s">
        <v>339</v>
      </c>
      <c r="D51" s="819" t="s">
        <v>339</v>
      </c>
      <c r="E51" s="872">
        <v>0</v>
      </c>
      <c r="F51" s="333" t="s">
        <v>304</v>
      </c>
      <c r="G51" s="332">
        <f>-18.6*2*E51</f>
        <v>0</v>
      </c>
      <c r="H51" s="334" t="s">
        <v>596</v>
      </c>
      <c r="I51" s="820">
        <v>104.59375</v>
      </c>
      <c r="J51" s="335">
        <f>_xlfn.IFNA(VLOOKUP(A51,'market px'!$B$2:$F$20,5,FALSE),0)</f>
        <v>0</v>
      </c>
      <c r="K51" s="845">
        <f t="shared" si="4"/>
        <v>0</v>
      </c>
      <c r="L51" s="381"/>
    </row>
    <row r="52" spans="1:19" s="270" customFormat="1">
      <c r="A52" s="325" t="s">
        <v>589</v>
      </c>
      <c r="B52" s="333" t="s">
        <v>597</v>
      </c>
      <c r="C52" s="333" t="s">
        <v>339</v>
      </c>
      <c r="D52" s="819" t="s">
        <v>339</v>
      </c>
      <c r="E52" s="872">
        <v>0</v>
      </c>
      <c r="F52" s="333" t="s">
        <v>304</v>
      </c>
      <c r="G52" s="332">
        <f>-18.6*2*E52</f>
        <v>0</v>
      </c>
      <c r="H52" s="334" t="s">
        <v>598</v>
      </c>
      <c r="I52" s="820">
        <v>104.65625</v>
      </c>
      <c r="J52" s="335">
        <f>_xlfn.IFNA(VLOOKUP(A52,'market px'!$B$2:$F$20,5,FALSE),0)</f>
        <v>0</v>
      </c>
      <c r="K52" s="845">
        <f t="shared" si="4"/>
        <v>0</v>
      </c>
      <c r="L52" s="381"/>
    </row>
    <row r="53" spans="1:19" s="270" customFormat="1">
      <c r="A53" s="325" t="s">
        <v>586</v>
      </c>
      <c r="B53" s="333" t="s">
        <v>593</v>
      </c>
      <c r="C53" s="333" t="s">
        <v>339</v>
      </c>
      <c r="D53" s="819" t="s">
        <v>339</v>
      </c>
      <c r="E53" s="872">
        <v>0</v>
      </c>
      <c r="F53" s="333" t="s">
        <v>304</v>
      </c>
      <c r="G53" s="332">
        <f t="shared" ref="G53:G61" si="7">-77*E53</f>
        <v>0</v>
      </c>
      <c r="H53" s="334" t="s">
        <v>594</v>
      </c>
      <c r="I53" s="820">
        <v>115.78125</v>
      </c>
      <c r="J53" s="335">
        <f>_xlfn.IFNA(VLOOKUP(A53,'market px'!$B$2:$F$20,5,FALSE),0)</f>
        <v>0</v>
      </c>
      <c r="K53" s="845">
        <f t="shared" si="4"/>
        <v>0</v>
      </c>
      <c r="L53" s="381"/>
    </row>
    <row r="54" spans="1:19" s="270" customFormat="1">
      <c r="A54" s="325" t="s">
        <v>586</v>
      </c>
      <c r="B54" s="333" t="s">
        <v>599</v>
      </c>
      <c r="C54" s="333" t="s">
        <v>339</v>
      </c>
      <c r="D54" s="819" t="s">
        <v>339</v>
      </c>
      <c r="E54" s="872">
        <v>0</v>
      </c>
      <c r="F54" s="333" t="s">
        <v>304</v>
      </c>
      <c r="G54" s="332">
        <f t="shared" si="7"/>
        <v>0</v>
      </c>
      <c r="H54" s="334" t="s">
        <v>600</v>
      </c>
      <c r="I54" s="820">
        <v>119.5625</v>
      </c>
      <c r="J54" s="335">
        <f>_xlfn.IFNA(VLOOKUP(A54,'market px'!$B$2:$F$20,5,FALSE),0)</f>
        <v>0</v>
      </c>
      <c r="K54" s="845">
        <f t="shared" si="4"/>
        <v>0</v>
      </c>
      <c r="L54" s="381"/>
    </row>
    <row r="55" spans="1:19" s="270" customFormat="1">
      <c r="A55" s="325" t="s">
        <v>526</v>
      </c>
      <c r="B55" s="333" t="s">
        <v>486</v>
      </c>
      <c r="C55" s="333" t="s">
        <v>339</v>
      </c>
      <c r="D55" s="819" t="s">
        <v>339</v>
      </c>
      <c r="E55" s="872">
        <v>0</v>
      </c>
      <c r="F55" s="333" t="s">
        <v>304</v>
      </c>
      <c r="G55" s="332">
        <f t="shared" si="7"/>
        <v>0</v>
      </c>
      <c r="H55" s="334" t="s">
        <v>487</v>
      </c>
      <c r="I55" s="820">
        <v>132.15625</v>
      </c>
      <c r="J55" s="335">
        <f>_xlfn.IFNA(VLOOKUP(A55,'market px'!$B$2:$F$20,5,FALSE),0)</f>
        <v>0</v>
      </c>
      <c r="K55" s="845">
        <f t="shared" si="4"/>
        <v>0</v>
      </c>
      <c r="L55" s="381"/>
    </row>
    <row r="56" spans="1:19" s="270" customFormat="1">
      <c r="A56" s="325" t="s">
        <v>526</v>
      </c>
      <c r="B56" s="333" t="s">
        <v>544</v>
      </c>
      <c r="C56" s="333" t="s">
        <v>339</v>
      </c>
      <c r="D56" s="819" t="s">
        <v>339</v>
      </c>
      <c r="E56" s="872">
        <v>0</v>
      </c>
      <c r="F56" s="333" t="s">
        <v>304</v>
      </c>
      <c r="G56" s="332">
        <f t="shared" si="7"/>
        <v>0</v>
      </c>
      <c r="H56" s="334" t="s">
        <v>545</v>
      </c>
      <c r="I56" s="820">
        <v>130.390625</v>
      </c>
      <c r="J56" s="335">
        <f>_xlfn.IFNA(VLOOKUP(A56,'market px'!$B$2:$F$20,5,FALSE),0)</f>
        <v>0</v>
      </c>
      <c r="K56" s="845">
        <f t="shared" si="4"/>
        <v>0</v>
      </c>
      <c r="L56" s="381"/>
    </row>
    <row r="57" spans="1:19" s="270" customFormat="1">
      <c r="A57" s="325"/>
      <c r="B57" s="333"/>
      <c r="C57" s="333"/>
      <c r="D57" s="819"/>
      <c r="E57" s="872"/>
      <c r="F57" s="333"/>
      <c r="G57" s="332">
        <f t="shared" si="7"/>
        <v>0</v>
      </c>
      <c r="H57" s="334"/>
      <c r="I57" s="820"/>
      <c r="J57" s="335"/>
      <c r="K57" s="845"/>
      <c r="L57" s="381"/>
    </row>
    <row r="58" spans="1:19" s="270" customFormat="1">
      <c r="A58" s="325"/>
      <c r="B58" s="333"/>
      <c r="C58" s="333"/>
      <c r="D58" s="819"/>
      <c r="E58" s="872"/>
      <c r="F58" s="333"/>
      <c r="G58" s="332">
        <f t="shared" si="7"/>
        <v>0</v>
      </c>
      <c r="H58" s="334"/>
      <c r="I58" s="820"/>
      <c r="J58" s="335"/>
      <c r="K58" s="845"/>
      <c r="L58" s="381"/>
    </row>
    <row r="59" spans="1:19" s="270" customFormat="1">
      <c r="A59" s="325"/>
      <c r="B59" s="333"/>
      <c r="C59" s="333"/>
      <c r="D59" s="819"/>
      <c r="E59" s="872"/>
      <c r="F59" s="333"/>
      <c r="G59" s="332">
        <f t="shared" si="7"/>
        <v>0</v>
      </c>
      <c r="H59" s="334"/>
      <c r="I59" s="820"/>
      <c r="J59" s="335"/>
      <c r="K59" s="845"/>
      <c r="L59" s="381"/>
    </row>
    <row r="60" spans="1:19" s="270" customFormat="1">
      <c r="A60" s="325"/>
      <c r="B60" s="333"/>
      <c r="C60" s="333"/>
      <c r="D60" s="819"/>
      <c r="E60" s="872"/>
      <c r="F60" s="333"/>
      <c r="G60" s="332">
        <f t="shared" si="7"/>
        <v>0</v>
      </c>
      <c r="H60" s="334"/>
      <c r="I60" s="820"/>
      <c r="J60" s="335"/>
      <c r="K60" s="845"/>
      <c r="L60" s="381"/>
    </row>
    <row r="61" spans="1:19" s="270" customFormat="1">
      <c r="A61" s="325"/>
      <c r="B61" s="333"/>
      <c r="C61" s="333"/>
      <c r="D61" s="819"/>
      <c r="E61" s="872"/>
      <c r="F61" s="333"/>
      <c r="G61" s="332">
        <f t="shared" si="7"/>
        <v>0</v>
      </c>
      <c r="H61" s="334"/>
      <c r="I61" s="820"/>
      <c r="J61" s="335"/>
      <c r="K61" s="845"/>
      <c r="L61" s="381"/>
    </row>
    <row r="62" spans="1:19" s="270" customFormat="1">
      <c r="A62" s="349" t="s">
        <v>271</v>
      </c>
      <c r="B62" s="350"/>
      <c r="C62" s="351"/>
      <c r="D62" s="545"/>
      <c r="E62" s="875">
        <f>SUM(E39:E61)</f>
        <v>20</v>
      </c>
      <c r="F62" s="353"/>
      <c r="G62" s="354">
        <f>SUM(G39:G61)</f>
        <v>-854</v>
      </c>
      <c r="H62" s="563"/>
      <c r="I62" s="356"/>
      <c r="J62" s="357"/>
      <c r="K62" s="358">
        <f>SUM(K39:K61)</f>
        <v>30546.875</v>
      </c>
      <c r="L62" s="381"/>
    </row>
    <row r="63" spans="1:19" s="270" customFormat="1">
      <c r="A63" s="359" t="s">
        <v>272</v>
      </c>
      <c r="B63" s="113"/>
      <c r="C63" s="274"/>
      <c r="D63" s="538"/>
      <c r="E63" s="114"/>
      <c r="F63" s="192"/>
      <c r="G63" s="118"/>
      <c r="H63" s="557"/>
      <c r="I63" s="125"/>
      <c r="J63" s="360"/>
      <c r="K63" s="261"/>
      <c r="L63" s="381"/>
    </row>
    <row r="64" spans="1:19" s="93" customFormat="1">
      <c r="A64" s="206" t="s">
        <v>273</v>
      </c>
      <c r="B64" s="207" t="s">
        <v>274</v>
      </c>
      <c r="C64" s="207" t="s">
        <v>275</v>
      </c>
      <c r="D64" s="535" t="s">
        <v>276</v>
      </c>
      <c r="E64" s="208" t="s">
        <v>302</v>
      </c>
      <c r="F64" s="207" t="s">
        <v>277</v>
      </c>
      <c r="G64" s="209" t="s">
        <v>278</v>
      </c>
      <c r="H64" s="567" t="s">
        <v>279</v>
      </c>
      <c r="I64" s="209" t="s">
        <v>280</v>
      </c>
      <c r="J64" s="207" t="s">
        <v>281</v>
      </c>
      <c r="K64" s="260" t="s">
        <v>282</v>
      </c>
      <c r="L64" s="377"/>
      <c r="S64" s="131" t="s">
        <v>21</v>
      </c>
    </row>
    <row r="65" spans="1:17" s="93" customFormat="1">
      <c r="A65" s="325" t="s">
        <v>337</v>
      </c>
      <c r="B65" s="328">
        <v>43272</v>
      </c>
      <c r="C65" s="329"/>
      <c r="D65" s="542"/>
      <c r="E65" s="330"/>
      <c r="F65" s="331" t="s">
        <v>304</v>
      </c>
      <c r="G65" s="332">
        <v>0</v>
      </c>
      <c r="H65" s="561">
        <v>2018062100021</v>
      </c>
      <c r="I65" s="335">
        <v>161.88999999999999</v>
      </c>
      <c r="J65" s="335">
        <f>VLOOKUP(A65,'market px'!$G$2:$I$20,3,FALSE)</f>
        <v>177.66</v>
      </c>
      <c r="K65" s="336">
        <f t="shared" ref="K65:K71" si="8">(J65-I65)*E65/100*100000</f>
        <v>0</v>
      </c>
      <c r="L65" s="377"/>
    </row>
    <row r="66" spans="1:17" s="93" customFormat="1">
      <c r="A66" s="325" t="s">
        <v>337</v>
      </c>
      <c r="B66" s="328">
        <v>43273</v>
      </c>
      <c r="C66" s="329"/>
      <c r="D66" s="542"/>
      <c r="E66" s="330"/>
      <c r="F66" s="331" t="s">
        <v>304</v>
      </c>
      <c r="G66" s="332">
        <v>0</v>
      </c>
      <c r="H66" s="561">
        <v>2018062200014</v>
      </c>
      <c r="I66" s="335">
        <v>161.88999999999999</v>
      </c>
      <c r="J66" s="335">
        <f>VLOOKUP(A66,'market px'!$G$2:$I$20,3,FALSE)</f>
        <v>177.66</v>
      </c>
      <c r="K66" s="336">
        <f t="shared" si="8"/>
        <v>0</v>
      </c>
      <c r="L66" s="377"/>
    </row>
    <row r="67" spans="1:17" s="93" customFormat="1">
      <c r="A67" s="325" t="s">
        <v>337</v>
      </c>
      <c r="B67" s="328">
        <v>43256</v>
      </c>
      <c r="C67" s="329"/>
      <c r="D67" s="542"/>
      <c r="E67" s="330">
        <v>0</v>
      </c>
      <c r="F67" s="331" t="s">
        <v>304</v>
      </c>
      <c r="G67" s="332">
        <v>0</v>
      </c>
      <c r="H67" s="561">
        <v>2018060500015</v>
      </c>
      <c r="I67" s="335">
        <v>161.19999999999999</v>
      </c>
      <c r="J67" s="335">
        <f>VLOOKUP(A67,'market px'!$G$2:$I$20,3,FALSE)</f>
        <v>177.66</v>
      </c>
      <c r="K67" s="336">
        <f t="shared" si="8"/>
        <v>0</v>
      </c>
      <c r="L67" s="377"/>
    </row>
    <row r="68" spans="1:17" s="93" customFormat="1">
      <c r="A68" s="325" t="s">
        <v>337</v>
      </c>
      <c r="B68" s="328">
        <v>43258</v>
      </c>
      <c r="C68" s="329"/>
      <c r="D68" s="542"/>
      <c r="E68" s="330">
        <v>0</v>
      </c>
      <c r="F68" s="331" t="s">
        <v>304</v>
      </c>
      <c r="G68" s="332">
        <v>0</v>
      </c>
      <c r="H68" s="561">
        <v>2018060700012</v>
      </c>
      <c r="I68" s="335">
        <v>159.75</v>
      </c>
      <c r="J68" s="335">
        <f>VLOOKUP(A68,'market px'!$G$2:$I$20,3,FALSE)</f>
        <v>177.66</v>
      </c>
      <c r="K68" s="336">
        <f t="shared" si="8"/>
        <v>0</v>
      </c>
      <c r="L68" s="377"/>
    </row>
    <row r="69" spans="1:17" s="93" customFormat="1">
      <c r="A69" s="325" t="s">
        <v>337</v>
      </c>
      <c r="B69" s="328">
        <v>43258</v>
      </c>
      <c r="C69" s="329"/>
      <c r="D69" s="542"/>
      <c r="E69" s="330">
        <v>0</v>
      </c>
      <c r="F69" s="331" t="s">
        <v>304</v>
      </c>
      <c r="G69" s="332">
        <v>0</v>
      </c>
      <c r="H69" s="561">
        <v>2018060700011</v>
      </c>
      <c r="I69" s="335">
        <v>159.55000000000001</v>
      </c>
      <c r="J69" s="335">
        <f>VLOOKUP(A69,'market px'!$G$2:$I$20,3,FALSE)</f>
        <v>177.66</v>
      </c>
      <c r="K69" s="336">
        <f t="shared" si="8"/>
        <v>0</v>
      </c>
      <c r="L69" s="377"/>
    </row>
    <row r="70" spans="1:17" s="93" customFormat="1">
      <c r="A70" s="325" t="s">
        <v>337</v>
      </c>
      <c r="B70" s="328">
        <v>43258</v>
      </c>
      <c r="C70" s="329"/>
      <c r="D70" s="542"/>
      <c r="E70" s="330">
        <v>0</v>
      </c>
      <c r="F70" s="331" t="s">
        <v>304</v>
      </c>
      <c r="G70" s="332">
        <v>0</v>
      </c>
      <c r="H70" s="561">
        <v>2018060700030</v>
      </c>
      <c r="I70" s="335">
        <v>159.54</v>
      </c>
      <c r="J70" s="335">
        <f>VLOOKUP(A70,'market px'!$G$2:$I$20,3,FALSE)</f>
        <v>177.66</v>
      </c>
      <c r="K70" s="336">
        <f t="shared" si="8"/>
        <v>0</v>
      </c>
      <c r="L70" s="377"/>
    </row>
    <row r="71" spans="1:17" s="93" customFormat="1">
      <c r="A71" s="325" t="s">
        <v>337</v>
      </c>
      <c r="B71" s="328">
        <v>40835</v>
      </c>
      <c r="C71" s="329"/>
      <c r="D71" s="542"/>
      <c r="E71" s="330">
        <f>100000*0</f>
        <v>0</v>
      </c>
      <c r="F71" s="331" t="s">
        <v>78</v>
      </c>
      <c r="G71" s="332">
        <f>-VLOOKUP(A71,'market px'!G$2:H$20,2,FALSE)*E71/1000000</f>
        <v>0</v>
      </c>
      <c r="H71" s="561"/>
      <c r="I71" s="335">
        <v>135.12</v>
      </c>
      <c r="J71" s="335">
        <f>VLOOKUP(A71,'market px'!$G$2:$I$20,3,FALSE)</f>
        <v>177.66</v>
      </c>
      <c r="K71" s="336">
        <f t="shared" si="8"/>
        <v>0</v>
      </c>
      <c r="L71" s="377"/>
    </row>
    <row r="72" spans="1:17" s="93" customFormat="1">
      <c r="A72" s="337" t="str">
        <f>'Aaron-UR'!A63</f>
        <v>DUM3</v>
      </c>
      <c r="B72" s="340">
        <v>39090</v>
      </c>
      <c r="C72" s="341"/>
      <c r="D72" s="543"/>
      <c r="E72" s="342">
        <f>-100000*0</f>
        <v>0</v>
      </c>
      <c r="F72" s="343" t="s">
        <v>78</v>
      </c>
      <c r="G72" s="344">
        <f>-VLOOKUP(A72,'market px'!G$2:H$20,2,FALSE)*E72/1000000</f>
        <v>0</v>
      </c>
      <c r="H72" s="562" t="s">
        <v>21</v>
      </c>
      <c r="I72" s="347">
        <v>108.77</v>
      </c>
      <c r="J72" s="347">
        <f>VLOOKUP(A72,'market px'!$G$2:$I$20,3,FALSE)</f>
        <v>106.14</v>
      </c>
      <c r="K72" s="348">
        <f>(J72-I72)*E72/100</f>
        <v>0</v>
      </c>
      <c r="L72" s="377"/>
    </row>
    <row r="73" spans="1:17" s="270" customFormat="1">
      <c r="A73" s="337" t="str">
        <f>A72</f>
        <v>DUM3</v>
      </c>
      <c r="B73" s="340">
        <v>38954</v>
      </c>
      <c r="C73" s="341"/>
      <c r="D73" s="543"/>
      <c r="E73" s="342">
        <f>-100000*0</f>
        <v>0</v>
      </c>
      <c r="F73" s="343" t="s">
        <v>78</v>
      </c>
      <c r="G73" s="344">
        <f>-VLOOKUP(A73,'market px'!G$2:H$20,2,FALSE)*E73/1000000</f>
        <v>0</v>
      </c>
      <c r="H73" s="562"/>
      <c r="I73" s="347">
        <v>109.88</v>
      </c>
      <c r="J73" s="347">
        <f>VLOOKUP(A73,'market px'!$G$2:$I$20,3,FALSE)</f>
        <v>106.14</v>
      </c>
      <c r="K73" s="348">
        <f>(J73-I73)*E73/100</f>
        <v>0</v>
      </c>
      <c r="L73" s="381"/>
    </row>
    <row r="74" spans="1:17" s="270" customFormat="1">
      <c r="A74" s="285" t="str">
        <f>'Aaron-UR'!A65</f>
        <v>DUH4</v>
      </c>
      <c r="B74" s="288">
        <v>39220</v>
      </c>
      <c r="C74" s="289" t="s">
        <v>21</v>
      </c>
      <c r="D74" s="544"/>
      <c r="E74" s="290">
        <f>100000*0</f>
        <v>0</v>
      </c>
      <c r="F74" s="291" t="s">
        <v>78</v>
      </c>
      <c r="G74" s="292">
        <f>-VLOOKUP(A74,'market px'!G$2:H$20,2,FALSE)*E74/1000000</f>
        <v>0</v>
      </c>
      <c r="H74" s="554" t="s">
        <v>21</v>
      </c>
      <c r="I74" s="295">
        <v>102.55500000000001</v>
      </c>
      <c r="J74" s="295">
        <f>VLOOKUP(A74,'market px'!$G$2:$I$20,3,FALSE)</f>
        <v>108.84</v>
      </c>
      <c r="K74" s="296">
        <f>(J74-I74)*E74/100</f>
        <v>0</v>
      </c>
      <c r="L74" s="381"/>
    </row>
    <row r="75" spans="1:17" s="270" customFormat="1">
      <c r="A75" s="285" t="str">
        <f>A74</f>
        <v>DUH4</v>
      </c>
      <c r="B75" s="288">
        <v>39224</v>
      </c>
      <c r="C75" s="289" t="s">
        <v>21</v>
      </c>
      <c r="D75" s="544"/>
      <c r="E75" s="290">
        <f>100000*0</f>
        <v>0</v>
      </c>
      <c r="F75" s="291" t="s">
        <v>78</v>
      </c>
      <c r="G75" s="292">
        <f>-VLOOKUP(A75,'market px'!G$2:H$20,2,FALSE)*E75/1000000</f>
        <v>0</v>
      </c>
      <c r="H75" s="554"/>
      <c r="I75" s="295">
        <v>102.89</v>
      </c>
      <c r="J75" s="295">
        <f>VLOOKUP(A75,'market px'!$G$2:$I$20,3,FALSE)</f>
        <v>108.84</v>
      </c>
      <c r="K75" s="296">
        <f>(J75-I75)*E75/100</f>
        <v>0</v>
      </c>
      <c r="L75" s="381"/>
    </row>
    <row r="76" spans="1:17" s="270" customFormat="1">
      <c r="A76" s="349" t="s">
        <v>166</v>
      </c>
      <c r="B76" s="350"/>
      <c r="C76" s="351"/>
      <c r="D76" s="545"/>
      <c r="E76" s="352">
        <f>SUM(E65:E75)</f>
        <v>0</v>
      </c>
      <c r="F76" s="353"/>
      <c r="G76" s="354">
        <f>SUM(G65:G75)</f>
        <v>0</v>
      </c>
      <c r="H76" s="563"/>
      <c r="I76" s="356"/>
      <c r="J76" s="357"/>
      <c r="K76" s="358">
        <f>SUM(K65:K75)</f>
        <v>0</v>
      </c>
      <c r="L76" s="381"/>
    </row>
    <row r="77" spans="1:17" s="93" customFormat="1">
      <c r="A77" s="65"/>
      <c r="B77" s="108"/>
      <c r="C77" s="275"/>
      <c r="D77" s="546"/>
      <c r="E77" s="70"/>
      <c r="F77" s="203"/>
      <c r="G77" s="105"/>
      <c r="H77" s="564"/>
      <c r="I77" s="204"/>
      <c r="J77" s="205"/>
      <c r="K77" s="106"/>
      <c r="L77" s="377"/>
      <c r="M77"/>
      <c r="N77"/>
      <c r="O77"/>
      <c r="P77"/>
      <c r="Q77"/>
    </row>
    <row r="78" spans="1:17">
      <c r="G78" s="14"/>
      <c r="H78" s="565"/>
    </row>
    <row r="79" spans="1:17">
      <c r="G79" s="14"/>
      <c r="H79" s="565"/>
    </row>
    <row r="80" spans="1:17">
      <c r="G80" s="14"/>
      <c r="H80" s="565"/>
    </row>
    <row r="81" spans="7:8">
      <c r="G81" s="14"/>
      <c r="H81" s="565"/>
    </row>
    <row r="82" spans="7:8">
      <c r="G82" s="14"/>
      <c r="H82" s="565"/>
    </row>
    <row r="83" spans="7:8">
      <c r="G83" s="14"/>
      <c r="H83" s="565"/>
    </row>
    <row r="84" spans="7:8">
      <c r="G84" s="14"/>
      <c r="H84" s="565"/>
    </row>
    <row r="85" spans="7:8">
      <c r="G85" s="14"/>
      <c r="H85" s="565"/>
    </row>
    <row r="86" spans="7:8">
      <c r="G86" s="14"/>
      <c r="H86" s="565"/>
    </row>
    <row r="87" spans="7:8">
      <c r="G87" s="14"/>
      <c r="H87" s="565"/>
    </row>
    <row r="88" spans="7:8">
      <c r="G88" s="14"/>
    </row>
    <row r="89" spans="7:8">
      <c r="G89" s="14"/>
      <c r="H89" s="565"/>
    </row>
    <row r="90" spans="7:8">
      <c r="G90" s="14"/>
      <c r="H90" s="565"/>
    </row>
    <row r="91" spans="7:8">
      <c r="G91" s="14"/>
      <c r="H91" s="565"/>
    </row>
    <row r="92" spans="7:8">
      <c r="G92" s="14"/>
      <c r="H92" s="565"/>
    </row>
    <row r="93" spans="7:8">
      <c r="G93" s="14"/>
      <c r="H93" s="565"/>
    </row>
    <row r="94" spans="7:8">
      <c r="G94" s="14"/>
      <c r="H94" s="565"/>
    </row>
    <row r="95" spans="7:8">
      <c r="G95" s="14"/>
      <c r="H95" s="565"/>
    </row>
    <row r="96" spans="7:8">
      <c r="G96" s="14"/>
      <c r="H96" s="565"/>
    </row>
    <row r="97" spans="7:8">
      <c r="G97" s="14"/>
      <c r="H97" s="565"/>
    </row>
    <row r="98" spans="7:8">
      <c r="G98" s="14"/>
      <c r="H98" s="565"/>
    </row>
    <row r="99" spans="7:8">
      <c r="G99" s="14"/>
      <c r="H99" s="565"/>
    </row>
    <row r="100" spans="7:8">
      <c r="G100" s="14"/>
      <c r="H100" s="565"/>
    </row>
    <row r="101" spans="7:8">
      <c r="G101" s="14"/>
      <c r="H101" s="565"/>
    </row>
    <row r="102" spans="7:8">
      <c r="G102" s="14"/>
      <c r="H102" s="565"/>
    </row>
    <row r="103" spans="7:8">
      <c r="G103" s="14"/>
      <c r="H103" s="565"/>
    </row>
    <row r="104" spans="7:8">
      <c r="G104" s="14"/>
      <c r="H104" s="566"/>
    </row>
    <row r="105" spans="7:8">
      <c r="G105" s="14"/>
      <c r="H105" s="566"/>
    </row>
    <row r="106" spans="7:8">
      <c r="G106" s="14"/>
      <c r="H106" s="566"/>
    </row>
    <row r="107" spans="7:8">
      <c r="G107" s="14"/>
      <c r="H107" s="566"/>
    </row>
    <row r="108" spans="7:8">
      <c r="G108" s="14"/>
      <c r="H108" s="566"/>
    </row>
    <row r="109" spans="7:8">
      <c r="G109" s="14"/>
      <c r="H109" s="566"/>
    </row>
    <row r="110" spans="7:8">
      <c r="G110" s="14"/>
      <c r="H110" s="566"/>
    </row>
    <row r="111" spans="7:8">
      <c r="G111" s="14"/>
      <c r="H111" s="566"/>
    </row>
    <row r="112" spans="7:8">
      <c r="G112" s="14"/>
      <c r="H112" s="566"/>
    </row>
    <row r="113" spans="7:8">
      <c r="G113" s="14"/>
      <c r="H113" s="566"/>
    </row>
    <row r="114" spans="7:8">
      <c r="G114" s="14"/>
      <c r="H114" s="566"/>
    </row>
    <row r="115" spans="7:8">
      <c r="G115" s="14"/>
      <c r="H115" s="566"/>
    </row>
    <row r="116" spans="7:8">
      <c r="G116" s="14"/>
      <c r="H116" s="566"/>
    </row>
    <row r="117" spans="7:8">
      <c r="G117" s="14"/>
      <c r="H117" s="566"/>
    </row>
    <row r="118" spans="7:8">
      <c r="G118" s="14"/>
      <c r="H118" s="566"/>
    </row>
    <row r="119" spans="7:8">
      <c r="G119" s="14"/>
      <c r="H119" s="566"/>
    </row>
    <row r="120" spans="7:8">
      <c r="G120" s="14"/>
      <c r="H120" s="566"/>
    </row>
    <row r="121" spans="7:8">
      <c r="G121" s="14"/>
      <c r="H121" s="566"/>
    </row>
    <row r="122" spans="7:8">
      <c r="G122" s="14"/>
      <c r="H122" s="566"/>
    </row>
    <row r="123" spans="7:8">
      <c r="G123" s="14"/>
      <c r="H123" s="566"/>
    </row>
    <row r="124" spans="7:8">
      <c r="G124" s="14"/>
      <c r="H124" s="566"/>
    </row>
    <row r="125" spans="7:8">
      <c r="G125" s="14"/>
      <c r="H125" s="566"/>
    </row>
    <row r="126" spans="7:8">
      <c r="G126" s="14"/>
      <c r="H126" s="566"/>
    </row>
    <row r="127" spans="7:8">
      <c r="G127" s="14"/>
      <c r="H127" s="566"/>
    </row>
    <row r="128" spans="7:8">
      <c r="G128" s="14"/>
      <c r="H128" s="566"/>
    </row>
    <row r="129" spans="7:8">
      <c r="G129" s="14"/>
      <c r="H129" s="566"/>
    </row>
    <row r="130" spans="7:8">
      <c r="G130" s="14"/>
      <c r="H130" s="566"/>
    </row>
    <row r="131" spans="7:8">
      <c r="G131" s="14"/>
      <c r="H131" s="566"/>
    </row>
    <row r="132" spans="7:8">
      <c r="G132" s="14"/>
      <c r="H132" s="566"/>
    </row>
    <row r="133" spans="7:8">
      <c r="G133" s="14"/>
      <c r="H133" s="566"/>
    </row>
    <row r="134" spans="7:8">
      <c r="G134" s="14"/>
      <c r="H134" s="566"/>
    </row>
    <row r="135" spans="7:8">
      <c r="G135" s="14"/>
      <c r="H135" s="566"/>
    </row>
    <row r="136" spans="7:8">
      <c r="G136" s="14"/>
      <c r="H136" s="566"/>
    </row>
    <row r="137" spans="7:8">
      <c r="G137" s="14"/>
      <c r="H137" s="566"/>
    </row>
    <row r="138" spans="7:8">
      <c r="G138" s="14"/>
      <c r="H138" s="566"/>
    </row>
    <row r="139" spans="7:8">
      <c r="G139" s="14"/>
      <c r="H139" s="566"/>
    </row>
    <row r="140" spans="7:8">
      <c r="G140" s="14"/>
      <c r="H140" s="566"/>
    </row>
    <row r="141" spans="7:8">
      <c r="G141" s="14"/>
      <c r="H141" s="566"/>
    </row>
    <row r="142" spans="7:8">
      <c r="G142" s="14"/>
      <c r="H142" s="566"/>
    </row>
    <row r="143" spans="7:8">
      <c r="G143" s="14"/>
      <c r="H143" s="566"/>
    </row>
    <row r="144" spans="7:8">
      <c r="G144" s="14"/>
      <c r="H144" s="566"/>
    </row>
    <row r="145" spans="7:8">
      <c r="G145" s="14"/>
      <c r="H145" s="566"/>
    </row>
    <row r="146" spans="7:8">
      <c r="G146" s="14"/>
      <c r="H146" s="566"/>
    </row>
    <row r="147" spans="7:8">
      <c r="G147" s="14"/>
      <c r="H147" s="566"/>
    </row>
    <row r="148" spans="7:8">
      <c r="G148" s="14"/>
      <c r="H148" s="566"/>
    </row>
    <row r="149" spans="7:8">
      <c r="G149" s="14"/>
      <c r="H149" s="566"/>
    </row>
    <row r="150" spans="7:8">
      <c r="G150" s="14"/>
      <c r="H150" s="566"/>
    </row>
    <row r="151" spans="7:8">
      <c r="G151" s="14"/>
      <c r="H151" s="566"/>
    </row>
    <row r="152" spans="7:8">
      <c r="G152" s="14"/>
      <c r="H152" s="566"/>
    </row>
    <row r="153" spans="7:8">
      <c r="G153" s="14"/>
      <c r="H153" s="566"/>
    </row>
    <row r="154" spans="7:8">
      <c r="G154" s="14"/>
      <c r="H154" s="566"/>
    </row>
    <row r="155" spans="7:8">
      <c r="G155" s="14"/>
      <c r="H155" s="566"/>
    </row>
    <row r="156" spans="7:8">
      <c r="G156" s="14"/>
      <c r="H156" s="566"/>
    </row>
    <row r="157" spans="7:8">
      <c r="G157" s="14"/>
      <c r="H157" s="566"/>
    </row>
    <row r="158" spans="7:8">
      <c r="G158" s="14"/>
      <c r="H158" s="566"/>
    </row>
    <row r="159" spans="7:8">
      <c r="G159" s="14"/>
      <c r="H159" s="566"/>
    </row>
    <row r="160" spans="7:8">
      <c r="G160" s="14"/>
      <c r="H160" s="566"/>
    </row>
    <row r="161" spans="7:8">
      <c r="G161" s="14"/>
      <c r="H161" s="566"/>
    </row>
    <row r="162" spans="7:8">
      <c r="G162" s="14"/>
      <c r="H162" s="566"/>
    </row>
    <row r="163" spans="7:8">
      <c r="G163" s="14"/>
      <c r="H163" s="566"/>
    </row>
    <row r="164" spans="7:8">
      <c r="G164" s="14"/>
      <c r="H164" s="566"/>
    </row>
    <row r="165" spans="7:8">
      <c r="G165" s="14"/>
      <c r="H165" s="566"/>
    </row>
    <row r="166" spans="7:8">
      <c r="G166" s="14"/>
      <c r="H166" s="566"/>
    </row>
    <row r="167" spans="7:8">
      <c r="G167" s="14"/>
      <c r="H167" s="566"/>
    </row>
    <row r="168" spans="7:8">
      <c r="G168" s="14"/>
      <c r="H168" s="566"/>
    </row>
    <row r="169" spans="7:8">
      <c r="G169" s="14"/>
      <c r="H169" s="566"/>
    </row>
    <row r="170" spans="7:8">
      <c r="G170" s="14"/>
      <c r="H170" s="566"/>
    </row>
    <row r="171" spans="7:8">
      <c r="G171" s="14"/>
      <c r="H171" s="566"/>
    </row>
    <row r="172" spans="7:8">
      <c r="G172" s="14"/>
      <c r="H172" s="566"/>
    </row>
    <row r="173" spans="7:8">
      <c r="G173" s="14"/>
      <c r="H173" s="566"/>
    </row>
    <row r="174" spans="7:8">
      <c r="G174" s="14"/>
      <c r="H174" s="566"/>
    </row>
    <row r="175" spans="7:8">
      <c r="G175" s="14"/>
      <c r="H175" s="566"/>
    </row>
    <row r="176" spans="7:8">
      <c r="G176" s="14"/>
      <c r="H176" s="566"/>
    </row>
    <row r="177" spans="7:8">
      <c r="G177" s="14"/>
      <c r="H177" s="566"/>
    </row>
    <row r="178" spans="7:8">
      <c r="G178" s="14"/>
      <c r="H178" s="566"/>
    </row>
    <row r="179" spans="7:8">
      <c r="G179" s="14"/>
      <c r="H179" s="566"/>
    </row>
    <row r="180" spans="7:8">
      <c r="G180" s="14"/>
      <c r="H180" s="566"/>
    </row>
    <row r="181" spans="7:8">
      <c r="G181" s="14"/>
      <c r="H181" s="566"/>
    </row>
    <row r="182" spans="7:8">
      <c r="G182" s="14"/>
      <c r="H182" s="566"/>
    </row>
    <row r="183" spans="7:8">
      <c r="G183" s="14"/>
      <c r="H183" s="566"/>
    </row>
    <row r="184" spans="7:8">
      <c r="G184" s="14"/>
      <c r="H184" s="566"/>
    </row>
    <row r="185" spans="7:8">
      <c r="G185" s="14"/>
      <c r="H185" s="566"/>
    </row>
    <row r="186" spans="7:8">
      <c r="G186" s="14"/>
      <c r="H186" s="566"/>
    </row>
    <row r="187" spans="7:8">
      <c r="G187" s="14"/>
      <c r="H187" s="566"/>
    </row>
    <row r="188" spans="7:8">
      <c r="G188" s="14"/>
      <c r="H188" s="566"/>
    </row>
    <row r="189" spans="7:8">
      <c r="G189" s="14"/>
      <c r="H189" s="566"/>
    </row>
    <row r="190" spans="7:8">
      <c r="G190" s="14"/>
      <c r="H190" s="566"/>
    </row>
    <row r="191" spans="7:8">
      <c r="G191" s="14"/>
      <c r="H191" s="566"/>
    </row>
    <row r="192" spans="7:8">
      <c r="G192" s="14"/>
      <c r="H192" s="566"/>
    </row>
    <row r="193" spans="7:8">
      <c r="G193" s="14"/>
      <c r="H193" s="566"/>
    </row>
    <row r="194" spans="7:8">
      <c r="G194" s="14"/>
      <c r="H194" s="566"/>
    </row>
    <row r="195" spans="7:8">
      <c r="G195" s="14"/>
      <c r="H195" s="566"/>
    </row>
    <row r="196" spans="7:8">
      <c r="G196" s="14"/>
      <c r="H196" s="566"/>
    </row>
    <row r="197" spans="7:8">
      <c r="G197" s="14"/>
      <c r="H197" s="566"/>
    </row>
    <row r="198" spans="7:8">
      <c r="G198" s="14"/>
      <c r="H198" s="566"/>
    </row>
    <row r="199" spans="7:8">
      <c r="G199" s="14"/>
      <c r="H199" s="566"/>
    </row>
    <row r="200" spans="7:8">
      <c r="G200" s="14"/>
      <c r="H200" s="566"/>
    </row>
    <row r="201" spans="7:8">
      <c r="G201" s="14"/>
      <c r="H201" s="566"/>
    </row>
    <row r="202" spans="7:8">
      <c r="G202" s="14"/>
      <c r="H202" s="566"/>
    </row>
    <row r="203" spans="7:8">
      <c r="G203" s="14"/>
      <c r="H203" s="566"/>
    </row>
    <row r="204" spans="7:8">
      <c r="G204" s="14"/>
      <c r="H204" s="566"/>
    </row>
    <row r="205" spans="7:8">
      <c r="G205" s="14"/>
      <c r="H205" s="566"/>
    </row>
    <row r="206" spans="7:8">
      <c r="G206" s="14"/>
      <c r="H206" s="566"/>
    </row>
    <row r="207" spans="7:8">
      <c r="G207" s="14"/>
      <c r="H207" s="566"/>
    </row>
    <row r="208" spans="7:8">
      <c r="G208" s="14"/>
      <c r="H208" s="566"/>
    </row>
    <row r="209" spans="7:8">
      <c r="G209" s="14"/>
      <c r="H209" s="566"/>
    </row>
    <row r="210" spans="7:8">
      <c r="G210" s="14"/>
      <c r="H210" s="566"/>
    </row>
    <row r="211" spans="7:8">
      <c r="G211" s="14"/>
      <c r="H211" s="566"/>
    </row>
    <row r="212" spans="7:8">
      <c r="G212" s="14"/>
      <c r="H212" s="566"/>
    </row>
    <row r="213" spans="7:8">
      <c r="G213" s="14"/>
      <c r="H213" s="566"/>
    </row>
    <row r="214" spans="7:8">
      <c r="G214" s="14"/>
      <c r="H214" s="566"/>
    </row>
    <row r="215" spans="7:8">
      <c r="G215" s="14"/>
      <c r="H215" s="566"/>
    </row>
    <row r="216" spans="7:8">
      <c r="G216" s="14"/>
      <c r="H216" s="566"/>
    </row>
    <row r="217" spans="7:8">
      <c r="G217" s="14"/>
      <c r="H217" s="566"/>
    </row>
    <row r="218" spans="7:8">
      <c r="G218" s="14"/>
      <c r="H218" s="566"/>
    </row>
    <row r="219" spans="7:8">
      <c r="G219" s="14"/>
      <c r="H219" s="566"/>
    </row>
    <row r="220" spans="7:8">
      <c r="G220" s="14"/>
      <c r="H220" s="566"/>
    </row>
    <row r="221" spans="7:8">
      <c r="G221" s="14"/>
      <c r="H221" s="566"/>
    </row>
    <row r="222" spans="7:8">
      <c r="G222" s="14"/>
      <c r="H222" s="566"/>
    </row>
    <row r="223" spans="7:8">
      <c r="G223" s="14"/>
      <c r="H223" s="566"/>
    </row>
    <row r="224" spans="7:8">
      <c r="G224" s="14"/>
      <c r="H224" s="566"/>
    </row>
    <row r="225" spans="7:8">
      <c r="G225" s="14"/>
      <c r="H225" s="566"/>
    </row>
    <row r="226" spans="7:8">
      <c r="G226" s="14"/>
      <c r="H226" s="566"/>
    </row>
    <row r="227" spans="7:8">
      <c r="G227" s="14"/>
      <c r="H227" s="566"/>
    </row>
    <row r="228" spans="7:8">
      <c r="G228" s="14"/>
      <c r="H228" s="566"/>
    </row>
    <row r="229" spans="7:8">
      <c r="G229" s="14"/>
      <c r="H229" s="566"/>
    </row>
    <row r="230" spans="7:8">
      <c r="G230" s="14"/>
      <c r="H230" s="566"/>
    </row>
    <row r="231" spans="7:8">
      <c r="G231" s="14"/>
      <c r="H231" s="566"/>
    </row>
    <row r="232" spans="7:8">
      <c r="G232" s="14"/>
      <c r="H232" s="566"/>
    </row>
    <row r="233" spans="7:8">
      <c r="G233" s="14"/>
      <c r="H233" s="566"/>
    </row>
    <row r="234" spans="7:8">
      <c r="G234" s="14"/>
      <c r="H234" s="566"/>
    </row>
    <row r="235" spans="7:8">
      <c r="G235" s="14"/>
      <c r="H235" s="566"/>
    </row>
    <row r="236" spans="7:8">
      <c r="G236" s="14"/>
      <c r="H236" s="566"/>
    </row>
    <row r="237" spans="7:8">
      <c r="G237" s="14"/>
      <c r="H237" s="566"/>
    </row>
    <row r="238" spans="7:8">
      <c r="G238" s="14"/>
      <c r="H238" s="566"/>
    </row>
    <row r="239" spans="7:8">
      <c r="G239" s="14"/>
      <c r="H239" s="566"/>
    </row>
    <row r="240" spans="7:8">
      <c r="G240" s="14"/>
      <c r="H240" s="566"/>
    </row>
    <row r="241" spans="7:8">
      <c r="G241" s="14"/>
      <c r="H241" s="566"/>
    </row>
    <row r="242" spans="7:8">
      <c r="G242" s="14"/>
      <c r="H242" s="566"/>
    </row>
    <row r="243" spans="7:8">
      <c r="G243" s="14"/>
      <c r="H243" s="566"/>
    </row>
    <row r="244" spans="7:8">
      <c r="G244" s="14"/>
      <c r="H244" s="566"/>
    </row>
    <row r="245" spans="7:8">
      <c r="G245" s="14"/>
      <c r="H245" s="566"/>
    </row>
    <row r="246" spans="7:8">
      <c r="G246" s="14"/>
      <c r="H246" s="566"/>
    </row>
    <row r="247" spans="7:8">
      <c r="G247" s="14"/>
      <c r="H247" s="566"/>
    </row>
    <row r="248" spans="7:8">
      <c r="G248" s="14"/>
      <c r="H248" s="566"/>
    </row>
    <row r="249" spans="7:8">
      <c r="G249" s="14"/>
      <c r="H249" s="566"/>
    </row>
    <row r="250" spans="7:8">
      <c r="G250" s="14"/>
      <c r="H250" s="566"/>
    </row>
    <row r="251" spans="7:8">
      <c r="G251" s="14"/>
      <c r="H251" s="566"/>
    </row>
    <row r="252" spans="7:8">
      <c r="G252" s="14"/>
      <c r="H252" s="566"/>
    </row>
    <row r="253" spans="7:8">
      <c r="G253" s="14"/>
      <c r="H253" s="566"/>
    </row>
    <row r="254" spans="7:8">
      <c r="G254" s="14"/>
      <c r="H254" s="566"/>
    </row>
    <row r="255" spans="7:8">
      <c r="G255" s="14"/>
      <c r="H255" s="566"/>
    </row>
    <row r="256" spans="7:8">
      <c r="G256" s="14"/>
      <c r="H256" s="566"/>
    </row>
    <row r="257" spans="7:8">
      <c r="G257" s="14"/>
      <c r="H257" s="566"/>
    </row>
    <row r="258" spans="7:8">
      <c r="G258" s="14"/>
      <c r="H258" s="566"/>
    </row>
    <row r="259" spans="7:8">
      <c r="G259" s="14"/>
      <c r="H259" s="566"/>
    </row>
    <row r="260" spans="7:8">
      <c r="G260" s="14"/>
      <c r="H260" s="566"/>
    </row>
    <row r="261" spans="7:8">
      <c r="G261" s="14"/>
      <c r="H261" s="566"/>
    </row>
    <row r="262" spans="7:8">
      <c r="G262" s="14"/>
      <c r="H262" s="566"/>
    </row>
    <row r="263" spans="7:8">
      <c r="G263" s="14"/>
      <c r="H263" s="566"/>
    </row>
    <row r="264" spans="7:8">
      <c r="G264" s="14"/>
      <c r="H264" s="566"/>
    </row>
    <row r="265" spans="7:8">
      <c r="G265" s="14"/>
      <c r="H265" s="566"/>
    </row>
    <row r="266" spans="7:8">
      <c r="G266" s="14"/>
      <c r="H266" s="566"/>
    </row>
    <row r="267" spans="7:8">
      <c r="G267" s="14"/>
      <c r="H267" s="566"/>
    </row>
    <row r="268" spans="7:8">
      <c r="G268" s="14"/>
      <c r="H268" s="566"/>
    </row>
    <row r="269" spans="7:8">
      <c r="G269" s="14"/>
      <c r="H269" s="566"/>
    </row>
    <row r="270" spans="7:8">
      <c r="G270" s="14"/>
      <c r="H270" s="566"/>
    </row>
    <row r="271" spans="7:8">
      <c r="G271" s="14"/>
      <c r="H271" s="566"/>
    </row>
    <row r="272" spans="7:8">
      <c r="G272" s="14"/>
      <c r="H272" s="566"/>
    </row>
    <row r="273" spans="7:8">
      <c r="G273" s="14"/>
      <c r="H273" s="566"/>
    </row>
    <row r="274" spans="7:8">
      <c r="G274" s="14"/>
      <c r="H274" s="566"/>
    </row>
    <row r="275" spans="7:8">
      <c r="G275" s="14"/>
      <c r="H275" s="566"/>
    </row>
    <row r="276" spans="7:8">
      <c r="G276" s="14"/>
      <c r="H276" s="566"/>
    </row>
    <row r="277" spans="7:8">
      <c r="G277" s="14"/>
      <c r="H277" s="566"/>
    </row>
    <row r="278" spans="7:8">
      <c r="G278" s="14"/>
      <c r="H278" s="566"/>
    </row>
    <row r="279" spans="7:8">
      <c r="G279" s="14"/>
      <c r="H279" s="566"/>
    </row>
    <row r="280" spans="7:8">
      <c r="G280" s="14"/>
      <c r="H280" s="566"/>
    </row>
    <row r="281" spans="7:8">
      <c r="G281" s="14"/>
      <c r="H281" s="566"/>
    </row>
    <row r="282" spans="7:8">
      <c r="G282" s="14"/>
      <c r="H282" s="566"/>
    </row>
    <row r="283" spans="7:8">
      <c r="G283" s="14"/>
      <c r="H283" s="566"/>
    </row>
    <row r="284" spans="7:8">
      <c r="G284" s="14"/>
      <c r="H284" s="566"/>
    </row>
    <row r="285" spans="7:8">
      <c r="G285" s="14"/>
      <c r="H285" s="566"/>
    </row>
    <row r="286" spans="7:8">
      <c r="G286" s="14"/>
      <c r="H286" s="566"/>
    </row>
    <row r="287" spans="7:8">
      <c r="G287" s="14"/>
      <c r="H287" s="566"/>
    </row>
    <row r="288" spans="7:8">
      <c r="G288" s="14"/>
      <c r="H288" s="566"/>
    </row>
    <row r="289" spans="7:8">
      <c r="G289" s="14"/>
      <c r="H289" s="566"/>
    </row>
    <row r="290" spans="7:8">
      <c r="G290" s="14"/>
      <c r="H290" s="566"/>
    </row>
    <row r="291" spans="7:8">
      <c r="G291" s="14"/>
      <c r="H291" s="566"/>
    </row>
    <row r="292" spans="7:8">
      <c r="G292" s="14"/>
      <c r="H292" s="566"/>
    </row>
    <row r="293" spans="7:8">
      <c r="G293" s="14"/>
      <c r="H293" s="566"/>
    </row>
    <row r="294" spans="7:8">
      <c r="G294" s="14"/>
      <c r="H294" s="566"/>
    </row>
    <row r="295" spans="7:8">
      <c r="G295" s="14"/>
      <c r="H295" s="566"/>
    </row>
    <row r="296" spans="7:8">
      <c r="G296" s="14"/>
      <c r="H296" s="566"/>
    </row>
    <row r="297" spans="7:8">
      <c r="G297" s="14"/>
      <c r="H297" s="566"/>
    </row>
    <row r="298" spans="7:8">
      <c r="G298" s="14"/>
      <c r="H298" s="566"/>
    </row>
    <row r="299" spans="7:8">
      <c r="G299" s="14"/>
      <c r="H299" s="566"/>
    </row>
    <row r="300" spans="7:8">
      <c r="G300" s="14"/>
      <c r="H300" s="566"/>
    </row>
    <row r="301" spans="7:8">
      <c r="G301" s="14"/>
      <c r="H301" s="566"/>
    </row>
    <row r="302" spans="7:8">
      <c r="G302" s="14"/>
      <c r="H302" s="566"/>
    </row>
    <row r="303" spans="7:8">
      <c r="G303" s="14"/>
      <c r="H303" s="566"/>
    </row>
    <row r="304" spans="7:8">
      <c r="G304" s="14"/>
      <c r="H304" s="566"/>
    </row>
    <row r="305" spans="7:8">
      <c r="G305" s="14"/>
      <c r="H305" s="566"/>
    </row>
    <row r="306" spans="7:8">
      <c r="G306" s="14"/>
      <c r="H306" s="566"/>
    </row>
    <row r="307" spans="7:8">
      <c r="G307" s="14"/>
      <c r="H307" s="566"/>
    </row>
    <row r="308" spans="7:8">
      <c r="G308" s="14"/>
      <c r="H308" s="566"/>
    </row>
    <row r="309" spans="7:8">
      <c r="G309" s="14"/>
      <c r="H309" s="566"/>
    </row>
    <row r="310" spans="7:8">
      <c r="G310" s="14"/>
      <c r="H310" s="566"/>
    </row>
    <row r="311" spans="7:8">
      <c r="G311" s="14"/>
      <c r="H311" s="566"/>
    </row>
    <row r="312" spans="7:8">
      <c r="G312" s="14"/>
      <c r="H312" s="566"/>
    </row>
    <row r="313" spans="7:8">
      <c r="G313" s="14"/>
      <c r="H313" s="566"/>
    </row>
    <row r="314" spans="7:8">
      <c r="G314" s="14"/>
      <c r="H314" s="566"/>
    </row>
    <row r="315" spans="7:8">
      <c r="G315" s="14"/>
      <c r="H315" s="566"/>
    </row>
    <row r="316" spans="7:8">
      <c r="G316" s="14"/>
      <c r="H316" s="566"/>
    </row>
    <row r="317" spans="7:8">
      <c r="G317" s="14"/>
      <c r="H317" s="566"/>
    </row>
    <row r="318" spans="7:8">
      <c r="G318" s="14"/>
      <c r="H318" s="566"/>
    </row>
    <row r="319" spans="7:8">
      <c r="G319" s="14"/>
      <c r="H319" s="566"/>
    </row>
    <row r="320" spans="7:8">
      <c r="G320" s="14"/>
      <c r="H320" s="566"/>
    </row>
    <row r="321" spans="7:8">
      <c r="G321" s="14"/>
      <c r="H321" s="566"/>
    </row>
    <row r="322" spans="7:8">
      <c r="G322" s="14"/>
      <c r="H322" s="566"/>
    </row>
    <row r="323" spans="7:8">
      <c r="G323" s="14"/>
      <c r="H323" s="566"/>
    </row>
    <row r="324" spans="7:8">
      <c r="G324" s="14"/>
      <c r="H324" s="566"/>
    </row>
    <row r="325" spans="7:8">
      <c r="G325" s="14"/>
      <c r="H325" s="566"/>
    </row>
    <row r="326" spans="7:8">
      <c r="G326" s="14"/>
      <c r="H326" s="566"/>
    </row>
    <row r="327" spans="7:8">
      <c r="G327" s="14"/>
      <c r="H327" s="566"/>
    </row>
    <row r="328" spans="7:8">
      <c r="G328" s="14"/>
      <c r="H328" s="566"/>
    </row>
    <row r="329" spans="7:8">
      <c r="G329" s="14"/>
      <c r="H329" s="566"/>
    </row>
    <row r="330" spans="7:8">
      <c r="G330" s="14"/>
      <c r="H330" s="566"/>
    </row>
    <row r="331" spans="7:8">
      <c r="G331" s="14"/>
      <c r="H331" s="566"/>
    </row>
    <row r="332" spans="7:8">
      <c r="G332" s="14"/>
      <c r="H332" s="566"/>
    </row>
    <row r="333" spans="7:8">
      <c r="G333" s="14"/>
      <c r="H333" s="566"/>
    </row>
    <row r="334" spans="7:8">
      <c r="G334" s="14"/>
      <c r="H334" s="566"/>
    </row>
    <row r="335" spans="7:8">
      <c r="G335" s="14"/>
      <c r="H335" s="566"/>
    </row>
    <row r="336" spans="7:8">
      <c r="G336" s="14"/>
      <c r="H336" s="566"/>
    </row>
    <row r="337" spans="7:8">
      <c r="G337" s="14"/>
      <c r="H337" s="566"/>
    </row>
    <row r="338" spans="7:8">
      <c r="G338" s="14"/>
      <c r="H338" s="566"/>
    </row>
    <row r="339" spans="7:8">
      <c r="G339" s="14"/>
      <c r="H339" s="566"/>
    </row>
    <row r="340" spans="7:8">
      <c r="G340" s="14"/>
      <c r="H340" s="566"/>
    </row>
    <row r="341" spans="7:8">
      <c r="G341" s="14"/>
      <c r="H341" s="566"/>
    </row>
    <row r="342" spans="7:8">
      <c r="G342" s="14"/>
      <c r="H342" s="566"/>
    </row>
    <row r="343" spans="7:8">
      <c r="G343" s="14"/>
      <c r="H343" s="566"/>
    </row>
    <row r="344" spans="7:8">
      <c r="G344" s="14"/>
      <c r="H344" s="566"/>
    </row>
    <row r="345" spans="7:8">
      <c r="G345" s="14"/>
      <c r="H345" s="566"/>
    </row>
    <row r="346" spans="7:8">
      <c r="G346" s="14"/>
      <c r="H346" s="566"/>
    </row>
    <row r="347" spans="7:8">
      <c r="G347" s="14"/>
      <c r="H347" s="566"/>
    </row>
    <row r="348" spans="7:8">
      <c r="G348" s="14"/>
      <c r="H348" s="566"/>
    </row>
    <row r="349" spans="7:8">
      <c r="G349" s="14"/>
      <c r="H349" s="566"/>
    </row>
    <row r="350" spans="7:8">
      <c r="G350" s="14"/>
      <c r="H350" s="566"/>
    </row>
    <row r="351" spans="7:8">
      <c r="G351" s="14"/>
      <c r="H351" s="566"/>
    </row>
    <row r="352" spans="7:8">
      <c r="G352" s="14"/>
      <c r="H352" s="566"/>
    </row>
    <row r="353" spans="7:8">
      <c r="G353" s="14"/>
      <c r="H353" s="566"/>
    </row>
    <row r="354" spans="7:8">
      <c r="G354" s="14"/>
      <c r="H354" s="566"/>
    </row>
    <row r="355" spans="7:8">
      <c r="G355" s="14"/>
      <c r="H355" s="566"/>
    </row>
    <row r="356" spans="7:8">
      <c r="G356" s="14"/>
      <c r="H356" s="566"/>
    </row>
    <row r="357" spans="7:8">
      <c r="G357" s="14"/>
      <c r="H357" s="566"/>
    </row>
    <row r="358" spans="7:8">
      <c r="G358" s="14"/>
      <c r="H358" s="566"/>
    </row>
    <row r="359" spans="7:8">
      <c r="G359" s="14"/>
      <c r="H359" s="566"/>
    </row>
    <row r="360" spans="7:8">
      <c r="G360" s="14"/>
      <c r="H360" s="566"/>
    </row>
    <row r="361" spans="7:8">
      <c r="G361" s="14"/>
      <c r="H361" s="566"/>
    </row>
    <row r="362" spans="7:8">
      <c r="G362" s="14"/>
      <c r="H362" s="566"/>
    </row>
    <row r="363" spans="7:8">
      <c r="G363" s="14"/>
      <c r="H363" s="566"/>
    </row>
    <row r="364" spans="7:8">
      <c r="G364" s="14"/>
      <c r="H364" s="566"/>
    </row>
    <row r="365" spans="7:8">
      <c r="G365" s="14"/>
      <c r="H365" s="566"/>
    </row>
    <row r="366" spans="7:8">
      <c r="G366" s="14"/>
      <c r="H366" s="566"/>
    </row>
    <row r="367" spans="7:8">
      <c r="G367" s="14"/>
      <c r="H367" s="566"/>
    </row>
    <row r="368" spans="7:8">
      <c r="G368" s="14"/>
      <c r="H368" s="566"/>
    </row>
    <row r="369" spans="7:8">
      <c r="G369" s="14"/>
      <c r="H369" s="566"/>
    </row>
    <row r="370" spans="7:8">
      <c r="G370" s="14"/>
      <c r="H370" s="566"/>
    </row>
    <row r="371" spans="7:8">
      <c r="G371" s="14"/>
      <c r="H371" s="566"/>
    </row>
    <row r="372" spans="7:8">
      <c r="G372" s="14"/>
      <c r="H372" s="566"/>
    </row>
    <row r="373" spans="7:8">
      <c r="G373" s="14"/>
      <c r="H373" s="566"/>
    </row>
    <row r="374" spans="7:8">
      <c r="G374" s="14"/>
      <c r="H374" s="566"/>
    </row>
    <row r="375" spans="7:8">
      <c r="G375" s="14"/>
      <c r="H375" s="566"/>
    </row>
    <row r="376" spans="7:8">
      <c r="G376" s="14"/>
      <c r="H376" s="566"/>
    </row>
    <row r="377" spans="7:8">
      <c r="G377" s="14"/>
      <c r="H377" s="566"/>
    </row>
    <row r="378" spans="7:8">
      <c r="G378" s="14"/>
      <c r="H378" s="566"/>
    </row>
    <row r="379" spans="7:8">
      <c r="G379" s="14"/>
      <c r="H379" s="566"/>
    </row>
    <row r="380" spans="7:8">
      <c r="G380" s="14"/>
      <c r="H380" s="566"/>
    </row>
    <row r="381" spans="7:8">
      <c r="G381" s="14"/>
      <c r="H381" s="566"/>
    </row>
    <row r="382" spans="7:8">
      <c r="G382" s="14"/>
      <c r="H382" s="566"/>
    </row>
    <row r="383" spans="7:8">
      <c r="G383" s="14"/>
      <c r="H383" s="566"/>
    </row>
    <row r="384" spans="7:8">
      <c r="G384" s="14"/>
      <c r="H384" s="566"/>
    </row>
    <row r="385" spans="7:8">
      <c r="G385" s="14"/>
      <c r="H385" s="566"/>
    </row>
    <row r="386" spans="7:8">
      <c r="G386" s="14"/>
      <c r="H386" s="566"/>
    </row>
    <row r="387" spans="7:8">
      <c r="G387" s="14"/>
      <c r="H387" s="566"/>
    </row>
    <row r="388" spans="7:8">
      <c r="G388" s="14"/>
      <c r="H388" s="566"/>
    </row>
    <row r="389" spans="7:8">
      <c r="G389" s="14"/>
      <c r="H389" s="566"/>
    </row>
    <row r="390" spans="7:8">
      <c r="G390" s="14"/>
      <c r="H390" s="566"/>
    </row>
    <row r="391" spans="7:8">
      <c r="G391" s="14"/>
      <c r="H391" s="566"/>
    </row>
    <row r="392" spans="7:8">
      <c r="G392" s="14"/>
      <c r="H392" s="566"/>
    </row>
    <row r="393" spans="7:8">
      <c r="G393" s="14"/>
      <c r="H393" s="566"/>
    </row>
    <row r="394" spans="7:8">
      <c r="G394" s="14"/>
      <c r="H394" s="566"/>
    </row>
    <row r="395" spans="7:8">
      <c r="G395" s="14"/>
      <c r="H395" s="566"/>
    </row>
    <row r="396" spans="7:8">
      <c r="G396" s="14"/>
      <c r="H396" s="566"/>
    </row>
    <row r="397" spans="7:8">
      <c r="G397" s="14"/>
      <c r="H397" s="566"/>
    </row>
    <row r="398" spans="7:8">
      <c r="G398" s="14"/>
      <c r="H398" s="566"/>
    </row>
    <row r="399" spans="7:8">
      <c r="G399" s="14"/>
      <c r="H399" s="566"/>
    </row>
    <row r="400" spans="7:8">
      <c r="G400" s="14"/>
      <c r="H400" s="566"/>
    </row>
    <row r="401" spans="7:8">
      <c r="G401" s="14"/>
      <c r="H401" s="566"/>
    </row>
    <row r="402" spans="7:8">
      <c r="G402" s="14"/>
      <c r="H402" s="566"/>
    </row>
    <row r="403" spans="7:8">
      <c r="G403" s="14"/>
      <c r="H403" s="566"/>
    </row>
    <row r="404" spans="7:8">
      <c r="G404" s="14"/>
      <c r="H404" s="566"/>
    </row>
    <row r="405" spans="7:8">
      <c r="G405" s="14"/>
      <c r="H405" s="566"/>
    </row>
    <row r="406" spans="7:8">
      <c r="G406" s="14"/>
      <c r="H406" s="566"/>
    </row>
    <row r="407" spans="7:8">
      <c r="G407" s="14"/>
      <c r="H407" s="566"/>
    </row>
    <row r="408" spans="7:8">
      <c r="G408" s="14"/>
      <c r="H408" s="566"/>
    </row>
    <row r="409" spans="7:8">
      <c r="G409" s="14"/>
      <c r="H409" s="566"/>
    </row>
    <row r="410" spans="7:8">
      <c r="G410" s="14"/>
      <c r="H410" s="566"/>
    </row>
    <row r="411" spans="7:8">
      <c r="G411" s="14"/>
      <c r="H411" s="566"/>
    </row>
    <row r="412" spans="7:8">
      <c r="G412" s="14"/>
      <c r="H412" s="566"/>
    </row>
    <row r="413" spans="7:8">
      <c r="G413" s="14"/>
      <c r="H413" s="566"/>
    </row>
    <row r="414" spans="7:8">
      <c r="G414" s="14"/>
      <c r="H414" s="566"/>
    </row>
    <row r="415" spans="7:8">
      <c r="G415" s="14"/>
      <c r="H415" s="566"/>
    </row>
    <row r="416" spans="7:8">
      <c r="G416" s="14"/>
      <c r="H416" s="566"/>
    </row>
    <row r="417" spans="7:8">
      <c r="G417" s="14"/>
      <c r="H417" s="566"/>
    </row>
    <row r="418" spans="7:8">
      <c r="G418" s="14"/>
      <c r="H418" s="566"/>
    </row>
    <row r="419" spans="7:8">
      <c r="G419" s="14"/>
      <c r="H419" s="566"/>
    </row>
    <row r="420" spans="7:8">
      <c r="G420" s="14"/>
      <c r="H420" s="566"/>
    </row>
    <row r="421" spans="7:8">
      <c r="G421" s="14"/>
      <c r="H421" s="566"/>
    </row>
    <row r="422" spans="7:8">
      <c r="G422" s="14"/>
      <c r="H422" s="566"/>
    </row>
    <row r="423" spans="7:8">
      <c r="G423" s="14"/>
      <c r="H423" s="566"/>
    </row>
    <row r="424" spans="7:8">
      <c r="G424" s="14"/>
      <c r="H424" s="566"/>
    </row>
    <row r="425" spans="7:8">
      <c r="G425" s="14"/>
      <c r="H425" s="566"/>
    </row>
    <row r="426" spans="7:8">
      <c r="G426" s="14"/>
      <c r="H426" s="566"/>
    </row>
    <row r="427" spans="7:8">
      <c r="G427" s="14"/>
      <c r="H427" s="566"/>
    </row>
    <row r="428" spans="7:8">
      <c r="G428" s="14"/>
      <c r="H428" s="566"/>
    </row>
    <row r="429" spans="7:8">
      <c r="G429" s="14"/>
      <c r="H429" s="566"/>
    </row>
    <row r="430" spans="7:8">
      <c r="G430" s="14"/>
      <c r="H430" s="566"/>
    </row>
    <row r="431" spans="7:8">
      <c r="G431" s="14"/>
      <c r="H431" s="566"/>
    </row>
    <row r="432" spans="7:8">
      <c r="G432" s="14"/>
      <c r="H432" s="566"/>
    </row>
    <row r="433" spans="7:8">
      <c r="G433" s="14"/>
      <c r="H433" s="566"/>
    </row>
    <row r="434" spans="7:8">
      <c r="G434" s="14"/>
      <c r="H434" s="566"/>
    </row>
    <row r="435" spans="7:8">
      <c r="G435" s="14"/>
      <c r="H435" s="566"/>
    </row>
    <row r="436" spans="7:8">
      <c r="G436" s="14"/>
      <c r="H436" s="566"/>
    </row>
    <row r="437" spans="7:8">
      <c r="G437" s="14"/>
    </row>
    <row r="438" spans="7:8">
      <c r="G438" s="14"/>
    </row>
    <row r="439" spans="7:8">
      <c r="G439" s="14"/>
    </row>
    <row r="440" spans="7:8">
      <c r="G440" s="14"/>
    </row>
    <row r="441" spans="7:8">
      <c r="G441" s="14"/>
    </row>
    <row r="442" spans="7:8">
      <c r="G442" s="14"/>
    </row>
    <row r="443" spans="7:8">
      <c r="G443" s="14"/>
    </row>
    <row r="444" spans="7:8">
      <c r="G444" s="14"/>
    </row>
    <row r="445" spans="7:8">
      <c r="G445" s="14"/>
    </row>
    <row r="446" spans="7:8">
      <c r="G446" s="14"/>
    </row>
    <row r="447" spans="7:8">
      <c r="G447" s="14"/>
    </row>
    <row r="448" spans="7:8">
      <c r="G448" s="14"/>
    </row>
    <row r="449" spans="7:7">
      <c r="G449" s="14"/>
    </row>
    <row r="450" spans="7:7">
      <c r="G450" s="14"/>
    </row>
    <row r="451" spans="7:7">
      <c r="G451" s="14"/>
    </row>
    <row r="452" spans="7:7">
      <c r="G452" s="14"/>
    </row>
    <row r="453" spans="7:7">
      <c r="G453" s="14"/>
    </row>
    <row r="454" spans="7:7">
      <c r="G454" s="14"/>
    </row>
    <row r="455" spans="7:7">
      <c r="G455" s="14"/>
    </row>
    <row r="456" spans="7:7">
      <c r="G456" s="14"/>
    </row>
    <row r="457" spans="7:7">
      <c r="G457" s="14"/>
    </row>
    <row r="458" spans="7:7">
      <c r="G458" s="14"/>
    </row>
    <row r="459" spans="7:7">
      <c r="G459" s="14"/>
    </row>
    <row r="460" spans="7:7">
      <c r="G460" s="14"/>
    </row>
    <row r="461" spans="7:7">
      <c r="G461" s="14"/>
    </row>
    <row r="462" spans="7:7">
      <c r="G462" s="14"/>
    </row>
    <row r="463" spans="7:7">
      <c r="G463" s="14"/>
    </row>
    <row r="464" spans="7:7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  <row r="679" spans="7:7">
      <c r="G679" s="14"/>
    </row>
    <row r="680" spans="7:7">
      <c r="G680" s="14"/>
    </row>
    <row r="681" spans="7:7">
      <c r="G681" s="14"/>
    </row>
    <row r="682" spans="7:7">
      <c r="G682" s="14"/>
    </row>
    <row r="683" spans="7:7">
      <c r="G683" s="14"/>
    </row>
    <row r="684" spans="7:7">
      <c r="G684" s="14"/>
    </row>
  </sheetData>
  <phoneticPr fontId="3" type="noConversion"/>
  <conditionalFormatting sqref="G39">
    <cfRule type="expression" dxfId="29" priority="4">
      <formula>AND(IF(E39&lt;&gt;0,1),IF(G39=0,1))</formula>
    </cfRule>
  </conditionalFormatting>
  <conditionalFormatting sqref="K39">
    <cfRule type="expression" dxfId="28" priority="3">
      <formula>LEFT(A39,2)="TU"</formula>
    </cfRule>
  </conditionalFormatting>
  <conditionalFormatting sqref="G40:G61">
    <cfRule type="expression" dxfId="27" priority="2">
      <formula>AND(IF(E40&lt;&gt;0,1),IF(G40=0,1))</formula>
    </cfRule>
  </conditionalFormatting>
  <conditionalFormatting sqref="K40:K61">
    <cfRule type="expression" dxfId="26" priority="1">
      <formula>LEFT(A40,2)="TU"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92D050"/>
  </sheetPr>
  <dimension ref="A1:S1050"/>
  <sheetViews>
    <sheetView topLeftCell="A133" zoomScaleNormal="100" workbookViewId="0">
      <selection activeCell="J155" sqref="J155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3.6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/>
      <c r="B3" s="122"/>
      <c r="C3" s="122"/>
      <c r="D3" s="536"/>
      <c r="E3" s="88"/>
      <c r="F3" s="122"/>
      <c r="G3" s="550"/>
      <c r="H3" s="475"/>
      <c r="I3" s="396"/>
      <c r="J3" s="129"/>
      <c r="K3" s="104"/>
      <c r="L3" s="382"/>
      <c r="M3" s="93"/>
      <c r="N3" s="93"/>
      <c r="O3" s="93"/>
      <c r="P3" s="93"/>
      <c r="Q3" s="93"/>
      <c r="S3" s="103"/>
    </row>
    <row r="4" spans="1:19" s="102" customFormat="1">
      <c r="A4" s="87"/>
      <c r="B4" s="122"/>
      <c r="C4" s="122"/>
      <c r="D4" s="536"/>
      <c r="E4" s="88"/>
      <c r="F4" s="122"/>
      <c r="G4" s="550"/>
      <c r="H4" s="475"/>
      <c r="I4" s="129"/>
      <c r="J4" s="129"/>
      <c r="K4" s="104"/>
      <c r="L4" s="382"/>
      <c r="M4" s="93"/>
      <c r="N4" s="93"/>
      <c r="O4" s="93"/>
      <c r="P4" s="93"/>
      <c r="Q4" s="93"/>
      <c r="S4" s="103"/>
    </row>
    <row r="5" spans="1:19" s="102" customFormat="1">
      <c r="A5" s="110"/>
      <c r="B5" s="113"/>
      <c r="C5" s="113"/>
      <c r="D5" s="538"/>
      <c r="E5" s="114"/>
      <c r="F5" s="113"/>
      <c r="G5" s="552"/>
      <c r="H5" s="477"/>
      <c r="I5" s="319"/>
      <c r="J5" s="129"/>
      <c r="K5" s="104"/>
      <c r="L5" s="382"/>
      <c r="M5" s="93"/>
      <c r="N5" s="93"/>
      <c r="O5" s="93"/>
      <c r="P5" s="93"/>
      <c r="Q5" s="93"/>
      <c r="S5" s="103"/>
    </row>
    <row r="6" spans="1:19" s="102" customFormat="1">
      <c r="A6" s="262"/>
      <c r="B6" s="265"/>
      <c r="C6" s="265"/>
      <c r="D6" s="537"/>
      <c r="E6" s="266"/>
      <c r="F6" s="265"/>
      <c r="G6" s="551"/>
      <c r="H6" s="476"/>
      <c r="I6" s="268"/>
      <c r="J6" s="268"/>
      <c r="K6" s="104"/>
      <c r="L6" s="382"/>
      <c r="M6" s="93"/>
      <c r="N6" s="93"/>
      <c r="O6" s="93"/>
      <c r="P6" s="93"/>
      <c r="Q6" s="93"/>
      <c r="S6" s="103"/>
    </row>
    <row r="7" spans="1:19" s="102" customFormat="1">
      <c r="A7" s="262"/>
      <c r="B7" s="265"/>
      <c r="C7" s="265"/>
      <c r="D7" s="537"/>
      <c r="E7" s="266"/>
      <c r="F7" s="265"/>
      <c r="G7" s="551"/>
      <c r="H7" s="476"/>
      <c r="I7" s="268"/>
      <c r="J7" s="268"/>
      <c r="K7" s="104"/>
      <c r="L7" s="382"/>
      <c r="M7" s="93"/>
      <c r="N7" s="93"/>
      <c r="O7" s="93"/>
      <c r="P7" s="93"/>
      <c r="Q7" s="93"/>
      <c r="S7" s="103"/>
    </row>
    <row r="8" spans="1:19" s="116" customFormat="1">
      <c r="A8" s="110"/>
      <c r="B8" s="113"/>
      <c r="C8" s="113"/>
      <c r="D8" s="538"/>
      <c r="E8" s="114"/>
      <c r="F8" s="113"/>
      <c r="G8" s="552"/>
      <c r="H8" s="477"/>
      <c r="I8" s="319"/>
      <c r="J8" s="319"/>
      <c r="K8" s="104"/>
      <c r="L8" s="382"/>
      <c r="S8" s="320"/>
    </row>
    <row r="9" spans="1:19" s="116" customFormat="1">
      <c r="A9" s="110"/>
      <c r="B9" s="113"/>
      <c r="C9" s="113"/>
      <c r="D9" s="538"/>
      <c r="E9" s="114"/>
      <c r="F9" s="113"/>
      <c r="G9" s="552"/>
      <c r="H9" s="477"/>
      <c r="I9" s="319"/>
      <c r="J9" s="319"/>
      <c r="K9" s="104"/>
      <c r="L9" s="382"/>
      <c r="S9" s="320"/>
    </row>
    <row r="10" spans="1:19" s="116" customFormat="1">
      <c r="A10" s="110"/>
      <c r="B10" s="113"/>
      <c r="C10" s="113"/>
      <c r="D10" s="538"/>
      <c r="E10" s="114"/>
      <c r="F10" s="113"/>
      <c r="G10" s="552"/>
      <c r="H10" s="477"/>
      <c r="I10" s="319"/>
      <c r="J10" s="319"/>
      <c r="K10" s="104"/>
      <c r="L10" s="382"/>
      <c r="S10" s="320"/>
    </row>
    <row r="11" spans="1:19" s="116" customFormat="1">
      <c r="A11" s="110"/>
      <c r="B11" s="113"/>
      <c r="C11" s="113"/>
      <c r="D11" s="538"/>
      <c r="E11" s="114"/>
      <c r="F11" s="113"/>
      <c r="G11" s="552"/>
      <c r="H11" s="477"/>
      <c r="I11" s="319"/>
      <c r="J11" s="319"/>
      <c r="K11" s="104"/>
      <c r="L11" s="382"/>
      <c r="S11" s="320"/>
    </row>
    <row r="12" spans="1:19" s="116" customFormat="1">
      <c r="A12" s="110"/>
      <c r="B12" s="113"/>
      <c r="C12" s="113"/>
      <c r="D12" s="538"/>
      <c r="E12" s="114"/>
      <c r="F12" s="113"/>
      <c r="G12" s="552"/>
      <c r="H12" s="477"/>
      <c r="I12" s="319"/>
      <c r="J12" s="319"/>
      <c r="K12" s="104">
        <f t="shared" ref="K12:K20" si="0">(J12-I12)*E12/100</f>
        <v>0</v>
      </c>
      <c r="L12" s="382"/>
      <c r="S12" s="320"/>
    </row>
    <row r="13" spans="1:19" s="116" customFormat="1">
      <c r="A13" s="110"/>
      <c r="B13" s="113"/>
      <c r="C13" s="113"/>
      <c r="D13" s="538"/>
      <c r="E13" s="114"/>
      <c r="F13" s="113"/>
      <c r="G13" s="552"/>
      <c r="H13" s="477"/>
      <c r="I13" s="319"/>
      <c r="J13" s="319"/>
      <c r="K13" s="104">
        <f t="shared" si="0"/>
        <v>0</v>
      </c>
      <c r="L13" s="382"/>
      <c r="S13" s="320"/>
    </row>
    <row r="14" spans="1:19" s="116" customFormat="1">
      <c r="A14" s="110"/>
      <c r="B14" s="113"/>
      <c r="C14" s="113"/>
      <c r="D14" s="538"/>
      <c r="E14" s="114"/>
      <c r="F14" s="113"/>
      <c r="G14" s="552"/>
      <c r="H14" s="477"/>
      <c r="I14" s="319"/>
      <c r="J14" s="319"/>
      <c r="K14" s="104">
        <f t="shared" si="0"/>
        <v>0</v>
      </c>
      <c r="L14" s="382"/>
      <c r="S14" s="320"/>
    </row>
    <row r="15" spans="1:19" s="116" customFormat="1">
      <c r="A15" s="110"/>
      <c r="B15" s="113"/>
      <c r="C15" s="113"/>
      <c r="D15" s="538"/>
      <c r="E15" s="114"/>
      <c r="F15" s="113"/>
      <c r="G15" s="552"/>
      <c r="H15" s="477"/>
      <c r="I15" s="319"/>
      <c r="J15" s="319"/>
      <c r="K15" s="104">
        <f t="shared" si="0"/>
        <v>0</v>
      </c>
      <c r="L15" s="382"/>
      <c r="S15" s="320"/>
    </row>
    <row r="16" spans="1:19" s="116" customFormat="1">
      <c r="A16" s="110"/>
      <c r="B16" s="113"/>
      <c r="C16" s="113"/>
      <c r="D16" s="538"/>
      <c r="E16" s="114"/>
      <c r="F16" s="113"/>
      <c r="G16" s="552"/>
      <c r="H16" s="477"/>
      <c r="I16" s="319"/>
      <c r="J16" s="319"/>
      <c r="K16" s="104">
        <f t="shared" si="0"/>
        <v>0</v>
      </c>
      <c r="L16" s="382"/>
      <c r="S16" s="320"/>
    </row>
    <row r="17" spans="1:19" s="116" customFormat="1">
      <c r="A17" s="110"/>
      <c r="B17" s="113"/>
      <c r="C17" s="113"/>
      <c r="D17" s="538"/>
      <c r="E17" s="114"/>
      <c r="F17" s="113"/>
      <c r="G17" s="552"/>
      <c r="H17" s="477"/>
      <c r="I17" s="319"/>
      <c r="J17" s="319"/>
      <c r="K17" s="104">
        <f t="shared" si="0"/>
        <v>0</v>
      </c>
      <c r="L17" s="382"/>
      <c r="S17" s="320"/>
    </row>
    <row r="18" spans="1:19" s="116" customFormat="1">
      <c r="A18" s="110"/>
      <c r="B18" s="113"/>
      <c r="C18" s="113"/>
      <c r="D18" s="538"/>
      <c r="E18" s="114"/>
      <c r="F18" s="113"/>
      <c r="G18" s="552"/>
      <c r="H18" s="477"/>
      <c r="I18" s="319"/>
      <c r="J18" s="319"/>
      <c r="K18" s="104">
        <f t="shared" si="0"/>
        <v>0</v>
      </c>
      <c r="L18" s="382"/>
      <c r="S18" s="320"/>
    </row>
    <row r="19" spans="1:19" s="116" customFormat="1">
      <c r="A19" s="110"/>
      <c r="B19" s="113"/>
      <c r="C19" s="113"/>
      <c r="D19" s="538"/>
      <c r="E19" s="114"/>
      <c r="F19" s="113"/>
      <c r="G19" s="552"/>
      <c r="H19" s="477"/>
      <c r="I19" s="319"/>
      <c r="J19" s="319"/>
      <c r="K19" s="104">
        <f t="shared" si="0"/>
        <v>0</v>
      </c>
      <c r="L19" s="382"/>
      <c r="S19" s="320"/>
    </row>
    <row r="20" spans="1:19" s="116" customFormat="1">
      <c r="A20" s="110" t="s">
        <v>160</v>
      </c>
      <c r="B20" s="113">
        <v>38839</v>
      </c>
      <c r="C20" s="113"/>
      <c r="D20" s="538"/>
      <c r="E20" s="114">
        <v>0</v>
      </c>
      <c r="F20" s="113">
        <v>42019</v>
      </c>
      <c r="G20" s="552">
        <v>0</v>
      </c>
      <c r="H20" s="478" t="s">
        <v>23</v>
      </c>
      <c r="I20" s="319">
        <v>99.875</v>
      </c>
      <c r="J20" s="319">
        <v>0</v>
      </c>
      <c r="K20" s="104">
        <f t="shared" si="0"/>
        <v>0</v>
      </c>
      <c r="L20" s="382"/>
      <c r="S20" s="117"/>
    </row>
    <row r="21" spans="1:19" s="116" customFormat="1">
      <c r="A21" s="111" t="s">
        <v>166</v>
      </c>
      <c r="B21" s="313"/>
      <c r="C21" s="313"/>
      <c r="D21" s="539"/>
      <c r="E21" s="314">
        <f>SUM(E3:E20)</f>
        <v>0</v>
      </c>
      <c r="F21" s="313"/>
      <c r="G21" s="316">
        <f>SUM(G3:G20)</f>
        <v>0</v>
      </c>
      <c r="H21" s="479"/>
      <c r="I21" s="323"/>
      <c r="J21" s="318"/>
      <c r="K21" s="316">
        <f>SUM(K3:K20)</f>
        <v>0</v>
      </c>
      <c r="L21" s="383"/>
      <c r="S21" s="117"/>
    </row>
    <row r="22" spans="1:19" s="93" customFormat="1">
      <c r="A22" s="93" t="s">
        <v>163</v>
      </c>
      <c r="B22" s="97"/>
      <c r="C22" s="97"/>
      <c r="D22" s="540"/>
      <c r="E22" s="100"/>
      <c r="F22" s="97"/>
      <c r="H22" s="480"/>
      <c r="I22" s="99"/>
      <c r="J22" s="99"/>
      <c r="L22" s="377"/>
    </row>
    <row r="23" spans="1:19" s="93" customFormat="1">
      <c r="A23" s="206" t="s">
        <v>234</v>
      </c>
      <c r="B23" s="207" t="s">
        <v>7</v>
      </c>
      <c r="C23" s="207" t="s">
        <v>171</v>
      </c>
      <c r="D23" s="535" t="s">
        <v>170</v>
      </c>
      <c r="E23" s="208" t="s">
        <v>11</v>
      </c>
      <c r="F23" s="207" t="s">
        <v>2</v>
      </c>
      <c r="G23" s="209" t="s">
        <v>12</v>
      </c>
      <c r="H23" s="482" t="s">
        <v>18</v>
      </c>
      <c r="I23" s="209" t="s">
        <v>210</v>
      </c>
      <c r="J23" s="207" t="s">
        <v>216</v>
      </c>
      <c r="K23" s="260" t="s">
        <v>212</v>
      </c>
      <c r="L23" s="377"/>
      <c r="S23" s="131" t="s">
        <v>21</v>
      </c>
    </row>
    <row r="24" spans="1:19" s="102" customFormat="1">
      <c r="A24" s="87" t="s">
        <v>154</v>
      </c>
      <c r="B24" s="122">
        <v>38898</v>
      </c>
      <c r="C24" s="122"/>
      <c r="D24" s="536"/>
      <c r="E24" s="88">
        <v>0</v>
      </c>
      <c r="F24" s="122">
        <v>42505</v>
      </c>
      <c r="G24" s="124">
        <v>0</v>
      </c>
      <c r="H24" s="475" t="s">
        <v>23</v>
      </c>
      <c r="I24" s="129">
        <v>99.46875</v>
      </c>
      <c r="J24" s="129">
        <v>0</v>
      </c>
      <c r="K24" s="104">
        <f t="shared" ref="K24:K29" si="1">(J24-I24)*E24/100</f>
        <v>0</v>
      </c>
      <c r="L24" s="378"/>
      <c r="M24" s="93"/>
      <c r="N24" s="93"/>
      <c r="O24" s="93"/>
      <c r="P24" s="93"/>
      <c r="Q24" s="93"/>
      <c r="S24" s="103"/>
    </row>
    <row r="25" spans="1:19" s="102" customFormat="1">
      <c r="A25" s="87" t="s">
        <v>154</v>
      </c>
      <c r="B25" s="122">
        <v>38853</v>
      </c>
      <c r="C25" s="122"/>
      <c r="D25" s="536"/>
      <c r="E25" s="88">
        <v>0</v>
      </c>
      <c r="F25" s="122">
        <v>42505</v>
      </c>
      <c r="G25" s="124">
        <v>0</v>
      </c>
      <c r="H25" s="475" t="s">
        <v>23</v>
      </c>
      <c r="I25" s="129">
        <v>95.90234375</v>
      </c>
      <c r="J25" s="129">
        <v>0</v>
      </c>
      <c r="K25" s="104">
        <f t="shared" si="1"/>
        <v>0</v>
      </c>
      <c r="L25" s="378"/>
      <c r="M25" s="93"/>
      <c r="N25" s="93"/>
      <c r="O25" s="93"/>
      <c r="P25" s="93"/>
      <c r="Q25" s="93"/>
      <c r="S25" s="103"/>
    </row>
    <row r="26" spans="1:19" s="102" customFormat="1">
      <c r="A26" s="262" t="s">
        <v>156</v>
      </c>
      <c r="B26" s="265">
        <v>38839</v>
      </c>
      <c r="C26" s="265"/>
      <c r="D26" s="537"/>
      <c r="E26" s="266">
        <v>0</v>
      </c>
      <c r="F26" s="265">
        <v>39568</v>
      </c>
      <c r="G26" s="151">
        <v>0</v>
      </c>
      <c r="H26" s="476"/>
      <c r="I26" s="268">
        <v>99.875</v>
      </c>
      <c r="J26" s="268">
        <v>0</v>
      </c>
      <c r="K26" s="269">
        <f t="shared" si="1"/>
        <v>0</v>
      </c>
      <c r="L26" s="378"/>
      <c r="M26" s="93"/>
      <c r="N26" s="93"/>
      <c r="O26" s="93"/>
      <c r="P26" s="93"/>
      <c r="Q26" s="93"/>
      <c r="S26" s="103"/>
    </row>
    <row r="27" spans="1:19" s="102" customFormat="1">
      <c r="A27" s="262" t="s">
        <v>156</v>
      </c>
      <c r="B27" s="265">
        <v>38839</v>
      </c>
      <c r="C27" s="265"/>
      <c r="D27" s="537"/>
      <c r="E27" s="266">
        <v>0</v>
      </c>
      <c r="F27" s="265">
        <v>39568</v>
      </c>
      <c r="G27" s="151">
        <v>0</v>
      </c>
      <c r="H27" s="476" t="s">
        <v>21</v>
      </c>
      <c r="I27" s="268">
        <v>99.875</v>
      </c>
      <c r="J27" s="268">
        <v>0</v>
      </c>
      <c r="K27" s="269">
        <f t="shared" si="1"/>
        <v>0</v>
      </c>
      <c r="L27" s="378"/>
      <c r="M27" s="93"/>
      <c r="N27" s="93"/>
      <c r="O27" s="93"/>
      <c r="P27" s="93"/>
      <c r="Q27" s="93"/>
      <c r="S27" s="103"/>
    </row>
    <row r="28" spans="1:19" s="116" customFormat="1">
      <c r="A28" s="110" t="s">
        <v>155</v>
      </c>
      <c r="B28" s="113">
        <v>38839</v>
      </c>
      <c r="C28" s="113"/>
      <c r="D28" s="538"/>
      <c r="E28" s="114">
        <v>0</v>
      </c>
      <c r="F28" s="113">
        <v>39568</v>
      </c>
      <c r="G28" s="118">
        <v>0</v>
      </c>
      <c r="H28" s="477" t="s">
        <v>23</v>
      </c>
      <c r="I28" s="319">
        <v>99.875</v>
      </c>
      <c r="J28" s="319">
        <v>0</v>
      </c>
      <c r="K28" s="261">
        <f t="shared" si="1"/>
        <v>0</v>
      </c>
      <c r="L28" s="379"/>
      <c r="S28" s="320"/>
    </row>
    <row r="29" spans="1:19" s="116" customFormat="1">
      <c r="A29" s="110" t="s">
        <v>155</v>
      </c>
      <c r="B29" s="113">
        <v>38839</v>
      </c>
      <c r="C29" s="113"/>
      <c r="D29" s="538"/>
      <c r="E29" s="114">
        <v>0</v>
      </c>
      <c r="F29" s="113">
        <v>42019</v>
      </c>
      <c r="G29" s="118">
        <v>0</v>
      </c>
      <c r="H29" s="478" t="s">
        <v>23</v>
      </c>
      <c r="I29" s="319">
        <v>99.875</v>
      </c>
      <c r="J29" s="319">
        <v>0</v>
      </c>
      <c r="K29" s="261">
        <f t="shared" si="1"/>
        <v>0</v>
      </c>
      <c r="L29" s="380"/>
      <c r="S29" s="117"/>
    </row>
    <row r="30" spans="1:19" s="532" customFormat="1" ht="17.25" thickBot="1">
      <c r="A30" s="361" t="s">
        <v>166</v>
      </c>
      <c r="B30" s="363"/>
      <c r="C30" s="363"/>
      <c r="D30" s="541"/>
      <c r="E30" s="364">
        <f>SUM(E24:E29)</f>
        <v>0</v>
      </c>
      <c r="F30" s="363"/>
      <c r="G30" s="365">
        <f>SUM(G24:G29)</f>
        <v>0</v>
      </c>
      <c r="H30" s="481"/>
      <c r="I30" s="367"/>
      <c r="J30" s="366"/>
      <c r="K30" s="365">
        <f>SUM(K24:K29)</f>
        <v>0</v>
      </c>
      <c r="L30" s="531"/>
      <c r="S30" s="533"/>
    </row>
    <row r="31" spans="1:19" s="116" customFormat="1" ht="17.25" thickTop="1">
      <c r="A31" s="324" t="s">
        <v>164</v>
      </c>
      <c r="B31" s="313"/>
      <c r="C31" s="313"/>
      <c r="D31" s="539"/>
      <c r="E31" s="314"/>
      <c r="F31" s="313"/>
      <c r="G31" s="316"/>
      <c r="H31" s="479"/>
      <c r="I31" s="323"/>
      <c r="J31" s="318"/>
      <c r="K31" s="316"/>
      <c r="L31" s="380"/>
      <c r="S31" s="117"/>
    </row>
    <row r="32" spans="1:19" s="93" customFormat="1">
      <c r="A32" s="206" t="s">
        <v>99</v>
      </c>
      <c r="B32" s="207" t="s">
        <v>7</v>
      </c>
      <c r="C32" s="207" t="s">
        <v>171</v>
      </c>
      <c r="D32" s="535" t="s">
        <v>170</v>
      </c>
      <c r="E32" s="208" t="s">
        <v>11</v>
      </c>
      <c r="F32" s="207" t="s">
        <v>2</v>
      </c>
      <c r="G32" s="209" t="s">
        <v>12</v>
      </c>
      <c r="H32" s="482" t="s">
        <v>18</v>
      </c>
      <c r="I32" s="209" t="s">
        <v>210</v>
      </c>
      <c r="J32" s="207" t="s">
        <v>216</v>
      </c>
      <c r="K32" s="260" t="s">
        <v>212</v>
      </c>
      <c r="L32" s="377"/>
      <c r="M32"/>
      <c r="N32"/>
      <c r="O32"/>
      <c r="P32"/>
      <c r="Q32"/>
      <c r="S32" s="131" t="s">
        <v>21</v>
      </c>
    </row>
    <row r="33" spans="1:19" s="93" customFormat="1">
      <c r="A33" s="867" t="s">
        <v>629</v>
      </c>
      <c r="B33" s="863" t="s">
        <v>677</v>
      </c>
      <c r="C33" s="863" t="s">
        <v>339</v>
      </c>
      <c r="D33" s="868" t="s">
        <v>339</v>
      </c>
      <c r="E33" s="869">
        <v>-20</v>
      </c>
      <c r="F33" s="870" t="s">
        <v>304</v>
      </c>
      <c r="G33" s="871">
        <v>0</v>
      </c>
      <c r="H33" s="864" t="s">
        <v>678</v>
      </c>
      <c r="I33" s="865">
        <v>112.34375</v>
      </c>
      <c r="J33" s="295">
        <v>112.3125</v>
      </c>
      <c r="K33" s="296">
        <f t="shared" ref="K33:K96" si="2">IF(LEFT(A33,2)="TU",(J33-I33)*E33/100*100000*2,(J33-I33)*E33/100*100000)</f>
        <v>625</v>
      </c>
      <c r="L33" s="377"/>
      <c r="M33"/>
      <c r="N33"/>
      <c r="O33"/>
      <c r="P33"/>
      <c r="Q33"/>
      <c r="S33" s="131"/>
    </row>
    <row r="34" spans="1:19" s="93" customFormat="1">
      <c r="A34" s="867" t="s">
        <v>629</v>
      </c>
      <c r="B34" s="863" t="s">
        <v>680</v>
      </c>
      <c r="C34" s="863" t="s">
        <v>339</v>
      </c>
      <c r="D34" s="868" t="s">
        <v>339</v>
      </c>
      <c r="E34" s="869">
        <v>-20</v>
      </c>
      <c r="F34" s="870" t="s">
        <v>304</v>
      </c>
      <c r="G34" s="871">
        <v>0</v>
      </c>
      <c r="H34" s="864" t="s">
        <v>683</v>
      </c>
      <c r="I34" s="865">
        <v>113.03125</v>
      </c>
      <c r="J34" s="295">
        <v>112.84375</v>
      </c>
      <c r="K34" s="296">
        <f t="shared" si="2"/>
        <v>3750</v>
      </c>
      <c r="L34" s="377"/>
      <c r="M34"/>
      <c r="N34"/>
      <c r="O34"/>
      <c r="P34"/>
      <c r="Q34"/>
      <c r="S34" s="131"/>
    </row>
    <row r="35" spans="1:19" s="93" customFormat="1">
      <c r="A35" s="867" t="s">
        <v>629</v>
      </c>
      <c r="B35" s="863" t="s">
        <v>680</v>
      </c>
      <c r="C35" s="863" t="s">
        <v>339</v>
      </c>
      <c r="D35" s="868" t="s">
        <v>339</v>
      </c>
      <c r="E35" s="869">
        <v>10</v>
      </c>
      <c r="F35" s="870" t="s">
        <v>304</v>
      </c>
      <c r="G35" s="871">
        <v>0</v>
      </c>
      <c r="H35" s="864" t="s">
        <v>684</v>
      </c>
      <c r="I35" s="865">
        <v>112.65625</v>
      </c>
      <c r="J35" s="295">
        <v>112.8125</v>
      </c>
      <c r="K35" s="296">
        <f t="shared" si="2"/>
        <v>1562.5</v>
      </c>
      <c r="L35" s="377"/>
    </row>
    <row r="36" spans="1:19" s="93" customFormat="1">
      <c r="A36" s="867" t="s">
        <v>631</v>
      </c>
      <c r="B36" s="863" t="s">
        <v>687</v>
      </c>
      <c r="C36" s="863" t="s">
        <v>339</v>
      </c>
      <c r="D36" s="868" t="s">
        <v>339</v>
      </c>
      <c r="E36" s="869">
        <v>-20</v>
      </c>
      <c r="F36" s="870" t="s">
        <v>304</v>
      </c>
      <c r="G36" s="871">
        <v>0</v>
      </c>
      <c r="H36" s="864" t="s">
        <v>694</v>
      </c>
      <c r="I36" s="865">
        <v>108.4375</v>
      </c>
      <c r="J36" s="295">
        <v>108.40625</v>
      </c>
      <c r="K36" s="296">
        <f t="shared" si="2"/>
        <v>625</v>
      </c>
      <c r="L36" s="377"/>
    </row>
    <row r="37" spans="1:19" s="93" customFormat="1">
      <c r="A37" s="867" t="s">
        <v>631</v>
      </c>
      <c r="B37" s="863" t="s">
        <v>705</v>
      </c>
      <c r="C37" s="863" t="s">
        <v>339</v>
      </c>
      <c r="D37" s="868" t="s">
        <v>339</v>
      </c>
      <c r="E37" s="869">
        <v>-40</v>
      </c>
      <c r="F37" s="870" t="s">
        <v>304</v>
      </c>
      <c r="G37" s="871">
        <v>0</v>
      </c>
      <c r="H37" s="864" t="s">
        <v>713</v>
      </c>
      <c r="I37" s="865">
        <v>108.359375</v>
      </c>
      <c r="J37" s="295">
        <v>108.0234375</v>
      </c>
      <c r="K37" s="296">
        <f t="shared" si="2"/>
        <v>13437.5</v>
      </c>
      <c r="L37" s="377"/>
    </row>
    <row r="38" spans="1:19" s="270" customFormat="1">
      <c r="A38" s="867" t="s">
        <v>631</v>
      </c>
      <c r="B38" s="863" t="s">
        <v>705</v>
      </c>
      <c r="C38" s="863" t="s">
        <v>339</v>
      </c>
      <c r="D38" s="868" t="s">
        <v>339</v>
      </c>
      <c r="E38" s="869">
        <v>-15</v>
      </c>
      <c r="F38" s="870" t="s">
        <v>304</v>
      </c>
      <c r="G38" s="871">
        <v>3080</v>
      </c>
      <c r="H38" s="864" t="s">
        <v>714</v>
      </c>
      <c r="I38" s="865">
        <v>108.09375</v>
      </c>
      <c r="J38" s="295">
        <v>108.6953125</v>
      </c>
      <c r="K38" s="296">
        <f t="shared" si="2"/>
        <v>-9023.4375</v>
      </c>
      <c r="L38" s="381"/>
    </row>
    <row r="39" spans="1:19" s="270" customFormat="1">
      <c r="A39" s="867" t="s">
        <v>631</v>
      </c>
      <c r="B39" s="863" t="s">
        <v>705</v>
      </c>
      <c r="C39" s="863" t="s">
        <v>339</v>
      </c>
      <c r="D39" s="868" t="s">
        <v>339</v>
      </c>
      <c r="E39" s="869">
        <v>-25</v>
      </c>
      <c r="F39" s="870" t="s">
        <v>304</v>
      </c>
      <c r="G39" s="871">
        <v>3080</v>
      </c>
      <c r="H39" s="864" t="s">
        <v>714</v>
      </c>
      <c r="I39" s="865">
        <v>108.09375</v>
      </c>
      <c r="J39" s="295">
        <v>108.703125</v>
      </c>
      <c r="K39" s="296">
        <f t="shared" si="2"/>
        <v>-15234.375</v>
      </c>
      <c r="L39" s="381"/>
    </row>
    <row r="40" spans="1:19" s="270" customFormat="1">
      <c r="A40" s="867" t="s">
        <v>629</v>
      </c>
      <c r="B40" s="863" t="s">
        <v>737</v>
      </c>
      <c r="C40" s="863" t="s">
        <v>339</v>
      </c>
      <c r="D40" s="868" t="s">
        <v>339</v>
      </c>
      <c r="E40" s="869">
        <v>20</v>
      </c>
      <c r="F40" s="870" t="s">
        <v>304</v>
      </c>
      <c r="G40" s="871">
        <v>-1540</v>
      </c>
      <c r="H40" s="864" t="s">
        <v>740</v>
      </c>
      <c r="I40" s="865">
        <v>114.171875</v>
      </c>
      <c r="J40" s="295">
        <v>114.5625</v>
      </c>
      <c r="K40" s="296">
        <f t="shared" si="2"/>
        <v>7812.5</v>
      </c>
      <c r="L40" s="381"/>
    </row>
    <row r="41" spans="1:19" s="270" customFormat="1">
      <c r="A41" s="867" t="s">
        <v>629</v>
      </c>
      <c r="B41" s="863" t="s">
        <v>744</v>
      </c>
      <c r="C41" s="863" t="s">
        <v>339</v>
      </c>
      <c r="D41" s="868" t="s">
        <v>339</v>
      </c>
      <c r="E41" s="869">
        <v>10</v>
      </c>
      <c r="F41" s="870" t="s">
        <v>304</v>
      </c>
      <c r="G41" s="871">
        <v>0</v>
      </c>
      <c r="H41" s="864" t="s">
        <v>759</v>
      </c>
      <c r="I41" s="865">
        <v>114.4375</v>
      </c>
      <c r="J41" s="295">
        <v>114.5625</v>
      </c>
      <c r="K41" s="296">
        <f t="shared" si="2"/>
        <v>1250</v>
      </c>
      <c r="L41" s="381"/>
    </row>
    <row r="42" spans="1:19" s="270" customFormat="1">
      <c r="A42" s="867" t="s">
        <v>629</v>
      </c>
      <c r="B42" s="863" t="s">
        <v>744</v>
      </c>
      <c r="C42" s="863" t="s">
        <v>339</v>
      </c>
      <c r="D42" s="868" t="s">
        <v>339</v>
      </c>
      <c r="E42" s="869">
        <v>20</v>
      </c>
      <c r="F42" s="870" t="s">
        <v>304</v>
      </c>
      <c r="G42" s="871">
        <v>0</v>
      </c>
      <c r="H42" s="864" t="s">
        <v>760</v>
      </c>
      <c r="I42" s="865">
        <v>114.359375</v>
      </c>
      <c r="J42" s="295">
        <v>114.734375</v>
      </c>
      <c r="K42" s="296">
        <f t="shared" si="2"/>
        <v>7500</v>
      </c>
      <c r="L42" s="381"/>
    </row>
    <row r="43" spans="1:19" s="270" customFormat="1">
      <c r="A43" s="867" t="s">
        <v>629</v>
      </c>
      <c r="B43" s="863" t="s">
        <v>744</v>
      </c>
      <c r="C43" s="863" t="s">
        <v>339</v>
      </c>
      <c r="D43" s="868" t="s">
        <v>339</v>
      </c>
      <c r="E43" s="869">
        <v>20</v>
      </c>
      <c r="F43" s="870" t="s">
        <v>304</v>
      </c>
      <c r="G43" s="871">
        <v>0</v>
      </c>
      <c r="H43" s="864" t="s">
        <v>761</v>
      </c>
      <c r="I43" s="865">
        <v>114.6875</v>
      </c>
      <c r="J43" s="295">
        <v>114.734375</v>
      </c>
      <c r="K43" s="296">
        <f t="shared" si="2"/>
        <v>937.5</v>
      </c>
      <c r="L43" s="381"/>
    </row>
    <row r="44" spans="1:19" s="270" customFormat="1">
      <c r="A44" s="867" t="s">
        <v>629</v>
      </c>
      <c r="B44" s="863" t="s">
        <v>744</v>
      </c>
      <c r="C44" s="863" t="s">
        <v>339</v>
      </c>
      <c r="D44" s="868" t="s">
        <v>339</v>
      </c>
      <c r="E44" s="869">
        <v>20</v>
      </c>
      <c r="F44" s="870" t="s">
        <v>304</v>
      </c>
      <c r="G44" s="871">
        <v>0</v>
      </c>
      <c r="H44" s="864" t="s">
        <v>762</v>
      </c>
      <c r="I44" s="865">
        <v>114.921875</v>
      </c>
      <c r="J44" s="295">
        <v>114.734375</v>
      </c>
      <c r="K44" s="296">
        <f t="shared" si="2"/>
        <v>-3750</v>
      </c>
      <c r="L44" s="381"/>
    </row>
    <row r="45" spans="1:19" s="270" customFormat="1">
      <c r="A45" s="867" t="s">
        <v>629</v>
      </c>
      <c r="B45" s="863" t="s">
        <v>744</v>
      </c>
      <c r="C45" s="863" t="s">
        <v>339</v>
      </c>
      <c r="D45" s="868" t="s">
        <v>339</v>
      </c>
      <c r="E45" s="869">
        <v>14</v>
      </c>
      <c r="F45" s="870" t="s">
        <v>304</v>
      </c>
      <c r="G45" s="871">
        <v>0</v>
      </c>
      <c r="H45" s="864" t="s">
        <v>763</v>
      </c>
      <c r="I45" s="865">
        <v>114.625</v>
      </c>
      <c r="J45" s="295">
        <v>114.75</v>
      </c>
      <c r="K45" s="296">
        <f t="shared" si="2"/>
        <v>1750.0000000000002</v>
      </c>
      <c r="L45" s="381"/>
    </row>
    <row r="46" spans="1:19" s="270" customFormat="1">
      <c r="A46" s="867" t="s">
        <v>629</v>
      </c>
      <c r="B46" s="863" t="s">
        <v>744</v>
      </c>
      <c r="C46" s="863" t="s">
        <v>339</v>
      </c>
      <c r="D46" s="868" t="s">
        <v>339</v>
      </c>
      <c r="E46" s="869">
        <v>20</v>
      </c>
      <c r="F46" s="870" t="s">
        <v>304</v>
      </c>
      <c r="G46" s="871">
        <v>0</v>
      </c>
      <c r="H46" s="864" t="s">
        <v>764</v>
      </c>
      <c r="I46" s="865">
        <v>114.703125</v>
      </c>
      <c r="J46" s="295">
        <v>114.796875</v>
      </c>
      <c r="K46" s="296">
        <f t="shared" si="2"/>
        <v>1875</v>
      </c>
      <c r="L46" s="381"/>
    </row>
    <row r="47" spans="1:19" s="270" customFormat="1">
      <c r="A47" s="867" t="s">
        <v>629</v>
      </c>
      <c r="B47" s="863" t="s">
        <v>744</v>
      </c>
      <c r="C47" s="863" t="s">
        <v>339</v>
      </c>
      <c r="D47" s="868" t="s">
        <v>339</v>
      </c>
      <c r="E47" s="869">
        <v>20</v>
      </c>
      <c r="F47" s="870" t="s">
        <v>304</v>
      </c>
      <c r="G47" s="871">
        <v>-1540</v>
      </c>
      <c r="H47" s="864" t="s">
        <v>765</v>
      </c>
      <c r="I47" s="865">
        <v>114.765625</v>
      </c>
      <c r="J47" s="295">
        <v>114.59375</v>
      </c>
      <c r="K47" s="296">
        <f t="shared" si="2"/>
        <v>-3437.5000000000005</v>
      </c>
      <c r="L47" s="381"/>
    </row>
    <row r="48" spans="1:19" s="270" customFormat="1">
      <c r="A48" s="867" t="s">
        <v>631</v>
      </c>
      <c r="B48" s="863" t="s">
        <v>757</v>
      </c>
      <c r="C48" s="863" t="s">
        <v>339</v>
      </c>
      <c r="D48" s="868" t="s">
        <v>339</v>
      </c>
      <c r="E48" s="869">
        <v>40</v>
      </c>
      <c r="F48" s="870" t="s">
        <v>304</v>
      </c>
      <c r="G48" s="871">
        <v>-1708</v>
      </c>
      <c r="H48" s="864" t="s">
        <v>775</v>
      </c>
      <c r="I48" s="865">
        <v>109.640625</v>
      </c>
      <c r="J48" s="295">
        <v>109.34375</v>
      </c>
      <c r="K48" s="296">
        <f t="shared" si="2"/>
        <v>-11875</v>
      </c>
      <c r="L48" s="381"/>
    </row>
    <row r="49" spans="1:12" s="270" customFormat="1">
      <c r="A49" s="867" t="s">
        <v>631</v>
      </c>
      <c r="B49" s="863" t="s">
        <v>781</v>
      </c>
      <c r="C49" s="863" t="s">
        <v>339</v>
      </c>
      <c r="D49" s="868" t="s">
        <v>339</v>
      </c>
      <c r="E49" s="869">
        <v>-20</v>
      </c>
      <c r="F49" s="870" t="s">
        <v>304</v>
      </c>
      <c r="G49" s="871">
        <v>0</v>
      </c>
      <c r="H49" s="864" t="s">
        <v>785</v>
      </c>
      <c r="I49" s="865">
        <v>109.375</v>
      </c>
      <c r="J49" s="295">
        <v>109.7109375</v>
      </c>
      <c r="K49" s="296">
        <f t="shared" si="2"/>
        <v>-6718.75</v>
      </c>
      <c r="L49" s="381"/>
    </row>
    <row r="50" spans="1:12" s="270" customFormat="1">
      <c r="A50" s="867" t="s">
        <v>631</v>
      </c>
      <c r="B50" s="863" t="s">
        <v>786</v>
      </c>
      <c r="C50" s="863" t="s">
        <v>339</v>
      </c>
      <c r="D50" s="868" t="s">
        <v>339</v>
      </c>
      <c r="E50" s="869">
        <v>-20</v>
      </c>
      <c r="F50" s="870" t="s">
        <v>304</v>
      </c>
      <c r="G50" s="871">
        <v>0</v>
      </c>
      <c r="H50" s="864" t="s">
        <v>787</v>
      </c>
      <c r="I50" s="865">
        <v>109.625</v>
      </c>
      <c r="J50" s="295">
        <v>109.6171875</v>
      </c>
      <c r="K50" s="296">
        <f t="shared" si="2"/>
        <v>156.25</v>
      </c>
      <c r="L50" s="381"/>
    </row>
    <row r="51" spans="1:12" s="270" customFormat="1">
      <c r="A51" s="867" t="s">
        <v>631</v>
      </c>
      <c r="B51" s="863" t="s">
        <v>776</v>
      </c>
      <c r="C51" s="863" t="s">
        <v>339</v>
      </c>
      <c r="D51" s="868" t="s">
        <v>339</v>
      </c>
      <c r="E51" s="869">
        <v>-40</v>
      </c>
      <c r="F51" s="870" t="s">
        <v>304</v>
      </c>
      <c r="G51" s="871">
        <v>1708</v>
      </c>
      <c r="H51" s="864" t="s">
        <v>778</v>
      </c>
      <c r="I51" s="865">
        <v>109.34375</v>
      </c>
      <c r="J51" s="295">
        <v>109.328125</v>
      </c>
      <c r="K51" s="296">
        <f t="shared" si="2"/>
        <v>625</v>
      </c>
      <c r="L51" s="381"/>
    </row>
    <row r="52" spans="1:12" s="270" customFormat="1">
      <c r="A52" s="867" t="s">
        <v>631</v>
      </c>
      <c r="B52" s="863" t="s">
        <v>786</v>
      </c>
      <c r="C52" s="863" t="s">
        <v>339</v>
      </c>
      <c r="D52" s="868" t="s">
        <v>339</v>
      </c>
      <c r="E52" s="869">
        <v>20</v>
      </c>
      <c r="F52" s="870" t="s">
        <v>304</v>
      </c>
      <c r="G52" s="871">
        <v>0</v>
      </c>
      <c r="H52" s="864" t="s">
        <v>801</v>
      </c>
      <c r="I52" s="865">
        <v>109.609375</v>
      </c>
      <c r="J52" s="295">
        <v>110.078125</v>
      </c>
      <c r="K52" s="296">
        <f t="shared" si="2"/>
        <v>9375</v>
      </c>
      <c r="L52" s="381"/>
    </row>
    <row r="53" spans="1:12" s="270" customFormat="1">
      <c r="A53" s="867" t="s">
        <v>631</v>
      </c>
      <c r="B53" s="863" t="s">
        <v>786</v>
      </c>
      <c r="C53" s="863" t="s">
        <v>339</v>
      </c>
      <c r="D53" s="868" t="s">
        <v>339</v>
      </c>
      <c r="E53" s="869">
        <v>20</v>
      </c>
      <c r="F53" s="870" t="s">
        <v>304</v>
      </c>
      <c r="G53" s="871">
        <v>0</v>
      </c>
      <c r="H53" s="864" t="s">
        <v>802</v>
      </c>
      <c r="I53" s="865">
        <v>109.859375</v>
      </c>
      <c r="J53" s="295">
        <v>110.078125</v>
      </c>
      <c r="K53" s="296">
        <f t="shared" si="2"/>
        <v>4375</v>
      </c>
      <c r="L53" s="381"/>
    </row>
    <row r="54" spans="1:12" s="270" customFormat="1">
      <c r="A54" s="867" t="s">
        <v>631</v>
      </c>
      <c r="B54" s="863" t="s">
        <v>786</v>
      </c>
      <c r="C54" s="863" t="s">
        <v>339</v>
      </c>
      <c r="D54" s="868" t="s">
        <v>339</v>
      </c>
      <c r="E54" s="869">
        <v>20</v>
      </c>
      <c r="F54" s="870" t="s">
        <v>304</v>
      </c>
      <c r="G54" s="871">
        <v>0</v>
      </c>
      <c r="H54" s="864" t="s">
        <v>803</v>
      </c>
      <c r="I54" s="865">
        <v>110.171875</v>
      </c>
      <c r="J54" s="295">
        <v>110.078125</v>
      </c>
      <c r="K54" s="296">
        <f t="shared" si="2"/>
        <v>-1875</v>
      </c>
      <c r="L54" s="381"/>
    </row>
    <row r="55" spans="1:12" s="270" customFormat="1">
      <c r="A55" s="867" t="s">
        <v>631</v>
      </c>
      <c r="B55" s="863" t="s">
        <v>786</v>
      </c>
      <c r="C55" s="863" t="s">
        <v>339</v>
      </c>
      <c r="D55" s="868" t="s">
        <v>339</v>
      </c>
      <c r="E55" s="869">
        <v>60</v>
      </c>
      <c r="F55" s="870" t="s">
        <v>304</v>
      </c>
      <c r="G55" s="871">
        <v>0</v>
      </c>
      <c r="H55" s="864" t="s">
        <v>804</v>
      </c>
      <c r="I55" s="865">
        <v>110.21875</v>
      </c>
      <c r="J55" s="295">
        <v>110.125</v>
      </c>
      <c r="K55" s="296">
        <f t="shared" si="2"/>
        <v>-5625</v>
      </c>
      <c r="L55" s="381"/>
    </row>
    <row r="56" spans="1:12" s="270" customFormat="1">
      <c r="A56" s="867" t="s">
        <v>631</v>
      </c>
      <c r="B56" s="863" t="s">
        <v>786</v>
      </c>
      <c r="C56" s="863" t="s">
        <v>339</v>
      </c>
      <c r="D56" s="868" t="s">
        <v>339</v>
      </c>
      <c r="E56" s="869">
        <v>60</v>
      </c>
      <c r="F56" s="870" t="s">
        <v>304</v>
      </c>
      <c r="G56" s="871">
        <v>0</v>
      </c>
      <c r="H56" s="864" t="s">
        <v>805</v>
      </c>
      <c r="I56" s="865">
        <v>110.1875</v>
      </c>
      <c r="J56" s="295">
        <v>110.125</v>
      </c>
      <c r="K56" s="296">
        <f t="shared" si="2"/>
        <v>-3750</v>
      </c>
      <c r="L56" s="381"/>
    </row>
    <row r="57" spans="1:12" s="270" customFormat="1">
      <c r="A57" s="867" t="s">
        <v>631</v>
      </c>
      <c r="B57" s="863" t="s">
        <v>786</v>
      </c>
      <c r="C57" s="863" t="s">
        <v>339</v>
      </c>
      <c r="D57" s="868" t="s">
        <v>339</v>
      </c>
      <c r="E57" s="869">
        <v>60</v>
      </c>
      <c r="F57" s="870" t="s">
        <v>304</v>
      </c>
      <c r="G57" s="871">
        <v>0</v>
      </c>
      <c r="H57" s="864" t="s">
        <v>806</v>
      </c>
      <c r="I57" s="865">
        <v>110.09375</v>
      </c>
      <c r="J57" s="295">
        <v>110.1015625</v>
      </c>
      <c r="K57" s="296">
        <f t="shared" si="2"/>
        <v>468.75</v>
      </c>
      <c r="L57" s="381"/>
    </row>
    <row r="58" spans="1:12" s="270" customFormat="1">
      <c r="A58" s="867" t="s">
        <v>631</v>
      </c>
      <c r="B58" s="863" t="s">
        <v>786</v>
      </c>
      <c r="C58" s="863" t="s">
        <v>339</v>
      </c>
      <c r="D58" s="868" t="s">
        <v>339</v>
      </c>
      <c r="E58" s="869">
        <v>40</v>
      </c>
      <c r="F58" s="870" t="s">
        <v>304</v>
      </c>
      <c r="G58" s="871">
        <v>0</v>
      </c>
      <c r="H58" s="864" t="s">
        <v>807</v>
      </c>
      <c r="I58" s="865">
        <v>110.0625</v>
      </c>
      <c r="J58" s="295">
        <v>110.1015625</v>
      </c>
      <c r="K58" s="296">
        <f t="shared" si="2"/>
        <v>1562.5</v>
      </c>
      <c r="L58" s="381"/>
    </row>
    <row r="59" spans="1:12" s="270" customFormat="1">
      <c r="A59" s="867" t="s">
        <v>631</v>
      </c>
      <c r="B59" s="863" t="s">
        <v>786</v>
      </c>
      <c r="C59" s="863" t="s">
        <v>339</v>
      </c>
      <c r="D59" s="868" t="s">
        <v>339</v>
      </c>
      <c r="E59" s="869">
        <v>20</v>
      </c>
      <c r="F59" s="870" t="s">
        <v>304</v>
      </c>
      <c r="G59" s="871">
        <v>-854</v>
      </c>
      <c r="H59" s="864" t="s">
        <v>808</v>
      </c>
      <c r="I59" s="865">
        <v>110.2109375</v>
      </c>
      <c r="J59" s="295">
        <v>110.21875</v>
      </c>
      <c r="K59" s="296">
        <f t="shared" si="2"/>
        <v>156.25</v>
      </c>
      <c r="L59" s="381"/>
    </row>
    <row r="60" spans="1:12" s="270" customFormat="1">
      <c r="A60" s="867" t="s">
        <v>631</v>
      </c>
      <c r="B60" s="863" t="s">
        <v>786</v>
      </c>
      <c r="C60" s="863" t="s">
        <v>339</v>
      </c>
      <c r="D60" s="868" t="s">
        <v>339</v>
      </c>
      <c r="E60" s="869">
        <v>40</v>
      </c>
      <c r="F60" s="870" t="s">
        <v>304</v>
      </c>
      <c r="G60" s="871">
        <v>-1708</v>
      </c>
      <c r="H60" s="864" t="s">
        <v>809</v>
      </c>
      <c r="I60" s="865">
        <v>110.203125</v>
      </c>
      <c r="J60" s="295">
        <v>110.21875</v>
      </c>
      <c r="K60" s="296">
        <f t="shared" si="2"/>
        <v>625</v>
      </c>
      <c r="L60" s="381"/>
    </row>
    <row r="61" spans="1:12" s="270" customFormat="1">
      <c r="A61" s="867" t="s">
        <v>631</v>
      </c>
      <c r="B61" s="863" t="s">
        <v>797</v>
      </c>
      <c r="C61" s="863" t="s">
        <v>339</v>
      </c>
      <c r="D61" s="868" t="s">
        <v>339</v>
      </c>
      <c r="E61" s="869">
        <v>40</v>
      </c>
      <c r="F61" s="870" t="s">
        <v>304</v>
      </c>
      <c r="G61" s="871">
        <v>0</v>
      </c>
      <c r="H61" s="864" t="s">
        <v>825</v>
      </c>
      <c r="I61" s="865">
        <v>110.109375</v>
      </c>
      <c r="J61" s="295">
        <v>110.125</v>
      </c>
      <c r="K61" s="296">
        <f t="shared" si="2"/>
        <v>625</v>
      </c>
      <c r="L61" s="381"/>
    </row>
    <row r="62" spans="1:12" s="270" customFormat="1">
      <c r="A62" s="867" t="s">
        <v>631</v>
      </c>
      <c r="B62" s="863" t="s">
        <v>822</v>
      </c>
      <c r="C62" s="863" t="s">
        <v>339</v>
      </c>
      <c r="D62" s="868" t="s">
        <v>339</v>
      </c>
      <c r="E62" s="869">
        <v>-20</v>
      </c>
      <c r="F62" s="870" t="s">
        <v>304</v>
      </c>
      <c r="G62" s="871">
        <v>0</v>
      </c>
      <c r="H62" s="864" t="s">
        <v>826</v>
      </c>
      <c r="I62" s="865">
        <v>109.6875</v>
      </c>
      <c r="J62" s="295">
        <v>109.46875</v>
      </c>
      <c r="K62" s="296">
        <f t="shared" si="2"/>
        <v>4375</v>
      </c>
      <c r="L62" s="381"/>
    </row>
    <row r="63" spans="1:12" s="270" customFormat="1">
      <c r="A63" s="867" t="s">
        <v>631</v>
      </c>
      <c r="B63" s="863" t="s">
        <v>827</v>
      </c>
      <c r="C63" s="863" t="s">
        <v>339</v>
      </c>
      <c r="D63" s="868" t="s">
        <v>339</v>
      </c>
      <c r="E63" s="869">
        <v>60</v>
      </c>
      <c r="F63" s="870" t="s">
        <v>304</v>
      </c>
      <c r="G63" s="871">
        <v>0</v>
      </c>
      <c r="H63" s="864" t="s">
        <v>828</v>
      </c>
      <c r="I63" s="865">
        <v>109.796875</v>
      </c>
      <c r="J63" s="295">
        <v>109.5703125</v>
      </c>
      <c r="K63" s="296">
        <f t="shared" si="2"/>
        <v>-13593.749999999998</v>
      </c>
      <c r="L63" s="381"/>
    </row>
    <row r="64" spans="1:12" s="270" customFormat="1">
      <c r="A64" s="867" t="s">
        <v>631</v>
      </c>
      <c r="B64" s="863" t="s">
        <v>827</v>
      </c>
      <c r="C64" s="863" t="s">
        <v>339</v>
      </c>
      <c r="D64" s="868" t="s">
        <v>339</v>
      </c>
      <c r="E64" s="869">
        <v>40</v>
      </c>
      <c r="F64" s="870" t="s">
        <v>304</v>
      </c>
      <c r="G64" s="871">
        <v>0</v>
      </c>
      <c r="H64" s="864" t="s">
        <v>829</v>
      </c>
      <c r="I64" s="865">
        <v>109.6171875</v>
      </c>
      <c r="J64" s="295">
        <v>109.65625</v>
      </c>
      <c r="K64" s="296">
        <f t="shared" si="2"/>
        <v>1562.5</v>
      </c>
      <c r="L64" s="381"/>
    </row>
    <row r="65" spans="1:12" s="270" customFormat="1">
      <c r="A65" s="867" t="s">
        <v>631</v>
      </c>
      <c r="B65" s="863" t="s">
        <v>819</v>
      </c>
      <c r="C65" s="863" t="s">
        <v>339</v>
      </c>
      <c r="D65" s="868" t="s">
        <v>339</v>
      </c>
      <c r="E65" s="869">
        <v>40</v>
      </c>
      <c r="F65" s="870" t="s">
        <v>304</v>
      </c>
      <c r="G65" s="871">
        <v>0</v>
      </c>
      <c r="H65" s="864" t="s">
        <v>830</v>
      </c>
      <c r="I65" s="865">
        <v>109.3984375</v>
      </c>
      <c r="J65" s="295">
        <v>109.2734375</v>
      </c>
      <c r="K65" s="296">
        <f t="shared" si="2"/>
        <v>-5000</v>
      </c>
      <c r="L65" s="381"/>
    </row>
    <row r="66" spans="1:12" s="270" customFormat="1">
      <c r="A66" s="867" t="s">
        <v>631</v>
      </c>
      <c r="B66" s="863" t="s">
        <v>797</v>
      </c>
      <c r="C66" s="863" t="s">
        <v>339</v>
      </c>
      <c r="D66" s="868" t="s">
        <v>339</v>
      </c>
      <c r="E66" s="869">
        <v>60</v>
      </c>
      <c r="F66" s="870" t="s">
        <v>304</v>
      </c>
      <c r="G66" s="871">
        <v>0</v>
      </c>
      <c r="H66" s="864" t="s">
        <v>831</v>
      </c>
      <c r="I66" s="865">
        <v>110.109375</v>
      </c>
      <c r="J66" s="295">
        <v>109.6796875</v>
      </c>
      <c r="K66" s="296">
        <f t="shared" si="2"/>
        <v>-25781.25</v>
      </c>
      <c r="L66" s="381"/>
    </row>
    <row r="67" spans="1:12" s="270" customFormat="1">
      <c r="A67" s="867" t="s">
        <v>631</v>
      </c>
      <c r="B67" s="863" t="s">
        <v>858</v>
      </c>
      <c r="C67" s="863" t="s">
        <v>339</v>
      </c>
      <c r="D67" s="868" t="s">
        <v>339</v>
      </c>
      <c r="E67" s="869">
        <v>-20</v>
      </c>
      <c r="F67" s="870" t="s">
        <v>304</v>
      </c>
      <c r="G67" s="871">
        <v>0</v>
      </c>
      <c r="H67" s="864" t="s">
        <v>860</v>
      </c>
      <c r="I67" s="865">
        <v>109.265625</v>
      </c>
      <c r="J67" s="295">
        <v>109.25</v>
      </c>
      <c r="K67" s="296">
        <f t="shared" si="2"/>
        <v>312.5</v>
      </c>
      <c r="L67" s="381"/>
    </row>
    <row r="68" spans="1:12" s="270" customFormat="1">
      <c r="A68" s="867" t="s">
        <v>631</v>
      </c>
      <c r="B68" s="863" t="s">
        <v>858</v>
      </c>
      <c r="C68" s="863" t="s">
        <v>339</v>
      </c>
      <c r="D68" s="868" t="s">
        <v>339</v>
      </c>
      <c r="E68" s="869">
        <v>-20</v>
      </c>
      <c r="F68" s="870" t="s">
        <v>304</v>
      </c>
      <c r="G68" s="871">
        <v>0</v>
      </c>
      <c r="H68" s="864" t="s">
        <v>861</v>
      </c>
      <c r="I68" s="865">
        <v>109.46875</v>
      </c>
      <c r="J68" s="295">
        <v>109.328125</v>
      </c>
      <c r="K68" s="296">
        <f t="shared" si="2"/>
        <v>2812.5</v>
      </c>
      <c r="L68" s="381"/>
    </row>
    <row r="69" spans="1:12" s="270" customFormat="1">
      <c r="A69" s="867" t="s">
        <v>631</v>
      </c>
      <c r="B69" s="863" t="s">
        <v>862</v>
      </c>
      <c r="C69" s="863" t="s">
        <v>339</v>
      </c>
      <c r="D69" s="868" t="s">
        <v>339</v>
      </c>
      <c r="E69" s="869">
        <v>20</v>
      </c>
      <c r="F69" s="870" t="s">
        <v>304</v>
      </c>
      <c r="G69" s="871">
        <v>0</v>
      </c>
      <c r="H69" s="864" t="s">
        <v>872</v>
      </c>
      <c r="I69" s="865">
        <v>109.484375</v>
      </c>
      <c r="J69" s="295">
        <v>109.359375</v>
      </c>
      <c r="K69" s="296">
        <f t="shared" si="2"/>
        <v>-2500</v>
      </c>
      <c r="L69" s="381"/>
    </row>
    <row r="70" spans="1:12" s="270" customFormat="1">
      <c r="A70" s="867" t="s">
        <v>631</v>
      </c>
      <c r="B70" s="863" t="s">
        <v>862</v>
      </c>
      <c r="C70" s="863" t="s">
        <v>339</v>
      </c>
      <c r="D70" s="868" t="s">
        <v>339</v>
      </c>
      <c r="E70" s="869">
        <v>-20</v>
      </c>
      <c r="F70" s="870" t="s">
        <v>304</v>
      </c>
      <c r="G70" s="871">
        <v>854</v>
      </c>
      <c r="H70" s="864" t="s">
        <v>863</v>
      </c>
      <c r="I70" s="865">
        <v>109.390625</v>
      </c>
      <c r="J70" s="295">
        <v>109.328125</v>
      </c>
      <c r="K70" s="296">
        <f t="shared" si="2"/>
        <v>1250</v>
      </c>
      <c r="L70" s="381"/>
    </row>
    <row r="71" spans="1:12" s="270" customFormat="1">
      <c r="A71" s="867" t="s">
        <v>629</v>
      </c>
      <c r="B71" s="863" t="s">
        <v>916</v>
      </c>
      <c r="C71" s="863" t="s">
        <v>339</v>
      </c>
      <c r="D71" s="868" t="s">
        <v>339</v>
      </c>
      <c r="E71" s="869">
        <v>40</v>
      </c>
      <c r="F71" s="870" t="s">
        <v>304</v>
      </c>
      <c r="G71" s="871">
        <v>0</v>
      </c>
      <c r="H71" s="864" t="s">
        <v>925</v>
      </c>
      <c r="I71" s="865">
        <v>114.9375</v>
      </c>
      <c r="J71" s="295">
        <v>115.5625</v>
      </c>
      <c r="K71" s="296">
        <f t="shared" si="2"/>
        <v>25000</v>
      </c>
      <c r="L71" s="381"/>
    </row>
    <row r="72" spans="1:12" s="270" customFormat="1">
      <c r="A72" s="867" t="s">
        <v>629</v>
      </c>
      <c r="B72" s="863" t="s">
        <v>916</v>
      </c>
      <c r="C72" s="863" t="s">
        <v>339</v>
      </c>
      <c r="D72" s="868" t="s">
        <v>339</v>
      </c>
      <c r="E72" s="869">
        <v>20</v>
      </c>
      <c r="F72" s="870" t="s">
        <v>304</v>
      </c>
      <c r="G72" s="871">
        <v>0</v>
      </c>
      <c r="H72" s="864" t="s">
        <v>926</v>
      </c>
      <c r="I72" s="865">
        <v>114.78125</v>
      </c>
      <c r="J72" s="295">
        <v>114.625</v>
      </c>
      <c r="K72" s="296">
        <f t="shared" si="2"/>
        <v>-3125</v>
      </c>
      <c r="L72" s="381"/>
    </row>
    <row r="73" spans="1:12" s="270" customFormat="1">
      <c r="A73" s="867" t="s">
        <v>629</v>
      </c>
      <c r="B73" s="863" t="s">
        <v>916</v>
      </c>
      <c r="C73" s="863" t="s">
        <v>339</v>
      </c>
      <c r="D73" s="868" t="s">
        <v>339</v>
      </c>
      <c r="E73" s="869">
        <v>20</v>
      </c>
      <c r="F73" s="870" t="s">
        <v>304</v>
      </c>
      <c r="G73" s="871">
        <v>-1540</v>
      </c>
      <c r="H73" s="864" t="s">
        <v>927</v>
      </c>
      <c r="I73" s="865">
        <v>114.6875</v>
      </c>
      <c r="J73" s="295">
        <v>114.125</v>
      </c>
      <c r="K73" s="296">
        <f t="shared" si="2"/>
        <v>-11250</v>
      </c>
      <c r="L73" s="381"/>
    </row>
    <row r="74" spans="1:12" s="270" customFormat="1">
      <c r="A74" s="867" t="s">
        <v>639</v>
      </c>
      <c r="B74" s="863" t="s">
        <v>939</v>
      </c>
      <c r="C74" s="863" t="s">
        <v>339</v>
      </c>
      <c r="D74" s="868" t="s">
        <v>339</v>
      </c>
      <c r="E74" s="869">
        <v>-20</v>
      </c>
      <c r="F74" s="870" t="s">
        <v>304</v>
      </c>
      <c r="G74" s="871">
        <v>744</v>
      </c>
      <c r="H74" s="864" t="s">
        <v>942</v>
      </c>
      <c r="I74" s="865">
        <v>102.40625</v>
      </c>
      <c r="J74" s="295">
        <v>102.4296875</v>
      </c>
      <c r="K74" s="296">
        <f t="shared" si="2"/>
        <v>-937.5</v>
      </c>
      <c r="L74" s="381"/>
    </row>
    <row r="75" spans="1:12" s="270" customFormat="1">
      <c r="A75" s="867" t="s">
        <v>629</v>
      </c>
      <c r="B75" s="863" t="s">
        <v>939</v>
      </c>
      <c r="C75" s="863" t="s">
        <v>339</v>
      </c>
      <c r="D75" s="868" t="s">
        <v>339</v>
      </c>
      <c r="E75" s="869">
        <v>20</v>
      </c>
      <c r="F75" s="870" t="s">
        <v>304</v>
      </c>
      <c r="G75" s="871">
        <v>0</v>
      </c>
      <c r="H75" s="864" t="s">
        <v>956</v>
      </c>
      <c r="I75" s="865">
        <v>113.625</v>
      </c>
      <c r="J75" s="295">
        <v>113.640625</v>
      </c>
      <c r="K75" s="296">
        <f t="shared" si="2"/>
        <v>312.5</v>
      </c>
      <c r="L75" s="381"/>
    </row>
    <row r="76" spans="1:12" s="270" customFormat="1">
      <c r="A76" s="867" t="s">
        <v>629</v>
      </c>
      <c r="B76" s="863" t="s">
        <v>939</v>
      </c>
      <c r="C76" s="863" t="s">
        <v>339</v>
      </c>
      <c r="D76" s="868" t="s">
        <v>339</v>
      </c>
      <c r="E76" s="869">
        <v>20</v>
      </c>
      <c r="F76" s="870" t="s">
        <v>304</v>
      </c>
      <c r="G76" s="871">
        <v>0</v>
      </c>
      <c r="H76" s="864" t="s">
        <v>957</v>
      </c>
      <c r="I76" s="865">
        <v>113.375</v>
      </c>
      <c r="J76" s="295">
        <v>113.46875</v>
      </c>
      <c r="K76" s="296">
        <f t="shared" si="2"/>
        <v>1875</v>
      </c>
      <c r="L76" s="381"/>
    </row>
    <row r="77" spans="1:12" s="270" customFormat="1">
      <c r="A77" s="867" t="s">
        <v>629</v>
      </c>
      <c r="B77" s="863" t="s">
        <v>935</v>
      </c>
      <c r="C77" s="863" t="s">
        <v>339</v>
      </c>
      <c r="D77" s="868" t="s">
        <v>339</v>
      </c>
      <c r="E77" s="869">
        <v>-20</v>
      </c>
      <c r="F77" s="870" t="s">
        <v>304</v>
      </c>
      <c r="G77" s="871">
        <v>1540</v>
      </c>
      <c r="H77" s="864" t="s">
        <v>936</v>
      </c>
      <c r="I77" s="865">
        <v>114.125</v>
      </c>
      <c r="J77" s="295">
        <v>113.546875</v>
      </c>
      <c r="K77" s="296">
        <f t="shared" si="2"/>
        <v>11562.5</v>
      </c>
      <c r="L77" s="381"/>
    </row>
    <row r="78" spans="1:12" s="270" customFormat="1">
      <c r="A78" s="867" t="s">
        <v>629</v>
      </c>
      <c r="B78" s="863" t="s">
        <v>952</v>
      </c>
      <c r="C78" s="863" t="s">
        <v>339</v>
      </c>
      <c r="D78" s="868" t="s">
        <v>339</v>
      </c>
      <c r="E78" s="869">
        <v>-20</v>
      </c>
      <c r="F78" s="870" t="s">
        <v>304</v>
      </c>
      <c r="G78" s="871">
        <v>0</v>
      </c>
      <c r="H78" s="864" t="s">
        <v>963</v>
      </c>
      <c r="I78" s="865">
        <v>113.59375</v>
      </c>
      <c r="J78" s="295">
        <v>113.546875</v>
      </c>
      <c r="K78" s="296">
        <f t="shared" si="2"/>
        <v>937.5</v>
      </c>
      <c r="L78" s="381"/>
    </row>
    <row r="79" spans="1:12" s="270" customFormat="1">
      <c r="A79" s="867" t="s">
        <v>629</v>
      </c>
      <c r="B79" s="863" t="s">
        <v>961</v>
      </c>
      <c r="C79" s="863" t="s">
        <v>339</v>
      </c>
      <c r="D79" s="868" t="s">
        <v>339</v>
      </c>
      <c r="E79" s="869">
        <v>-20</v>
      </c>
      <c r="F79" s="870" t="s">
        <v>304</v>
      </c>
      <c r="G79" s="871">
        <v>0</v>
      </c>
      <c r="H79" s="864" t="s">
        <v>977</v>
      </c>
      <c r="I79" s="865">
        <v>113.71875</v>
      </c>
      <c r="J79" s="295">
        <v>113.59375</v>
      </c>
      <c r="K79" s="296">
        <f t="shared" si="2"/>
        <v>2500</v>
      </c>
      <c r="L79" s="381"/>
    </row>
    <row r="80" spans="1:12" s="270" customFormat="1">
      <c r="A80" s="867" t="s">
        <v>629</v>
      </c>
      <c r="B80" s="863" t="s">
        <v>975</v>
      </c>
      <c r="C80" s="863" t="s">
        <v>339</v>
      </c>
      <c r="D80" s="868" t="s">
        <v>339</v>
      </c>
      <c r="E80" s="869">
        <v>-20</v>
      </c>
      <c r="F80" s="870" t="s">
        <v>304</v>
      </c>
      <c r="G80" s="871">
        <v>0</v>
      </c>
      <c r="H80" s="864" t="s">
        <v>978</v>
      </c>
      <c r="I80" s="865">
        <v>113.171875</v>
      </c>
      <c r="J80" s="295">
        <v>113.140625</v>
      </c>
      <c r="K80" s="296">
        <f t="shared" si="2"/>
        <v>625</v>
      </c>
      <c r="L80" s="381"/>
    </row>
    <row r="81" spans="1:12" s="270" customFormat="1">
      <c r="A81" s="867" t="s">
        <v>639</v>
      </c>
      <c r="B81" s="863" t="s">
        <v>994</v>
      </c>
      <c r="C81" s="863" t="s">
        <v>339</v>
      </c>
      <c r="D81" s="868" t="s">
        <v>339</v>
      </c>
      <c r="E81" s="869">
        <v>-30</v>
      </c>
      <c r="F81" s="870" t="s">
        <v>304</v>
      </c>
      <c r="G81" s="871">
        <v>0</v>
      </c>
      <c r="H81" s="864" t="s">
        <v>1004</v>
      </c>
      <c r="I81" s="865">
        <v>102.046875</v>
      </c>
      <c r="J81" s="295">
        <v>102.0390625</v>
      </c>
      <c r="K81" s="296">
        <f t="shared" si="2"/>
        <v>468.75</v>
      </c>
      <c r="L81" s="381"/>
    </row>
    <row r="82" spans="1:12" s="270" customFormat="1">
      <c r="A82" s="867" t="s">
        <v>629</v>
      </c>
      <c r="B82" s="863" t="s">
        <v>975</v>
      </c>
      <c r="C82" s="863" t="s">
        <v>339</v>
      </c>
      <c r="D82" s="868" t="s">
        <v>339</v>
      </c>
      <c r="E82" s="869">
        <v>-20</v>
      </c>
      <c r="F82" s="870" t="s">
        <v>304</v>
      </c>
      <c r="G82" s="871">
        <v>1540</v>
      </c>
      <c r="H82" s="864" t="s">
        <v>979</v>
      </c>
      <c r="I82" s="865">
        <v>113.1875</v>
      </c>
      <c r="J82" s="295">
        <v>112.6875</v>
      </c>
      <c r="K82" s="296">
        <f t="shared" si="2"/>
        <v>10000</v>
      </c>
      <c r="L82" s="381"/>
    </row>
    <row r="83" spans="1:12" s="270" customFormat="1">
      <c r="A83" s="867" t="s">
        <v>639</v>
      </c>
      <c r="B83" s="863" t="s">
        <v>1005</v>
      </c>
      <c r="C83" s="863" t="s">
        <v>339</v>
      </c>
      <c r="D83" s="868" t="s">
        <v>339</v>
      </c>
      <c r="E83" s="869">
        <v>-20</v>
      </c>
      <c r="F83" s="870" t="s">
        <v>304</v>
      </c>
      <c r="G83" s="871">
        <v>0</v>
      </c>
      <c r="H83" s="864" t="s">
        <v>1017</v>
      </c>
      <c r="I83" s="865">
        <v>101.9375</v>
      </c>
      <c r="J83" s="295">
        <v>101.8671875</v>
      </c>
      <c r="K83" s="296">
        <f t="shared" si="2"/>
        <v>2812.5</v>
      </c>
      <c r="L83" s="381"/>
    </row>
    <row r="84" spans="1:12" s="270" customFormat="1">
      <c r="A84" s="867" t="s">
        <v>639</v>
      </c>
      <c r="B84" s="863" t="s">
        <v>1005</v>
      </c>
      <c r="C84" s="863" t="s">
        <v>339</v>
      </c>
      <c r="D84" s="868" t="s">
        <v>339</v>
      </c>
      <c r="E84" s="869">
        <v>-20</v>
      </c>
      <c r="F84" s="870" t="s">
        <v>304</v>
      </c>
      <c r="G84" s="871">
        <v>744</v>
      </c>
      <c r="H84" s="864" t="s">
        <v>1006</v>
      </c>
      <c r="I84" s="865">
        <v>102.01953125</v>
      </c>
      <c r="J84" s="295">
        <v>101.93359375</v>
      </c>
      <c r="K84" s="296">
        <f t="shared" si="2"/>
        <v>3437.5000000000005</v>
      </c>
      <c r="L84" s="381"/>
    </row>
    <row r="85" spans="1:12" s="270" customFormat="1">
      <c r="A85" s="867" t="s">
        <v>631</v>
      </c>
      <c r="B85" s="863" t="s">
        <v>1026</v>
      </c>
      <c r="C85" s="863" t="s">
        <v>339</v>
      </c>
      <c r="D85" s="868" t="s">
        <v>339</v>
      </c>
      <c r="E85" s="869">
        <v>-60</v>
      </c>
      <c r="F85" s="870" t="s">
        <v>304</v>
      </c>
      <c r="G85" s="871">
        <v>0</v>
      </c>
      <c r="H85" s="864" t="s">
        <v>1029</v>
      </c>
      <c r="I85" s="865">
        <v>106.90625</v>
      </c>
      <c r="J85" s="295">
        <v>106.984375</v>
      </c>
      <c r="K85" s="296">
        <f t="shared" si="2"/>
        <v>-4687.5</v>
      </c>
      <c r="L85" s="381"/>
    </row>
    <row r="86" spans="1:12" s="270" customFormat="1">
      <c r="A86" s="867" t="s">
        <v>631</v>
      </c>
      <c r="B86" s="863" t="s">
        <v>1005</v>
      </c>
      <c r="C86" s="863" t="s">
        <v>339</v>
      </c>
      <c r="D86" s="868" t="s">
        <v>339</v>
      </c>
      <c r="E86" s="869">
        <v>-20</v>
      </c>
      <c r="F86" s="870" t="s">
        <v>304</v>
      </c>
      <c r="G86" s="871">
        <v>854</v>
      </c>
      <c r="H86" s="864" t="s">
        <v>1016</v>
      </c>
      <c r="I86" s="865">
        <v>107.3125</v>
      </c>
      <c r="J86" s="295">
        <v>107.3203125</v>
      </c>
      <c r="K86" s="296">
        <f t="shared" si="2"/>
        <v>-156.25</v>
      </c>
      <c r="L86" s="381"/>
    </row>
    <row r="87" spans="1:12" s="270" customFormat="1">
      <c r="A87" s="867" t="s">
        <v>631</v>
      </c>
      <c r="B87" s="863" t="s">
        <v>1020</v>
      </c>
      <c r="C87" s="863" t="s">
        <v>339</v>
      </c>
      <c r="D87" s="868" t="s">
        <v>339</v>
      </c>
      <c r="E87" s="869">
        <v>-20</v>
      </c>
      <c r="F87" s="870" t="s">
        <v>304</v>
      </c>
      <c r="G87" s="871">
        <v>0</v>
      </c>
      <c r="H87" s="864" t="s">
        <v>1030</v>
      </c>
      <c r="I87" s="865">
        <v>107.5</v>
      </c>
      <c r="J87" s="295">
        <v>107.3203125</v>
      </c>
      <c r="K87" s="296">
        <f t="shared" si="2"/>
        <v>3593.7499999999995</v>
      </c>
      <c r="L87" s="381"/>
    </row>
    <row r="88" spans="1:12" s="270" customFormat="1">
      <c r="A88" s="867" t="s">
        <v>631</v>
      </c>
      <c r="B88" s="863" t="s">
        <v>1026</v>
      </c>
      <c r="C88" s="863" t="s">
        <v>339</v>
      </c>
      <c r="D88" s="868" t="s">
        <v>339</v>
      </c>
      <c r="E88" s="869">
        <v>20</v>
      </c>
      <c r="F88" s="870" t="s">
        <v>304</v>
      </c>
      <c r="G88" s="871">
        <v>0</v>
      </c>
      <c r="H88" s="864" t="s">
        <v>1037</v>
      </c>
      <c r="I88" s="865">
        <v>106.9375</v>
      </c>
      <c r="J88" s="295">
        <v>106.953125</v>
      </c>
      <c r="K88" s="296">
        <f t="shared" si="2"/>
        <v>312.5</v>
      </c>
      <c r="L88" s="381"/>
    </row>
    <row r="89" spans="1:12" s="270" customFormat="1">
      <c r="A89" s="867" t="s">
        <v>631</v>
      </c>
      <c r="B89" s="863" t="s">
        <v>1026</v>
      </c>
      <c r="C89" s="863" t="s">
        <v>339</v>
      </c>
      <c r="D89" s="868" t="s">
        <v>339</v>
      </c>
      <c r="E89" s="869">
        <v>40</v>
      </c>
      <c r="F89" s="870" t="s">
        <v>304</v>
      </c>
      <c r="G89" s="871">
        <v>0</v>
      </c>
      <c r="H89" s="864" t="s">
        <v>1038</v>
      </c>
      <c r="I89" s="865">
        <v>107.09375</v>
      </c>
      <c r="J89" s="295">
        <v>106.953125</v>
      </c>
      <c r="K89" s="296">
        <f t="shared" si="2"/>
        <v>-5625</v>
      </c>
      <c r="L89" s="381"/>
    </row>
    <row r="90" spans="1:12" s="270" customFormat="1">
      <c r="A90" s="867" t="s">
        <v>631</v>
      </c>
      <c r="B90" s="863" t="s">
        <v>1026</v>
      </c>
      <c r="C90" s="863" t="s">
        <v>339</v>
      </c>
      <c r="D90" s="868" t="s">
        <v>339</v>
      </c>
      <c r="E90" s="869">
        <v>-20</v>
      </c>
      <c r="F90" s="870" t="s">
        <v>304</v>
      </c>
      <c r="G90" s="871">
        <v>0</v>
      </c>
      <c r="H90" s="864" t="s">
        <v>1039</v>
      </c>
      <c r="I90" s="865">
        <v>107.28125</v>
      </c>
      <c r="J90" s="295">
        <v>107.2734375</v>
      </c>
      <c r="K90" s="296">
        <f t="shared" si="2"/>
        <v>156.25</v>
      </c>
      <c r="L90" s="381"/>
    </row>
    <row r="91" spans="1:12" s="270" customFormat="1">
      <c r="A91" s="867" t="s">
        <v>631</v>
      </c>
      <c r="B91" s="863" t="s">
        <v>1042</v>
      </c>
      <c r="C91" s="863" t="s">
        <v>339</v>
      </c>
      <c r="D91" s="868" t="s">
        <v>339</v>
      </c>
      <c r="E91" s="869">
        <v>40</v>
      </c>
      <c r="F91" s="870" t="s">
        <v>304</v>
      </c>
      <c r="G91" s="871">
        <v>0</v>
      </c>
      <c r="H91" s="864" t="s">
        <v>1053</v>
      </c>
      <c r="I91" s="865">
        <v>107.21875</v>
      </c>
      <c r="J91" s="295">
        <v>107.15625</v>
      </c>
      <c r="K91" s="296">
        <f t="shared" si="2"/>
        <v>-2500</v>
      </c>
      <c r="L91" s="381"/>
    </row>
    <row r="92" spans="1:12" s="270" customFormat="1">
      <c r="A92" s="867" t="s">
        <v>631</v>
      </c>
      <c r="B92" s="863" t="s">
        <v>1042</v>
      </c>
      <c r="C92" s="863" t="s">
        <v>339</v>
      </c>
      <c r="D92" s="868" t="s">
        <v>339</v>
      </c>
      <c r="E92" s="869">
        <v>10</v>
      </c>
      <c r="F92" s="870" t="s">
        <v>304</v>
      </c>
      <c r="G92" s="871">
        <v>0</v>
      </c>
      <c r="H92" s="864" t="s">
        <v>1054</v>
      </c>
      <c r="I92" s="865">
        <v>106.875</v>
      </c>
      <c r="J92" s="295">
        <v>106.71875</v>
      </c>
      <c r="K92" s="296">
        <f t="shared" si="2"/>
        <v>-1562.5</v>
      </c>
      <c r="L92" s="381"/>
    </row>
    <row r="93" spans="1:12" s="270" customFormat="1">
      <c r="A93" s="867" t="s">
        <v>631</v>
      </c>
      <c r="B93" s="863" t="s">
        <v>1026</v>
      </c>
      <c r="C93" s="863" t="s">
        <v>339</v>
      </c>
      <c r="D93" s="868" t="s">
        <v>339</v>
      </c>
      <c r="E93" s="869">
        <v>-40</v>
      </c>
      <c r="F93" s="870" t="s">
        <v>304</v>
      </c>
      <c r="G93" s="871">
        <v>1708</v>
      </c>
      <c r="H93" s="864" t="s">
        <v>1040</v>
      </c>
      <c r="I93" s="865">
        <v>107.125</v>
      </c>
      <c r="J93" s="295">
        <v>106.796875</v>
      </c>
      <c r="K93" s="296">
        <f t="shared" si="2"/>
        <v>13125</v>
      </c>
      <c r="L93" s="381"/>
    </row>
    <row r="94" spans="1:12" s="270" customFormat="1">
      <c r="A94" s="867" t="s">
        <v>631</v>
      </c>
      <c r="B94" s="863" t="s">
        <v>1042</v>
      </c>
      <c r="C94" s="863" t="s">
        <v>339</v>
      </c>
      <c r="D94" s="868" t="s">
        <v>339</v>
      </c>
      <c r="E94" s="869">
        <v>-10</v>
      </c>
      <c r="F94" s="870" t="s">
        <v>304</v>
      </c>
      <c r="G94" s="871">
        <v>427</v>
      </c>
      <c r="H94" s="864" t="s">
        <v>1055</v>
      </c>
      <c r="I94" s="865">
        <v>106.75</v>
      </c>
      <c r="J94" s="295">
        <v>106.78125</v>
      </c>
      <c r="K94" s="296">
        <f t="shared" si="2"/>
        <v>-312.5</v>
      </c>
      <c r="L94" s="381"/>
    </row>
    <row r="95" spans="1:12" s="270" customFormat="1">
      <c r="A95" s="867" t="s">
        <v>631</v>
      </c>
      <c r="B95" s="863" t="s">
        <v>1042</v>
      </c>
      <c r="C95" s="863" t="s">
        <v>339</v>
      </c>
      <c r="D95" s="868" t="s">
        <v>339</v>
      </c>
      <c r="E95" s="869">
        <v>-10</v>
      </c>
      <c r="F95" s="870" t="s">
        <v>304</v>
      </c>
      <c r="G95" s="871">
        <v>427</v>
      </c>
      <c r="H95" s="864" t="s">
        <v>1056</v>
      </c>
      <c r="I95" s="865">
        <v>106.78125</v>
      </c>
      <c r="J95" s="295">
        <v>106.78125</v>
      </c>
      <c r="K95" s="296">
        <f t="shared" si="2"/>
        <v>0</v>
      </c>
      <c r="L95" s="381"/>
    </row>
    <row r="96" spans="1:12" s="270" customFormat="1">
      <c r="A96" s="867" t="s">
        <v>647</v>
      </c>
      <c r="B96" s="863" t="s">
        <v>1060</v>
      </c>
      <c r="C96" s="863" t="s">
        <v>339</v>
      </c>
      <c r="D96" s="868" t="s">
        <v>339</v>
      </c>
      <c r="E96" s="869">
        <v>20</v>
      </c>
      <c r="F96" s="870" t="s">
        <v>304</v>
      </c>
      <c r="G96" s="871">
        <v>0</v>
      </c>
      <c r="H96" s="864" t="s">
        <v>1068</v>
      </c>
      <c r="I96" s="865">
        <v>107.390625</v>
      </c>
      <c r="J96" s="295">
        <v>107.3828125</v>
      </c>
      <c r="K96" s="296">
        <f t="shared" si="2"/>
        <v>-156.25</v>
      </c>
      <c r="L96" s="381"/>
    </row>
    <row r="97" spans="1:12" s="270" customFormat="1">
      <c r="A97" s="867" t="s">
        <v>647</v>
      </c>
      <c r="B97" s="863" t="s">
        <v>1060</v>
      </c>
      <c r="C97" s="863" t="s">
        <v>339</v>
      </c>
      <c r="D97" s="868" t="s">
        <v>339</v>
      </c>
      <c r="E97" s="869">
        <v>-20</v>
      </c>
      <c r="F97" s="870" t="s">
        <v>304</v>
      </c>
      <c r="G97" s="871">
        <v>1708</v>
      </c>
      <c r="H97" s="864" t="s">
        <v>1062</v>
      </c>
      <c r="I97" s="865">
        <v>107.2265625</v>
      </c>
      <c r="J97" s="295">
        <v>107.359375</v>
      </c>
      <c r="K97" s="296">
        <f t="shared" ref="K97:K160" si="3">IF(LEFT(A97,2)="TU",(J97-I97)*E97/100*100000*2,(J97-I97)*E97/100*100000)</f>
        <v>-2656.25</v>
      </c>
      <c r="L97" s="381"/>
    </row>
    <row r="98" spans="1:12" s="270" customFormat="1">
      <c r="A98" s="867" t="s">
        <v>647</v>
      </c>
      <c r="B98" s="863" t="s">
        <v>1071</v>
      </c>
      <c r="C98" s="863" t="s">
        <v>339</v>
      </c>
      <c r="D98" s="868" t="s">
        <v>339</v>
      </c>
      <c r="E98" s="869">
        <v>-20</v>
      </c>
      <c r="F98" s="870" t="s">
        <v>304</v>
      </c>
      <c r="G98" s="871">
        <v>0</v>
      </c>
      <c r="H98" s="864" t="s">
        <v>1078</v>
      </c>
      <c r="I98" s="865">
        <v>107.234375</v>
      </c>
      <c r="J98" s="295">
        <v>107.171875</v>
      </c>
      <c r="K98" s="296">
        <f t="shared" si="3"/>
        <v>1250</v>
      </c>
      <c r="L98" s="381"/>
    </row>
    <row r="99" spans="1:12" s="270" customFormat="1">
      <c r="A99" s="867" t="s">
        <v>647</v>
      </c>
      <c r="B99" s="863" t="s">
        <v>1071</v>
      </c>
      <c r="C99" s="863" t="s">
        <v>339</v>
      </c>
      <c r="D99" s="868" t="s">
        <v>339</v>
      </c>
      <c r="E99" s="869">
        <v>-20</v>
      </c>
      <c r="F99" s="870" t="s">
        <v>304</v>
      </c>
      <c r="G99" s="871">
        <v>0</v>
      </c>
      <c r="H99" s="864" t="s">
        <v>1079</v>
      </c>
      <c r="I99" s="865">
        <v>107.140625</v>
      </c>
      <c r="J99" s="295">
        <v>106.8125</v>
      </c>
      <c r="K99" s="296">
        <f t="shared" si="3"/>
        <v>6562.5</v>
      </c>
      <c r="L99" s="381"/>
    </row>
    <row r="100" spans="1:12" s="270" customFormat="1">
      <c r="A100" s="867" t="s">
        <v>647</v>
      </c>
      <c r="B100" s="863" t="s">
        <v>1071</v>
      </c>
      <c r="C100" s="863" t="s">
        <v>339</v>
      </c>
      <c r="D100" s="868" t="s">
        <v>339</v>
      </c>
      <c r="E100" s="869">
        <v>-20</v>
      </c>
      <c r="F100" s="870" t="s">
        <v>304</v>
      </c>
      <c r="G100" s="871">
        <v>0</v>
      </c>
      <c r="H100" s="864" t="s">
        <v>1080</v>
      </c>
      <c r="I100" s="865">
        <v>106.84375</v>
      </c>
      <c r="J100" s="295">
        <v>107.125</v>
      </c>
      <c r="K100" s="296">
        <f t="shared" si="3"/>
        <v>-5625</v>
      </c>
      <c r="L100" s="381"/>
    </row>
    <row r="101" spans="1:12" s="270" customFormat="1">
      <c r="A101" s="867" t="s">
        <v>647</v>
      </c>
      <c r="B101" s="863" t="s">
        <v>1071</v>
      </c>
      <c r="C101" s="863" t="s">
        <v>339</v>
      </c>
      <c r="D101" s="868" t="s">
        <v>339</v>
      </c>
      <c r="E101" s="869">
        <v>-15</v>
      </c>
      <c r="F101" s="870" t="s">
        <v>304</v>
      </c>
      <c r="G101" s="871">
        <v>0</v>
      </c>
      <c r="H101" s="864" t="s">
        <v>1081</v>
      </c>
      <c r="I101" s="865">
        <v>106.84375</v>
      </c>
      <c r="J101" s="295">
        <v>107.125</v>
      </c>
      <c r="K101" s="296">
        <f t="shared" si="3"/>
        <v>-4218.75</v>
      </c>
      <c r="L101" s="381"/>
    </row>
    <row r="102" spans="1:12" s="270" customFormat="1">
      <c r="A102" s="867" t="s">
        <v>647</v>
      </c>
      <c r="B102" s="863" t="s">
        <v>1071</v>
      </c>
      <c r="C102" s="863" t="s">
        <v>339</v>
      </c>
      <c r="D102" s="868" t="s">
        <v>339</v>
      </c>
      <c r="E102" s="869">
        <v>-5</v>
      </c>
      <c r="F102" s="870" t="s">
        <v>304</v>
      </c>
      <c r="G102" s="871">
        <v>0</v>
      </c>
      <c r="H102" s="864" t="s">
        <v>1081</v>
      </c>
      <c r="I102" s="865">
        <v>106.84375</v>
      </c>
      <c r="J102" s="295">
        <v>107.1171875</v>
      </c>
      <c r="K102" s="296">
        <f t="shared" si="3"/>
        <v>-1367.1875</v>
      </c>
      <c r="L102" s="381"/>
    </row>
    <row r="103" spans="1:12" s="270" customFormat="1">
      <c r="A103" s="867" t="s">
        <v>647</v>
      </c>
      <c r="B103" s="863" t="s">
        <v>1071</v>
      </c>
      <c r="C103" s="863" t="s">
        <v>339</v>
      </c>
      <c r="D103" s="868" t="s">
        <v>339</v>
      </c>
      <c r="E103" s="869">
        <v>20</v>
      </c>
      <c r="F103" s="870" t="s">
        <v>304</v>
      </c>
      <c r="G103" s="871">
        <v>0</v>
      </c>
      <c r="H103" s="864" t="s">
        <v>1082</v>
      </c>
      <c r="I103" s="865">
        <v>106.8828125</v>
      </c>
      <c r="J103" s="295">
        <v>107.125</v>
      </c>
      <c r="K103" s="296">
        <f t="shared" si="3"/>
        <v>4843.75</v>
      </c>
      <c r="L103" s="381"/>
    </row>
    <row r="104" spans="1:12" s="270" customFormat="1">
      <c r="A104" s="867" t="s">
        <v>647</v>
      </c>
      <c r="B104" s="863" t="s">
        <v>1071</v>
      </c>
      <c r="C104" s="863" t="s">
        <v>339</v>
      </c>
      <c r="D104" s="868" t="s">
        <v>339</v>
      </c>
      <c r="E104" s="869">
        <v>10</v>
      </c>
      <c r="F104" s="870" t="s">
        <v>304</v>
      </c>
      <c r="G104" s="871">
        <v>0</v>
      </c>
      <c r="H104" s="864" t="s">
        <v>1083</v>
      </c>
      <c r="I104" s="865">
        <v>106.8125</v>
      </c>
      <c r="J104" s="295">
        <v>106.90625</v>
      </c>
      <c r="K104" s="296">
        <f t="shared" si="3"/>
        <v>937.5</v>
      </c>
      <c r="L104" s="381"/>
    </row>
    <row r="105" spans="1:12" s="270" customFormat="1">
      <c r="A105" s="867" t="s">
        <v>647</v>
      </c>
      <c r="B105" s="863" t="s">
        <v>1071</v>
      </c>
      <c r="C105" s="863" t="s">
        <v>339</v>
      </c>
      <c r="D105" s="868" t="s">
        <v>339</v>
      </c>
      <c r="E105" s="869">
        <v>10</v>
      </c>
      <c r="F105" s="870" t="s">
        <v>304</v>
      </c>
      <c r="G105" s="871">
        <v>0</v>
      </c>
      <c r="H105" s="864" t="s">
        <v>1084</v>
      </c>
      <c r="I105" s="865">
        <v>106.8125</v>
      </c>
      <c r="J105" s="295">
        <v>106.90625</v>
      </c>
      <c r="K105" s="296">
        <f t="shared" si="3"/>
        <v>937.5</v>
      </c>
      <c r="L105" s="381"/>
    </row>
    <row r="106" spans="1:12" s="270" customFormat="1">
      <c r="A106" s="867" t="s">
        <v>647</v>
      </c>
      <c r="B106" s="863" t="s">
        <v>1115</v>
      </c>
      <c r="C106" s="863" t="s">
        <v>339</v>
      </c>
      <c r="D106" s="868" t="s">
        <v>339</v>
      </c>
      <c r="E106" s="869">
        <v>20</v>
      </c>
      <c r="F106" s="870" t="s">
        <v>304</v>
      </c>
      <c r="G106" s="871">
        <v>0</v>
      </c>
      <c r="H106" s="864" t="s">
        <v>1131</v>
      </c>
      <c r="I106" s="865">
        <v>106.734375</v>
      </c>
      <c r="J106" s="295">
        <v>106.515625</v>
      </c>
      <c r="K106" s="296">
        <f t="shared" si="3"/>
        <v>-4375</v>
      </c>
      <c r="L106" s="381"/>
    </row>
    <row r="107" spans="1:12" s="270" customFormat="1">
      <c r="A107" s="867" t="s">
        <v>1116</v>
      </c>
      <c r="B107" s="863" t="s">
        <v>1115</v>
      </c>
      <c r="C107" s="863" t="s">
        <v>339</v>
      </c>
      <c r="D107" s="868" t="s">
        <v>339</v>
      </c>
      <c r="E107" s="869">
        <v>-5</v>
      </c>
      <c r="F107" s="870" t="s">
        <v>304</v>
      </c>
      <c r="G107" s="871">
        <v>990</v>
      </c>
      <c r="H107" s="864" t="s">
        <v>1117</v>
      </c>
      <c r="I107" s="865">
        <v>123.5625</v>
      </c>
      <c r="J107" s="295">
        <v>124.4375</v>
      </c>
      <c r="K107" s="296">
        <f t="shared" si="3"/>
        <v>-4375</v>
      </c>
      <c r="L107" s="381"/>
    </row>
    <row r="108" spans="1:12" s="270" customFormat="1">
      <c r="A108" s="867" t="s">
        <v>647</v>
      </c>
      <c r="B108" s="863" t="s">
        <v>1148</v>
      </c>
      <c r="C108" s="863" t="s">
        <v>339</v>
      </c>
      <c r="D108" s="868" t="s">
        <v>339</v>
      </c>
      <c r="E108" s="869">
        <v>20</v>
      </c>
      <c r="F108" s="870" t="s">
        <v>304</v>
      </c>
      <c r="G108" s="871">
        <v>0</v>
      </c>
      <c r="H108" s="864" t="s">
        <v>1152</v>
      </c>
      <c r="I108" s="865">
        <v>106.25</v>
      </c>
      <c r="J108" s="295">
        <v>106.28125</v>
      </c>
      <c r="K108" s="296">
        <f t="shared" si="3"/>
        <v>625</v>
      </c>
      <c r="L108" s="381"/>
    </row>
    <row r="109" spans="1:12" s="270" customFormat="1">
      <c r="A109" s="867" t="s">
        <v>647</v>
      </c>
      <c r="B109" s="863" t="s">
        <v>1060</v>
      </c>
      <c r="C109" s="863" t="s">
        <v>339</v>
      </c>
      <c r="D109" s="868" t="s">
        <v>339</v>
      </c>
      <c r="E109" s="869">
        <v>-20</v>
      </c>
      <c r="F109" s="870" t="s">
        <v>304</v>
      </c>
      <c r="G109" s="871">
        <v>854</v>
      </c>
      <c r="H109" s="864" t="s">
        <v>1062</v>
      </c>
      <c r="I109" s="865">
        <v>107.2265625</v>
      </c>
      <c r="J109" s="295">
        <v>106.265625</v>
      </c>
      <c r="K109" s="296">
        <f t="shared" si="3"/>
        <v>19218.75</v>
      </c>
      <c r="L109" s="381"/>
    </row>
    <row r="110" spans="1:12" s="270" customFormat="1">
      <c r="A110" s="867" t="s">
        <v>647</v>
      </c>
      <c r="B110" s="863" t="s">
        <v>1148</v>
      </c>
      <c r="C110" s="863" t="s">
        <v>339</v>
      </c>
      <c r="D110" s="868" t="s">
        <v>339</v>
      </c>
      <c r="E110" s="869">
        <v>-20</v>
      </c>
      <c r="F110" s="870" t="s">
        <v>304</v>
      </c>
      <c r="G110" s="871">
        <v>0</v>
      </c>
      <c r="H110" s="864" t="s">
        <v>1161</v>
      </c>
      <c r="I110" s="865">
        <v>106.578125</v>
      </c>
      <c r="J110" s="295">
        <v>106.5546875</v>
      </c>
      <c r="K110" s="296">
        <f t="shared" si="3"/>
        <v>468.75</v>
      </c>
      <c r="L110" s="381"/>
    </row>
    <row r="111" spans="1:12" s="270" customFormat="1">
      <c r="A111" s="867" t="s">
        <v>647</v>
      </c>
      <c r="B111" s="863" t="s">
        <v>1148</v>
      </c>
      <c r="C111" s="863" t="s">
        <v>339</v>
      </c>
      <c r="D111" s="868" t="s">
        <v>339</v>
      </c>
      <c r="E111" s="869">
        <v>-20</v>
      </c>
      <c r="F111" s="870" t="s">
        <v>304</v>
      </c>
      <c r="G111" s="871">
        <v>0</v>
      </c>
      <c r="H111" s="864" t="s">
        <v>1162</v>
      </c>
      <c r="I111" s="865">
        <v>106.59375</v>
      </c>
      <c r="J111" s="295">
        <v>106.578125</v>
      </c>
      <c r="K111" s="296">
        <f t="shared" si="3"/>
        <v>312.5</v>
      </c>
      <c r="L111" s="381"/>
    </row>
    <row r="112" spans="1:12" s="270" customFormat="1">
      <c r="A112" s="867" t="s">
        <v>647</v>
      </c>
      <c r="B112" s="863" t="s">
        <v>1148</v>
      </c>
      <c r="C112" s="863" t="s">
        <v>339</v>
      </c>
      <c r="D112" s="868" t="s">
        <v>339</v>
      </c>
      <c r="E112" s="869">
        <v>-20</v>
      </c>
      <c r="F112" s="870" t="s">
        <v>304</v>
      </c>
      <c r="G112" s="871">
        <v>0</v>
      </c>
      <c r="H112" s="864" t="s">
        <v>1163</v>
      </c>
      <c r="I112" s="865">
        <v>106.375</v>
      </c>
      <c r="J112" s="295">
        <v>106.3046875</v>
      </c>
      <c r="K112" s="296">
        <f t="shared" si="3"/>
        <v>1406.25</v>
      </c>
      <c r="L112" s="381"/>
    </row>
    <row r="113" spans="1:12" s="270" customFormat="1">
      <c r="A113" s="867" t="s">
        <v>647</v>
      </c>
      <c r="B113" s="863" t="s">
        <v>1164</v>
      </c>
      <c r="C113" s="863" t="s">
        <v>339</v>
      </c>
      <c r="D113" s="868" t="s">
        <v>339</v>
      </c>
      <c r="E113" s="869">
        <v>-20</v>
      </c>
      <c r="F113" s="870" t="s">
        <v>304</v>
      </c>
      <c r="G113" s="871">
        <v>0</v>
      </c>
      <c r="H113" s="864" t="s">
        <v>1165</v>
      </c>
      <c r="I113" s="865">
        <v>106.3203125</v>
      </c>
      <c r="J113" s="295">
        <v>106.3046875</v>
      </c>
      <c r="K113" s="296">
        <f t="shared" si="3"/>
        <v>312.5</v>
      </c>
      <c r="L113" s="381"/>
    </row>
    <row r="114" spans="1:12" s="270" customFormat="1">
      <c r="A114" s="867" t="s">
        <v>647</v>
      </c>
      <c r="B114" s="863" t="s">
        <v>1164</v>
      </c>
      <c r="C114" s="863" t="s">
        <v>339</v>
      </c>
      <c r="D114" s="868" t="s">
        <v>339</v>
      </c>
      <c r="E114" s="869">
        <v>-20</v>
      </c>
      <c r="F114" s="870" t="s">
        <v>304</v>
      </c>
      <c r="G114" s="871">
        <v>0</v>
      </c>
      <c r="H114" s="864" t="s">
        <v>1176</v>
      </c>
      <c r="I114" s="865">
        <v>106.3125</v>
      </c>
      <c r="J114" s="295">
        <v>107.203125</v>
      </c>
      <c r="K114" s="296">
        <f t="shared" si="3"/>
        <v>-17812.5</v>
      </c>
      <c r="L114" s="381"/>
    </row>
    <row r="115" spans="1:12" s="270" customFormat="1">
      <c r="A115" s="867" t="s">
        <v>643</v>
      </c>
      <c r="B115" s="863" t="s">
        <v>1174</v>
      </c>
      <c r="C115" s="863" t="s">
        <v>339</v>
      </c>
      <c r="D115" s="868" t="s">
        <v>339</v>
      </c>
      <c r="E115" s="869">
        <v>-20</v>
      </c>
      <c r="F115" s="870" t="s">
        <v>304</v>
      </c>
      <c r="G115" s="871">
        <v>0</v>
      </c>
      <c r="H115" s="864" t="s">
        <v>1189</v>
      </c>
      <c r="I115" s="865">
        <v>112.375</v>
      </c>
      <c r="J115" s="295">
        <v>112.671875</v>
      </c>
      <c r="K115" s="296">
        <f t="shared" si="3"/>
        <v>-5937.5</v>
      </c>
      <c r="L115" s="381"/>
    </row>
    <row r="116" spans="1:12" s="270" customFormat="1">
      <c r="A116" s="867" t="s">
        <v>647</v>
      </c>
      <c r="B116" s="863" t="s">
        <v>1174</v>
      </c>
      <c r="C116" s="863" t="s">
        <v>339</v>
      </c>
      <c r="D116" s="868" t="s">
        <v>339</v>
      </c>
      <c r="E116" s="869">
        <v>-20</v>
      </c>
      <c r="F116" s="870" t="s">
        <v>304</v>
      </c>
      <c r="G116" s="871">
        <v>0</v>
      </c>
      <c r="H116" s="864" t="s">
        <v>1190</v>
      </c>
      <c r="I116" s="865">
        <v>107.2265625</v>
      </c>
      <c r="J116" s="295">
        <v>107.46875</v>
      </c>
      <c r="K116" s="296">
        <f t="shared" si="3"/>
        <v>-4843.75</v>
      </c>
      <c r="L116" s="381"/>
    </row>
    <row r="117" spans="1:12" s="270" customFormat="1">
      <c r="A117" s="867" t="s">
        <v>647</v>
      </c>
      <c r="B117" s="863" t="s">
        <v>1174</v>
      </c>
      <c r="C117" s="863" t="s">
        <v>339</v>
      </c>
      <c r="D117" s="868" t="s">
        <v>339</v>
      </c>
      <c r="E117" s="869">
        <v>-20</v>
      </c>
      <c r="F117" s="870" t="s">
        <v>304</v>
      </c>
      <c r="G117" s="871">
        <v>0</v>
      </c>
      <c r="H117" s="864" t="s">
        <v>1191</v>
      </c>
      <c r="I117" s="865">
        <v>107.34375</v>
      </c>
      <c r="J117" s="295">
        <v>107.46875</v>
      </c>
      <c r="K117" s="296">
        <f t="shared" si="3"/>
        <v>-2500</v>
      </c>
      <c r="L117" s="381"/>
    </row>
    <row r="118" spans="1:12" s="270" customFormat="1">
      <c r="A118" s="867" t="s">
        <v>647</v>
      </c>
      <c r="B118" s="863" t="s">
        <v>1174</v>
      </c>
      <c r="C118" s="863" t="s">
        <v>339</v>
      </c>
      <c r="D118" s="868" t="s">
        <v>339</v>
      </c>
      <c r="E118" s="869">
        <v>4</v>
      </c>
      <c r="F118" s="870" t="s">
        <v>304</v>
      </c>
      <c r="G118" s="871">
        <v>0</v>
      </c>
      <c r="H118" s="864" t="s">
        <v>1192</v>
      </c>
      <c r="I118" s="865">
        <v>107.53125</v>
      </c>
      <c r="J118" s="295">
        <v>107.421875</v>
      </c>
      <c r="K118" s="296">
        <f t="shared" si="3"/>
        <v>-437.50000000000006</v>
      </c>
      <c r="L118" s="381"/>
    </row>
    <row r="119" spans="1:12" s="270" customFormat="1">
      <c r="A119" s="867" t="s">
        <v>647</v>
      </c>
      <c r="B119" s="863" t="s">
        <v>1174</v>
      </c>
      <c r="C119" s="863" t="s">
        <v>339</v>
      </c>
      <c r="D119" s="868" t="s">
        <v>339</v>
      </c>
      <c r="E119" s="869">
        <v>15</v>
      </c>
      <c r="F119" s="870" t="s">
        <v>304</v>
      </c>
      <c r="G119" s="871">
        <v>0</v>
      </c>
      <c r="H119" s="864" t="s">
        <v>1193</v>
      </c>
      <c r="I119" s="865">
        <v>107.5390625</v>
      </c>
      <c r="J119" s="295">
        <v>107.421875</v>
      </c>
      <c r="K119" s="296">
        <f t="shared" si="3"/>
        <v>-1757.8125</v>
      </c>
      <c r="L119" s="381"/>
    </row>
    <row r="120" spans="1:12" s="270" customFormat="1">
      <c r="A120" s="867" t="s">
        <v>647</v>
      </c>
      <c r="B120" s="863" t="s">
        <v>1174</v>
      </c>
      <c r="C120" s="863" t="s">
        <v>339</v>
      </c>
      <c r="D120" s="868" t="s">
        <v>339</v>
      </c>
      <c r="E120" s="869">
        <v>7</v>
      </c>
      <c r="F120" s="870" t="s">
        <v>304</v>
      </c>
      <c r="G120" s="871">
        <v>0</v>
      </c>
      <c r="H120" s="864" t="s">
        <v>1194</v>
      </c>
      <c r="I120" s="865">
        <v>107.546875</v>
      </c>
      <c r="J120" s="295">
        <v>107.421875</v>
      </c>
      <c r="K120" s="296">
        <f t="shared" si="3"/>
        <v>-875.00000000000011</v>
      </c>
      <c r="L120" s="381"/>
    </row>
    <row r="121" spans="1:12" s="270" customFormat="1">
      <c r="A121" s="867" t="s">
        <v>647</v>
      </c>
      <c r="B121" s="863" t="s">
        <v>1174</v>
      </c>
      <c r="C121" s="863" t="s">
        <v>339</v>
      </c>
      <c r="D121" s="868" t="s">
        <v>339</v>
      </c>
      <c r="E121" s="869">
        <v>5</v>
      </c>
      <c r="F121" s="870" t="s">
        <v>304</v>
      </c>
      <c r="G121" s="871">
        <v>0</v>
      </c>
      <c r="H121" s="864" t="s">
        <v>1195</v>
      </c>
      <c r="I121" s="865">
        <v>107.5546875</v>
      </c>
      <c r="J121" s="295">
        <v>107.421875</v>
      </c>
      <c r="K121" s="296">
        <f t="shared" si="3"/>
        <v>-664.0625</v>
      </c>
      <c r="L121" s="381"/>
    </row>
    <row r="122" spans="1:12" s="270" customFormat="1">
      <c r="A122" s="867" t="s">
        <v>647</v>
      </c>
      <c r="B122" s="863" t="s">
        <v>1174</v>
      </c>
      <c r="C122" s="863" t="s">
        <v>339</v>
      </c>
      <c r="D122" s="868" t="s">
        <v>339</v>
      </c>
      <c r="E122" s="869">
        <v>9</v>
      </c>
      <c r="F122" s="870" t="s">
        <v>304</v>
      </c>
      <c r="G122" s="871">
        <v>0</v>
      </c>
      <c r="H122" s="864" t="s">
        <v>1196</v>
      </c>
      <c r="I122" s="865">
        <v>107.5625</v>
      </c>
      <c r="J122" s="295">
        <v>107.421875</v>
      </c>
      <c r="K122" s="296">
        <f t="shared" si="3"/>
        <v>-1265.625</v>
      </c>
      <c r="L122" s="381"/>
    </row>
    <row r="123" spans="1:12" s="270" customFormat="1">
      <c r="A123" s="867" t="s">
        <v>647</v>
      </c>
      <c r="B123" s="863" t="s">
        <v>1174</v>
      </c>
      <c r="C123" s="863" t="s">
        <v>339</v>
      </c>
      <c r="D123" s="868" t="s">
        <v>339</v>
      </c>
      <c r="E123" s="869">
        <v>4</v>
      </c>
      <c r="F123" s="870" t="s">
        <v>304</v>
      </c>
      <c r="G123" s="871">
        <v>0</v>
      </c>
      <c r="H123" s="864" t="s">
        <v>1197</v>
      </c>
      <c r="I123" s="865">
        <v>107.6171875</v>
      </c>
      <c r="J123" s="295">
        <v>107.6875</v>
      </c>
      <c r="K123" s="296">
        <f t="shared" si="3"/>
        <v>281.25</v>
      </c>
      <c r="L123" s="381"/>
    </row>
    <row r="124" spans="1:12" s="270" customFormat="1">
      <c r="A124" s="867" t="s">
        <v>647</v>
      </c>
      <c r="B124" s="863" t="s">
        <v>1174</v>
      </c>
      <c r="C124" s="863" t="s">
        <v>339</v>
      </c>
      <c r="D124" s="868" t="s">
        <v>339</v>
      </c>
      <c r="E124" s="869">
        <v>36</v>
      </c>
      <c r="F124" s="870" t="s">
        <v>304</v>
      </c>
      <c r="G124" s="871">
        <v>0</v>
      </c>
      <c r="H124" s="864" t="s">
        <v>1198</v>
      </c>
      <c r="I124" s="865">
        <v>107.625</v>
      </c>
      <c r="J124" s="295">
        <v>107.6875</v>
      </c>
      <c r="K124" s="296">
        <f t="shared" si="3"/>
        <v>2250</v>
      </c>
      <c r="L124" s="381"/>
    </row>
    <row r="125" spans="1:12" s="270" customFormat="1">
      <c r="A125" s="867" t="s">
        <v>647</v>
      </c>
      <c r="B125" s="863" t="s">
        <v>1174</v>
      </c>
      <c r="C125" s="863" t="s">
        <v>339</v>
      </c>
      <c r="D125" s="868" t="s">
        <v>339</v>
      </c>
      <c r="E125" s="869">
        <v>-1</v>
      </c>
      <c r="F125" s="870" t="s">
        <v>304</v>
      </c>
      <c r="G125" s="871">
        <v>0</v>
      </c>
      <c r="H125" s="864" t="s">
        <v>1199</v>
      </c>
      <c r="I125" s="865">
        <v>107.5859375</v>
      </c>
      <c r="J125" s="295">
        <v>107.7421875</v>
      </c>
      <c r="K125" s="296">
        <f t="shared" si="3"/>
        <v>-156.25</v>
      </c>
      <c r="L125" s="381"/>
    </row>
    <row r="126" spans="1:12" s="270" customFormat="1">
      <c r="A126" s="867" t="s">
        <v>647</v>
      </c>
      <c r="B126" s="863" t="s">
        <v>1174</v>
      </c>
      <c r="C126" s="863" t="s">
        <v>339</v>
      </c>
      <c r="D126" s="868" t="s">
        <v>339</v>
      </c>
      <c r="E126" s="869">
        <v>-19</v>
      </c>
      <c r="F126" s="870" t="s">
        <v>304</v>
      </c>
      <c r="G126" s="871">
        <v>0</v>
      </c>
      <c r="H126" s="864" t="s">
        <v>1200</v>
      </c>
      <c r="I126" s="865">
        <v>107.59375</v>
      </c>
      <c r="J126" s="295">
        <v>107.7421875</v>
      </c>
      <c r="K126" s="296">
        <f t="shared" si="3"/>
        <v>-2820.3125</v>
      </c>
      <c r="L126" s="381"/>
    </row>
    <row r="127" spans="1:12" s="270" customFormat="1">
      <c r="A127" s="867" t="s">
        <v>643</v>
      </c>
      <c r="B127" s="863" t="s">
        <v>1213</v>
      </c>
      <c r="C127" s="863" t="s">
        <v>339</v>
      </c>
      <c r="D127" s="868" t="s">
        <v>339</v>
      </c>
      <c r="E127" s="869">
        <v>10</v>
      </c>
      <c r="F127" s="870" t="s">
        <v>304</v>
      </c>
      <c r="G127" s="871">
        <v>0</v>
      </c>
      <c r="H127" s="864" t="s">
        <v>1227</v>
      </c>
      <c r="I127" s="865">
        <v>113.5</v>
      </c>
      <c r="J127" s="295">
        <v>113.65625</v>
      </c>
      <c r="K127" s="296">
        <f t="shared" si="3"/>
        <v>1562.5</v>
      </c>
      <c r="L127" s="381"/>
    </row>
    <row r="128" spans="1:12" s="270" customFormat="1">
      <c r="A128" s="867" t="s">
        <v>647</v>
      </c>
      <c r="B128" s="863" t="s">
        <v>1239</v>
      </c>
      <c r="C128" s="863" t="s">
        <v>339</v>
      </c>
      <c r="D128" s="868" t="s">
        <v>339</v>
      </c>
      <c r="E128" s="869">
        <v>10</v>
      </c>
      <c r="F128" s="870" t="s">
        <v>304</v>
      </c>
      <c r="G128" s="871">
        <v>0</v>
      </c>
      <c r="H128" s="864" t="s">
        <v>1246</v>
      </c>
      <c r="I128" s="865">
        <v>109.125</v>
      </c>
      <c r="J128" s="295">
        <v>109.03125</v>
      </c>
      <c r="K128" s="296">
        <f t="shared" si="3"/>
        <v>-937.5</v>
      </c>
      <c r="L128" s="381"/>
    </row>
    <row r="129" spans="1:12" s="270" customFormat="1">
      <c r="A129" s="867" t="s">
        <v>647</v>
      </c>
      <c r="B129" s="863" t="s">
        <v>1239</v>
      </c>
      <c r="C129" s="863" t="s">
        <v>339</v>
      </c>
      <c r="D129" s="868" t="s">
        <v>339</v>
      </c>
      <c r="E129" s="869">
        <v>10</v>
      </c>
      <c r="F129" s="870" t="s">
        <v>304</v>
      </c>
      <c r="G129" s="871">
        <v>0</v>
      </c>
      <c r="H129" s="864" t="s">
        <v>1247</v>
      </c>
      <c r="I129" s="865">
        <v>109.1640625</v>
      </c>
      <c r="J129" s="295">
        <v>109.03125</v>
      </c>
      <c r="K129" s="296">
        <f t="shared" si="3"/>
        <v>-1328.125</v>
      </c>
      <c r="L129" s="381"/>
    </row>
    <row r="130" spans="1:12" s="270" customFormat="1">
      <c r="A130" s="867" t="s">
        <v>647</v>
      </c>
      <c r="B130" s="863" t="s">
        <v>1239</v>
      </c>
      <c r="C130" s="863" t="s">
        <v>339</v>
      </c>
      <c r="D130" s="868" t="s">
        <v>339</v>
      </c>
      <c r="E130" s="869">
        <v>10</v>
      </c>
      <c r="F130" s="870" t="s">
        <v>304</v>
      </c>
      <c r="G130" s="871">
        <v>0</v>
      </c>
      <c r="H130" s="864" t="s">
        <v>1248</v>
      </c>
      <c r="I130" s="865">
        <v>109.25</v>
      </c>
      <c r="J130" s="295">
        <v>109.28125</v>
      </c>
      <c r="K130" s="296">
        <f t="shared" si="3"/>
        <v>312.5</v>
      </c>
      <c r="L130" s="381"/>
    </row>
    <row r="131" spans="1:12" s="270" customFormat="1">
      <c r="A131" s="867" t="s">
        <v>647</v>
      </c>
      <c r="B131" s="863" t="s">
        <v>1239</v>
      </c>
      <c r="C131" s="863" t="s">
        <v>339</v>
      </c>
      <c r="D131" s="868" t="s">
        <v>339</v>
      </c>
      <c r="E131" s="869">
        <v>10</v>
      </c>
      <c r="F131" s="870" t="s">
        <v>304</v>
      </c>
      <c r="G131" s="871">
        <v>0</v>
      </c>
      <c r="H131" s="864" t="s">
        <v>1249</v>
      </c>
      <c r="I131" s="865">
        <v>109.53125</v>
      </c>
      <c r="J131" s="295">
        <v>109.28125</v>
      </c>
      <c r="K131" s="296">
        <f t="shared" si="3"/>
        <v>-2500</v>
      </c>
      <c r="L131" s="381"/>
    </row>
    <row r="132" spans="1:12" s="270" customFormat="1">
      <c r="A132" s="867" t="s">
        <v>647</v>
      </c>
      <c r="B132" s="863" t="s">
        <v>1213</v>
      </c>
      <c r="C132" s="863" t="s">
        <v>339</v>
      </c>
      <c r="D132" s="868" t="s">
        <v>339</v>
      </c>
      <c r="E132" s="869">
        <v>20</v>
      </c>
      <c r="F132" s="870" t="s">
        <v>304</v>
      </c>
      <c r="G132" s="871">
        <v>-854</v>
      </c>
      <c r="H132" s="864" t="s">
        <v>1226</v>
      </c>
      <c r="I132" s="865">
        <v>108.265625</v>
      </c>
      <c r="J132" s="295">
        <v>109.453125</v>
      </c>
      <c r="K132" s="296">
        <f t="shared" si="3"/>
        <v>23750</v>
      </c>
      <c r="L132" s="381"/>
    </row>
    <row r="133" spans="1:12" s="270" customFormat="1">
      <c r="A133" s="867" t="s">
        <v>647</v>
      </c>
      <c r="B133" s="863" t="s">
        <v>1239</v>
      </c>
      <c r="C133" s="863" t="s">
        <v>339</v>
      </c>
      <c r="D133" s="868" t="s">
        <v>339</v>
      </c>
      <c r="E133" s="869">
        <v>10</v>
      </c>
      <c r="F133" s="870" t="s">
        <v>304</v>
      </c>
      <c r="G133" s="871">
        <v>-427</v>
      </c>
      <c r="H133" s="864" t="s">
        <v>1250</v>
      </c>
      <c r="I133" s="865">
        <v>109.25</v>
      </c>
      <c r="J133" s="295">
        <v>108.71875</v>
      </c>
      <c r="K133" s="296">
        <f t="shared" si="3"/>
        <v>-5312.5</v>
      </c>
      <c r="L133" s="381"/>
    </row>
    <row r="134" spans="1:12" s="270" customFormat="1">
      <c r="A134" s="867" t="s">
        <v>647</v>
      </c>
      <c r="B134" s="863" t="s">
        <v>1239</v>
      </c>
      <c r="C134" s="863" t="s">
        <v>339</v>
      </c>
      <c r="D134" s="868" t="s">
        <v>339</v>
      </c>
      <c r="E134" s="869">
        <v>10</v>
      </c>
      <c r="F134" s="870" t="s">
        <v>304</v>
      </c>
      <c r="G134" s="871">
        <v>0</v>
      </c>
      <c r="H134" s="864" t="s">
        <v>1271</v>
      </c>
      <c r="I134" s="865">
        <v>109.03125</v>
      </c>
      <c r="J134" s="295">
        <v>108.7890625</v>
      </c>
      <c r="K134" s="296">
        <f t="shared" si="3"/>
        <v>-2421.875</v>
      </c>
      <c r="L134" s="381"/>
    </row>
    <row r="135" spans="1:12" s="270" customFormat="1">
      <c r="A135" s="867" t="s">
        <v>647</v>
      </c>
      <c r="B135" s="863" t="s">
        <v>1239</v>
      </c>
      <c r="C135" s="863" t="s">
        <v>339</v>
      </c>
      <c r="D135" s="868" t="s">
        <v>339</v>
      </c>
      <c r="E135" s="869">
        <v>10</v>
      </c>
      <c r="F135" s="870" t="s">
        <v>304</v>
      </c>
      <c r="G135" s="871">
        <v>0</v>
      </c>
      <c r="H135" s="864" t="s">
        <v>1272</v>
      </c>
      <c r="I135" s="865">
        <v>109.0625</v>
      </c>
      <c r="J135" s="295">
        <v>108.7890625</v>
      </c>
      <c r="K135" s="296">
        <f t="shared" si="3"/>
        <v>-2734.375</v>
      </c>
      <c r="L135" s="381"/>
    </row>
    <row r="136" spans="1:12" s="270" customFormat="1">
      <c r="A136" s="867" t="s">
        <v>647</v>
      </c>
      <c r="B136" s="863" t="s">
        <v>1239</v>
      </c>
      <c r="C136" s="863" t="s">
        <v>339</v>
      </c>
      <c r="D136" s="868" t="s">
        <v>339</v>
      </c>
      <c r="E136" s="869">
        <v>10</v>
      </c>
      <c r="F136" s="870" t="s">
        <v>304</v>
      </c>
      <c r="G136" s="871">
        <v>0</v>
      </c>
      <c r="H136" s="864" t="s">
        <v>1273</v>
      </c>
      <c r="I136" s="865">
        <v>109.09375</v>
      </c>
      <c r="J136" s="295">
        <v>108.7890625</v>
      </c>
      <c r="K136" s="296">
        <f t="shared" si="3"/>
        <v>-3046.875</v>
      </c>
      <c r="L136" s="381"/>
    </row>
    <row r="137" spans="1:12" s="270" customFormat="1">
      <c r="A137" s="867" t="s">
        <v>647</v>
      </c>
      <c r="B137" s="863" t="s">
        <v>1239</v>
      </c>
      <c r="C137" s="863" t="s">
        <v>339</v>
      </c>
      <c r="D137" s="868" t="s">
        <v>339</v>
      </c>
      <c r="E137" s="869">
        <v>30</v>
      </c>
      <c r="F137" s="870" t="s">
        <v>304</v>
      </c>
      <c r="G137" s="871">
        <v>0</v>
      </c>
      <c r="H137" s="864" t="s">
        <v>1274</v>
      </c>
      <c r="I137" s="865">
        <v>108.78125</v>
      </c>
      <c r="J137" s="295">
        <v>108.5625</v>
      </c>
      <c r="K137" s="296">
        <f t="shared" si="3"/>
        <v>-6562.5</v>
      </c>
      <c r="L137" s="381"/>
    </row>
    <row r="138" spans="1:12" s="270" customFormat="1">
      <c r="A138" s="867" t="s">
        <v>647</v>
      </c>
      <c r="B138" s="863" t="s">
        <v>1263</v>
      </c>
      <c r="C138" s="863" t="s">
        <v>339</v>
      </c>
      <c r="D138" s="868" t="s">
        <v>339</v>
      </c>
      <c r="E138" s="869">
        <v>20</v>
      </c>
      <c r="F138" s="870" t="s">
        <v>304</v>
      </c>
      <c r="G138" s="871">
        <v>0</v>
      </c>
      <c r="H138" s="864" t="s">
        <v>1325</v>
      </c>
      <c r="I138" s="865">
        <v>109</v>
      </c>
      <c r="J138" s="295">
        <v>109.0390625</v>
      </c>
      <c r="K138" s="296">
        <f t="shared" si="3"/>
        <v>781.25</v>
      </c>
      <c r="L138" s="381"/>
    </row>
    <row r="139" spans="1:12" s="270" customFormat="1">
      <c r="A139" s="867" t="s">
        <v>647</v>
      </c>
      <c r="B139" s="863" t="s">
        <v>1263</v>
      </c>
      <c r="C139" s="863" t="s">
        <v>339</v>
      </c>
      <c r="D139" s="868" t="s">
        <v>339</v>
      </c>
      <c r="E139" s="869">
        <v>20</v>
      </c>
      <c r="F139" s="870" t="s">
        <v>304</v>
      </c>
      <c r="G139" s="871">
        <v>0</v>
      </c>
      <c r="H139" s="864" t="s">
        <v>1326</v>
      </c>
      <c r="I139" s="865">
        <v>108.75</v>
      </c>
      <c r="J139" s="295">
        <v>109.0625</v>
      </c>
      <c r="K139" s="296">
        <f t="shared" si="3"/>
        <v>6250</v>
      </c>
      <c r="L139" s="381"/>
    </row>
    <row r="140" spans="1:12" s="270" customFormat="1">
      <c r="A140" s="867" t="s">
        <v>647</v>
      </c>
      <c r="B140" s="863" t="s">
        <v>1263</v>
      </c>
      <c r="C140" s="863" t="s">
        <v>339</v>
      </c>
      <c r="D140" s="868" t="s">
        <v>339</v>
      </c>
      <c r="E140" s="869">
        <v>10</v>
      </c>
      <c r="F140" s="870" t="s">
        <v>304</v>
      </c>
      <c r="G140" s="871">
        <v>0</v>
      </c>
      <c r="H140" s="864" t="s">
        <v>1327</v>
      </c>
      <c r="I140" s="865">
        <v>109.4140625</v>
      </c>
      <c r="J140" s="295">
        <v>109.609375</v>
      </c>
      <c r="K140" s="296">
        <f t="shared" si="3"/>
        <v>1953.125</v>
      </c>
      <c r="L140" s="381"/>
    </row>
    <row r="141" spans="1:12" s="270" customFormat="1">
      <c r="A141" s="867" t="s">
        <v>647</v>
      </c>
      <c r="B141" s="863" t="s">
        <v>1263</v>
      </c>
      <c r="C141" s="863" t="s">
        <v>339</v>
      </c>
      <c r="D141" s="868" t="s">
        <v>339</v>
      </c>
      <c r="E141" s="869">
        <v>10</v>
      </c>
      <c r="F141" s="870" t="s">
        <v>304</v>
      </c>
      <c r="G141" s="871">
        <v>0</v>
      </c>
      <c r="H141" s="864" t="s">
        <v>1328</v>
      </c>
      <c r="I141" s="865">
        <v>109.65625</v>
      </c>
      <c r="J141" s="295">
        <v>109.609375</v>
      </c>
      <c r="K141" s="296">
        <f t="shared" si="3"/>
        <v>-468.75</v>
      </c>
      <c r="L141" s="381"/>
    </row>
    <row r="142" spans="1:12" s="270" customFormat="1">
      <c r="A142" s="867" t="s">
        <v>647</v>
      </c>
      <c r="B142" s="863" t="s">
        <v>1263</v>
      </c>
      <c r="C142" s="863" t="s">
        <v>339</v>
      </c>
      <c r="D142" s="868" t="s">
        <v>339</v>
      </c>
      <c r="E142" s="869">
        <v>-20</v>
      </c>
      <c r="F142" s="870" t="s">
        <v>304</v>
      </c>
      <c r="G142" s="871">
        <v>0</v>
      </c>
      <c r="H142" s="864" t="s">
        <v>1329</v>
      </c>
      <c r="I142" s="865">
        <v>108.78125</v>
      </c>
      <c r="J142" s="295">
        <v>109.03125</v>
      </c>
      <c r="K142" s="296">
        <f t="shared" si="3"/>
        <v>-5000</v>
      </c>
      <c r="L142" s="381"/>
    </row>
    <row r="143" spans="1:12" s="270" customFormat="1">
      <c r="A143" s="867" t="s">
        <v>647</v>
      </c>
      <c r="B143" s="863" t="s">
        <v>1263</v>
      </c>
      <c r="C143" s="863" t="s">
        <v>339</v>
      </c>
      <c r="D143" s="868" t="s">
        <v>339</v>
      </c>
      <c r="E143" s="869">
        <v>20</v>
      </c>
      <c r="F143" s="870" t="s">
        <v>304</v>
      </c>
      <c r="G143" s="871">
        <v>0</v>
      </c>
      <c r="H143" s="864" t="s">
        <v>1330</v>
      </c>
      <c r="I143" s="865">
        <v>109.125</v>
      </c>
      <c r="J143" s="295">
        <v>109.25</v>
      </c>
      <c r="K143" s="296">
        <f t="shared" si="3"/>
        <v>2500</v>
      </c>
      <c r="L143" s="381"/>
    </row>
    <row r="144" spans="1:12" s="270" customFormat="1">
      <c r="A144" s="867" t="s">
        <v>647</v>
      </c>
      <c r="B144" s="863" t="s">
        <v>1337</v>
      </c>
      <c r="C144" s="863" t="s">
        <v>339</v>
      </c>
      <c r="D144" s="868" t="s">
        <v>339</v>
      </c>
      <c r="E144" s="869">
        <v>10</v>
      </c>
      <c r="F144" s="870" t="s">
        <v>304</v>
      </c>
      <c r="G144" s="871">
        <v>0</v>
      </c>
      <c r="H144" s="864" t="s">
        <v>1345</v>
      </c>
      <c r="I144" s="865">
        <v>109.984375</v>
      </c>
      <c r="J144" s="295">
        <v>110</v>
      </c>
      <c r="K144" s="296">
        <f t="shared" si="3"/>
        <v>156.25</v>
      </c>
      <c r="L144" s="381"/>
    </row>
    <row r="145" spans="1:12" s="270" customFormat="1">
      <c r="A145" s="867" t="s">
        <v>647</v>
      </c>
      <c r="B145" s="863" t="s">
        <v>1352</v>
      </c>
      <c r="C145" s="863" t="s">
        <v>339</v>
      </c>
      <c r="D145" s="868" t="s">
        <v>339</v>
      </c>
      <c r="E145" s="869">
        <v>10</v>
      </c>
      <c r="F145" s="870" t="s">
        <v>304</v>
      </c>
      <c r="G145" s="871">
        <v>0</v>
      </c>
      <c r="H145" s="864" t="s">
        <v>1377</v>
      </c>
      <c r="I145" s="865">
        <v>110.3828125</v>
      </c>
      <c r="J145" s="295">
        <v>110.09375</v>
      </c>
      <c r="K145" s="296">
        <f t="shared" si="3"/>
        <v>-2890.625</v>
      </c>
      <c r="L145" s="381"/>
    </row>
    <row r="146" spans="1:12" s="270" customFormat="1">
      <c r="A146" s="867" t="s">
        <v>647</v>
      </c>
      <c r="B146" s="863" t="s">
        <v>1352</v>
      </c>
      <c r="C146" s="863" t="s">
        <v>339</v>
      </c>
      <c r="D146" s="868" t="s">
        <v>339</v>
      </c>
      <c r="E146" s="869">
        <v>10</v>
      </c>
      <c r="F146" s="870" t="s">
        <v>304</v>
      </c>
      <c r="G146" s="871">
        <v>0</v>
      </c>
      <c r="H146" s="864" t="s">
        <v>1378</v>
      </c>
      <c r="I146" s="865">
        <v>109.671875</v>
      </c>
      <c r="J146" s="295">
        <v>109.6953125</v>
      </c>
      <c r="K146" s="296">
        <f t="shared" si="3"/>
        <v>234.375</v>
      </c>
      <c r="L146" s="381"/>
    </row>
    <row r="147" spans="1:12" s="270" customFormat="1">
      <c r="A147" s="867" t="s">
        <v>647</v>
      </c>
      <c r="B147" s="863" t="s">
        <v>1382</v>
      </c>
      <c r="C147" s="863" t="s">
        <v>339</v>
      </c>
      <c r="D147" s="868" t="s">
        <v>339</v>
      </c>
      <c r="E147" s="869">
        <v>-10</v>
      </c>
      <c r="F147" s="870" t="s">
        <v>304</v>
      </c>
      <c r="G147" s="871">
        <v>0</v>
      </c>
      <c r="H147" s="864" t="s">
        <v>1394</v>
      </c>
      <c r="I147" s="865">
        <v>108.8515625</v>
      </c>
      <c r="J147" s="295">
        <v>109.71875</v>
      </c>
      <c r="K147" s="296">
        <f t="shared" si="3"/>
        <v>-8671.875</v>
      </c>
      <c r="L147" s="381"/>
    </row>
    <row r="148" spans="1:12" s="270" customFormat="1">
      <c r="A148" s="867" t="s">
        <v>647</v>
      </c>
      <c r="B148" s="863" t="s">
        <v>1382</v>
      </c>
      <c r="C148" s="863" t="s">
        <v>339</v>
      </c>
      <c r="D148" s="868" t="s">
        <v>339</v>
      </c>
      <c r="E148" s="869">
        <v>-10</v>
      </c>
      <c r="F148" s="870" t="s">
        <v>304</v>
      </c>
      <c r="G148" s="871">
        <v>0</v>
      </c>
      <c r="H148" s="864" t="s">
        <v>1395</v>
      </c>
      <c r="I148" s="865">
        <v>109</v>
      </c>
      <c r="J148" s="295">
        <v>109.609375</v>
      </c>
      <c r="K148" s="296">
        <f t="shared" si="3"/>
        <v>-6093.75</v>
      </c>
      <c r="L148" s="381"/>
    </row>
    <row r="149" spans="1:12" s="270" customFormat="1">
      <c r="A149" s="867" t="s">
        <v>647</v>
      </c>
      <c r="B149" s="863" t="s">
        <v>1382</v>
      </c>
      <c r="C149" s="863" t="s">
        <v>339</v>
      </c>
      <c r="D149" s="868" t="s">
        <v>339</v>
      </c>
      <c r="E149" s="869">
        <v>20</v>
      </c>
      <c r="F149" s="870" t="s">
        <v>304</v>
      </c>
      <c r="G149" s="871">
        <v>0</v>
      </c>
      <c r="H149" s="864" t="s">
        <v>1396</v>
      </c>
      <c r="I149" s="865">
        <v>109.53125</v>
      </c>
      <c r="J149" s="295">
        <v>109.796875</v>
      </c>
      <c r="K149" s="296">
        <f t="shared" si="3"/>
        <v>5312.5</v>
      </c>
      <c r="L149" s="381"/>
    </row>
    <row r="150" spans="1:12" s="270" customFormat="1">
      <c r="A150" s="867" t="s">
        <v>647</v>
      </c>
      <c r="B150" s="863" t="s">
        <v>1472</v>
      </c>
      <c r="C150" s="863" t="s">
        <v>339</v>
      </c>
      <c r="D150" s="868" t="s">
        <v>339</v>
      </c>
      <c r="E150" s="869">
        <v>20</v>
      </c>
      <c r="F150" s="870" t="s">
        <v>304</v>
      </c>
      <c r="G150" s="871">
        <v>0</v>
      </c>
      <c r="H150" s="864" t="s">
        <v>1502</v>
      </c>
      <c r="I150" s="865">
        <v>109.40625</v>
      </c>
      <c r="J150" s="295">
        <v>109.53125</v>
      </c>
      <c r="K150" s="296">
        <f t="shared" si="3"/>
        <v>2500</v>
      </c>
      <c r="L150" s="381"/>
    </row>
    <row r="151" spans="1:12" s="270" customFormat="1">
      <c r="A151" s="867" t="s">
        <v>647</v>
      </c>
      <c r="B151" s="863" t="s">
        <v>1472</v>
      </c>
      <c r="C151" s="863" t="s">
        <v>339</v>
      </c>
      <c r="D151" s="868" t="s">
        <v>339</v>
      </c>
      <c r="E151" s="869">
        <v>-20</v>
      </c>
      <c r="F151" s="870" t="s">
        <v>304</v>
      </c>
      <c r="G151" s="871">
        <v>854</v>
      </c>
      <c r="H151" s="864" t="s">
        <v>1478</v>
      </c>
      <c r="I151" s="865">
        <v>109.609375</v>
      </c>
      <c r="J151" s="295">
        <v>109.3125</v>
      </c>
      <c r="K151" s="296">
        <f t="shared" si="3"/>
        <v>5937.5</v>
      </c>
      <c r="L151" s="381"/>
    </row>
    <row r="152" spans="1:12" s="270" customFormat="1">
      <c r="A152" s="867" t="s">
        <v>647</v>
      </c>
      <c r="B152" s="863" t="s">
        <v>1537</v>
      </c>
      <c r="C152" s="863" t="s">
        <v>339</v>
      </c>
      <c r="D152" s="868" t="s">
        <v>339</v>
      </c>
      <c r="E152" s="869">
        <v>-10</v>
      </c>
      <c r="F152" s="870" t="s">
        <v>304</v>
      </c>
      <c r="G152" s="871">
        <v>0</v>
      </c>
      <c r="H152" s="864" t="s">
        <v>1538</v>
      </c>
      <c r="I152" s="865">
        <v>109.390625</v>
      </c>
      <c r="J152" s="295">
        <v>110.4296875</v>
      </c>
      <c r="K152" s="296">
        <f t="shared" si="3"/>
        <v>-10390.625</v>
      </c>
      <c r="L152" s="381"/>
    </row>
    <row r="153" spans="1:12" s="270" customFormat="1">
      <c r="A153" s="867" t="s">
        <v>647</v>
      </c>
      <c r="B153" s="863" t="s">
        <v>1537</v>
      </c>
      <c r="C153" s="863" t="s">
        <v>339</v>
      </c>
      <c r="D153" s="868" t="s">
        <v>339</v>
      </c>
      <c r="E153" s="869">
        <v>-10</v>
      </c>
      <c r="F153" s="870" t="s">
        <v>304</v>
      </c>
      <c r="G153" s="871">
        <v>0</v>
      </c>
      <c r="H153" s="864" t="s">
        <v>1539</v>
      </c>
      <c r="I153" s="865">
        <v>109.3828125</v>
      </c>
      <c r="J153" s="295">
        <v>110.4296875</v>
      </c>
      <c r="K153" s="296">
        <f t="shared" si="3"/>
        <v>-10468.75</v>
      </c>
      <c r="L153" s="381"/>
    </row>
    <row r="154" spans="1:12" s="270" customFormat="1">
      <c r="A154" s="867" t="s">
        <v>647</v>
      </c>
      <c r="B154" s="863" t="s">
        <v>1540</v>
      </c>
      <c r="C154" s="863" t="s">
        <v>339</v>
      </c>
      <c r="D154" s="868" t="s">
        <v>339</v>
      </c>
      <c r="E154" s="869">
        <v>-10</v>
      </c>
      <c r="F154" s="870" t="s">
        <v>304</v>
      </c>
      <c r="G154" s="871">
        <v>0</v>
      </c>
      <c r="H154" s="864" t="s">
        <v>1541</v>
      </c>
      <c r="I154" s="865">
        <v>110.03125</v>
      </c>
      <c r="J154" s="295">
        <v>110.4296875</v>
      </c>
      <c r="K154" s="296">
        <f t="shared" si="3"/>
        <v>-3984.3749999999995</v>
      </c>
      <c r="L154" s="381"/>
    </row>
    <row r="155" spans="1:12" s="270" customFormat="1">
      <c r="A155" s="867" t="s">
        <v>647</v>
      </c>
      <c r="B155" s="863" t="s">
        <v>1542</v>
      </c>
      <c r="C155" s="863" t="s">
        <v>339</v>
      </c>
      <c r="D155" s="868" t="s">
        <v>339</v>
      </c>
      <c r="E155" s="869">
        <v>10</v>
      </c>
      <c r="F155" s="870" t="s">
        <v>304</v>
      </c>
      <c r="G155" s="871">
        <v>0</v>
      </c>
      <c r="H155" s="864" t="s">
        <v>1543</v>
      </c>
      <c r="I155" s="865">
        <v>110.875</v>
      </c>
      <c r="J155" s="295">
        <v>111.0625</v>
      </c>
      <c r="K155" s="296">
        <f t="shared" si="3"/>
        <v>1875</v>
      </c>
      <c r="L155" s="381"/>
    </row>
    <row r="156" spans="1:12" s="270" customFormat="1">
      <c r="A156" s="867" t="s">
        <v>564</v>
      </c>
      <c r="B156" s="863"/>
      <c r="C156" s="863"/>
      <c r="D156" s="868"/>
      <c r="E156" s="869"/>
      <c r="F156" s="870"/>
      <c r="G156" s="871"/>
      <c r="H156" s="864"/>
      <c r="I156" s="865"/>
      <c r="J156" s="295"/>
      <c r="K156" s="296">
        <f t="shared" si="3"/>
        <v>0</v>
      </c>
      <c r="L156" s="381"/>
    </row>
    <row r="157" spans="1:12" s="270" customFormat="1">
      <c r="A157" s="867" t="s">
        <v>564</v>
      </c>
      <c r="B157" s="863"/>
      <c r="C157" s="863"/>
      <c r="D157" s="868"/>
      <c r="E157" s="869"/>
      <c r="F157" s="870"/>
      <c r="G157" s="871"/>
      <c r="H157" s="864"/>
      <c r="I157" s="865"/>
      <c r="J157" s="295"/>
      <c r="K157" s="296">
        <f t="shared" si="3"/>
        <v>0</v>
      </c>
      <c r="L157" s="381"/>
    </row>
    <row r="158" spans="1:12" s="270" customFormat="1">
      <c r="A158" s="867" t="s">
        <v>564</v>
      </c>
      <c r="B158" s="863"/>
      <c r="C158" s="863"/>
      <c r="D158" s="868"/>
      <c r="E158" s="869"/>
      <c r="F158" s="870"/>
      <c r="G158" s="871"/>
      <c r="H158" s="864"/>
      <c r="I158" s="865"/>
      <c r="J158" s="295"/>
      <c r="K158" s="296">
        <f t="shared" si="3"/>
        <v>0</v>
      </c>
      <c r="L158" s="381"/>
    </row>
    <row r="159" spans="1:12" s="270" customFormat="1">
      <c r="A159" s="867" t="s">
        <v>564</v>
      </c>
      <c r="B159" s="863"/>
      <c r="C159" s="863"/>
      <c r="D159" s="868"/>
      <c r="E159" s="869"/>
      <c r="F159" s="870"/>
      <c r="G159" s="871"/>
      <c r="H159" s="864"/>
      <c r="I159" s="865"/>
      <c r="J159" s="295"/>
      <c r="K159" s="296">
        <f t="shared" si="3"/>
        <v>0</v>
      </c>
      <c r="L159" s="381"/>
    </row>
    <row r="160" spans="1:12" s="270" customFormat="1">
      <c r="A160" s="867" t="s">
        <v>564</v>
      </c>
      <c r="B160" s="863"/>
      <c r="C160" s="863"/>
      <c r="D160" s="868"/>
      <c r="E160" s="869"/>
      <c r="F160" s="870"/>
      <c r="G160" s="871"/>
      <c r="H160" s="864"/>
      <c r="I160" s="865"/>
      <c r="J160" s="295"/>
      <c r="K160" s="296">
        <f t="shared" si="3"/>
        <v>0</v>
      </c>
      <c r="L160" s="381"/>
    </row>
    <row r="161" spans="1:12" s="270" customFormat="1">
      <c r="A161" s="867" t="s">
        <v>564</v>
      </c>
      <c r="B161" s="863"/>
      <c r="C161" s="863"/>
      <c r="D161" s="868"/>
      <c r="E161" s="869"/>
      <c r="F161" s="870"/>
      <c r="G161" s="871"/>
      <c r="H161" s="864"/>
      <c r="I161" s="865"/>
      <c r="J161" s="295"/>
      <c r="K161" s="296">
        <f t="shared" ref="K161:K224" si="4">IF(LEFT(A161,2)="TU",(J161-I161)*E161/100*100000*2,(J161-I161)*E161/100*100000)</f>
        <v>0</v>
      </c>
      <c r="L161" s="381"/>
    </row>
    <row r="162" spans="1:12" s="270" customFormat="1">
      <c r="A162" s="867" t="s">
        <v>565</v>
      </c>
      <c r="B162" s="863"/>
      <c r="C162" s="863"/>
      <c r="D162" s="868"/>
      <c r="E162" s="869"/>
      <c r="F162" s="870"/>
      <c r="G162" s="871"/>
      <c r="H162" s="864"/>
      <c r="I162" s="865"/>
      <c r="J162" s="295"/>
      <c r="K162" s="296">
        <f t="shared" si="4"/>
        <v>0</v>
      </c>
      <c r="L162" s="381"/>
    </row>
    <row r="163" spans="1:12" s="270" customFormat="1">
      <c r="A163" s="867" t="s">
        <v>565</v>
      </c>
      <c r="B163" s="863"/>
      <c r="C163" s="863"/>
      <c r="D163" s="868"/>
      <c r="E163" s="869"/>
      <c r="F163" s="870"/>
      <c r="G163" s="871"/>
      <c r="H163" s="864"/>
      <c r="I163" s="865"/>
      <c r="J163" s="295"/>
      <c r="K163" s="296">
        <f t="shared" si="4"/>
        <v>0</v>
      </c>
      <c r="L163" s="381"/>
    </row>
    <row r="164" spans="1:12" s="270" customFormat="1">
      <c r="A164" s="867" t="s">
        <v>564</v>
      </c>
      <c r="B164" s="863"/>
      <c r="C164" s="863"/>
      <c r="D164" s="868"/>
      <c r="E164" s="869"/>
      <c r="F164" s="870"/>
      <c r="G164" s="871"/>
      <c r="H164" s="864"/>
      <c r="I164" s="865"/>
      <c r="J164" s="295"/>
      <c r="K164" s="296">
        <f t="shared" si="4"/>
        <v>0</v>
      </c>
      <c r="L164" s="381"/>
    </row>
    <row r="165" spans="1:12" s="270" customFormat="1">
      <c r="A165" s="867" t="s">
        <v>564</v>
      </c>
      <c r="B165" s="863"/>
      <c r="C165" s="863"/>
      <c r="D165" s="868"/>
      <c r="E165" s="869"/>
      <c r="F165" s="870"/>
      <c r="G165" s="871"/>
      <c r="H165" s="864"/>
      <c r="I165" s="865"/>
      <c r="J165" s="295"/>
      <c r="K165" s="296">
        <f t="shared" si="4"/>
        <v>0</v>
      </c>
      <c r="L165" s="381"/>
    </row>
    <row r="166" spans="1:12" s="270" customFormat="1">
      <c r="A166" s="867" t="s">
        <v>564</v>
      </c>
      <c r="B166" s="863"/>
      <c r="C166" s="863"/>
      <c r="D166" s="868"/>
      <c r="E166" s="869"/>
      <c r="F166" s="870"/>
      <c r="G166" s="871"/>
      <c r="H166" s="864"/>
      <c r="I166" s="865"/>
      <c r="J166" s="295"/>
      <c r="K166" s="296">
        <f t="shared" si="4"/>
        <v>0</v>
      </c>
      <c r="L166" s="381"/>
    </row>
    <row r="167" spans="1:12" s="270" customFormat="1">
      <c r="A167" s="867" t="s">
        <v>565</v>
      </c>
      <c r="B167" s="863"/>
      <c r="C167" s="863"/>
      <c r="D167" s="868"/>
      <c r="E167" s="869"/>
      <c r="F167" s="870"/>
      <c r="G167" s="871"/>
      <c r="H167" s="864"/>
      <c r="I167" s="865"/>
      <c r="J167" s="295"/>
      <c r="K167" s="296">
        <f t="shared" si="4"/>
        <v>0</v>
      </c>
      <c r="L167" s="381"/>
    </row>
    <row r="168" spans="1:12" s="270" customFormat="1">
      <c r="A168" s="867" t="s">
        <v>565</v>
      </c>
      <c r="B168" s="863"/>
      <c r="C168" s="863"/>
      <c r="D168" s="868"/>
      <c r="E168" s="869"/>
      <c r="F168" s="870"/>
      <c r="G168" s="871"/>
      <c r="H168" s="864"/>
      <c r="I168" s="865"/>
      <c r="J168" s="295"/>
      <c r="K168" s="296">
        <f t="shared" si="4"/>
        <v>0</v>
      </c>
      <c r="L168" s="381"/>
    </row>
    <row r="169" spans="1:12" s="270" customFormat="1">
      <c r="A169" s="867" t="s">
        <v>565</v>
      </c>
      <c r="B169" s="863"/>
      <c r="C169" s="863"/>
      <c r="D169" s="868"/>
      <c r="E169" s="869"/>
      <c r="F169" s="870"/>
      <c r="G169" s="871"/>
      <c r="H169" s="864"/>
      <c r="I169" s="865"/>
      <c r="J169" s="295"/>
      <c r="K169" s="296">
        <f t="shared" si="4"/>
        <v>0</v>
      </c>
      <c r="L169" s="381"/>
    </row>
    <row r="170" spans="1:12" s="270" customFormat="1">
      <c r="A170" s="867" t="s">
        <v>564</v>
      </c>
      <c r="B170" s="863"/>
      <c r="C170" s="863"/>
      <c r="D170" s="868"/>
      <c r="E170" s="869"/>
      <c r="F170" s="870"/>
      <c r="G170" s="871"/>
      <c r="H170" s="864"/>
      <c r="I170" s="865"/>
      <c r="J170" s="295"/>
      <c r="K170" s="296">
        <f t="shared" si="4"/>
        <v>0</v>
      </c>
      <c r="L170" s="381"/>
    </row>
    <row r="171" spans="1:12" s="270" customFormat="1">
      <c r="A171" s="867" t="s">
        <v>564</v>
      </c>
      <c r="B171" s="863"/>
      <c r="C171" s="863"/>
      <c r="D171" s="868"/>
      <c r="E171" s="869"/>
      <c r="F171" s="870"/>
      <c r="G171" s="871"/>
      <c r="H171" s="864"/>
      <c r="I171" s="865"/>
      <c r="J171" s="295"/>
      <c r="K171" s="296">
        <f t="shared" si="4"/>
        <v>0</v>
      </c>
      <c r="L171" s="381"/>
    </row>
    <row r="172" spans="1:12" s="270" customFormat="1">
      <c r="A172" s="867" t="s">
        <v>564</v>
      </c>
      <c r="B172" s="863"/>
      <c r="C172" s="863"/>
      <c r="D172" s="868"/>
      <c r="E172" s="869"/>
      <c r="F172" s="870"/>
      <c r="G172" s="871"/>
      <c r="H172" s="864"/>
      <c r="I172" s="865"/>
      <c r="J172" s="295"/>
      <c r="K172" s="296">
        <f t="shared" si="4"/>
        <v>0</v>
      </c>
      <c r="L172" s="381"/>
    </row>
    <row r="173" spans="1:12" s="270" customFormat="1">
      <c r="A173" s="867" t="s">
        <v>564</v>
      </c>
      <c r="B173" s="863"/>
      <c r="C173" s="863"/>
      <c r="D173" s="868"/>
      <c r="E173" s="869"/>
      <c r="F173" s="870"/>
      <c r="G173" s="871"/>
      <c r="H173" s="864"/>
      <c r="I173" s="865"/>
      <c r="J173" s="295"/>
      <c r="K173" s="296">
        <f t="shared" si="4"/>
        <v>0</v>
      </c>
      <c r="L173" s="381"/>
    </row>
    <row r="174" spans="1:12" s="270" customFormat="1">
      <c r="A174" s="867" t="s">
        <v>564</v>
      </c>
      <c r="B174" s="863"/>
      <c r="C174" s="863"/>
      <c r="D174" s="868"/>
      <c r="E174" s="869"/>
      <c r="F174" s="870"/>
      <c r="G174" s="871"/>
      <c r="H174" s="864"/>
      <c r="I174" s="865"/>
      <c r="J174" s="295"/>
      <c r="K174" s="296">
        <f t="shared" si="4"/>
        <v>0</v>
      </c>
      <c r="L174" s="381"/>
    </row>
    <row r="175" spans="1:12" s="270" customFormat="1">
      <c r="A175" s="867" t="s">
        <v>564</v>
      </c>
      <c r="B175" s="863"/>
      <c r="C175" s="863"/>
      <c r="D175" s="868"/>
      <c r="E175" s="869"/>
      <c r="F175" s="870"/>
      <c r="G175" s="871"/>
      <c r="H175" s="864"/>
      <c r="I175" s="865"/>
      <c r="J175" s="295"/>
      <c r="K175" s="296">
        <f t="shared" si="4"/>
        <v>0</v>
      </c>
      <c r="L175" s="381"/>
    </row>
    <row r="176" spans="1:12" s="270" customFormat="1">
      <c r="A176" s="867" t="s">
        <v>564</v>
      </c>
      <c r="B176" s="863"/>
      <c r="C176" s="863"/>
      <c r="D176" s="868"/>
      <c r="E176" s="869"/>
      <c r="F176" s="870"/>
      <c r="G176" s="871"/>
      <c r="H176" s="864"/>
      <c r="I176" s="865"/>
      <c r="J176" s="295"/>
      <c r="K176" s="296">
        <f t="shared" si="4"/>
        <v>0</v>
      </c>
      <c r="L176" s="381"/>
    </row>
    <row r="177" spans="1:12" s="270" customFormat="1">
      <c r="A177" s="867" t="s">
        <v>564</v>
      </c>
      <c r="B177" s="863"/>
      <c r="C177" s="863"/>
      <c r="D177" s="868"/>
      <c r="E177" s="869"/>
      <c r="F177" s="870"/>
      <c r="G177" s="871"/>
      <c r="H177" s="864"/>
      <c r="I177" s="865"/>
      <c r="J177" s="295"/>
      <c r="K177" s="296">
        <f t="shared" si="4"/>
        <v>0</v>
      </c>
      <c r="L177" s="381"/>
    </row>
    <row r="178" spans="1:12" s="270" customFormat="1">
      <c r="A178" s="867" t="s">
        <v>564</v>
      </c>
      <c r="B178" s="863"/>
      <c r="C178" s="863"/>
      <c r="D178" s="868"/>
      <c r="E178" s="869"/>
      <c r="F178" s="870"/>
      <c r="G178" s="871"/>
      <c r="H178" s="864"/>
      <c r="I178" s="865"/>
      <c r="J178" s="295"/>
      <c r="K178" s="296">
        <f t="shared" si="4"/>
        <v>0</v>
      </c>
      <c r="L178" s="381"/>
    </row>
    <row r="179" spans="1:12" s="270" customFormat="1">
      <c r="A179" s="867" t="s">
        <v>564</v>
      </c>
      <c r="B179" s="863"/>
      <c r="C179" s="863"/>
      <c r="D179" s="868"/>
      <c r="E179" s="869"/>
      <c r="F179" s="870"/>
      <c r="G179" s="871"/>
      <c r="H179" s="864"/>
      <c r="I179" s="865"/>
      <c r="J179" s="295"/>
      <c r="K179" s="296">
        <f t="shared" si="4"/>
        <v>0</v>
      </c>
      <c r="L179" s="381"/>
    </row>
    <row r="180" spans="1:12" s="270" customFormat="1">
      <c r="A180" s="867" t="s">
        <v>586</v>
      </c>
      <c r="B180" s="863"/>
      <c r="C180" s="863"/>
      <c r="D180" s="868"/>
      <c r="E180" s="869"/>
      <c r="F180" s="870"/>
      <c r="G180" s="871"/>
      <c r="H180" s="864"/>
      <c r="I180" s="865"/>
      <c r="J180" s="295"/>
      <c r="K180" s="296">
        <f t="shared" si="4"/>
        <v>0</v>
      </c>
      <c r="L180" s="381"/>
    </row>
    <row r="181" spans="1:12" s="270" customFormat="1">
      <c r="A181" s="867" t="s">
        <v>586</v>
      </c>
      <c r="B181" s="863"/>
      <c r="C181" s="863"/>
      <c r="D181" s="868"/>
      <c r="E181" s="869"/>
      <c r="F181" s="870"/>
      <c r="G181" s="871"/>
      <c r="H181" s="864"/>
      <c r="I181" s="865"/>
      <c r="J181" s="295"/>
      <c r="K181" s="296">
        <f t="shared" si="4"/>
        <v>0</v>
      </c>
      <c r="L181" s="381"/>
    </row>
    <row r="182" spans="1:12" s="270" customFormat="1">
      <c r="A182" s="867" t="s">
        <v>590</v>
      </c>
      <c r="B182" s="863"/>
      <c r="C182" s="863"/>
      <c r="D182" s="868"/>
      <c r="E182" s="869"/>
      <c r="F182" s="870"/>
      <c r="G182" s="871"/>
      <c r="H182" s="864"/>
      <c r="I182" s="865"/>
      <c r="J182" s="295"/>
      <c r="K182" s="296">
        <f t="shared" si="4"/>
        <v>0</v>
      </c>
      <c r="L182" s="381"/>
    </row>
    <row r="183" spans="1:12" s="270" customFormat="1">
      <c r="A183" s="867" t="s">
        <v>590</v>
      </c>
      <c r="B183" s="863"/>
      <c r="C183" s="863"/>
      <c r="D183" s="868"/>
      <c r="E183" s="869"/>
      <c r="F183" s="870"/>
      <c r="G183" s="871"/>
      <c r="H183" s="864"/>
      <c r="I183" s="865"/>
      <c r="J183" s="295"/>
      <c r="K183" s="296">
        <f t="shared" si="4"/>
        <v>0</v>
      </c>
      <c r="L183" s="381"/>
    </row>
    <row r="184" spans="1:12" s="270" customFormat="1">
      <c r="A184" s="867" t="s">
        <v>590</v>
      </c>
      <c r="B184" s="863"/>
      <c r="C184" s="863"/>
      <c r="D184" s="868"/>
      <c r="E184" s="869"/>
      <c r="F184" s="870"/>
      <c r="G184" s="871"/>
      <c r="H184" s="864"/>
      <c r="I184" s="865"/>
      <c r="J184" s="295"/>
      <c r="K184" s="296">
        <f t="shared" si="4"/>
        <v>0</v>
      </c>
      <c r="L184" s="381"/>
    </row>
    <row r="185" spans="1:12" s="270" customFormat="1">
      <c r="A185" s="867" t="s">
        <v>590</v>
      </c>
      <c r="B185" s="863"/>
      <c r="C185" s="863"/>
      <c r="D185" s="868"/>
      <c r="E185" s="869"/>
      <c r="F185" s="870"/>
      <c r="G185" s="871"/>
      <c r="H185" s="864"/>
      <c r="I185" s="865"/>
      <c r="J185" s="295"/>
      <c r="K185" s="296">
        <f t="shared" si="4"/>
        <v>0</v>
      </c>
      <c r="L185" s="381"/>
    </row>
    <row r="186" spans="1:12" s="270" customFormat="1">
      <c r="A186" s="867" t="s">
        <v>590</v>
      </c>
      <c r="B186" s="863"/>
      <c r="C186" s="863"/>
      <c r="D186" s="868"/>
      <c r="E186" s="869"/>
      <c r="F186" s="870"/>
      <c r="G186" s="871"/>
      <c r="H186" s="864"/>
      <c r="I186" s="865"/>
      <c r="J186" s="295"/>
      <c r="K186" s="296">
        <f t="shared" si="4"/>
        <v>0</v>
      </c>
      <c r="L186" s="381"/>
    </row>
    <row r="187" spans="1:12" s="270" customFormat="1">
      <c r="A187" s="867" t="s">
        <v>586</v>
      </c>
      <c r="B187" s="863"/>
      <c r="C187" s="863"/>
      <c r="D187" s="868"/>
      <c r="E187" s="869"/>
      <c r="F187" s="870"/>
      <c r="G187" s="871"/>
      <c r="H187" s="864"/>
      <c r="I187" s="865"/>
      <c r="J187" s="295"/>
      <c r="K187" s="296">
        <f t="shared" si="4"/>
        <v>0</v>
      </c>
      <c r="L187" s="381"/>
    </row>
    <row r="188" spans="1:12" s="270" customFormat="1">
      <c r="A188" s="867" t="s">
        <v>586</v>
      </c>
      <c r="B188" s="863"/>
      <c r="C188" s="863"/>
      <c r="D188" s="868"/>
      <c r="E188" s="869"/>
      <c r="F188" s="870"/>
      <c r="G188" s="871"/>
      <c r="H188" s="864"/>
      <c r="I188" s="865"/>
      <c r="J188" s="295"/>
      <c r="K188" s="296">
        <f t="shared" si="4"/>
        <v>0</v>
      </c>
      <c r="L188" s="381"/>
    </row>
    <row r="189" spans="1:12" s="270" customFormat="1">
      <c r="A189" s="867" t="s">
        <v>586</v>
      </c>
      <c r="B189" s="863"/>
      <c r="C189" s="863"/>
      <c r="D189" s="868"/>
      <c r="E189" s="869"/>
      <c r="F189" s="870"/>
      <c r="G189" s="871"/>
      <c r="H189" s="864"/>
      <c r="I189" s="865"/>
      <c r="J189" s="295"/>
      <c r="K189" s="296">
        <f t="shared" si="4"/>
        <v>0</v>
      </c>
      <c r="L189" s="381"/>
    </row>
    <row r="190" spans="1:12" s="270" customFormat="1">
      <c r="A190" s="867" t="s">
        <v>586</v>
      </c>
      <c r="B190" s="863"/>
      <c r="C190" s="863"/>
      <c r="D190" s="868"/>
      <c r="E190" s="869"/>
      <c r="F190" s="870"/>
      <c r="G190" s="871"/>
      <c r="H190" s="864"/>
      <c r="I190" s="865"/>
      <c r="J190" s="295"/>
      <c r="K190" s="296">
        <f t="shared" si="4"/>
        <v>0</v>
      </c>
      <c r="L190" s="381"/>
    </row>
    <row r="191" spans="1:12" s="270" customFormat="1">
      <c r="A191" s="867" t="s">
        <v>586</v>
      </c>
      <c r="B191" s="863"/>
      <c r="C191" s="863"/>
      <c r="D191" s="868"/>
      <c r="E191" s="869"/>
      <c r="F191" s="870"/>
      <c r="G191" s="871"/>
      <c r="H191" s="864"/>
      <c r="I191" s="865"/>
      <c r="J191" s="295"/>
      <c r="K191" s="296">
        <f t="shared" si="4"/>
        <v>0</v>
      </c>
      <c r="L191" s="381"/>
    </row>
    <row r="192" spans="1:12" s="270" customFormat="1">
      <c r="A192" s="867" t="s">
        <v>586</v>
      </c>
      <c r="B192" s="863"/>
      <c r="C192" s="863"/>
      <c r="D192" s="868"/>
      <c r="E192" s="869"/>
      <c r="F192" s="870"/>
      <c r="G192" s="871"/>
      <c r="H192" s="864"/>
      <c r="I192" s="865"/>
      <c r="J192" s="295"/>
      <c r="K192" s="296">
        <f t="shared" si="4"/>
        <v>0</v>
      </c>
      <c r="L192" s="381"/>
    </row>
    <row r="193" spans="1:12" s="270" customFormat="1">
      <c r="A193" s="867" t="s">
        <v>586</v>
      </c>
      <c r="B193" s="863"/>
      <c r="C193" s="863"/>
      <c r="D193" s="868"/>
      <c r="E193" s="869"/>
      <c r="F193" s="870"/>
      <c r="G193" s="871"/>
      <c r="H193" s="864"/>
      <c r="I193" s="865"/>
      <c r="J193" s="295"/>
      <c r="K193" s="296">
        <f t="shared" si="4"/>
        <v>0</v>
      </c>
      <c r="L193" s="381"/>
    </row>
    <row r="194" spans="1:12" s="270" customFormat="1">
      <c r="A194" s="867" t="s">
        <v>586</v>
      </c>
      <c r="B194" s="863"/>
      <c r="C194" s="863"/>
      <c r="D194" s="868"/>
      <c r="E194" s="869"/>
      <c r="F194" s="870"/>
      <c r="G194" s="871"/>
      <c r="H194" s="864"/>
      <c r="I194" s="865"/>
      <c r="J194" s="295"/>
      <c r="K194" s="296">
        <f t="shared" si="4"/>
        <v>0</v>
      </c>
      <c r="L194" s="381"/>
    </row>
    <row r="195" spans="1:12" s="270" customFormat="1">
      <c r="A195" s="867" t="s">
        <v>586</v>
      </c>
      <c r="B195" s="863"/>
      <c r="C195" s="863"/>
      <c r="D195" s="868"/>
      <c r="E195" s="869"/>
      <c r="F195" s="870"/>
      <c r="G195" s="871"/>
      <c r="H195" s="864"/>
      <c r="I195" s="865"/>
      <c r="J195" s="295"/>
      <c r="K195" s="296">
        <f t="shared" si="4"/>
        <v>0</v>
      </c>
      <c r="L195" s="381"/>
    </row>
    <row r="196" spans="1:12" s="270" customFormat="1">
      <c r="A196" s="867" t="s">
        <v>586</v>
      </c>
      <c r="B196" s="863"/>
      <c r="C196" s="863"/>
      <c r="D196" s="868"/>
      <c r="E196" s="869"/>
      <c r="F196" s="870"/>
      <c r="G196" s="871"/>
      <c r="H196" s="864"/>
      <c r="I196" s="865"/>
      <c r="J196" s="295"/>
      <c r="K196" s="296">
        <f t="shared" si="4"/>
        <v>0</v>
      </c>
      <c r="L196" s="381"/>
    </row>
    <row r="197" spans="1:12" s="270" customFormat="1">
      <c r="A197" s="867" t="s">
        <v>586</v>
      </c>
      <c r="B197" s="863"/>
      <c r="C197" s="863"/>
      <c r="D197" s="868"/>
      <c r="E197" s="869"/>
      <c r="F197" s="870"/>
      <c r="G197" s="871"/>
      <c r="H197" s="864"/>
      <c r="I197" s="865"/>
      <c r="J197" s="295"/>
      <c r="K197" s="296">
        <f t="shared" si="4"/>
        <v>0</v>
      </c>
      <c r="L197" s="381"/>
    </row>
    <row r="198" spans="1:12" s="270" customFormat="1">
      <c r="A198" s="867" t="s">
        <v>586</v>
      </c>
      <c r="B198" s="863"/>
      <c r="C198" s="863"/>
      <c r="D198" s="868"/>
      <c r="E198" s="869"/>
      <c r="F198" s="870"/>
      <c r="G198" s="871"/>
      <c r="H198" s="864"/>
      <c r="I198" s="865"/>
      <c r="J198" s="295"/>
      <c r="K198" s="296">
        <f t="shared" si="4"/>
        <v>0</v>
      </c>
      <c r="L198" s="381"/>
    </row>
    <row r="199" spans="1:12" s="270" customFormat="1">
      <c r="A199" s="867" t="s">
        <v>586</v>
      </c>
      <c r="B199" s="863"/>
      <c r="C199" s="863"/>
      <c r="D199" s="868"/>
      <c r="E199" s="869"/>
      <c r="F199" s="870"/>
      <c r="G199" s="871"/>
      <c r="H199" s="864"/>
      <c r="I199" s="865"/>
      <c r="J199" s="295"/>
      <c r="K199" s="296">
        <f t="shared" si="4"/>
        <v>0</v>
      </c>
      <c r="L199" s="381"/>
    </row>
    <row r="200" spans="1:12" s="270" customFormat="1">
      <c r="A200" s="867" t="s">
        <v>586</v>
      </c>
      <c r="B200" s="863"/>
      <c r="C200" s="863"/>
      <c r="D200" s="868"/>
      <c r="E200" s="869"/>
      <c r="F200" s="870"/>
      <c r="G200" s="871"/>
      <c r="H200" s="864"/>
      <c r="I200" s="865"/>
      <c r="J200" s="295"/>
      <c r="K200" s="296">
        <f t="shared" si="4"/>
        <v>0</v>
      </c>
      <c r="L200" s="381"/>
    </row>
    <row r="201" spans="1:12" s="270" customFormat="1">
      <c r="A201" s="867" t="s">
        <v>586</v>
      </c>
      <c r="B201" s="863"/>
      <c r="C201" s="863"/>
      <c r="D201" s="868"/>
      <c r="E201" s="869"/>
      <c r="F201" s="870"/>
      <c r="G201" s="871"/>
      <c r="H201" s="864"/>
      <c r="I201" s="865"/>
      <c r="J201" s="295"/>
      <c r="K201" s="296">
        <f t="shared" si="4"/>
        <v>0</v>
      </c>
      <c r="L201" s="381"/>
    </row>
    <row r="202" spans="1:12" s="270" customFormat="1">
      <c r="A202" s="867" t="s">
        <v>586</v>
      </c>
      <c r="B202" s="863"/>
      <c r="C202" s="863"/>
      <c r="D202" s="868"/>
      <c r="E202" s="869"/>
      <c r="F202" s="870"/>
      <c r="G202" s="871"/>
      <c r="H202" s="864"/>
      <c r="I202" s="865"/>
      <c r="J202" s="295"/>
      <c r="K202" s="296">
        <f t="shared" si="4"/>
        <v>0</v>
      </c>
      <c r="L202" s="381"/>
    </row>
    <row r="203" spans="1:12" s="270" customFormat="1">
      <c r="A203" s="867" t="s">
        <v>586</v>
      </c>
      <c r="B203" s="863"/>
      <c r="C203" s="863"/>
      <c r="D203" s="868"/>
      <c r="E203" s="869"/>
      <c r="F203" s="870"/>
      <c r="G203" s="871"/>
      <c r="H203" s="864"/>
      <c r="I203" s="865"/>
      <c r="J203" s="295"/>
      <c r="K203" s="296">
        <f t="shared" si="4"/>
        <v>0</v>
      </c>
      <c r="L203" s="381"/>
    </row>
    <row r="204" spans="1:12" s="270" customFormat="1">
      <c r="A204" s="867" t="s">
        <v>586</v>
      </c>
      <c r="B204" s="863"/>
      <c r="C204" s="863"/>
      <c r="D204" s="868"/>
      <c r="E204" s="869"/>
      <c r="F204" s="870"/>
      <c r="G204" s="871"/>
      <c r="H204" s="864"/>
      <c r="I204" s="865"/>
      <c r="J204" s="295"/>
      <c r="K204" s="296">
        <f t="shared" si="4"/>
        <v>0</v>
      </c>
      <c r="L204" s="381"/>
    </row>
    <row r="205" spans="1:12" s="270" customFormat="1">
      <c r="A205" s="867" t="s">
        <v>586</v>
      </c>
      <c r="B205" s="863"/>
      <c r="C205" s="863"/>
      <c r="D205" s="868"/>
      <c r="E205" s="869"/>
      <c r="F205" s="870"/>
      <c r="G205" s="871"/>
      <c r="H205" s="864"/>
      <c r="I205" s="865"/>
      <c r="J205" s="295"/>
      <c r="K205" s="296">
        <f t="shared" si="4"/>
        <v>0</v>
      </c>
      <c r="L205" s="381"/>
    </row>
    <row r="206" spans="1:12" s="270" customFormat="1">
      <c r="A206" s="867" t="s">
        <v>590</v>
      </c>
      <c r="B206" s="863"/>
      <c r="C206" s="863"/>
      <c r="D206" s="868"/>
      <c r="E206" s="869"/>
      <c r="F206" s="870"/>
      <c r="G206" s="871"/>
      <c r="H206" s="864"/>
      <c r="I206" s="865"/>
      <c r="J206" s="295"/>
      <c r="K206" s="296">
        <f t="shared" si="4"/>
        <v>0</v>
      </c>
      <c r="L206" s="381"/>
    </row>
    <row r="207" spans="1:12" s="270" customFormat="1">
      <c r="A207" s="867" t="s">
        <v>588</v>
      </c>
      <c r="B207" s="863"/>
      <c r="C207" s="863"/>
      <c r="D207" s="868"/>
      <c r="E207" s="869"/>
      <c r="F207" s="870"/>
      <c r="G207" s="871"/>
      <c r="H207" s="864"/>
      <c r="I207" s="865"/>
      <c r="J207" s="295"/>
      <c r="K207" s="296">
        <f t="shared" si="4"/>
        <v>0</v>
      </c>
      <c r="L207" s="381"/>
    </row>
    <row r="208" spans="1:12" s="270" customFormat="1">
      <c r="A208" s="867" t="s">
        <v>589</v>
      </c>
      <c r="B208" s="863"/>
      <c r="C208" s="863"/>
      <c r="D208" s="868"/>
      <c r="E208" s="869"/>
      <c r="F208" s="870"/>
      <c r="G208" s="871"/>
      <c r="H208" s="864"/>
      <c r="I208" s="865"/>
      <c r="J208" s="295"/>
      <c r="K208" s="296">
        <f t="shared" si="4"/>
        <v>0</v>
      </c>
      <c r="L208" s="381"/>
    </row>
    <row r="209" spans="1:12" s="270" customFormat="1">
      <c r="A209" s="867" t="s">
        <v>586</v>
      </c>
      <c r="B209" s="863"/>
      <c r="C209" s="863"/>
      <c r="D209" s="868"/>
      <c r="E209" s="869"/>
      <c r="F209" s="870"/>
      <c r="G209" s="871"/>
      <c r="H209" s="864"/>
      <c r="I209" s="865"/>
      <c r="J209" s="295"/>
      <c r="K209" s="296">
        <f t="shared" si="4"/>
        <v>0</v>
      </c>
      <c r="L209" s="381"/>
    </row>
    <row r="210" spans="1:12" s="270" customFormat="1">
      <c r="A210" s="867" t="s">
        <v>586</v>
      </c>
      <c r="B210" s="863"/>
      <c r="C210" s="863"/>
      <c r="D210" s="868"/>
      <c r="E210" s="869"/>
      <c r="F210" s="870"/>
      <c r="G210" s="871"/>
      <c r="H210" s="864"/>
      <c r="I210" s="865"/>
      <c r="J210" s="295"/>
      <c r="K210" s="296">
        <f t="shared" si="4"/>
        <v>0</v>
      </c>
      <c r="L210" s="381"/>
    </row>
    <row r="211" spans="1:12" s="270" customFormat="1">
      <c r="A211" s="867" t="s">
        <v>586</v>
      </c>
      <c r="B211" s="863"/>
      <c r="C211" s="863"/>
      <c r="D211" s="868"/>
      <c r="E211" s="869"/>
      <c r="F211" s="870"/>
      <c r="G211" s="871"/>
      <c r="H211" s="864"/>
      <c r="I211" s="865"/>
      <c r="J211" s="295"/>
      <c r="K211" s="296">
        <f t="shared" si="4"/>
        <v>0</v>
      </c>
      <c r="L211" s="381"/>
    </row>
    <row r="212" spans="1:12" s="270" customFormat="1">
      <c r="A212" s="867" t="s">
        <v>590</v>
      </c>
      <c r="B212" s="863"/>
      <c r="C212" s="863"/>
      <c r="D212" s="868"/>
      <c r="E212" s="869"/>
      <c r="F212" s="870"/>
      <c r="G212" s="871"/>
      <c r="H212" s="864"/>
      <c r="I212" s="865"/>
      <c r="J212" s="295"/>
      <c r="K212" s="296">
        <f t="shared" si="4"/>
        <v>0</v>
      </c>
      <c r="L212" s="381"/>
    </row>
    <row r="213" spans="1:12" s="270" customFormat="1">
      <c r="A213" s="867" t="s">
        <v>590</v>
      </c>
      <c r="B213" s="863"/>
      <c r="C213" s="863"/>
      <c r="D213" s="868"/>
      <c r="E213" s="869"/>
      <c r="F213" s="870"/>
      <c r="G213" s="871"/>
      <c r="H213" s="864"/>
      <c r="I213" s="865"/>
      <c r="J213" s="295"/>
      <c r="K213" s="296">
        <f t="shared" si="4"/>
        <v>0</v>
      </c>
      <c r="L213" s="381"/>
    </row>
    <row r="214" spans="1:12" s="270" customFormat="1">
      <c r="A214" s="867" t="s">
        <v>586</v>
      </c>
      <c r="B214" s="863"/>
      <c r="C214" s="863"/>
      <c r="D214" s="868"/>
      <c r="E214" s="869"/>
      <c r="F214" s="870"/>
      <c r="G214" s="871"/>
      <c r="H214" s="864"/>
      <c r="I214" s="865"/>
      <c r="J214" s="295"/>
      <c r="K214" s="296">
        <f t="shared" si="4"/>
        <v>0</v>
      </c>
      <c r="L214" s="381"/>
    </row>
    <row r="215" spans="1:12" s="270" customFormat="1">
      <c r="A215" s="867" t="s">
        <v>586</v>
      </c>
      <c r="B215" s="863"/>
      <c r="C215" s="863"/>
      <c r="D215" s="868"/>
      <c r="E215" s="869"/>
      <c r="F215" s="870"/>
      <c r="G215" s="871"/>
      <c r="H215" s="864"/>
      <c r="I215" s="865"/>
      <c r="J215" s="295"/>
      <c r="K215" s="296">
        <f t="shared" si="4"/>
        <v>0</v>
      </c>
      <c r="L215" s="381"/>
    </row>
    <row r="216" spans="1:12" s="270" customFormat="1">
      <c r="A216" s="867" t="s">
        <v>586</v>
      </c>
      <c r="B216" s="863"/>
      <c r="C216" s="863"/>
      <c r="D216" s="868"/>
      <c r="E216" s="869"/>
      <c r="F216" s="870"/>
      <c r="G216" s="871"/>
      <c r="H216" s="864"/>
      <c r="I216" s="865"/>
      <c r="J216" s="295"/>
      <c r="K216" s="296">
        <f t="shared" si="4"/>
        <v>0</v>
      </c>
      <c r="L216" s="381"/>
    </row>
    <row r="217" spans="1:12" s="270" customFormat="1">
      <c r="A217" s="867" t="s">
        <v>586</v>
      </c>
      <c r="B217" s="863"/>
      <c r="C217" s="863"/>
      <c r="D217" s="868"/>
      <c r="E217" s="869"/>
      <c r="F217" s="870"/>
      <c r="G217" s="871"/>
      <c r="H217" s="864"/>
      <c r="I217" s="865"/>
      <c r="J217" s="295"/>
      <c r="K217" s="296">
        <f t="shared" si="4"/>
        <v>0</v>
      </c>
      <c r="L217" s="381"/>
    </row>
    <row r="218" spans="1:12" s="270" customFormat="1">
      <c r="A218" s="867" t="s">
        <v>586</v>
      </c>
      <c r="B218" s="863"/>
      <c r="C218" s="863"/>
      <c r="D218" s="868"/>
      <c r="E218" s="869"/>
      <c r="F218" s="870"/>
      <c r="G218" s="871"/>
      <c r="H218" s="864"/>
      <c r="I218" s="865"/>
      <c r="J218" s="295"/>
      <c r="K218" s="296">
        <f t="shared" si="4"/>
        <v>0</v>
      </c>
      <c r="L218" s="381"/>
    </row>
    <row r="219" spans="1:12" s="270" customFormat="1">
      <c r="A219" s="867" t="s">
        <v>586</v>
      </c>
      <c r="B219" s="863"/>
      <c r="C219" s="863"/>
      <c r="D219" s="868"/>
      <c r="E219" s="869"/>
      <c r="F219" s="870"/>
      <c r="G219" s="871"/>
      <c r="H219" s="864"/>
      <c r="I219" s="865"/>
      <c r="J219" s="295"/>
      <c r="K219" s="296">
        <f t="shared" si="4"/>
        <v>0</v>
      </c>
      <c r="L219" s="381"/>
    </row>
    <row r="220" spans="1:12" s="270" customFormat="1">
      <c r="A220" s="867" t="s">
        <v>586</v>
      </c>
      <c r="B220" s="863"/>
      <c r="C220" s="863"/>
      <c r="D220" s="868"/>
      <c r="E220" s="869"/>
      <c r="F220" s="870"/>
      <c r="G220" s="871"/>
      <c r="H220" s="864"/>
      <c r="I220" s="865"/>
      <c r="J220" s="295"/>
      <c r="K220" s="296">
        <f t="shared" si="4"/>
        <v>0</v>
      </c>
      <c r="L220" s="381"/>
    </row>
    <row r="221" spans="1:12" s="270" customFormat="1">
      <c r="A221" s="867" t="s">
        <v>588</v>
      </c>
      <c r="B221" s="863"/>
      <c r="C221" s="863"/>
      <c r="D221" s="868"/>
      <c r="E221" s="869"/>
      <c r="F221" s="870"/>
      <c r="G221" s="871"/>
      <c r="H221" s="864"/>
      <c r="I221" s="865"/>
      <c r="J221" s="295"/>
      <c r="K221" s="296">
        <f t="shared" si="4"/>
        <v>0</v>
      </c>
      <c r="L221" s="381"/>
    </row>
    <row r="222" spans="1:12" s="270" customFormat="1">
      <c r="A222" s="867" t="s">
        <v>588</v>
      </c>
      <c r="B222" s="863"/>
      <c r="C222" s="863"/>
      <c r="D222" s="868"/>
      <c r="E222" s="869"/>
      <c r="F222" s="870"/>
      <c r="G222" s="871"/>
      <c r="H222" s="864"/>
      <c r="I222" s="865"/>
      <c r="J222" s="295"/>
      <c r="K222" s="296">
        <f t="shared" si="4"/>
        <v>0</v>
      </c>
      <c r="L222" s="381"/>
    </row>
    <row r="223" spans="1:12" s="270" customFormat="1">
      <c r="A223" s="867" t="s">
        <v>588</v>
      </c>
      <c r="B223" s="863"/>
      <c r="C223" s="863"/>
      <c r="D223" s="868"/>
      <c r="E223" s="869"/>
      <c r="F223" s="870"/>
      <c r="G223" s="871"/>
      <c r="H223" s="864"/>
      <c r="I223" s="865"/>
      <c r="J223" s="295"/>
      <c r="K223" s="296">
        <f t="shared" si="4"/>
        <v>0</v>
      </c>
      <c r="L223" s="381"/>
    </row>
    <row r="224" spans="1:12" s="270" customFormat="1">
      <c r="A224" s="867" t="s">
        <v>588</v>
      </c>
      <c r="B224" s="863"/>
      <c r="C224" s="863"/>
      <c r="D224" s="868"/>
      <c r="E224" s="869"/>
      <c r="F224" s="870"/>
      <c r="G224" s="871"/>
      <c r="H224" s="864"/>
      <c r="I224" s="865"/>
      <c r="J224" s="295"/>
      <c r="K224" s="296">
        <f t="shared" si="4"/>
        <v>0</v>
      </c>
      <c r="L224" s="381"/>
    </row>
    <row r="225" spans="1:12" s="270" customFormat="1">
      <c r="A225" s="867" t="s">
        <v>589</v>
      </c>
      <c r="B225" s="863"/>
      <c r="C225" s="863"/>
      <c r="D225" s="868"/>
      <c r="E225" s="869"/>
      <c r="F225" s="870"/>
      <c r="G225" s="871"/>
      <c r="H225" s="864"/>
      <c r="I225" s="865"/>
      <c r="J225" s="295"/>
      <c r="K225" s="296">
        <f t="shared" ref="K225:K288" si="5">IF(LEFT(A225,2)="TU",(J225-I225)*E225/100*100000*2,(J225-I225)*E225/100*100000)</f>
        <v>0</v>
      </c>
      <c r="L225" s="381"/>
    </row>
    <row r="226" spans="1:12" s="270" customFormat="1">
      <c r="A226" s="867" t="s">
        <v>586</v>
      </c>
      <c r="B226" s="863"/>
      <c r="C226" s="863"/>
      <c r="D226" s="868"/>
      <c r="E226" s="869"/>
      <c r="F226" s="870"/>
      <c r="G226" s="871"/>
      <c r="H226" s="864"/>
      <c r="I226" s="865"/>
      <c r="J226" s="295"/>
      <c r="K226" s="296">
        <f t="shared" si="5"/>
        <v>0</v>
      </c>
      <c r="L226" s="381"/>
    </row>
    <row r="227" spans="1:12" s="270" customFormat="1">
      <c r="A227" s="867" t="s">
        <v>586</v>
      </c>
      <c r="B227" s="863"/>
      <c r="C227" s="863"/>
      <c r="D227" s="868"/>
      <c r="E227" s="869"/>
      <c r="F227" s="870"/>
      <c r="G227" s="871"/>
      <c r="H227" s="864"/>
      <c r="I227" s="865"/>
      <c r="J227" s="295"/>
      <c r="K227" s="296">
        <f t="shared" si="5"/>
        <v>0</v>
      </c>
      <c r="L227" s="381"/>
    </row>
    <row r="228" spans="1:12" s="270" customFormat="1">
      <c r="A228" s="867" t="s">
        <v>586</v>
      </c>
      <c r="B228" s="863"/>
      <c r="C228" s="863"/>
      <c r="D228" s="868"/>
      <c r="E228" s="869"/>
      <c r="F228" s="870"/>
      <c r="G228" s="871"/>
      <c r="H228" s="864"/>
      <c r="I228" s="865"/>
      <c r="J228" s="295"/>
      <c r="K228" s="296">
        <f t="shared" si="5"/>
        <v>0</v>
      </c>
      <c r="L228" s="381"/>
    </row>
    <row r="229" spans="1:12" s="270" customFormat="1">
      <c r="A229" s="867" t="s">
        <v>586</v>
      </c>
      <c r="B229" s="863"/>
      <c r="C229" s="863"/>
      <c r="D229" s="868"/>
      <c r="E229" s="869"/>
      <c r="F229" s="870"/>
      <c r="G229" s="871"/>
      <c r="H229" s="864"/>
      <c r="I229" s="865"/>
      <c r="J229" s="295"/>
      <c r="K229" s="296">
        <f t="shared" si="5"/>
        <v>0</v>
      </c>
      <c r="L229" s="381"/>
    </row>
    <row r="230" spans="1:12" s="270" customFormat="1">
      <c r="A230" s="867" t="s">
        <v>586</v>
      </c>
      <c r="B230" s="863"/>
      <c r="C230" s="863"/>
      <c r="D230" s="868"/>
      <c r="E230" s="869"/>
      <c r="F230" s="870"/>
      <c r="G230" s="871"/>
      <c r="H230" s="864"/>
      <c r="I230" s="865"/>
      <c r="J230" s="295"/>
      <c r="K230" s="296">
        <f t="shared" si="5"/>
        <v>0</v>
      </c>
      <c r="L230" s="381"/>
    </row>
    <row r="231" spans="1:12" s="270" customFormat="1">
      <c r="A231" s="867" t="s">
        <v>586</v>
      </c>
      <c r="B231" s="863"/>
      <c r="C231" s="863"/>
      <c r="D231" s="868"/>
      <c r="E231" s="869"/>
      <c r="F231" s="870"/>
      <c r="G231" s="871"/>
      <c r="H231" s="864"/>
      <c r="I231" s="865"/>
      <c r="J231" s="295"/>
      <c r="K231" s="296">
        <f t="shared" si="5"/>
        <v>0</v>
      </c>
      <c r="L231" s="381"/>
    </row>
    <row r="232" spans="1:12" s="270" customFormat="1">
      <c r="A232" s="867" t="s">
        <v>590</v>
      </c>
      <c r="B232" s="863"/>
      <c r="C232" s="863"/>
      <c r="D232" s="868"/>
      <c r="E232" s="869"/>
      <c r="F232" s="870"/>
      <c r="G232" s="871"/>
      <c r="H232" s="864"/>
      <c r="I232" s="865"/>
      <c r="J232" s="295"/>
      <c r="K232" s="296">
        <f t="shared" si="5"/>
        <v>0</v>
      </c>
      <c r="L232" s="381"/>
    </row>
    <row r="233" spans="1:12" s="270" customFormat="1">
      <c r="A233" s="867" t="s">
        <v>590</v>
      </c>
      <c r="B233" s="863"/>
      <c r="C233" s="863"/>
      <c r="D233" s="868"/>
      <c r="E233" s="869"/>
      <c r="F233" s="870"/>
      <c r="G233" s="871"/>
      <c r="H233" s="864"/>
      <c r="I233" s="865"/>
      <c r="J233" s="295"/>
      <c r="K233" s="296">
        <f t="shared" si="5"/>
        <v>0</v>
      </c>
      <c r="L233" s="381"/>
    </row>
    <row r="234" spans="1:12" s="270" customFormat="1">
      <c r="A234" s="867" t="s">
        <v>590</v>
      </c>
      <c r="B234" s="863"/>
      <c r="C234" s="863"/>
      <c r="D234" s="868"/>
      <c r="E234" s="869"/>
      <c r="F234" s="870"/>
      <c r="G234" s="871"/>
      <c r="H234" s="864"/>
      <c r="I234" s="865"/>
      <c r="J234" s="295"/>
      <c r="K234" s="296">
        <f t="shared" si="5"/>
        <v>0</v>
      </c>
      <c r="L234" s="381"/>
    </row>
    <row r="235" spans="1:12" s="270" customFormat="1">
      <c r="A235" s="867" t="s">
        <v>590</v>
      </c>
      <c r="B235" s="863"/>
      <c r="C235" s="863"/>
      <c r="D235" s="868"/>
      <c r="E235" s="869"/>
      <c r="F235" s="870"/>
      <c r="G235" s="871"/>
      <c r="H235" s="864"/>
      <c r="I235" s="865"/>
      <c r="J235" s="295"/>
      <c r="K235" s="296">
        <f t="shared" si="5"/>
        <v>0</v>
      </c>
      <c r="L235" s="381"/>
    </row>
    <row r="236" spans="1:12" s="270" customFormat="1">
      <c r="A236" s="867" t="s">
        <v>590</v>
      </c>
      <c r="B236" s="863"/>
      <c r="C236" s="863"/>
      <c r="D236" s="868"/>
      <c r="E236" s="869"/>
      <c r="F236" s="870"/>
      <c r="G236" s="871"/>
      <c r="H236" s="864"/>
      <c r="I236" s="865"/>
      <c r="J236" s="295"/>
      <c r="K236" s="296">
        <f t="shared" si="5"/>
        <v>0</v>
      </c>
      <c r="L236" s="381"/>
    </row>
    <row r="237" spans="1:12" s="270" customFormat="1">
      <c r="A237" s="867" t="s">
        <v>590</v>
      </c>
      <c r="B237" s="863"/>
      <c r="C237" s="863"/>
      <c r="D237" s="868"/>
      <c r="E237" s="869"/>
      <c r="F237" s="870"/>
      <c r="G237" s="871"/>
      <c r="H237" s="864"/>
      <c r="I237" s="865"/>
      <c r="J237" s="295"/>
      <c r="K237" s="296">
        <f t="shared" si="5"/>
        <v>0</v>
      </c>
      <c r="L237" s="381"/>
    </row>
    <row r="238" spans="1:12" s="270" customFormat="1">
      <c r="A238" s="867" t="s">
        <v>590</v>
      </c>
      <c r="B238" s="863"/>
      <c r="C238" s="863"/>
      <c r="D238" s="868"/>
      <c r="E238" s="869"/>
      <c r="F238" s="870"/>
      <c r="G238" s="871"/>
      <c r="H238" s="864"/>
      <c r="I238" s="865"/>
      <c r="J238" s="295"/>
      <c r="K238" s="296">
        <f t="shared" si="5"/>
        <v>0</v>
      </c>
      <c r="L238" s="381"/>
    </row>
    <row r="239" spans="1:12" s="270" customFormat="1">
      <c r="A239" s="867" t="s">
        <v>590</v>
      </c>
      <c r="B239" s="863"/>
      <c r="C239" s="863"/>
      <c r="D239" s="868"/>
      <c r="E239" s="869"/>
      <c r="F239" s="870"/>
      <c r="G239" s="871"/>
      <c r="H239" s="864"/>
      <c r="I239" s="865"/>
      <c r="J239" s="295"/>
      <c r="K239" s="296">
        <f t="shared" si="5"/>
        <v>0</v>
      </c>
      <c r="L239" s="381"/>
    </row>
    <row r="240" spans="1:12" s="270" customFormat="1">
      <c r="A240" s="867" t="s">
        <v>588</v>
      </c>
      <c r="B240" s="863"/>
      <c r="C240" s="863"/>
      <c r="D240" s="868"/>
      <c r="E240" s="869"/>
      <c r="F240" s="870"/>
      <c r="G240" s="871"/>
      <c r="H240" s="864"/>
      <c r="I240" s="865"/>
      <c r="J240" s="295"/>
      <c r="K240" s="296">
        <f t="shared" si="5"/>
        <v>0</v>
      </c>
      <c r="L240" s="381"/>
    </row>
    <row r="241" spans="1:12" s="270" customFormat="1">
      <c r="A241" s="867" t="s">
        <v>590</v>
      </c>
      <c r="B241" s="863"/>
      <c r="C241" s="863"/>
      <c r="D241" s="868"/>
      <c r="E241" s="869"/>
      <c r="F241" s="870"/>
      <c r="G241" s="871"/>
      <c r="H241" s="864"/>
      <c r="I241" s="865"/>
      <c r="J241" s="295"/>
      <c r="K241" s="296">
        <f t="shared" si="5"/>
        <v>0</v>
      </c>
      <c r="L241" s="381"/>
    </row>
    <row r="242" spans="1:12" s="270" customFormat="1">
      <c r="A242" s="867" t="s">
        <v>589</v>
      </c>
      <c r="B242" s="863"/>
      <c r="C242" s="863"/>
      <c r="D242" s="868"/>
      <c r="E242" s="869"/>
      <c r="F242" s="870"/>
      <c r="G242" s="871"/>
      <c r="H242" s="864"/>
      <c r="I242" s="865"/>
      <c r="J242" s="295"/>
      <c r="K242" s="296">
        <f t="shared" si="5"/>
        <v>0</v>
      </c>
      <c r="L242" s="381"/>
    </row>
    <row r="243" spans="1:12" s="270" customFormat="1">
      <c r="A243" s="867" t="s">
        <v>589</v>
      </c>
      <c r="B243" s="863"/>
      <c r="C243" s="863"/>
      <c r="D243" s="868"/>
      <c r="E243" s="869"/>
      <c r="F243" s="870"/>
      <c r="G243" s="871"/>
      <c r="H243" s="864"/>
      <c r="I243" s="865"/>
      <c r="J243" s="295"/>
      <c r="K243" s="296">
        <f t="shared" si="5"/>
        <v>0</v>
      </c>
      <c r="L243" s="381"/>
    </row>
    <row r="244" spans="1:12" s="270" customFormat="1">
      <c r="A244" s="867" t="s">
        <v>589</v>
      </c>
      <c r="B244" s="863"/>
      <c r="C244" s="863"/>
      <c r="D244" s="868"/>
      <c r="E244" s="869"/>
      <c r="F244" s="870"/>
      <c r="G244" s="871"/>
      <c r="H244" s="864"/>
      <c r="I244" s="865"/>
      <c r="J244" s="295"/>
      <c r="K244" s="296">
        <f t="shared" si="5"/>
        <v>0</v>
      </c>
      <c r="L244" s="381"/>
    </row>
    <row r="245" spans="1:12" s="270" customFormat="1">
      <c r="A245" s="867" t="s">
        <v>590</v>
      </c>
      <c r="B245" s="863"/>
      <c r="C245" s="863"/>
      <c r="D245" s="868"/>
      <c r="E245" s="869"/>
      <c r="F245" s="870"/>
      <c r="G245" s="871"/>
      <c r="H245" s="864"/>
      <c r="I245" s="865"/>
      <c r="J245" s="295"/>
      <c r="K245" s="296">
        <f t="shared" si="5"/>
        <v>0</v>
      </c>
      <c r="L245" s="381"/>
    </row>
    <row r="246" spans="1:12" s="270" customFormat="1">
      <c r="A246" s="867" t="s">
        <v>590</v>
      </c>
      <c r="B246" s="863"/>
      <c r="C246" s="863"/>
      <c r="D246" s="868"/>
      <c r="E246" s="869"/>
      <c r="F246" s="870"/>
      <c r="G246" s="871"/>
      <c r="H246" s="864"/>
      <c r="I246" s="865"/>
      <c r="J246" s="295"/>
      <c r="K246" s="296">
        <f t="shared" si="5"/>
        <v>0</v>
      </c>
      <c r="L246" s="381"/>
    </row>
    <row r="247" spans="1:12" s="270" customFormat="1">
      <c r="A247" s="867" t="s">
        <v>589</v>
      </c>
      <c r="B247" s="863"/>
      <c r="C247" s="863"/>
      <c r="D247" s="868"/>
      <c r="E247" s="869"/>
      <c r="F247" s="870"/>
      <c r="G247" s="871"/>
      <c r="H247" s="864"/>
      <c r="I247" s="865"/>
      <c r="J247" s="295"/>
      <c r="K247" s="296">
        <f t="shared" si="5"/>
        <v>0</v>
      </c>
      <c r="L247" s="381"/>
    </row>
    <row r="248" spans="1:12" s="270" customFormat="1">
      <c r="A248" s="867" t="s">
        <v>590</v>
      </c>
      <c r="B248" s="863"/>
      <c r="C248" s="863"/>
      <c r="D248" s="868"/>
      <c r="E248" s="869"/>
      <c r="F248" s="870"/>
      <c r="G248" s="871"/>
      <c r="H248" s="864"/>
      <c r="I248" s="865"/>
      <c r="J248" s="295"/>
      <c r="K248" s="296">
        <f t="shared" si="5"/>
        <v>0</v>
      </c>
      <c r="L248" s="381"/>
    </row>
    <row r="249" spans="1:12" s="270" customFormat="1">
      <c r="A249" s="867" t="s">
        <v>590</v>
      </c>
      <c r="B249" s="863"/>
      <c r="C249" s="863"/>
      <c r="D249" s="868"/>
      <c r="E249" s="869"/>
      <c r="F249" s="870"/>
      <c r="G249" s="871"/>
      <c r="H249" s="864"/>
      <c r="I249" s="865"/>
      <c r="J249" s="295"/>
      <c r="K249" s="296">
        <f t="shared" si="5"/>
        <v>0</v>
      </c>
      <c r="L249" s="381"/>
    </row>
    <row r="250" spans="1:12" s="270" customFormat="1">
      <c r="A250" s="867" t="s">
        <v>590</v>
      </c>
      <c r="B250" s="863"/>
      <c r="C250" s="863"/>
      <c r="D250" s="868"/>
      <c r="E250" s="869"/>
      <c r="F250" s="870"/>
      <c r="G250" s="871"/>
      <c r="H250" s="864"/>
      <c r="I250" s="865"/>
      <c r="J250" s="295"/>
      <c r="K250" s="296">
        <f t="shared" si="5"/>
        <v>0</v>
      </c>
      <c r="L250" s="381"/>
    </row>
    <row r="251" spans="1:12" s="270" customFormat="1">
      <c r="A251" s="867" t="s">
        <v>590</v>
      </c>
      <c r="B251" s="863"/>
      <c r="C251" s="863"/>
      <c r="D251" s="868"/>
      <c r="E251" s="869"/>
      <c r="F251" s="870"/>
      <c r="G251" s="871"/>
      <c r="H251" s="864"/>
      <c r="I251" s="865"/>
      <c r="J251" s="295"/>
      <c r="K251" s="296">
        <f t="shared" si="5"/>
        <v>0</v>
      </c>
      <c r="L251" s="381"/>
    </row>
    <row r="252" spans="1:12" s="270" customFormat="1">
      <c r="A252" s="867" t="s">
        <v>590</v>
      </c>
      <c r="B252" s="863"/>
      <c r="C252" s="863"/>
      <c r="D252" s="868"/>
      <c r="E252" s="869"/>
      <c r="F252" s="870"/>
      <c r="G252" s="871"/>
      <c r="H252" s="864"/>
      <c r="I252" s="865"/>
      <c r="J252" s="295"/>
      <c r="K252" s="296">
        <f t="shared" si="5"/>
        <v>0</v>
      </c>
      <c r="L252" s="381"/>
    </row>
    <row r="253" spans="1:12" s="270" customFormat="1">
      <c r="A253" s="867" t="s">
        <v>590</v>
      </c>
      <c r="B253" s="863"/>
      <c r="C253" s="863"/>
      <c r="D253" s="868"/>
      <c r="E253" s="869"/>
      <c r="F253" s="870"/>
      <c r="G253" s="871"/>
      <c r="H253" s="864"/>
      <c r="I253" s="865"/>
      <c r="J253" s="295"/>
      <c r="K253" s="296">
        <f t="shared" si="5"/>
        <v>0</v>
      </c>
      <c r="L253" s="381"/>
    </row>
    <row r="254" spans="1:12" s="270" customFormat="1">
      <c r="A254" s="867" t="s">
        <v>590</v>
      </c>
      <c r="B254" s="863"/>
      <c r="C254" s="863"/>
      <c r="D254" s="868"/>
      <c r="E254" s="869"/>
      <c r="F254" s="870"/>
      <c r="G254" s="871"/>
      <c r="H254" s="864"/>
      <c r="I254" s="865"/>
      <c r="J254" s="295"/>
      <c r="K254" s="296">
        <f t="shared" si="5"/>
        <v>0</v>
      </c>
      <c r="L254" s="381"/>
    </row>
    <row r="255" spans="1:12" s="270" customFormat="1">
      <c r="A255" s="867" t="s">
        <v>590</v>
      </c>
      <c r="B255" s="863"/>
      <c r="C255" s="863"/>
      <c r="D255" s="868"/>
      <c r="E255" s="869"/>
      <c r="F255" s="870"/>
      <c r="G255" s="871"/>
      <c r="H255" s="864"/>
      <c r="I255" s="865"/>
      <c r="J255" s="295"/>
      <c r="K255" s="296">
        <f t="shared" si="5"/>
        <v>0</v>
      </c>
      <c r="L255" s="381"/>
    </row>
    <row r="256" spans="1:12" s="270" customFormat="1">
      <c r="A256" s="867" t="s">
        <v>590</v>
      </c>
      <c r="B256" s="863"/>
      <c r="C256" s="863"/>
      <c r="D256" s="868"/>
      <c r="E256" s="869"/>
      <c r="F256" s="870"/>
      <c r="G256" s="871"/>
      <c r="H256" s="864"/>
      <c r="I256" s="865"/>
      <c r="J256" s="295"/>
      <c r="K256" s="296">
        <f t="shared" si="5"/>
        <v>0</v>
      </c>
      <c r="L256" s="381"/>
    </row>
    <row r="257" spans="1:12" s="270" customFormat="1">
      <c r="A257" s="867" t="s">
        <v>590</v>
      </c>
      <c r="B257" s="863"/>
      <c r="C257" s="863"/>
      <c r="D257" s="868"/>
      <c r="E257" s="869"/>
      <c r="F257" s="870"/>
      <c r="G257" s="871"/>
      <c r="H257" s="864"/>
      <c r="I257" s="865"/>
      <c r="J257" s="295"/>
      <c r="K257" s="296">
        <f t="shared" si="5"/>
        <v>0</v>
      </c>
      <c r="L257" s="381"/>
    </row>
    <row r="258" spans="1:12" s="270" customFormat="1">
      <c r="A258" s="867" t="s">
        <v>590</v>
      </c>
      <c r="B258" s="863"/>
      <c r="C258" s="863"/>
      <c r="D258" s="868"/>
      <c r="E258" s="869"/>
      <c r="F258" s="870"/>
      <c r="G258" s="871"/>
      <c r="H258" s="864"/>
      <c r="I258" s="865"/>
      <c r="J258" s="295"/>
      <c r="K258" s="296">
        <f t="shared" si="5"/>
        <v>0</v>
      </c>
      <c r="L258" s="381"/>
    </row>
    <row r="259" spans="1:12" s="270" customFormat="1">
      <c r="A259" s="867" t="s">
        <v>590</v>
      </c>
      <c r="B259" s="863"/>
      <c r="C259" s="863"/>
      <c r="D259" s="868"/>
      <c r="E259" s="869"/>
      <c r="F259" s="870"/>
      <c r="G259" s="871"/>
      <c r="H259" s="864"/>
      <c r="I259" s="865"/>
      <c r="J259" s="295"/>
      <c r="K259" s="296">
        <f t="shared" si="5"/>
        <v>0</v>
      </c>
      <c r="L259" s="381"/>
    </row>
    <row r="260" spans="1:12" s="270" customFormat="1">
      <c r="A260" s="867" t="s">
        <v>590</v>
      </c>
      <c r="B260" s="863"/>
      <c r="C260" s="863"/>
      <c r="D260" s="868"/>
      <c r="E260" s="869"/>
      <c r="F260" s="870"/>
      <c r="G260" s="871"/>
      <c r="H260" s="864"/>
      <c r="I260" s="865"/>
      <c r="J260" s="295"/>
      <c r="K260" s="296">
        <f t="shared" si="5"/>
        <v>0</v>
      </c>
      <c r="L260" s="381"/>
    </row>
    <row r="261" spans="1:12" s="270" customFormat="1">
      <c r="A261" s="867" t="s">
        <v>590</v>
      </c>
      <c r="B261" s="863"/>
      <c r="C261" s="863"/>
      <c r="D261" s="868"/>
      <c r="E261" s="869"/>
      <c r="F261" s="870"/>
      <c r="G261" s="871"/>
      <c r="H261" s="864"/>
      <c r="I261" s="865"/>
      <c r="J261" s="295"/>
      <c r="K261" s="296">
        <f t="shared" si="5"/>
        <v>0</v>
      </c>
      <c r="L261" s="381"/>
    </row>
    <row r="262" spans="1:12" s="270" customFormat="1">
      <c r="A262" s="867" t="s">
        <v>590</v>
      </c>
      <c r="B262" s="863"/>
      <c r="C262" s="863"/>
      <c r="D262" s="868"/>
      <c r="E262" s="869"/>
      <c r="F262" s="870"/>
      <c r="G262" s="871"/>
      <c r="H262" s="864"/>
      <c r="I262" s="865"/>
      <c r="J262" s="295"/>
      <c r="K262" s="296">
        <f t="shared" si="5"/>
        <v>0</v>
      </c>
      <c r="L262" s="381"/>
    </row>
    <row r="263" spans="1:12" s="270" customFormat="1">
      <c r="A263" s="867" t="s">
        <v>590</v>
      </c>
      <c r="B263" s="863"/>
      <c r="C263" s="863"/>
      <c r="D263" s="868"/>
      <c r="E263" s="869"/>
      <c r="F263" s="870"/>
      <c r="G263" s="871"/>
      <c r="H263" s="864"/>
      <c r="I263" s="865"/>
      <c r="J263" s="295"/>
      <c r="K263" s="296">
        <f t="shared" si="5"/>
        <v>0</v>
      </c>
      <c r="L263" s="381"/>
    </row>
    <row r="264" spans="1:12" s="270" customFormat="1">
      <c r="A264" s="867" t="s">
        <v>590</v>
      </c>
      <c r="B264" s="863"/>
      <c r="C264" s="863"/>
      <c r="D264" s="868"/>
      <c r="E264" s="869"/>
      <c r="F264" s="870"/>
      <c r="G264" s="871"/>
      <c r="H264" s="864"/>
      <c r="I264" s="865"/>
      <c r="J264" s="295"/>
      <c r="K264" s="296">
        <f t="shared" si="5"/>
        <v>0</v>
      </c>
      <c r="L264" s="381"/>
    </row>
    <row r="265" spans="1:12" s="270" customFormat="1">
      <c r="A265" s="867" t="s">
        <v>590</v>
      </c>
      <c r="B265" s="863"/>
      <c r="C265" s="863"/>
      <c r="D265" s="868"/>
      <c r="E265" s="869"/>
      <c r="F265" s="870"/>
      <c r="G265" s="871"/>
      <c r="H265" s="864"/>
      <c r="I265" s="865"/>
      <c r="J265" s="295"/>
      <c r="K265" s="296">
        <f t="shared" si="5"/>
        <v>0</v>
      </c>
      <c r="L265" s="381"/>
    </row>
    <row r="266" spans="1:12" s="270" customFormat="1">
      <c r="A266" s="867" t="s">
        <v>590</v>
      </c>
      <c r="B266" s="863"/>
      <c r="C266" s="863"/>
      <c r="D266" s="868"/>
      <c r="E266" s="869"/>
      <c r="F266" s="870"/>
      <c r="G266" s="871"/>
      <c r="H266" s="864"/>
      <c r="I266" s="865"/>
      <c r="J266" s="295"/>
      <c r="K266" s="296">
        <f t="shared" si="5"/>
        <v>0</v>
      </c>
      <c r="L266" s="381"/>
    </row>
    <row r="267" spans="1:12" s="270" customFormat="1">
      <c r="A267" s="867" t="s">
        <v>590</v>
      </c>
      <c r="B267" s="863"/>
      <c r="C267" s="863"/>
      <c r="D267" s="868"/>
      <c r="E267" s="869"/>
      <c r="F267" s="870"/>
      <c r="G267" s="871"/>
      <c r="H267" s="864"/>
      <c r="I267" s="865"/>
      <c r="J267" s="295"/>
      <c r="K267" s="296">
        <f t="shared" si="5"/>
        <v>0</v>
      </c>
      <c r="L267" s="381"/>
    </row>
    <row r="268" spans="1:12" s="270" customFormat="1">
      <c r="A268" s="867" t="s">
        <v>590</v>
      </c>
      <c r="B268" s="863"/>
      <c r="C268" s="863"/>
      <c r="D268" s="868"/>
      <c r="E268" s="869"/>
      <c r="F268" s="870"/>
      <c r="G268" s="871"/>
      <c r="H268" s="864"/>
      <c r="I268" s="865"/>
      <c r="J268" s="295"/>
      <c r="K268" s="296">
        <f t="shared" si="5"/>
        <v>0</v>
      </c>
      <c r="L268" s="381"/>
    </row>
    <row r="269" spans="1:12" s="270" customFormat="1">
      <c r="A269" s="867" t="s">
        <v>590</v>
      </c>
      <c r="B269" s="863"/>
      <c r="C269" s="863"/>
      <c r="D269" s="868"/>
      <c r="E269" s="869"/>
      <c r="F269" s="870"/>
      <c r="G269" s="871"/>
      <c r="H269" s="864"/>
      <c r="I269" s="865"/>
      <c r="J269" s="295"/>
      <c r="K269" s="296">
        <f t="shared" si="5"/>
        <v>0</v>
      </c>
      <c r="L269" s="381"/>
    </row>
    <row r="270" spans="1:12" s="270" customFormat="1">
      <c r="A270" s="867" t="s">
        <v>590</v>
      </c>
      <c r="B270" s="863"/>
      <c r="C270" s="863"/>
      <c r="D270" s="868"/>
      <c r="E270" s="869"/>
      <c r="F270" s="870"/>
      <c r="G270" s="871"/>
      <c r="H270" s="864"/>
      <c r="I270" s="865"/>
      <c r="J270" s="295"/>
      <c r="K270" s="296">
        <f t="shared" si="5"/>
        <v>0</v>
      </c>
      <c r="L270" s="381" t="s">
        <v>347</v>
      </c>
    </row>
    <row r="271" spans="1:12" s="270" customFormat="1">
      <c r="A271" s="867" t="s">
        <v>590</v>
      </c>
      <c r="B271" s="863"/>
      <c r="C271" s="863"/>
      <c r="D271" s="868"/>
      <c r="E271" s="869"/>
      <c r="F271" s="870"/>
      <c r="G271" s="871"/>
      <c r="H271" s="864"/>
      <c r="I271" s="865"/>
      <c r="J271" s="295"/>
      <c r="K271" s="296">
        <f t="shared" si="5"/>
        <v>0</v>
      </c>
      <c r="L271" s="381"/>
    </row>
    <row r="272" spans="1:12" s="270" customFormat="1">
      <c r="A272" s="867" t="s">
        <v>590</v>
      </c>
      <c r="B272" s="863"/>
      <c r="C272" s="863"/>
      <c r="D272" s="868"/>
      <c r="E272" s="869"/>
      <c r="F272" s="870"/>
      <c r="G272" s="871"/>
      <c r="H272" s="864"/>
      <c r="I272" s="865"/>
      <c r="J272" s="295"/>
      <c r="K272" s="296">
        <f t="shared" si="5"/>
        <v>0</v>
      </c>
      <c r="L272" s="381"/>
    </row>
    <row r="273" spans="1:12" s="270" customFormat="1">
      <c r="A273" s="867" t="s">
        <v>590</v>
      </c>
      <c r="B273" s="863"/>
      <c r="C273" s="863"/>
      <c r="D273" s="868"/>
      <c r="E273" s="869"/>
      <c r="F273" s="870"/>
      <c r="G273" s="871"/>
      <c r="H273" s="864"/>
      <c r="I273" s="865"/>
      <c r="J273" s="295"/>
      <c r="K273" s="296">
        <f t="shared" si="5"/>
        <v>0</v>
      </c>
      <c r="L273" s="381"/>
    </row>
    <row r="274" spans="1:12" s="93" customFormat="1">
      <c r="A274" s="867" t="s">
        <v>590</v>
      </c>
      <c r="B274" s="863"/>
      <c r="C274" s="863"/>
      <c r="D274" s="868"/>
      <c r="E274" s="869"/>
      <c r="F274" s="870"/>
      <c r="G274" s="871"/>
      <c r="H274" s="864"/>
      <c r="I274" s="865"/>
      <c r="J274" s="295"/>
      <c r="K274" s="296">
        <f t="shared" si="5"/>
        <v>0</v>
      </c>
      <c r="L274" s="377"/>
    </row>
    <row r="275" spans="1:12" s="270" customFormat="1">
      <c r="A275" s="867" t="s">
        <v>590</v>
      </c>
      <c r="B275" s="863"/>
      <c r="C275" s="863"/>
      <c r="D275" s="868"/>
      <c r="E275" s="869"/>
      <c r="F275" s="870"/>
      <c r="G275" s="871"/>
      <c r="H275" s="864"/>
      <c r="I275" s="865"/>
      <c r="J275" s="295"/>
      <c r="K275" s="296">
        <f t="shared" si="5"/>
        <v>0</v>
      </c>
      <c r="L275" s="381"/>
    </row>
    <row r="276" spans="1:12" s="270" customFormat="1">
      <c r="A276" s="867" t="s">
        <v>590</v>
      </c>
      <c r="B276" s="863"/>
      <c r="C276" s="863"/>
      <c r="D276" s="868"/>
      <c r="E276" s="869"/>
      <c r="F276" s="870"/>
      <c r="G276" s="871"/>
      <c r="H276" s="864"/>
      <c r="I276" s="865"/>
      <c r="J276" s="295"/>
      <c r="K276" s="296">
        <f t="shared" si="5"/>
        <v>0</v>
      </c>
      <c r="L276" s="381"/>
    </row>
    <row r="277" spans="1:12" s="270" customFormat="1">
      <c r="A277" s="867" t="s">
        <v>586</v>
      </c>
      <c r="B277" s="863"/>
      <c r="C277" s="863"/>
      <c r="D277" s="868"/>
      <c r="E277" s="869"/>
      <c r="F277" s="870"/>
      <c r="G277" s="871"/>
      <c r="H277" s="864"/>
      <c r="I277" s="865"/>
      <c r="J277" s="295"/>
      <c r="K277" s="296">
        <f t="shared" si="5"/>
        <v>0</v>
      </c>
      <c r="L277" s="381"/>
    </row>
    <row r="278" spans="1:12" s="270" customFormat="1">
      <c r="A278" s="867" t="s">
        <v>586</v>
      </c>
      <c r="B278" s="863"/>
      <c r="C278" s="863"/>
      <c r="D278" s="868"/>
      <c r="E278" s="869"/>
      <c r="F278" s="870"/>
      <c r="G278" s="871"/>
      <c r="H278" s="864"/>
      <c r="I278" s="865"/>
      <c r="J278" s="295"/>
      <c r="K278" s="296">
        <f t="shared" si="5"/>
        <v>0</v>
      </c>
      <c r="L278" s="381"/>
    </row>
    <row r="279" spans="1:12" s="270" customFormat="1">
      <c r="A279" s="867" t="s">
        <v>586</v>
      </c>
      <c r="B279" s="863"/>
      <c r="C279" s="863"/>
      <c r="D279" s="868"/>
      <c r="E279" s="869"/>
      <c r="F279" s="870"/>
      <c r="G279" s="871"/>
      <c r="H279" s="864"/>
      <c r="I279" s="865"/>
      <c r="J279" s="295"/>
      <c r="K279" s="296">
        <f t="shared" si="5"/>
        <v>0</v>
      </c>
      <c r="L279" s="381"/>
    </row>
    <row r="280" spans="1:12" s="270" customFormat="1">
      <c r="A280" s="867" t="s">
        <v>586</v>
      </c>
      <c r="B280" s="863"/>
      <c r="C280" s="863"/>
      <c r="D280" s="868"/>
      <c r="E280" s="869"/>
      <c r="F280" s="870"/>
      <c r="G280" s="871"/>
      <c r="H280" s="864"/>
      <c r="I280" s="865"/>
      <c r="J280" s="295"/>
      <c r="K280" s="296">
        <f t="shared" si="5"/>
        <v>0</v>
      </c>
      <c r="L280" s="381"/>
    </row>
    <row r="281" spans="1:12" s="270" customFormat="1">
      <c r="A281" s="867" t="s">
        <v>586</v>
      </c>
      <c r="B281" s="863"/>
      <c r="C281" s="863"/>
      <c r="D281" s="868"/>
      <c r="E281" s="869"/>
      <c r="F281" s="870"/>
      <c r="G281" s="871"/>
      <c r="H281" s="864"/>
      <c r="I281" s="865"/>
      <c r="J281" s="295"/>
      <c r="K281" s="296">
        <f t="shared" si="5"/>
        <v>0</v>
      </c>
      <c r="L281" s="381"/>
    </row>
    <row r="282" spans="1:12" s="270" customFormat="1">
      <c r="A282" s="867" t="s">
        <v>586</v>
      </c>
      <c r="B282" s="863"/>
      <c r="C282" s="863"/>
      <c r="D282" s="868"/>
      <c r="E282" s="869"/>
      <c r="F282" s="870"/>
      <c r="G282" s="871"/>
      <c r="H282" s="864"/>
      <c r="I282" s="865"/>
      <c r="J282" s="295"/>
      <c r="K282" s="296">
        <f t="shared" si="5"/>
        <v>0</v>
      </c>
      <c r="L282" s="381"/>
    </row>
    <row r="283" spans="1:12" s="270" customFormat="1">
      <c r="A283" s="867" t="s">
        <v>586</v>
      </c>
      <c r="B283" s="863"/>
      <c r="C283" s="863"/>
      <c r="D283" s="868"/>
      <c r="E283" s="869"/>
      <c r="F283" s="870"/>
      <c r="G283" s="871"/>
      <c r="H283" s="864"/>
      <c r="I283" s="865"/>
      <c r="J283" s="295"/>
      <c r="K283" s="296">
        <f t="shared" si="5"/>
        <v>0</v>
      </c>
      <c r="L283" s="381"/>
    </row>
    <row r="284" spans="1:12" s="270" customFormat="1">
      <c r="A284" s="867" t="s">
        <v>586</v>
      </c>
      <c r="B284" s="863"/>
      <c r="C284" s="863"/>
      <c r="D284" s="868"/>
      <c r="E284" s="869"/>
      <c r="F284" s="870"/>
      <c r="G284" s="871"/>
      <c r="H284" s="864"/>
      <c r="I284" s="865"/>
      <c r="J284" s="295"/>
      <c r="K284" s="296">
        <f t="shared" si="5"/>
        <v>0</v>
      </c>
      <c r="L284" s="381"/>
    </row>
    <row r="285" spans="1:12" s="270" customFormat="1">
      <c r="A285" s="867" t="s">
        <v>590</v>
      </c>
      <c r="B285" s="863"/>
      <c r="C285" s="863"/>
      <c r="D285" s="868"/>
      <c r="E285" s="869"/>
      <c r="F285" s="870"/>
      <c r="G285" s="871"/>
      <c r="H285" s="864"/>
      <c r="I285" s="865"/>
      <c r="J285" s="295"/>
      <c r="K285" s="296">
        <f t="shared" si="5"/>
        <v>0</v>
      </c>
      <c r="L285" s="381"/>
    </row>
    <row r="286" spans="1:12" s="270" customFormat="1">
      <c r="A286" s="867" t="s">
        <v>590</v>
      </c>
      <c r="B286" s="863"/>
      <c r="C286" s="863"/>
      <c r="D286" s="868"/>
      <c r="E286" s="869"/>
      <c r="F286" s="870"/>
      <c r="G286" s="871"/>
      <c r="H286" s="864"/>
      <c r="I286" s="865"/>
      <c r="J286" s="295"/>
      <c r="K286" s="296">
        <f t="shared" si="5"/>
        <v>0</v>
      </c>
      <c r="L286" s="381"/>
    </row>
    <row r="287" spans="1:12" s="270" customFormat="1">
      <c r="A287" s="867" t="s">
        <v>586</v>
      </c>
      <c r="B287" s="863"/>
      <c r="C287" s="863"/>
      <c r="D287" s="868"/>
      <c r="E287" s="869"/>
      <c r="F287" s="870"/>
      <c r="G287" s="871"/>
      <c r="H287" s="864"/>
      <c r="I287" s="865"/>
      <c r="J287" s="295"/>
      <c r="K287" s="296">
        <f t="shared" si="5"/>
        <v>0</v>
      </c>
      <c r="L287" s="381"/>
    </row>
    <row r="288" spans="1:12" s="270" customFormat="1">
      <c r="A288" s="867" t="s">
        <v>586</v>
      </c>
      <c r="B288" s="863"/>
      <c r="C288" s="863"/>
      <c r="D288" s="868"/>
      <c r="E288" s="869"/>
      <c r="F288" s="870"/>
      <c r="G288" s="871"/>
      <c r="H288" s="864"/>
      <c r="I288" s="865"/>
      <c r="J288" s="295"/>
      <c r="K288" s="296">
        <f t="shared" si="5"/>
        <v>0</v>
      </c>
      <c r="L288" s="381"/>
    </row>
    <row r="289" spans="1:12" s="270" customFormat="1">
      <c r="A289" s="867" t="s">
        <v>586</v>
      </c>
      <c r="B289" s="863"/>
      <c r="C289" s="863"/>
      <c r="D289" s="868"/>
      <c r="E289" s="869"/>
      <c r="F289" s="870"/>
      <c r="G289" s="871"/>
      <c r="H289" s="864"/>
      <c r="I289" s="865"/>
      <c r="J289" s="295"/>
      <c r="K289" s="296">
        <f t="shared" ref="K289:K352" si="6">IF(LEFT(A289,2)="TU",(J289-I289)*E289/100*100000*2,(J289-I289)*E289/100*100000)</f>
        <v>0</v>
      </c>
      <c r="L289" s="381"/>
    </row>
    <row r="290" spans="1:12" s="270" customFormat="1">
      <c r="A290" s="867" t="s">
        <v>586</v>
      </c>
      <c r="B290" s="863"/>
      <c r="C290" s="863"/>
      <c r="D290" s="868"/>
      <c r="E290" s="869"/>
      <c r="F290" s="870"/>
      <c r="G290" s="871"/>
      <c r="H290" s="864"/>
      <c r="I290" s="865"/>
      <c r="J290" s="295"/>
      <c r="K290" s="296">
        <f t="shared" si="6"/>
        <v>0</v>
      </c>
      <c r="L290" s="381"/>
    </row>
    <row r="291" spans="1:12" s="270" customFormat="1">
      <c r="A291" s="867" t="s">
        <v>586</v>
      </c>
      <c r="B291" s="863"/>
      <c r="C291" s="863"/>
      <c r="D291" s="868"/>
      <c r="E291" s="869"/>
      <c r="F291" s="870"/>
      <c r="G291" s="871"/>
      <c r="H291" s="864"/>
      <c r="I291" s="865"/>
      <c r="J291" s="295"/>
      <c r="K291" s="296">
        <f t="shared" si="6"/>
        <v>0</v>
      </c>
      <c r="L291" s="381"/>
    </row>
    <row r="292" spans="1:12" s="270" customFormat="1">
      <c r="A292" s="867" t="s">
        <v>586</v>
      </c>
      <c r="B292" s="863"/>
      <c r="C292" s="863"/>
      <c r="D292" s="868"/>
      <c r="E292" s="869"/>
      <c r="F292" s="870"/>
      <c r="G292" s="871"/>
      <c r="H292" s="864"/>
      <c r="I292" s="865"/>
      <c r="J292" s="295"/>
      <c r="K292" s="296">
        <f t="shared" si="6"/>
        <v>0</v>
      </c>
      <c r="L292" s="381"/>
    </row>
    <row r="293" spans="1:12" s="270" customFormat="1">
      <c r="A293" s="867" t="s">
        <v>586</v>
      </c>
      <c r="B293" s="863"/>
      <c r="C293" s="863"/>
      <c r="D293" s="868"/>
      <c r="E293" s="869"/>
      <c r="F293" s="870"/>
      <c r="G293" s="871"/>
      <c r="H293" s="864"/>
      <c r="I293" s="865"/>
      <c r="J293" s="295"/>
      <c r="K293" s="296">
        <f t="shared" si="6"/>
        <v>0</v>
      </c>
      <c r="L293" s="381"/>
    </row>
    <row r="294" spans="1:12" s="270" customFormat="1">
      <c r="A294" s="867" t="s">
        <v>586</v>
      </c>
      <c r="B294" s="863"/>
      <c r="C294" s="863"/>
      <c r="D294" s="868"/>
      <c r="E294" s="869"/>
      <c r="F294" s="870"/>
      <c r="G294" s="871"/>
      <c r="H294" s="864"/>
      <c r="I294" s="865"/>
      <c r="J294" s="295"/>
      <c r="K294" s="296">
        <f t="shared" si="6"/>
        <v>0</v>
      </c>
      <c r="L294" s="381"/>
    </row>
    <row r="295" spans="1:12" s="270" customFormat="1">
      <c r="A295" s="867" t="s">
        <v>586</v>
      </c>
      <c r="B295" s="863"/>
      <c r="C295" s="863"/>
      <c r="D295" s="868"/>
      <c r="E295" s="869"/>
      <c r="F295" s="870"/>
      <c r="G295" s="871"/>
      <c r="H295" s="864"/>
      <c r="I295" s="865"/>
      <c r="J295" s="295"/>
      <c r="K295" s="296">
        <f t="shared" si="6"/>
        <v>0</v>
      </c>
      <c r="L295" s="381"/>
    </row>
    <row r="296" spans="1:12" s="270" customFormat="1">
      <c r="A296" s="867" t="s">
        <v>586</v>
      </c>
      <c r="B296" s="863"/>
      <c r="C296" s="863"/>
      <c r="D296" s="868"/>
      <c r="E296" s="869"/>
      <c r="F296" s="870"/>
      <c r="G296" s="871"/>
      <c r="H296" s="864"/>
      <c r="I296" s="865"/>
      <c r="J296" s="295"/>
      <c r="K296" s="296">
        <f t="shared" si="6"/>
        <v>0</v>
      </c>
      <c r="L296" s="381"/>
    </row>
    <row r="297" spans="1:12" s="270" customFormat="1">
      <c r="A297" s="867" t="s">
        <v>586</v>
      </c>
      <c r="B297" s="863"/>
      <c r="C297" s="863"/>
      <c r="D297" s="868"/>
      <c r="E297" s="869"/>
      <c r="F297" s="870"/>
      <c r="G297" s="871"/>
      <c r="H297" s="864"/>
      <c r="I297" s="865"/>
      <c r="J297" s="295"/>
      <c r="K297" s="296">
        <f t="shared" si="6"/>
        <v>0</v>
      </c>
      <c r="L297" s="381"/>
    </row>
    <row r="298" spans="1:12" s="270" customFormat="1">
      <c r="A298" s="867" t="s">
        <v>586</v>
      </c>
      <c r="B298" s="863"/>
      <c r="C298" s="863"/>
      <c r="D298" s="868"/>
      <c r="E298" s="869"/>
      <c r="F298" s="870"/>
      <c r="G298" s="871"/>
      <c r="H298" s="864"/>
      <c r="I298" s="865"/>
      <c r="J298" s="295"/>
      <c r="K298" s="296">
        <f t="shared" si="6"/>
        <v>0</v>
      </c>
      <c r="L298" s="381"/>
    </row>
    <row r="299" spans="1:12" s="270" customFormat="1">
      <c r="A299" s="867" t="s">
        <v>586</v>
      </c>
      <c r="B299" s="863"/>
      <c r="C299" s="863"/>
      <c r="D299" s="868"/>
      <c r="E299" s="869"/>
      <c r="F299" s="870"/>
      <c r="G299" s="871"/>
      <c r="H299" s="864"/>
      <c r="I299" s="865"/>
      <c r="J299" s="295"/>
      <c r="K299" s="296">
        <f t="shared" si="6"/>
        <v>0</v>
      </c>
      <c r="L299" s="381"/>
    </row>
    <row r="300" spans="1:12" s="270" customFormat="1">
      <c r="A300" s="867" t="s">
        <v>586</v>
      </c>
      <c r="B300" s="863"/>
      <c r="C300" s="863"/>
      <c r="D300" s="868"/>
      <c r="E300" s="869"/>
      <c r="F300" s="870"/>
      <c r="G300" s="871"/>
      <c r="H300" s="864"/>
      <c r="I300" s="865"/>
      <c r="J300" s="295"/>
      <c r="K300" s="296">
        <f t="shared" si="6"/>
        <v>0</v>
      </c>
      <c r="L300" s="381"/>
    </row>
    <row r="301" spans="1:12" s="270" customFormat="1">
      <c r="A301" s="867" t="s">
        <v>586</v>
      </c>
      <c r="B301" s="863"/>
      <c r="C301" s="863"/>
      <c r="D301" s="868"/>
      <c r="E301" s="869"/>
      <c r="F301" s="870"/>
      <c r="G301" s="871"/>
      <c r="H301" s="864"/>
      <c r="I301" s="865"/>
      <c r="J301" s="295"/>
      <c r="K301" s="296">
        <f t="shared" si="6"/>
        <v>0</v>
      </c>
      <c r="L301" s="381"/>
    </row>
    <row r="302" spans="1:12" s="270" customFormat="1">
      <c r="A302" s="867" t="s">
        <v>586</v>
      </c>
      <c r="B302" s="863"/>
      <c r="C302" s="863"/>
      <c r="D302" s="868"/>
      <c r="E302" s="869"/>
      <c r="F302" s="870"/>
      <c r="G302" s="871"/>
      <c r="H302" s="864"/>
      <c r="I302" s="865"/>
      <c r="J302" s="295"/>
      <c r="K302" s="296">
        <f t="shared" si="6"/>
        <v>0</v>
      </c>
      <c r="L302" s="381"/>
    </row>
    <row r="303" spans="1:12" s="270" customFormat="1">
      <c r="A303" s="867" t="s">
        <v>586</v>
      </c>
      <c r="B303" s="863"/>
      <c r="C303" s="863"/>
      <c r="D303" s="868"/>
      <c r="E303" s="869"/>
      <c r="F303" s="870"/>
      <c r="G303" s="871"/>
      <c r="H303" s="864"/>
      <c r="I303" s="865"/>
      <c r="J303" s="295"/>
      <c r="K303" s="296">
        <f t="shared" si="6"/>
        <v>0</v>
      </c>
      <c r="L303" s="381"/>
    </row>
    <row r="304" spans="1:12" s="270" customFormat="1">
      <c r="A304" s="867" t="s">
        <v>588</v>
      </c>
      <c r="B304" s="863"/>
      <c r="C304" s="863"/>
      <c r="D304" s="868"/>
      <c r="E304" s="869"/>
      <c r="F304" s="870"/>
      <c r="G304" s="871"/>
      <c r="H304" s="864"/>
      <c r="I304" s="865"/>
      <c r="J304" s="295"/>
      <c r="K304" s="296">
        <f t="shared" si="6"/>
        <v>0</v>
      </c>
      <c r="L304" s="381"/>
    </row>
    <row r="305" spans="1:12" s="270" customFormat="1">
      <c r="A305" s="867" t="s">
        <v>586</v>
      </c>
      <c r="B305" s="863"/>
      <c r="C305" s="863"/>
      <c r="D305" s="868"/>
      <c r="E305" s="869"/>
      <c r="F305" s="870"/>
      <c r="G305" s="871"/>
      <c r="H305" s="864"/>
      <c r="I305" s="865"/>
      <c r="J305" s="295"/>
      <c r="K305" s="296">
        <f t="shared" si="6"/>
        <v>0</v>
      </c>
      <c r="L305" s="381"/>
    </row>
    <row r="306" spans="1:12" s="270" customFormat="1">
      <c r="A306" s="867" t="s">
        <v>586</v>
      </c>
      <c r="B306" s="863"/>
      <c r="C306" s="863"/>
      <c r="D306" s="868"/>
      <c r="E306" s="869"/>
      <c r="F306" s="870"/>
      <c r="G306" s="871"/>
      <c r="H306" s="864"/>
      <c r="I306" s="865"/>
      <c r="J306" s="295"/>
      <c r="K306" s="296">
        <f t="shared" si="6"/>
        <v>0</v>
      </c>
      <c r="L306" s="381"/>
    </row>
    <row r="307" spans="1:12" s="270" customFormat="1">
      <c r="A307" s="867" t="s">
        <v>586</v>
      </c>
      <c r="B307" s="863"/>
      <c r="C307" s="863"/>
      <c r="D307" s="868"/>
      <c r="E307" s="869"/>
      <c r="F307" s="870"/>
      <c r="G307" s="871"/>
      <c r="H307" s="864"/>
      <c r="I307" s="865"/>
      <c r="J307" s="295"/>
      <c r="K307" s="296">
        <f t="shared" si="6"/>
        <v>0</v>
      </c>
      <c r="L307" s="381"/>
    </row>
    <row r="308" spans="1:12" s="270" customFormat="1">
      <c r="A308" s="867" t="s">
        <v>586</v>
      </c>
      <c r="B308" s="863"/>
      <c r="C308" s="863"/>
      <c r="D308" s="868"/>
      <c r="E308" s="869"/>
      <c r="F308" s="870"/>
      <c r="G308" s="871"/>
      <c r="H308" s="864"/>
      <c r="I308" s="865"/>
      <c r="J308" s="295"/>
      <c r="K308" s="296">
        <f t="shared" si="6"/>
        <v>0</v>
      </c>
      <c r="L308" s="381"/>
    </row>
    <row r="309" spans="1:12" s="270" customFormat="1">
      <c r="A309" s="867" t="s">
        <v>586</v>
      </c>
      <c r="B309" s="863"/>
      <c r="C309" s="863"/>
      <c r="D309" s="868"/>
      <c r="E309" s="869"/>
      <c r="F309" s="870"/>
      <c r="G309" s="871"/>
      <c r="H309" s="864"/>
      <c r="I309" s="865"/>
      <c r="J309" s="295"/>
      <c r="K309" s="296">
        <f t="shared" si="6"/>
        <v>0</v>
      </c>
      <c r="L309" s="381"/>
    </row>
    <row r="310" spans="1:12" s="270" customFormat="1">
      <c r="A310" s="867" t="s">
        <v>586</v>
      </c>
      <c r="B310" s="863"/>
      <c r="C310" s="863"/>
      <c r="D310" s="868"/>
      <c r="E310" s="869"/>
      <c r="F310" s="870"/>
      <c r="G310" s="871"/>
      <c r="H310" s="864"/>
      <c r="I310" s="865"/>
      <c r="J310" s="295"/>
      <c r="K310" s="296">
        <f t="shared" si="6"/>
        <v>0</v>
      </c>
      <c r="L310" s="381"/>
    </row>
    <row r="311" spans="1:12" s="270" customFormat="1">
      <c r="A311" s="867" t="s">
        <v>586</v>
      </c>
      <c r="B311" s="863"/>
      <c r="C311" s="863"/>
      <c r="D311" s="868"/>
      <c r="E311" s="869"/>
      <c r="F311" s="870"/>
      <c r="G311" s="871"/>
      <c r="H311" s="864"/>
      <c r="I311" s="865"/>
      <c r="J311" s="295"/>
      <c r="K311" s="296">
        <f t="shared" si="6"/>
        <v>0</v>
      </c>
      <c r="L311" s="381"/>
    </row>
    <row r="312" spans="1:12" s="270" customFormat="1">
      <c r="A312" s="867" t="s">
        <v>586</v>
      </c>
      <c r="B312" s="863"/>
      <c r="C312" s="863"/>
      <c r="D312" s="868"/>
      <c r="E312" s="869"/>
      <c r="F312" s="870"/>
      <c r="G312" s="871"/>
      <c r="H312" s="864"/>
      <c r="I312" s="865"/>
      <c r="J312" s="295"/>
      <c r="K312" s="296">
        <f t="shared" si="6"/>
        <v>0</v>
      </c>
      <c r="L312" s="381"/>
    </row>
    <row r="313" spans="1:12" s="270" customFormat="1">
      <c r="A313" s="867" t="s">
        <v>586</v>
      </c>
      <c r="B313" s="863"/>
      <c r="C313" s="863"/>
      <c r="D313" s="868"/>
      <c r="E313" s="869"/>
      <c r="F313" s="870"/>
      <c r="G313" s="871"/>
      <c r="H313" s="864"/>
      <c r="I313" s="865"/>
      <c r="J313" s="295"/>
      <c r="K313" s="296">
        <f t="shared" si="6"/>
        <v>0</v>
      </c>
      <c r="L313" s="381"/>
    </row>
    <row r="314" spans="1:12" s="270" customFormat="1">
      <c r="A314" s="867" t="s">
        <v>586</v>
      </c>
      <c r="B314" s="863"/>
      <c r="C314" s="863"/>
      <c r="D314" s="868"/>
      <c r="E314" s="869"/>
      <c r="F314" s="870"/>
      <c r="G314" s="871"/>
      <c r="H314" s="864"/>
      <c r="I314" s="865"/>
      <c r="J314" s="295"/>
      <c r="K314" s="296">
        <f t="shared" si="6"/>
        <v>0</v>
      </c>
      <c r="L314" s="381"/>
    </row>
    <row r="315" spans="1:12" s="270" customFormat="1">
      <c r="A315" s="867" t="s">
        <v>589</v>
      </c>
      <c r="B315" s="863"/>
      <c r="C315" s="863"/>
      <c r="D315" s="868"/>
      <c r="E315" s="869"/>
      <c r="F315" s="870"/>
      <c r="G315" s="871"/>
      <c r="H315" s="864"/>
      <c r="I315" s="865"/>
      <c r="J315" s="295"/>
      <c r="K315" s="296">
        <f t="shared" si="6"/>
        <v>0</v>
      </c>
      <c r="L315" s="381"/>
    </row>
    <row r="316" spans="1:12" s="270" customFormat="1">
      <c r="A316" s="867" t="s">
        <v>589</v>
      </c>
      <c r="B316" s="863"/>
      <c r="C316" s="863"/>
      <c r="D316" s="868"/>
      <c r="E316" s="869"/>
      <c r="F316" s="870"/>
      <c r="G316" s="871"/>
      <c r="H316" s="864"/>
      <c r="I316" s="865"/>
      <c r="J316" s="295"/>
      <c r="K316" s="296">
        <f t="shared" si="6"/>
        <v>0</v>
      </c>
      <c r="L316" s="381"/>
    </row>
    <row r="317" spans="1:12" s="270" customFormat="1">
      <c r="A317" s="867" t="s">
        <v>586</v>
      </c>
      <c r="B317" s="863"/>
      <c r="C317" s="863"/>
      <c r="D317" s="868"/>
      <c r="E317" s="869"/>
      <c r="F317" s="870"/>
      <c r="G317" s="871"/>
      <c r="H317" s="864"/>
      <c r="I317" s="865"/>
      <c r="J317" s="295"/>
      <c r="K317" s="296">
        <f t="shared" si="6"/>
        <v>0</v>
      </c>
      <c r="L317" s="381"/>
    </row>
    <row r="318" spans="1:12" s="270" customFormat="1">
      <c r="A318" s="867" t="s">
        <v>586</v>
      </c>
      <c r="B318" s="863"/>
      <c r="C318" s="863"/>
      <c r="D318" s="868"/>
      <c r="E318" s="869"/>
      <c r="F318" s="870"/>
      <c r="G318" s="871"/>
      <c r="H318" s="864"/>
      <c r="I318" s="865"/>
      <c r="J318" s="295"/>
      <c r="K318" s="296">
        <f t="shared" si="6"/>
        <v>0</v>
      </c>
      <c r="L318" s="381"/>
    </row>
    <row r="319" spans="1:12" s="270" customFormat="1">
      <c r="A319" s="867" t="s">
        <v>590</v>
      </c>
      <c r="B319" s="863"/>
      <c r="C319" s="863"/>
      <c r="D319" s="868"/>
      <c r="E319" s="869"/>
      <c r="F319" s="870"/>
      <c r="G319" s="871"/>
      <c r="H319" s="864"/>
      <c r="I319" s="865"/>
      <c r="J319" s="295"/>
      <c r="K319" s="296">
        <f t="shared" si="6"/>
        <v>0</v>
      </c>
      <c r="L319" s="381"/>
    </row>
    <row r="320" spans="1:12" s="270" customFormat="1">
      <c r="A320" s="867" t="s">
        <v>586</v>
      </c>
      <c r="B320" s="863"/>
      <c r="C320" s="863"/>
      <c r="D320" s="868"/>
      <c r="E320" s="869"/>
      <c r="F320" s="870"/>
      <c r="G320" s="871"/>
      <c r="H320" s="864"/>
      <c r="I320" s="865"/>
      <c r="J320" s="295"/>
      <c r="K320" s="296">
        <f t="shared" si="6"/>
        <v>0</v>
      </c>
      <c r="L320" s="381"/>
    </row>
    <row r="321" spans="1:12" s="270" customFormat="1">
      <c r="A321" s="867" t="s">
        <v>602</v>
      </c>
      <c r="B321" s="863"/>
      <c r="C321" s="863"/>
      <c r="D321" s="868"/>
      <c r="E321" s="869"/>
      <c r="F321" s="870"/>
      <c r="G321" s="871"/>
      <c r="H321" s="864"/>
      <c r="I321" s="865"/>
      <c r="J321" s="295"/>
      <c r="K321" s="296">
        <f t="shared" si="6"/>
        <v>0</v>
      </c>
      <c r="L321" s="381"/>
    </row>
    <row r="322" spans="1:12" s="270" customFormat="1">
      <c r="A322" s="867" t="s">
        <v>602</v>
      </c>
      <c r="B322" s="863"/>
      <c r="C322" s="863"/>
      <c r="D322" s="868"/>
      <c r="E322" s="869"/>
      <c r="F322" s="870"/>
      <c r="G322" s="871"/>
      <c r="H322" s="864"/>
      <c r="I322" s="865"/>
      <c r="J322" s="295"/>
      <c r="K322" s="296">
        <f t="shared" si="6"/>
        <v>0</v>
      </c>
      <c r="L322" s="381"/>
    </row>
    <row r="323" spans="1:12" s="270" customFormat="1">
      <c r="A323" s="867" t="s">
        <v>602</v>
      </c>
      <c r="B323" s="863"/>
      <c r="C323" s="863"/>
      <c r="D323" s="868"/>
      <c r="E323" s="869"/>
      <c r="F323" s="870"/>
      <c r="G323" s="871"/>
      <c r="H323" s="864"/>
      <c r="I323" s="865"/>
      <c r="J323" s="295"/>
      <c r="K323" s="296">
        <f t="shared" si="6"/>
        <v>0</v>
      </c>
      <c r="L323" s="381"/>
    </row>
    <row r="324" spans="1:12" s="270" customFormat="1">
      <c r="A324" s="867" t="s">
        <v>602</v>
      </c>
      <c r="B324" s="863"/>
      <c r="C324" s="863"/>
      <c r="D324" s="868"/>
      <c r="E324" s="869"/>
      <c r="F324" s="870"/>
      <c r="G324" s="871"/>
      <c r="H324" s="864"/>
      <c r="I324" s="865"/>
      <c r="J324" s="295"/>
      <c r="K324" s="296">
        <f t="shared" si="6"/>
        <v>0</v>
      </c>
      <c r="L324" s="381"/>
    </row>
    <row r="325" spans="1:12" s="270" customFormat="1">
      <c r="A325" s="867" t="s">
        <v>602</v>
      </c>
      <c r="B325" s="863"/>
      <c r="C325" s="863"/>
      <c r="D325" s="868"/>
      <c r="E325" s="869"/>
      <c r="F325" s="870"/>
      <c r="G325" s="871"/>
      <c r="H325" s="864"/>
      <c r="I325" s="865"/>
      <c r="J325" s="295"/>
      <c r="K325" s="296">
        <f t="shared" si="6"/>
        <v>0</v>
      </c>
      <c r="L325" s="381"/>
    </row>
    <row r="326" spans="1:12" s="270" customFormat="1">
      <c r="A326" s="867" t="s">
        <v>602</v>
      </c>
      <c r="B326" s="863"/>
      <c r="C326" s="863"/>
      <c r="D326" s="868"/>
      <c r="E326" s="869"/>
      <c r="F326" s="870"/>
      <c r="G326" s="871"/>
      <c r="H326" s="864"/>
      <c r="I326" s="865"/>
      <c r="J326" s="295"/>
      <c r="K326" s="296">
        <f t="shared" si="6"/>
        <v>0</v>
      </c>
      <c r="L326" s="381"/>
    </row>
    <row r="327" spans="1:12" s="270" customFormat="1">
      <c r="A327" s="867" t="s">
        <v>602</v>
      </c>
      <c r="B327" s="863"/>
      <c r="C327" s="863"/>
      <c r="D327" s="868"/>
      <c r="E327" s="869"/>
      <c r="F327" s="870"/>
      <c r="G327" s="871"/>
      <c r="H327" s="864"/>
      <c r="I327" s="865"/>
      <c r="J327" s="295"/>
      <c r="K327" s="296">
        <f t="shared" si="6"/>
        <v>0</v>
      </c>
      <c r="L327" s="381"/>
    </row>
    <row r="328" spans="1:12" s="270" customFormat="1">
      <c r="A328" s="867" t="s">
        <v>602</v>
      </c>
      <c r="B328" s="863"/>
      <c r="C328" s="863"/>
      <c r="D328" s="868"/>
      <c r="E328" s="869"/>
      <c r="F328" s="870"/>
      <c r="G328" s="871"/>
      <c r="H328" s="864"/>
      <c r="I328" s="865"/>
      <c r="J328" s="295"/>
      <c r="K328" s="296">
        <f t="shared" si="6"/>
        <v>0</v>
      </c>
      <c r="L328" s="381"/>
    </row>
    <row r="329" spans="1:12" s="270" customFormat="1">
      <c r="A329" s="867" t="s">
        <v>602</v>
      </c>
      <c r="B329" s="863"/>
      <c r="C329" s="863"/>
      <c r="D329" s="868"/>
      <c r="E329" s="869"/>
      <c r="F329" s="870"/>
      <c r="G329" s="871"/>
      <c r="H329" s="864"/>
      <c r="I329" s="865"/>
      <c r="J329" s="295"/>
      <c r="K329" s="296">
        <f t="shared" si="6"/>
        <v>0</v>
      </c>
      <c r="L329" s="381"/>
    </row>
    <row r="330" spans="1:12" s="270" customFormat="1">
      <c r="A330" s="867" t="s">
        <v>602</v>
      </c>
      <c r="B330" s="863"/>
      <c r="C330" s="863"/>
      <c r="D330" s="868"/>
      <c r="E330" s="869"/>
      <c r="F330" s="870"/>
      <c r="G330" s="871"/>
      <c r="H330" s="864"/>
      <c r="I330" s="865"/>
      <c r="J330" s="295"/>
      <c r="K330" s="296">
        <f t="shared" si="6"/>
        <v>0</v>
      </c>
      <c r="L330" s="381"/>
    </row>
    <row r="331" spans="1:12" s="270" customFormat="1">
      <c r="A331" s="867" t="s">
        <v>602</v>
      </c>
      <c r="B331" s="863"/>
      <c r="C331" s="863"/>
      <c r="D331" s="868"/>
      <c r="E331" s="869"/>
      <c r="F331" s="870"/>
      <c r="G331" s="871"/>
      <c r="H331" s="864"/>
      <c r="I331" s="865"/>
      <c r="J331" s="295"/>
      <c r="K331" s="296">
        <f t="shared" si="6"/>
        <v>0</v>
      </c>
      <c r="L331" s="381"/>
    </row>
    <row r="332" spans="1:12" s="270" customFormat="1">
      <c r="A332" s="867" t="s">
        <v>602</v>
      </c>
      <c r="B332" s="863"/>
      <c r="C332" s="863"/>
      <c r="D332" s="868"/>
      <c r="E332" s="869"/>
      <c r="F332" s="870"/>
      <c r="G332" s="871"/>
      <c r="H332" s="864"/>
      <c r="I332" s="865"/>
      <c r="J332" s="295"/>
      <c r="K332" s="296">
        <f t="shared" si="6"/>
        <v>0</v>
      </c>
      <c r="L332" s="381"/>
    </row>
    <row r="333" spans="1:12" s="270" customFormat="1">
      <c r="A333" s="867" t="s">
        <v>602</v>
      </c>
      <c r="B333" s="863"/>
      <c r="C333" s="863"/>
      <c r="D333" s="868"/>
      <c r="E333" s="869"/>
      <c r="F333" s="870"/>
      <c r="G333" s="871"/>
      <c r="H333" s="864"/>
      <c r="I333" s="865"/>
      <c r="J333" s="295"/>
      <c r="K333" s="296">
        <f t="shared" si="6"/>
        <v>0</v>
      </c>
      <c r="L333" s="381"/>
    </row>
    <row r="334" spans="1:12" s="270" customFormat="1">
      <c r="A334" s="867" t="s">
        <v>602</v>
      </c>
      <c r="B334" s="863"/>
      <c r="C334" s="863"/>
      <c r="D334" s="868"/>
      <c r="E334" s="869"/>
      <c r="F334" s="870"/>
      <c r="G334" s="871"/>
      <c r="H334" s="864"/>
      <c r="I334" s="865"/>
      <c r="J334" s="295"/>
      <c r="K334" s="296">
        <f t="shared" si="6"/>
        <v>0</v>
      </c>
      <c r="L334" s="381"/>
    </row>
    <row r="335" spans="1:12" s="270" customFormat="1">
      <c r="A335" s="867" t="s">
        <v>602</v>
      </c>
      <c r="B335" s="863"/>
      <c r="C335" s="863"/>
      <c r="D335" s="868"/>
      <c r="E335" s="869"/>
      <c r="F335" s="870"/>
      <c r="G335" s="871"/>
      <c r="H335" s="864"/>
      <c r="I335" s="865"/>
      <c r="J335" s="295"/>
      <c r="K335" s="296">
        <f t="shared" si="6"/>
        <v>0</v>
      </c>
      <c r="L335" s="381"/>
    </row>
    <row r="336" spans="1:12" s="270" customFormat="1">
      <c r="A336" s="867" t="s">
        <v>602</v>
      </c>
      <c r="B336" s="863"/>
      <c r="C336" s="863"/>
      <c r="D336" s="868"/>
      <c r="E336" s="869"/>
      <c r="F336" s="870"/>
      <c r="G336" s="871"/>
      <c r="H336" s="864"/>
      <c r="I336" s="865"/>
      <c r="J336" s="295"/>
      <c r="K336" s="296">
        <f t="shared" si="6"/>
        <v>0</v>
      </c>
      <c r="L336" s="381"/>
    </row>
    <row r="337" spans="1:12" s="270" customFormat="1">
      <c r="A337" s="867" t="s">
        <v>602</v>
      </c>
      <c r="B337" s="863"/>
      <c r="C337" s="863"/>
      <c r="D337" s="868"/>
      <c r="E337" s="869"/>
      <c r="F337" s="870"/>
      <c r="G337" s="871"/>
      <c r="H337" s="864"/>
      <c r="I337" s="865"/>
      <c r="J337" s="295"/>
      <c r="K337" s="296">
        <f t="shared" si="6"/>
        <v>0</v>
      </c>
      <c r="L337" s="381"/>
    </row>
    <row r="338" spans="1:12" s="270" customFormat="1">
      <c r="A338" s="867" t="s">
        <v>602</v>
      </c>
      <c r="B338" s="863"/>
      <c r="C338" s="863"/>
      <c r="D338" s="868"/>
      <c r="E338" s="869"/>
      <c r="F338" s="870"/>
      <c r="G338" s="871"/>
      <c r="H338" s="864"/>
      <c r="I338" s="865"/>
      <c r="J338" s="295"/>
      <c r="K338" s="296">
        <f t="shared" si="6"/>
        <v>0</v>
      </c>
      <c r="L338" s="381"/>
    </row>
    <row r="339" spans="1:12" s="270" customFormat="1">
      <c r="A339" s="867" t="s">
        <v>602</v>
      </c>
      <c r="B339" s="863"/>
      <c r="C339" s="863"/>
      <c r="D339" s="868"/>
      <c r="E339" s="869"/>
      <c r="F339" s="870"/>
      <c r="G339" s="871"/>
      <c r="H339" s="864"/>
      <c r="I339" s="865"/>
      <c r="J339" s="295"/>
      <c r="K339" s="296">
        <f t="shared" si="6"/>
        <v>0</v>
      </c>
      <c r="L339" s="381"/>
    </row>
    <row r="340" spans="1:12" s="270" customFormat="1">
      <c r="A340" s="867" t="s">
        <v>602</v>
      </c>
      <c r="B340" s="863"/>
      <c r="C340" s="863"/>
      <c r="D340" s="868"/>
      <c r="E340" s="869"/>
      <c r="F340" s="870"/>
      <c r="G340" s="871"/>
      <c r="H340" s="864"/>
      <c r="I340" s="865"/>
      <c r="J340" s="295"/>
      <c r="K340" s="296">
        <f t="shared" si="6"/>
        <v>0</v>
      </c>
      <c r="L340" s="381"/>
    </row>
    <row r="341" spans="1:12" s="270" customFormat="1">
      <c r="A341" s="867" t="s">
        <v>602</v>
      </c>
      <c r="B341" s="863"/>
      <c r="C341" s="863"/>
      <c r="D341" s="868"/>
      <c r="E341" s="869"/>
      <c r="F341" s="870"/>
      <c r="G341" s="871"/>
      <c r="H341" s="864"/>
      <c r="I341" s="865"/>
      <c r="J341" s="295"/>
      <c r="K341" s="296">
        <f t="shared" si="6"/>
        <v>0</v>
      </c>
      <c r="L341" s="381"/>
    </row>
    <row r="342" spans="1:12" s="270" customFormat="1">
      <c r="A342" s="867" t="s">
        <v>602</v>
      </c>
      <c r="B342" s="863"/>
      <c r="C342" s="863"/>
      <c r="D342" s="868"/>
      <c r="E342" s="869"/>
      <c r="F342" s="870"/>
      <c r="G342" s="871"/>
      <c r="H342" s="864"/>
      <c r="I342" s="865"/>
      <c r="J342" s="295"/>
      <c r="K342" s="296">
        <f t="shared" si="6"/>
        <v>0</v>
      </c>
      <c r="L342" s="381"/>
    </row>
    <row r="343" spans="1:12" s="270" customFormat="1">
      <c r="A343" s="867" t="s">
        <v>602</v>
      </c>
      <c r="B343" s="863"/>
      <c r="C343" s="863"/>
      <c r="D343" s="868"/>
      <c r="E343" s="869"/>
      <c r="F343" s="870"/>
      <c r="G343" s="871"/>
      <c r="H343" s="864"/>
      <c r="I343" s="865"/>
      <c r="J343" s="295"/>
      <c r="K343" s="296">
        <f t="shared" si="6"/>
        <v>0</v>
      </c>
      <c r="L343" s="381"/>
    </row>
    <row r="344" spans="1:12" s="270" customFormat="1">
      <c r="A344" s="867" t="s">
        <v>602</v>
      </c>
      <c r="B344" s="863"/>
      <c r="C344" s="863"/>
      <c r="D344" s="868"/>
      <c r="E344" s="869"/>
      <c r="F344" s="870"/>
      <c r="G344" s="871"/>
      <c r="H344" s="864"/>
      <c r="I344" s="865"/>
      <c r="J344" s="295"/>
      <c r="K344" s="296">
        <f t="shared" si="6"/>
        <v>0</v>
      </c>
      <c r="L344" s="381"/>
    </row>
    <row r="345" spans="1:12" s="270" customFormat="1">
      <c r="A345" s="867" t="s">
        <v>602</v>
      </c>
      <c r="B345" s="863"/>
      <c r="C345" s="863"/>
      <c r="D345" s="868"/>
      <c r="E345" s="869"/>
      <c r="F345" s="870"/>
      <c r="G345" s="871"/>
      <c r="H345" s="864"/>
      <c r="I345" s="865"/>
      <c r="J345" s="295"/>
      <c r="K345" s="296">
        <f t="shared" si="6"/>
        <v>0</v>
      </c>
      <c r="L345" s="381"/>
    </row>
    <row r="346" spans="1:12" s="270" customFormat="1">
      <c r="A346" s="867" t="s">
        <v>607</v>
      </c>
      <c r="B346" s="863"/>
      <c r="C346" s="863"/>
      <c r="D346" s="868"/>
      <c r="E346" s="869"/>
      <c r="F346" s="870"/>
      <c r="G346" s="871"/>
      <c r="H346" s="864"/>
      <c r="I346" s="865"/>
      <c r="J346" s="295"/>
      <c r="K346" s="296">
        <f t="shared" si="6"/>
        <v>0</v>
      </c>
      <c r="L346" s="381"/>
    </row>
    <row r="347" spans="1:12" s="270" customFormat="1">
      <c r="A347" s="867" t="s">
        <v>607</v>
      </c>
      <c r="B347" s="863"/>
      <c r="C347" s="863"/>
      <c r="D347" s="868"/>
      <c r="E347" s="869"/>
      <c r="F347" s="870"/>
      <c r="G347" s="871"/>
      <c r="H347" s="864"/>
      <c r="I347" s="865"/>
      <c r="J347" s="295"/>
      <c r="K347" s="296">
        <f t="shared" si="6"/>
        <v>0</v>
      </c>
      <c r="L347" s="381"/>
    </row>
    <row r="348" spans="1:12" s="270" customFormat="1">
      <c r="A348" s="867" t="s">
        <v>607</v>
      </c>
      <c r="B348" s="863"/>
      <c r="C348" s="863"/>
      <c r="D348" s="868"/>
      <c r="E348" s="869"/>
      <c r="F348" s="870"/>
      <c r="G348" s="871"/>
      <c r="H348" s="864"/>
      <c r="I348" s="865"/>
      <c r="J348" s="295"/>
      <c r="K348" s="296">
        <f t="shared" si="6"/>
        <v>0</v>
      </c>
      <c r="L348" s="381"/>
    </row>
    <row r="349" spans="1:12" s="270" customFormat="1">
      <c r="A349" s="867" t="s">
        <v>607</v>
      </c>
      <c r="B349" s="863"/>
      <c r="C349" s="863"/>
      <c r="D349" s="868"/>
      <c r="E349" s="869"/>
      <c r="F349" s="870"/>
      <c r="G349" s="871"/>
      <c r="H349" s="864"/>
      <c r="I349" s="865"/>
      <c r="J349" s="295"/>
      <c r="K349" s="296">
        <f t="shared" si="6"/>
        <v>0</v>
      </c>
      <c r="L349" s="381"/>
    </row>
    <row r="350" spans="1:12" s="270" customFormat="1">
      <c r="A350" s="867" t="s">
        <v>607</v>
      </c>
      <c r="B350" s="863"/>
      <c r="C350" s="863"/>
      <c r="D350" s="868"/>
      <c r="E350" s="869"/>
      <c r="F350" s="870"/>
      <c r="G350" s="871"/>
      <c r="H350" s="864"/>
      <c r="I350" s="865"/>
      <c r="J350" s="295"/>
      <c r="K350" s="296">
        <f t="shared" si="6"/>
        <v>0</v>
      </c>
      <c r="L350" s="381"/>
    </row>
    <row r="351" spans="1:12" s="270" customFormat="1">
      <c r="A351" s="867" t="s">
        <v>602</v>
      </c>
      <c r="B351" s="863"/>
      <c r="C351" s="863"/>
      <c r="D351" s="868"/>
      <c r="E351" s="869"/>
      <c r="F351" s="870"/>
      <c r="G351" s="871"/>
      <c r="H351" s="864"/>
      <c r="I351" s="865"/>
      <c r="J351" s="295"/>
      <c r="K351" s="296">
        <f t="shared" si="6"/>
        <v>0</v>
      </c>
      <c r="L351" s="381"/>
    </row>
    <row r="352" spans="1:12" s="270" customFormat="1">
      <c r="A352" s="867" t="s">
        <v>602</v>
      </c>
      <c r="B352" s="863"/>
      <c r="C352" s="863"/>
      <c r="D352" s="868"/>
      <c r="E352" s="869"/>
      <c r="F352" s="870"/>
      <c r="G352" s="871"/>
      <c r="H352" s="864"/>
      <c r="I352" s="865"/>
      <c r="J352" s="295"/>
      <c r="K352" s="296">
        <f t="shared" si="6"/>
        <v>0</v>
      </c>
      <c r="L352" s="381"/>
    </row>
    <row r="353" spans="1:12" s="270" customFormat="1">
      <c r="A353" s="867" t="s">
        <v>602</v>
      </c>
      <c r="B353" s="863"/>
      <c r="C353" s="863"/>
      <c r="D353" s="868"/>
      <c r="E353" s="869"/>
      <c r="F353" s="870"/>
      <c r="G353" s="871"/>
      <c r="H353" s="864"/>
      <c r="I353" s="865"/>
      <c r="J353" s="295"/>
      <c r="K353" s="296">
        <f t="shared" ref="K353:K384" si="7">IF(LEFT(A353,2)="TU",(J353-I353)*E353/100*100000*2,(J353-I353)*E353/100*100000)</f>
        <v>0</v>
      </c>
      <c r="L353" s="381"/>
    </row>
    <row r="354" spans="1:12" s="270" customFormat="1">
      <c r="A354" s="867" t="s">
        <v>602</v>
      </c>
      <c r="B354" s="863"/>
      <c r="C354" s="863"/>
      <c r="D354" s="868"/>
      <c r="E354" s="869"/>
      <c r="F354" s="870"/>
      <c r="G354" s="871"/>
      <c r="H354" s="864"/>
      <c r="I354" s="865"/>
      <c r="J354" s="295"/>
      <c r="K354" s="296">
        <f t="shared" si="7"/>
        <v>0</v>
      </c>
      <c r="L354" s="381"/>
    </row>
    <row r="355" spans="1:12" s="270" customFormat="1">
      <c r="A355" s="867" t="s">
        <v>602</v>
      </c>
      <c r="B355" s="863"/>
      <c r="C355" s="863"/>
      <c r="D355" s="868"/>
      <c r="E355" s="869"/>
      <c r="F355" s="870"/>
      <c r="G355" s="871"/>
      <c r="H355" s="864"/>
      <c r="I355" s="865"/>
      <c r="J355" s="295"/>
      <c r="K355" s="296">
        <f t="shared" si="7"/>
        <v>0</v>
      </c>
      <c r="L355" s="381"/>
    </row>
    <row r="356" spans="1:12" s="270" customFormat="1">
      <c r="A356" s="867" t="s">
        <v>602</v>
      </c>
      <c r="B356" s="863"/>
      <c r="C356" s="863"/>
      <c r="D356" s="868"/>
      <c r="E356" s="869"/>
      <c r="F356" s="870"/>
      <c r="G356" s="871"/>
      <c r="H356" s="864"/>
      <c r="I356" s="865"/>
      <c r="J356" s="295"/>
      <c r="K356" s="296">
        <f t="shared" si="7"/>
        <v>0</v>
      </c>
      <c r="L356" s="381"/>
    </row>
    <row r="357" spans="1:12" s="270" customFormat="1">
      <c r="A357" s="867" t="s">
        <v>602</v>
      </c>
      <c r="B357" s="863"/>
      <c r="C357" s="863"/>
      <c r="D357" s="868"/>
      <c r="E357" s="869"/>
      <c r="F357" s="870"/>
      <c r="G357" s="871"/>
      <c r="H357" s="864"/>
      <c r="I357" s="865"/>
      <c r="J357" s="295"/>
      <c r="K357" s="296">
        <f t="shared" si="7"/>
        <v>0</v>
      </c>
      <c r="L357" s="381"/>
    </row>
    <row r="358" spans="1:12" s="270" customFormat="1">
      <c r="A358" s="867" t="s">
        <v>602</v>
      </c>
      <c r="B358" s="863"/>
      <c r="C358" s="863"/>
      <c r="D358" s="868"/>
      <c r="E358" s="869"/>
      <c r="F358" s="870"/>
      <c r="G358" s="871"/>
      <c r="H358" s="864"/>
      <c r="I358" s="865"/>
      <c r="J358" s="295"/>
      <c r="K358" s="296">
        <f t="shared" si="7"/>
        <v>0</v>
      </c>
      <c r="L358" s="381"/>
    </row>
    <row r="359" spans="1:12" s="270" customFormat="1">
      <c r="A359" s="867" t="s">
        <v>602</v>
      </c>
      <c r="B359" s="863"/>
      <c r="C359" s="863"/>
      <c r="D359" s="868"/>
      <c r="E359" s="869"/>
      <c r="F359" s="870"/>
      <c r="G359" s="871"/>
      <c r="H359" s="864"/>
      <c r="I359" s="865"/>
      <c r="J359" s="295"/>
      <c r="K359" s="296">
        <f t="shared" si="7"/>
        <v>0</v>
      </c>
      <c r="L359" s="381"/>
    </row>
    <row r="360" spans="1:12" s="270" customFormat="1">
      <c r="A360" s="867" t="s">
        <v>602</v>
      </c>
      <c r="B360" s="863"/>
      <c r="C360" s="863"/>
      <c r="D360" s="868"/>
      <c r="E360" s="869"/>
      <c r="F360" s="870"/>
      <c r="G360" s="871"/>
      <c r="H360" s="864"/>
      <c r="I360" s="865"/>
      <c r="J360" s="295"/>
      <c r="K360" s="296">
        <f t="shared" si="7"/>
        <v>0</v>
      </c>
      <c r="L360" s="381"/>
    </row>
    <row r="361" spans="1:12" s="270" customFormat="1">
      <c r="A361" s="867" t="s">
        <v>602</v>
      </c>
      <c r="B361" s="863"/>
      <c r="C361" s="863"/>
      <c r="D361" s="868"/>
      <c r="E361" s="869"/>
      <c r="F361" s="870"/>
      <c r="G361" s="871"/>
      <c r="H361" s="864"/>
      <c r="I361" s="865"/>
      <c r="J361" s="295"/>
      <c r="K361" s="296">
        <f t="shared" si="7"/>
        <v>0</v>
      </c>
      <c r="L361" s="381"/>
    </row>
    <row r="362" spans="1:12" s="270" customFormat="1">
      <c r="A362" s="867" t="s">
        <v>602</v>
      </c>
      <c r="B362" s="863"/>
      <c r="C362" s="863"/>
      <c r="D362" s="868"/>
      <c r="E362" s="869"/>
      <c r="F362" s="870"/>
      <c r="G362" s="871"/>
      <c r="H362" s="864"/>
      <c r="I362" s="865"/>
      <c r="J362" s="295"/>
      <c r="K362" s="296">
        <f t="shared" si="7"/>
        <v>0</v>
      </c>
      <c r="L362" s="381"/>
    </row>
    <row r="363" spans="1:12" s="270" customFormat="1">
      <c r="A363" s="867" t="s">
        <v>602</v>
      </c>
      <c r="B363" s="863"/>
      <c r="C363" s="863"/>
      <c r="D363" s="868"/>
      <c r="E363" s="869"/>
      <c r="F363" s="870"/>
      <c r="G363" s="871"/>
      <c r="H363" s="864"/>
      <c r="I363" s="865"/>
      <c r="J363" s="295"/>
      <c r="K363" s="296">
        <f t="shared" si="7"/>
        <v>0</v>
      </c>
      <c r="L363" s="381"/>
    </row>
    <row r="364" spans="1:12" s="270" customFormat="1">
      <c r="A364" s="867" t="s">
        <v>602</v>
      </c>
      <c r="B364" s="863"/>
      <c r="C364" s="863"/>
      <c r="D364" s="868"/>
      <c r="E364" s="869"/>
      <c r="F364" s="870"/>
      <c r="G364" s="871"/>
      <c r="H364" s="864"/>
      <c r="I364" s="865"/>
      <c r="J364" s="295"/>
      <c r="K364" s="296">
        <f t="shared" si="7"/>
        <v>0</v>
      </c>
      <c r="L364" s="381"/>
    </row>
    <row r="365" spans="1:12" s="270" customFormat="1">
      <c r="A365" s="867" t="s">
        <v>602</v>
      </c>
      <c r="B365" s="863"/>
      <c r="C365" s="863"/>
      <c r="D365" s="868"/>
      <c r="E365" s="869"/>
      <c r="F365" s="870"/>
      <c r="G365" s="871"/>
      <c r="H365" s="864"/>
      <c r="I365" s="865"/>
      <c r="J365" s="295"/>
      <c r="K365" s="296">
        <f t="shared" si="7"/>
        <v>0</v>
      </c>
      <c r="L365" s="381"/>
    </row>
    <row r="366" spans="1:12" s="270" customFormat="1">
      <c r="A366" s="867" t="s">
        <v>602</v>
      </c>
      <c r="B366" s="863"/>
      <c r="C366" s="863"/>
      <c r="D366" s="868"/>
      <c r="E366" s="869"/>
      <c r="F366" s="870"/>
      <c r="G366" s="871"/>
      <c r="H366" s="864"/>
      <c r="I366" s="865"/>
      <c r="J366" s="295"/>
      <c r="K366" s="296">
        <f t="shared" si="7"/>
        <v>0</v>
      </c>
      <c r="L366" s="381"/>
    </row>
    <row r="367" spans="1:12" s="270" customFormat="1">
      <c r="A367" s="867" t="s">
        <v>602</v>
      </c>
      <c r="B367" s="863"/>
      <c r="C367" s="863"/>
      <c r="D367" s="868"/>
      <c r="E367" s="869"/>
      <c r="F367" s="870"/>
      <c r="G367" s="871"/>
      <c r="H367" s="864"/>
      <c r="I367" s="865"/>
      <c r="J367" s="295"/>
      <c r="K367" s="296">
        <f t="shared" si="7"/>
        <v>0</v>
      </c>
      <c r="L367" s="381"/>
    </row>
    <row r="368" spans="1:12" s="270" customFormat="1">
      <c r="A368" s="867" t="s">
        <v>602</v>
      </c>
      <c r="B368" s="863"/>
      <c r="C368" s="863"/>
      <c r="D368" s="868"/>
      <c r="E368" s="869"/>
      <c r="F368" s="870"/>
      <c r="G368" s="871"/>
      <c r="H368" s="864"/>
      <c r="I368" s="865"/>
      <c r="J368" s="295"/>
      <c r="K368" s="296">
        <f t="shared" si="7"/>
        <v>0</v>
      </c>
      <c r="L368" s="381"/>
    </row>
    <row r="369" spans="1:12" s="270" customFormat="1">
      <c r="A369" s="867" t="s">
        <v>602</v>
      </c>
      <c r="B369" s="863"/>
      <c r="C369" s="863"/>
      <c r="D369" s="868"/>
      <c r="E369" s="869"/>
      <c r="F369" s="870"/>
      <c r="G369" s="871"/>
      <c r="H369" s="864"/>
      <c r="I369" s="865"/>
      <c r="J369" s="295"/>
      <c r="K369" s="296">
        <f t="shared" si="7"/>
        <v>0</v>
      </c>
      <c r="L369" s="381"/>
    </row>
    <row r="370" spans="1:12" s="270" customFormat="1">
      <c r="A370" s="867" t="s">
        <v>602</v>
      </c>
      <c r="B370" s="863"/>
      <c r="C370" s="863"/>
      <c r="D370" s="868"/>
      <c r="E370" s="869"/>
      <c r="F370" s="870"/>
      <c r="G370" s="871"/>
      <c r="H370" s="864"/>
      <c r="I370" s="865"/>
      <c r="J370" s="295"/>
      <c r="K370" s="296">
        <f t="shared" si="7"/>
        <v>0</v>
      </c>
      <c r="L370" s="381"/>
    </row>
    <row r="371" spans="1:12" s="270" customFormat="1">
      <c r="A371" s="867" t="s">
        <v>602</v>
      </c>
      <c r="B371" s="863"/>
      <c r="C371" s="863"/>
      <c r="D371" s="868"/>
      <c r="E371" s="869"/>
      <c r="F371" s="870"/>
      <c r="G371" s="871"/>
      <c r="H371" s="864"/>
      <c r="I371" s="865"/>
      <c r="J371" s="295"/>
      <c r="K371" s="296">
        <f t="shared" si="7"/>
        <v>0</v>
      </c>
      <c r="L371" s="381"/>
    </row>
    <row r="372" spans="1:12" s="270" customFormat="1">
      <c r="A372" s="867" t="s">
        <v>602</v>
      </c>
      <c r="B372" s="863"/>
      <c r="C372" s="863"/>
      <c r="D372" s="868"/>
      <c r="E372" s="869"/>
      <c r="F372" s="870"/>
      <c r="G372" s="871"/>
      <c r="H372" s="864"/>
      <c r="I372" s="865"/>
      <c r="J372" s="295"/>
      <c r="K372" s="296">
        <f t="shared" si="7"/>
        <v>0</v>
      </c>
      <c r="L372" s="381"/>
    </row>
    <row r="373" spans="1:12" s="270" customFormat="1">
      <c r="A373" s="867" t="s">
        <v>602</v>
      </c>
      <c r="B373" s="863"/>
      <c r="C373" s="863"/>
      <c r="D373" s="868"/>
      <c r="E373" s="869"/>
      <c r="F373" s="870"/>
      <c r="G373" s="871"/>
      <c r="H373" s="864"/>
      <c r="I373" s="865"/>
      <c r="J373" s="295"/>
      <c r="K373" s="296">
        <f t="shared" si="7"/>
        <v>0</v>
      </c>
      <c r="L373" s="381"/>
    </row>
    <row r="374" spans="1:12" s="270" customFormat="1">
      <c r="A374" s="867" t="s">
        <v>602</v>
      </c>
      <c r="B374" s="863"/>
      <c r="C374" s="863"/>
      <c r="D374" s="868"/>
      <c r="E374" s="869"/>
      <c r="F374" s="870"/>
      <c r="G374" s="871"/>
      <c r="H374" s="864"/>
      <c r="I374" s="865"/>
      <c r="J374" s="295"/>
      <c r="K374" s="296">
        <f t="shared" si="7"/>
        <v>0</v>
      </c>
      <c r="L374" s="381"/>
    </row>
    <row r="375" spans="1:12" s="270" customFormat="1">
      <c r="A375" s="867" t="s">
        <v>602</v>
      </c>
      <c r="B375" s="863"/>
      <c r="C375" s="863"/>
      <c r="D375" s="868"/>
      <c r="E375" s="869"/>
      <c r="F375" s="870"/>
      <c r="G375" s="871"/>
      <c r="H375" s="864"/>
      <c r="I375" s="865"/>
      <c r="J375" s="295"/>
      <c r="K375" s="296">
        <f t="shared" si="7"/>
        <v>0</v>
      </c>
      <c r="L375" s="381"/>
    </row>
    <row r="376" spans="1:12" s="270" customFormat="1">
      <c r="A376" s="867" t="s">
        <v>602</v>
      </c>
      <c r="B376" s="863"/>
      <c r="C376" s="863"/>
      <c r="D376" s="868"/>
      <c r="E376" s="869"/>
      <c r="F376" s="870"/>
      <c r="G376" s="871"/>
      <c r="H376" s="864"/>
      <c r="I376" s="865"/>
      <c r="J376" s="295"/>
      <c r="K376" s="296">
        <f t="shared" si="7"/>
        <v>0</v>
      </c>
      <c r="L376" s="381"/>
    </row>
    <row r="377" spans="1:12" s="270" customFormat="1">
      <c r="A377" s="867" t="s">
        <v>602</v>
      </c>
      <c r="B377" s="863"/>
      <c r="C377" s="863"/>
      <c r="D377" s="868"/>
      <c r="E377" s="869"/>
      <c r="F377" s="870"/>
      <c r="G377" s="871"/>
      <c r="H377" s="864"/>
      <c r="I377" s="865"/>
      <c r="J377" s="295"/>
      <c r="K377" s="296">
        <f t="shared" si="7"/>
        <v>0</v>
      </c>
      <c r="L377" s="381"/>
    </row>
    <row r="378" spans="1:12" s="270" customFormat="1">
      <c r="A378" s="867" t="s">
        <v>602</v>
      </c>
      <c r="B378" s="863"/>
      <c r="C378" s="863"/>
      <c r="D378" s="868"/>
      <c r="E378" s="869"/>
      <c r="F378" s="870"/>
      <c r="G378" s="871"/>
      <c r="H378" s="864"/>
      <c r="I378" s="865"/>
      <c r="J378" s="295"/>
      <c r="K378" s="296">
        <f t="shared" si="7"/>
        <v>0</v>
      </c>
      <c r="L378" s="381"/>
    </row>
    <row r="379" spans="1:12" s="270" customFormat="1">
      <c r="A379" s="867" t="s">
        <v>602</v>
      </c>
      <c r="B379" s="863"/>
      <c r="C379" s="863"/>
      <c r="D379" s="868"/>
      <c r="E379" s="869"/>
      <c r="F379" s="870"/>
      <c r="G379" s="871"/>
      <c r="H379" s="864"/>
      <c r="I379" s="865"/>
      <c r="J379" s="295"/>
      <c r="K379" s="296">
        <f t="shared" si="7"/>
        <v>0</v>
      </c>
      <c r="L379" s="381"/>
    </row>
    <row r="380" spans="1:12" s="270" customFormat="1">
      <c r="A380" s="867" t="s">
        <v>602</v>
      </c>
      <c r="B380" s="863"/>
      <c r="C380" s="863"/>
      <c r="D380" s="868"/>
      <c r="E380" s="869"/>
      <c r="F380" s="870"/>
      <c r="G380" s="871"/>
      <c r="H380" s="864"/>
      <c r="I380" s="865"/>
      <c r="J380" s="295"/>
      <c r="K380" s="296">
        <f t="shared" si="7"/>
        <v>0</v>
      </c>
      <c r="L380" s="381"/>
    </row>
    <row r="381" spans="1:12" s="270" customFormat="1">
      <c r="A381" s="867" t="s">
        <v>602</v>
      </c>
      <c r="B381" s="863"/>
      <c r="C381" s="863"/>
      <c r="D381" s="868"/>
      <c r="E381" s="869"/>
      <c r="F381" s="870"/>
      <c r="G381" s="871"/>
      <c r="H381" s="864"/>
      <c r="I381" s="865"/>
      <c r="J381" s="295"/>
      <c r="K381" s="296">
        <f t="shared" si="7"/>
        <v>0</v>
      </c>
      <c r="L381" s="381"/>
    </row>
    <row r="382" spans="1:12" s="270" customFormat="1">
      <c r="A382" s="867" t="s">
        <v>602</v>
      </c>
      <c r="B382" s="863"/>
      <c r="C382" s="863"/>
      <c r="D382" s="868"/>
      <c r="E382" s="869"/>
      <c r="F382" s="870"/>
      <c r="G382" s="871"/>
      <c r="H382" s="864"/>
      <c r="I382" s="865"/>
      <c r="J382" s="295"/>
      <c r="K382" s="296">
        <f t="shared" si="7"/>
        <v>0</v>
      </c>
      <c r="L382" s="381"/>
    </row>
    <row r="383" spans="1:12" s="270" customFormat="1">
      <c r="A383" s="867" t="s">
        <v>602</v>
      </c>
      <c r="B383" s="863"/>
      <c r="C383" s="863"/>
      <c r="D383" s="868"/>
      <c r="E383" s="869"/>
      <c r="F383" s="870"/>
      <c r="G383" s="871"/>
      <c r="H383" s="864"/>
      <c r="I383" s="865"/>
      <c r="J383" s="295"/>
      <c r="K383" s="296">
        <f t="shared" si="7"/>
        <v>0</v>
      </c>
      <c r="L383" s="381"/>
    </row>
    <row r="384" spans="1:12" s="270" customFormat="1">
      <c r="A384" s="867" t="s">
        <v>602</v>
      </c>
      <c r="B384" s="863"/>
      <c r="C384" s="863"/>
      <c r="D384" s="868"/>
      <c r="E384" s="869"/>
      <c r="F384" s="870"/>
      <c r="G384" s="871"/>
      <c r="H384" s="864"/>
      <c r="I384" s="865"/>
      <c r="J384" s="295"/>
      <c r="K384" s="296">
        <f t="shared" si="7"/>
        <v>0</v>
      </c>
      <c r="L384" s="381"/>
    </row>
    <row r="385" spans="1:12" s="270" customFormat="1">
      <c r="A385" s="867" t="s">
        <v>602</v>
      </c>
      <c r="B385" s="863"/>
      <c r="C385" s="863"/>
      <c r="D385" s="868"/>
      <c r="E385" s="869"/>
      <c r="F385" s="870"/>
      <c r="G385" s="871"/>
      <c r="H385" s="864"/>
      <c r="I385" s="865"/>
      <c r="J385" s="295"/>
      <c r="K385" s="296">
        <f t="shared" ref="K385:K416" si="8">IF(LEFT(A385,2)="TU",(J385-I385)*E385/100*100000*2,(J385-I385)*E385/100*100000)</f>
        <v>0</v>
      </c>
      <c r="L385" s="381"/>
    </row>
    <row r="386" spans="1:12" s="270" customFormat="1">
      <c r="A386" s="867" t="s">
        <v>602</v>
      </c>
      <c r="B386" s="863"/>
      <c r="C386" s="863"/>
      <c r="D386" s="868"/>
      <c r="E386" s="869"/>
      <c r="F386" s="870"/>
      <c r="G386" s="871"/>
      <c r="H386" s="864"/>
      <c r="I386" s="865"/>
      <c r="J386" s="295"/>
      <c r="K386" s="296">
        <f t="shared" si="8"/>
        <v>0</v>
      </c>
      <c r="L386" s="381"/>
    </row>
    <row r="387" spans="1:12" s="270" customFormat="1">
      <c r="A387" s="867" t="s">
        <v>602</v>
      </c>
      <c r="B387" s="863"/>
      <c r="C387" s="863"/>
      <c r="D387" s="868"/>
      <c r="E387" s="869"/>
      <c r="F387" s="870"/>
      <c r="G387" s="871"/>
      <c r="H387" s="864"/>
      <c r="I387" s="865"/>
      <c r="J387" s="295"/>
      <c r="K387" s="296">
        <f t="shared" si="8"/>
        <v>0</v>
      </c>
      <c r="L387" s="381"/>
    </row>
    <row r="388" spans="1:12" s="270" customFormat="1">
      <c r="A388" s="867" t="s">
        <v>602</v>
      </c>
      <c r="B388" s="863"/>
      <c r="C388" s="863"/>
      <c r="D388" s="868"/>
      <c r="E388" s="869"/>
      <c r="F388" s="870"/>
      <c r="G388" s="871"/>
      <c r="H388" s="864"/>
      <c r="I388" s="865"/>
      <c r="J388" s="295"/>
      <c r="K388" s="296">
        <f t="shared" si="8"/>
        <v>0</v>
      </c>
      <c r="L388" s="381"/>
    </row>
    <row r="389" spans="1:12" s="270" customFormat="1">
      <c r="A389" s="867" t="s">
        <v>607</v>
      </c>
      <c r="B389" s="863"/>
      <c r="C389" s="863"/>
      <c r="D389" s="868"/>
      <c r="E389" s="869"/>
      <c r="F389" s="870"/>
      <c r="G389" s="871"/>
      <c r="H389" s="864"/>
      <c r="I389" s="865"/>
      <c r="J389" s="295"/>
      <c r="K389" s="296">
        <f t="shared" si="8"/>
        <v>0</v>
      </c>
      <c r="L389" s="381"/>
    </row>
    <row r="390" spans="1:12" s="270" customFormat="1">
      <c r="A390" s="867" t="s">
        <v>607</v>
      </c>
      <c r="B390" s="863"/>
      <c r="C390" s="863"/>
      <c r="D390" s="868"/>
      <c r="E390" s="869"/>
      <c r="F390" s="870"/>
      <c r="G390" s="871"/>
      <c r="H390" s="864"/>
      <c r="I390" s="865"/>
      <c r="J390" s="295"/>
      <c r="K390" s="296">
        <f t="shared" si="8"/>
        <v>0</v>
      </c>
      <c r="L390" s="381"/>
    </row>
    <row r="391" spans="1:12" s="270" customFormat="1">
      <c r="A391" s="867" t="s">
        <v>602</v>
      </c>
      <c r="B391" s="863"/>
      <c r="C391" s="863"/>
      <c r="D391" s="868"/>
      <c r="E391" s="869"/>
      <c r="F391" s="870"/>
      <c r="G391" s="871"/>
      <c r="H391" s="864"/>
      <c r="I391" s="865"/>
      <c r="J391" s="295"/>
      <c r="K391" s="296">
        <f t="shared" si="8"/>
        <v>0</v>
      </c>
      <c r="L391" s="381"/>
    </row>
    <row r="392" spans="1:12" s="270" customFormat="1">
      <c r="A392" s="867" t="s">
        <v>602</v>
      </c>
      <c r="B392" s="863"/>
      <c r="C392" s="863"/>
      <c r="D392" s="868"/>
      <c r="E392" s="869"/>
      <c r="F392" s="870"/>
      <c r="G392" s="871"/>
      <c r="H392" s="864"/>
      <c r="I392" s="865"/>
      <c r="J392" s="295"/>
      <c r="K392" s="296">
        <f t="shared" si="8"/>
        <v>0</v>
      </c>
      <c r="L392" s="381"/>
    </row>
    <row r="393" spans="1:12" s="270" customFormat="1">
      <c r="A393" s="867" t="s">
        <v>629</v>
      </c>
      <c r="B393" s="863"/>
      <c r="C393" s="863"/>
      <c r="D393" s="868"/>
      <c r="E393" s="869"/>
      <c r="F393" s="870"/>
      <c r="G393" s="871"/>
      <c r="H393" s="864"/>
      <c r="I393" s="865"/>
      <c r="J393" s="295"/>
      <c r="K393" s="296">
        <f t="shared" si="8"/>
        <v>0</v>
      </c>
      <c r="L393" s="381"/>
    </row>
    <row r="394" spans="1:12" s="270" customFormat="1">
      <c r="A394" s="867" t="s">
        <v>629</v>
      </c>
      <c r="B394" s="863"/>
      <c r="C394" s="863"/>
      <c r="D394" s="868"/>
      <c r="E394" s="869"/>
      <c r="F394" s="870"/>
      <c r="G394" s="871"/>
      <c r="H394" s="864"/>
      <c r="I394" s="865"/>
      <c r="J394" s="295"/>
      <c r="K394" s="296">
        <f t="shared" si="8"/>
        <v>0</v>
      </c>
      <c r="L394" s="381"/>
    </row>
    <row r="395" spans="1:12" s="270" customFormat="1">
      <c r="A395" s="867" t="s">
        <v>629</v>
      </c>
      <c r="B395" s="863"/>
      <c r="C395" s="863"/>
      <c r="D395" s="868"/>
      <c r="E395" s="869"/>
      <c r="F395" s="870"/>
      <c r="G395" s="871"/>
      <c r="H395" s="864"/>
      <c r="I395" s="865"/>
      <c r="J395" s="295"/>
      <c r="K395" s="296">
        <f t="shared" si="8"/>
        <v>0</v>
      </c>
      <c r="L395" s="381"/>
    </row>
    <row r="396" spans="1:12" s="270" customFormat="1">
      <c r="A396" s="867" t="s">
        <v>629</v>
      </c>
      <c r="B396" s="863"/>
      <c r="C396" s="863"/>
      <c r="D396" s="868"/>
      <c r="E396" s="869"/>
      <c r="F396" s="870"/>
      <c r="G396" s="871"/>
      <c r="H396" s="864"/>
      <c r="I396" s="865"/>
      <c r="J396" s="295"/>
      <c r="K396" s="296">
        <f t="shared" si="8"/>
        <v>0</v>
      </c>
      <c r="L396" s="381"/>
    </row>
    <row r="397" spans="1:12" s="270" customFormat="1">
      <c r="A397" s="867" t="s">
        <v>629</v>
      </c>
      <c r="B397" s="863"/>
      <c r="C397" s="863"/>
      <c r="D397" s="868"/>
      <c r="E397" s="869"/>
      <c r="F397" s="870"/>
      <c r="G397" s="871"/>
      <c r="H397" s="864"/>
      <c r="I397" s="865"/>
      <c r="J397" s="295"/>
      <c r="K397" s="296">
        <f t="shared" si="8"/>
        <v>0</v>
      </c>
      <c r="L397" s="381"/>
    </row>
    <row r="398" spans="1:12" s="270" customFormat="1">
      <c r="A398" s="867" t="s">
        <v>631</v>
      </c>
      <c r="B398" s="863"/>
      <c r="C398" s="863"/>
      <c r="D398" s="868"/>
      <c r="E398" s="869"/>
      <c r="F398" s="870"/>
      <c r="G398" s="871"/>
      <c r="H398" s="864"/>
      <c r="I398" s="865"/>
      <c r="J398" s="295"/>
      <c r="K398" s="296">
        <f t="shared" si="8"/>
        <v>0</v>
      </c>
      <c r="L398" s="381"/>
    </row>
    <row r="399" spans="1:12" s="270" customFormat="1">
      <c r="A399" s="867" t="s">
        <v>631</v>
      </c>
      <c r="B399" s="863"/>
      <c r="C399" s="863"/>
      <c r="D399" s="868"/>
      <c r="E399" s="869"/>
      <c r="F399" s="870"/>
      <c r="G399" s="871"/>
      <c r="H399" s="864"/>
      <c r="I399" s="865"/>
      <c r="J399" s="295"/>
      <c r="K399" s="296">
        <f t="shared" si="8"/>
        <v>0</v>
      </c>
      <c r="L399" s="381"/>
    </row>
    <row r="400" spans="1:12" s="270" customFormat="1">
      <c r="A400" s="867" t="s">
        <v>631</v>
      </c>
      <c r="B400" s="863"/>
      <c r="C400" s="863"/>
      <c r="D400" s="868"/>
      <c r="E400" s="869"/>
      <c r="F400" s="870"/>
      <c r="G400" s="871"/>
      <c r="H400" s="864"/>
      <c r="I400" s="865"/>
      <c r="J400" s="295"/>
      <c r="K400" s="296">
        <f t="shared" si="8"/>
        <v>0</v>
      </c>
      <c r="L400" s="381"/>
    </row>
    <row r="401" spans="1:12" s="270" customFormat="1">
      <c r="A401" s="867" t="s">
        <v>631</v>
      </c>
      <c r="B401" s="863"/>
      <c r="C401" s="863"/>
      <c r="D401" s="868"/>
      <c r="E401" s="869"/>
      <c r="F401" s="870"/>
      <c r="G401" s="871"/>
      <c r="H401" s="864"/>
      <c r="I401" s="865"/>
      <c r="J401" s="295"/>
      <c r="K401" s="296">
        <f t="shared" si="8"/>
        <v>0</v>
      </c>
      <c r="L401" s="381"/>
    </row>
    <row r="402" spans="1:12" s="270" customFormat="1">
      <c r="A402" s="867" t="s">
        <v>631</v>
      </c>
      <c r="B402" s="863"/>
      <c r="C402" s="863"/>
      <c r="D402" s="868"/>
      <c r="E402" s="869"/>
      <c r="F402" s="870"/>
      <c r="G402" s="871"/>
      <c r="H402" s="864"/>
      <c r="I402" s="865"/>
      <c r="J402" s="295"/>
      <c r="K402" s="296">
        <f t="shared" si="8"/>
        <v>0</v>
      </c>
      <c r="L402" s="381"/>
    </row>
    <row r="403" spans="1:12" s="270" customFormat="1">
      <c r="A403" s="867" t="s">
        <v>631</v>
      </c>
      <c r="B403" s="863"/>
      <c r="C403" s="863"/>
      <c r="D403" s="868"/>
      <c r="E403" s="869"/>
      <c r="F403" s="870"/>
      <c r="G403" s="871"/>
      <c r="H403" s="864"/>
      <c r="I403" s="865"/>
      <c r="J403" s="295"/>
      <c r="K403" s="296">
        <f t="shared" si="8"/>
        <v>0</v>
      </c>
      <c r="L403" s="381"/>
    </row>
    <row r="404" spans="1:12" s="270" customFormat="1">
      <c r="A404" s="867" t="s">
        <v>631</v>
      </c>
      <c r="B404" s="863"/>
      <c r="C404" s="863"/>
      <c r="D404" s="868"/>
      <c r="E404" s="869"/>
      <c r="F404" s="870"/>
      <c r="G404" s="871"/>
      <c r="H404" s="864"/>
      <c r="I404" s="865"/>
      <c r="J404" s="295"/>
      <c r="K404" s="296">
        <f t="shared" si="8"/>
        <v>0</v>
      </c>
      <c r="L404" s="381"/>
    </row>
    <row r="405" spans="1:12" s="270" customFormat="1">
      <c r="A405" s="867" t="s">
        <v>631</v>
      </c>
      <c r="B405" s="863"/>
      <c r="C405" s="863"/>
      <c r="D405" s="868"/>
      <c r="E405" s="869"/>
      <c r="F405" s="870"/>
      <c r="G405" s="871"/>
      <c r="H405" s="864"/>
      <c r="I405" s="865"/>
      <c r="J405" s="295"/>
      <c r="K405" s="296">
        <f t="shared" si="8"/>
        <v>0</v>
      </c>
      <c r="L405" s="381"/>
    </row>
    <row r="406" spans="1:12" s="270" customFormat="1">
      <c r="A406" s="867" t="s">
        <v>629</v>
      </c>
      <c r="B406" s="863"/>
      <c r="C406" s="863"/>
      <c r="D406" s="868"/>
      <c r="E406" s="869"/>
      <c r="F406" s="870"/>
      <c r="G406" s="871"/>
      <c r="H406" s="864"/>
      <c r="I406" s="865"/>
      <c r="J406" s="295"/>
      <c r="K406" s="296">
        <f t="shared" si="8"/>
        <v>0</v>
      </c>
      <c r="L406" s="381"/>
    </row>
    <row r="407" spans="1:12" s="270" customFormat="1">
      <c r="A407" s="867" t="s">
        <v>629</v>
      </c>
      <c r="B407" s="863"/>
      <c r="C407" s="863"/>
      <c r="D407" s="868"/>
      <c r="E407" s="869"/>
      <c r="F407" s="870"/>
      <c r="G407" s="871"/>
      <c r="H407" s="864"/>
      <c r="I407" s="865"/>
      <c r="J407" s="295"/>
      <c r="K407" s="296">
        <f t="shared" si="8"/>
        <v>0</v>
      </c>
      <c r="L407" s="381"/>
    </row>
    <row r="408" spans="1:12" s="270" customFormat="1">
      <c r="A408" s="867" t="s">
        <v>629</v>
      </c>
      <c r="B408" s="863"/>
      <c r="C408" s="863"/>
      <c r="D408" s="868"/>
      <c r="E408" s="869"/>
      <c r="F408" s="870"/>
      <c r="G408" s="871"/>
      <c r="H408" s="864"/>
      <c r="I408" s="865"/>
      <c r="J408" s="295"/>
      <c r="K408" s="296">
        <f t="shared" si="8"/>
        <v>0</v>
      </c>
      <c r="L408" s="381"/>
    </row>
    <row r="409" spans="1:12" s="270" customFormat="1">
      <c r="A409" s="867" t="s">
        <v>629</v>
      </c>
      <c r="B409" s="863"/>
      <c r="C409" s="863"/>
      <c r="D409" s="868"/>
      <c r="E409" s="869"/>
      <c r="F409" s="870"/>
      <c r="G409" s="871"/>
      <c r="H409" s="864"/>
      <c r="I409" s="865"/>
      <c r="J409" s="295"/>
      <c r="K409" s="296">
        <f t="shared" si="8"/>
        <v>0</v>
      </c>
      <c r="L409" s="381"/>
    </row>
    <row r="410" spans="1:12" s="270" customFormat="1">
      <c r="A410" s="867" t="s">
        <v>629</v>
      </c>
      <c r="B410" s="863"/>
      <c r="C410" s="863"/>
      <c r="D410" s="868"/>
      <c r="E410" s="869"/>
      <c r="F410" s="870"/>
      <c r="G410" s="871"/>
      <c r="H410" s="864"/>
      <c r="I410" s="865"/>
      <c r="J410" s="295"/>
      <c r="K410" s="296">
        <f t="shared" si="8"/>
        <v>0</v>
      </c>
      <c r="L410" s="381"/>
    </row>
    <row r="411" spans="1:12" s="270" customFormat="1">
      <c r="A411" s="867" t="s">
        <v>629</v>
      </c>
      <c r="B411" s="863"/>
      <c r="C411" s="863"/>
      <c r="D411" s="868"/>
      <c r="E411" s="869"/>
      <c r="F411" s="870"/>
      <c r="G411" s="871"/>
      <c r="H411" s="864"/>
      <c r="I411" s="865"/>
      <c r="J411" s="295"/>
      <c r="K411" s="296">
        <f t="shared" si="8"/>
        <v>0</v>
      </c>
      <c r="L411" s="381"/>
    </row>
    <row r="412" spans="1:12" s="270" customFormat="1">
      <c r="A412" s="867" t="s">
        <v>629</v>
      </c>
      <c r="B412" s="863"/>
      <c r="C412" s="863"/>
      <c r="D412" s="868"/>
      <c r="E412" s="869"/>
      <c r="F412" s="870"/>
      <c r="G412" s="871"/>
      <c r="H412" s="864"/>
      <c r="I412" s="865"/>
      <c r="J412" s="295"/>
      <c r="K412" s="296">
        <f t="shared" si="8"/>
        <v>0</v>
      </c>
      <c r="L412" s="381"/>
    </row>
    <row r="413" spans="1:12" s="270" customFormat="1">
      <c r="A413" s="867" t="s">
        <v>629</v>
      </c>
      <c r="B413" s="863"/>
      <c r="C413" s="863"/>
      <c r="D413" s="868"/>
      <c r="E413" s="869"/>
      <c r="F413" s="870"/>
      <c r="G413" s="871"/>
      <c r="H413" s="864"/>
      <c r="I413" s="865"/>
      <c r="J413" s="295"/>
      <c r="K413" s="296">
        <f t="shared" si="8"/>
        <v>0</v>
      </c>
      <c r="L413" s="381"/>
    </row>
    <row r="414" spans="1:12" s="270" customFormat="1">
      <c r="A414" s="867" t="s">
        <v>528</v>
      </c>
      <c r="B414" s="863"/>
      <c r="C414" s="863"/>
      <c r="D414" s="868"/>
      <c r="E414" s="869"/>
      <c r="F414" s="870"/>
      <c r="G414" s="871"/>
      <c r="H414" s="864"/>
      <c r="I414" s="865"/>
      <c r="J414" s="295"/>
      <c r="K414" s="296">
        <f t="shared" si="8"/>
        <v>0</v>
      </c>
      <c r="L414" s="381"/>
    </row>
    <row r="415" spans="1:12" s="270" customFormat="1">
      <c r="A415" s="867" t="s">
        <v>526</v>
      </c>
      <c r="B415" s="863"/>
      <c r="C415" s="863"/>
      <c r="D415" s="868"/>
      <c r="E415" s="869"/>
      <c r="F415" s="870"/>
      <c r="G415" s="871"/>
      <c r="H415" s="864"/>
      <c r="I415" s="865"/>
      <c r="J415" s="295"/>
      <c r="K415" s="296">
        <f t="shared" si="8"/>
        <v>0</v>
      </c>
      <c r="L415" s="381"/>
    </row>
    <row r="416" spans="1:12" s="270" customFormat="1">
      <c r="A416" s="867" t="s">
        <v>526</v>
      </c>
      <c r="B416" s="863"/>
      <c r="C416" s="863"/>
      <c r="D416" s="868"/>
      <c r="E416" s="869"/>
      <c r="F416" s="870"/>
      <c r="G416" s="871"/>
      <c r="H416" s="864"/>
      <c r="I416" s="865"/>
      <c r="J416" s="295"/>
      <c r="K416" s="296">
        <f t="shared" si="8"/>
        <v>0</v>
      </c>
      <c r="L416" s="381"/>
    </row>
    <row r="417" spans="1:12" s="270" customFormat="1">
      <c r="A417" s="867" t="s">
        <v>526</v>
      </c>
      <c r="B417" s="863"/>
      <c r="C417" s="863"/>
      <c r="D417" s="868"/>
      <c r="E417" s="869"/>
      <c r="F417" s="870"/>
      <c r="G417" s="871"/>
      <c r="H417" s="864"/>
      <c r="I417" s="865"/>
      <c r="J417" s="295"/>
      <c r="K417" s="296">
        <f t="shared" ref="K417:K428" si="9">IF(LEFT(A417,2)="TU",(J417-I417)*E417/100*100000*2,(J417-I417)*E417/100*100000)</f>
        <v>0</v>
      </c>
      <c r="L417" s="381"/>
    </row>
    <row r="418" spans="1:12" s="270" customFormat="1">
      <c r="A418" s="867" t="s">
        <v>526</v>
      </c>
      <c r="B418" s="863"/>
      <c r="C418" s="863"/>
      <c r="D418" s="868"/>
      <c r="E418" s="869"/>
      <c r="F418" s="870"/>
      <c r="G418" s="871"/>
      <c r="H418" s="864"/>
      <c r="I418" s="865"/>
      <c r="J418" s="295"/>
      <c r="K418" s="296">
        <f t="shared" si="9"/>
        <v>0</v>
      </c>
      <c r="L418" s="381"/>
    </row>
    <row r="419" spans="1:12" s="270" customFormat="1">
      <c r="A419" s="867" t="s">
        <v>526</v>
      </c>
      <c r="B419" s="863"/>
      <c r="C419" s="863"/>
      <c r="D419" s="868"/>
      <c r="E419" s="869"/>
      <c r="F419" s="870"/>
      <c r="G419" s="871"/>
      <c r="H419" s="864"/>
      <c r="I419" s="865"/>
      <c r="J419" s="295"/>
      <c r="K419" s="296">
        <f t="shared" si="9"/>
        <v>0</v>
      </c>
      <c r="L419" s="381"/>
    </row>
    <row r="420" spans="1:12" s="270" customFormat="1">
      <c r="A420" s="867" t="s">
        <v>526</v>
      </c>
      <c r="B420" s="863"/>
      <c r="C420" s="863"/>
      <c r="D420" s="868"/>
      <c r="E420" s="869"/>
      <c r="F420" s="870"/>
      <c r="G420" s="871"/>
      <c r="H420" s="864"/>
      <c r="I420" s="865"/>
      <c r="J420" s="295"/>
      <c r="K420" s="296">
        <f t="shared" si="9"/>
        <v>0</v>
      </c>
      <c r="L420" s="381"/>
    </row>
    <row r="421" spans="1:12" s="270" customFormat="1">
      <c r="A421" s="867" t="s">
        <v>526</v>
      </c>
      <c r="B421" s="863"/>
      <c r="C421" s="863"/>
      <c r="D421" s="868"/>
      <c r="E421" s="869"/>
      <c r="F421" s="870"/>
      <c r="G421" s="871"/>
      <c r="H421" s="864"/>
      <c r="I421" s="865"/>
      <c r="J421" s="295"/>
      <c r="K421" s="296">
        <f t="shared" si="9"/>
        <v>0</v>
      </c>
      <c r="L421" s="381"/>
    </row>
    <row r="422" spans="1:12" s="270" customFormat="1">
      <c r="A422" s="867" t="s">
        <v>526</v>
      </c>
      <c r="B422" s="863"/>
      <c r="C422" s="863"/>
      <c r="D422" s="868"/>
      <c r="E422" s="869"/>
      <c r="F422" s="870"/>
      <c r="G422" s="871"/>
      <c r="H422" s="864"/>
      <c r="I422" s="865"/>
      <c r="J422" s="295"/>
      <c r="K422" s="296">
        <f t="shared" si="9"/>
        <v>0</v>
      </c>
      <c r="L422" s="381"/>
    </row>
    <row r="423" spans="1:12" s="270" customFormat="1">
      <c r="A423" s="867" t="s">
        <v>528</v>
      </c>
      <c r="B423" s="863"/>
      <c r="C423" s="863"/>
      <c r="D423" s="868"/>
      <c r="E423" s="869"/>
      <c r="F423" s="870"/>
      <c r="G423" s="871"/>
      <c r="H423" s="864"/>
      <c r="I423" s="865"/>
      <c r="J423" s="295"/>
      <c r="K423" s="296">
        <f t="shared" si="9"/>
        <v>0</v>
      </c>
      <c r="L423" s="381"/>
    </row>
    <row r="424" spans="1:12" s="270" customFormat="1">
      <c r="A424" s="867" t="s">
        <v>528</v>
      </c>
      <c r="B424" s="863"/>
      <c r="C424" s="863"/>
      <c r="D424" s="868"/>
      <c r="E424" s="869"/>
      <c r="F424" s="870"/>
      <c r="G424" s="871"/>
      <c r="H424" s="864"/>
      <c r="I424" s="865"/>
      <c r="J424" s="295"/>
      <c r="K424" s="296">
        <f t="shared" si="9"/>
        <v>0</v>
      </c>
      <c r="L424" s="381"/>
    </row>
    <row r="425" spans="1:12" s="270" customFormat="1">
      <c r="A425" s="867" t="s">
        <v>526</v>
      </c>
      <c r="B425" s="863"/>
      <c r="C425" s="863"/>
      <c r="D425" s="868"/>
      <c r="E425" s="869"/>
      <c r="F425" s="870"/>
      <c r="G425" s="871"/>
      <c r="H425" s="864"/>
      <c r="I425" s="865"/>
      <c r="J425" s="295"/>
      <c r="K425" s="296">
        <f t="shared" si="9"/>
        <v>0</v>
      </c>
      <c r="L425" s="381"/>
    </row>
    <row r="426" spans="1:12" s="270" customFormat="1">
      <c r="A426" s="867" t="s">
        <v>526</v>
      </c>
      <c r="B426" s="863"/>
      <c r="C426" s="863"/>
      <c r="D426" s="868"/>
      <c r="E426" s="869"/>
      <c r="F426" s="870"/>
      <c r="G426" s="871"/>
      <c r="H426" s="864"/>
      <c r="I426" s="865"/>
      <c r="J426" s="295"/>
      <c r="K426" s="296">
        <f t="shared" si="9"/>
        <v>0</v>
      </c>
      <c r="L426" s="381"/>
    </row>
    <row r="427" spans="1:12" s="270" customFormat="1">
      <c r="A427" s="867"/>
      <c r="B427" s="863"/>
      <c r="C427" s="863"/>
      <c r="D427" s="868"/>
      <c r="E427" s="869"/>
      <c r="F427" s="870"/>
      <c r="G427" s="871"/>
      <c r="H427" s="864"/>
      <c r="I427" s="865"/>
      <c r="J427" s="295"/>
      <c r="K427" s="296">
        <f t="shared" si="9"/>
        <v>0</v>
      </c>
      <c r="L427" s="381"/>
    </row>
    <row r="428" spans="1:12" s="270" customFormat="1">
      <c r="A428" s="867"/>
      <c r="B428" s="863"/>
      <c r="C428" s="863"/>
      <c r="D428" s="868"/>
      <c r="E428" s="869"/>
      <c r="F428" s="870"/>
      <c r="G428" s="871"/>
      <c r="H428" s="864"/>
      <c r="I428" s="865"/>
      <c r="J428" s="295"/>
      <c r="K428" s="296">
        <f t="shared" si="9"/>
        <v>0</v>
      </c>
      <c r="L428" s="381"/>
    </row>
    <row r="429" spans="1:12" s="270" customFormat="1">
      <c r="A429" s="349" t="s">
        <v>166</v>
      </c>
      <c r="B429" s="350"/>
      <c r="C429" s="351"/>
      <c r="D429" s="545"/>
      <c r="E429" s="352">
        <f>SUM(E35:E428)</f>
        <v>479</v>
      </c>
      <c r="F429" s="353"/>
      <c r="G429" s="354">
        <f>SUM(G35:G428)</f>
        <v>10941</v>
      </c>
      <c r="H429" s="486"/>
      <c r="I429" s="356"/>
      <c r="J429" s="357"/>
      <c r="K429" s="358">
        <f>SUM(K33:K428)+L271</f>
        <v>-34320.3125</v>
      </c>
      <c r="L429" s="381"/>
    </row>
    <row r="430" spans="1:12" s="270" customFormat="1">
      <c r="A430" s="359" t="s">
        <v>169</v>
      </c>
      <c r="B430" s="113"/>
      <c r="C430" s="274"/>
      <c r="D430" s="538"/>
      <c r="E430" s="114"/>
      <c r="F430" s="192"/>
      <c r="G430" s="118"/>
      <c r="H430" s="478"/>
      <c r="I430" s="125"/>
      <c r="J430" s="360"/>
      <c r="K430" s="261"/>
      <c r="L430" s="381"/>
    </row>
    <row r="431" spans="1:12" s="270" customFormat="1">
      <c r="A431" s="206" t="s">
        <v>99</v>
      </c>
      <c r="B431" s="207" t="s">
        <v>7</v>
      </c>
      <c r="C431" s="207" t="s">
        <v>171</v>
      </c>
      <c r="D431" s="535" t="s">
        <v>170</v>
      </c>
      <c r="E431" s="208" t="s">
        <v>11</v>
      </c>
      <c r="F431" s="207" t="s">
        <v>2</v>
      </c>
      <c r="G431" s="209" t="s">
        <v>12</v>
      </c>
      <c r="H431" s="482" t="s">
        <v>18</v>
      </c>
      <c r="I431" s="209" t="s">
        <v>210</v>
      </c>
      <c r="J431" s="207" t="s">
        <v>216</v>
      </c>
      <c r="K431" s="260" t="s">
        <v>212</v>
      </c>
      <c r="L431" s="381"/>
    </row>
    <row r="432" spans="1:12" s="270" customFormat="1">
      <c r="A432" s="325"/>
      <c r="B432" s="328"/>
      <c r="C432" s="328"/>
      <c r="D432" s="542"/>
      <c r="E432" s="330"/>
      <c r="F432" s="331"/>
      <c r="G432" s="332"/>
      <c r="H432" s="561"/>
      <c r="I432" s="335"/>
      <c r="J432" s="335"/>
      <c r="K432" s="336">
        <f t="shared" ref="K432:K437" si="10">(J432-I432)*E432/100*100000</f>
        <v>0</v>
      </c>
      <c r="L432" s="381"/>
    </row>
    <row r="433" spans="1:12" s="270" customFormat="1">
      <c r="A433" s="325"/>
      <c r="B433" s="328"/>
      <c r="C433" s="328"/>
      <c r="D433" s="542"/>
      <c r="E433" s="330"/>
      <c r="F433" s="331"/>
      <c r="G433" s="332"/>
      <c r="H433" s="561"/>
      <c r="I433" s="335"/>
      <c r="J433" s="335"/>
      <c r="K433" s="336">
        <f t="shared" si="10"/>
        <v>0</v>
      </c>
      <c r="L433" s="381"/>
    </row>
    <row r="434" spans="1:12" s="270" customFormat="1">
      <c r="A434" s="325"/>
      <c r="B434" s="328"/>
      <c r="C434" s="328"/>
      <c r="D434" s="542"/>
      <c r="E434" s="330"/>
      <c r="F434" s="331"/>
      <c r="G434" s="332"/>
      <c r="H434" s="561"/>
      <c r="I434" s="335"/>
      <c r="J434" s="335"/>
      <c r="K434" s="336">
        <f t="shared" si="10"/>
        <v>0</v>
      </c>
      <c r="L434" s="381"/>
    </row>
    <row r="435" spans="1:12" s="270" customFormat="1">
      <c r="A435" s="325"/>
      <c r="B435" s="328"/>
      <c r="C435" s="328"/>
      <c r="D435" s="542"/>
      <c r="E435" s="330"/>
      <c r="F435" s="331"/>
      <c r="G435" s="332"/>
      <c r="H435" s="561"/>
      <c r="I435" s="335"/>
      <c r="J435" s="335"/>
      <c r="K435" s="336">
        <f t="shared" si="10"/>
        <v>0</v>
      </c>
      <c r="L435" s="381"/>
    </row>
    <row r="436" spans="1:12" s="270" customFormat="1">
      <c r="A436" s="325"/>
      <c r="B436" s="328"/>
      <c r="C436" s="328"/>
      <c r="D436" s="542"/>
      <c r="E436" s="330"/>
      <c r="F436" s="331"/>
      <c r="G436" s="332"/>
      <c r="H436" s="561"/>
      <c r="I436" s="335"/>
      <c r="J436" s="335"/>
      <c r="K436" s="336">
        <f t="shared" si="10"/>
        <v>0</v>
      </c>
      <c r="L436" s="381"/>
    </row>
    <row r="437" spans="1:12" s="270" customFormat="1">
      <c r="A437" s="325"/>
      <c r="B437" s="328"/>
      <c r="C437" s="328"/>
      <c r="D437" s="542"/>
      <c r="E437" s="330"/>
      <c r="F437" s="331"/>
      <c r="G437" s="332"/>
      <c r="H437" s="542"/>
      <c r="I437" s="335"/>
      <c r="J437" s="335"/>
      <c r="K437" s="336">
        <f t="shared" si="10"/>
        <v>0</v>
      </c>
      <c r="L437" s="381"/>
    </row>
    <row r="438" spans="1:12" s="270" customFormat="1">
      <c r="A438" s="337" t="s">
        <v>167</v>
      </c>
      <c r="B438" s="340">
        <v>39090</v>
      </c>
      <c r="C438" s="341"/>
      <c r="D438" s="543"/>
      <c r="E438" s="342">
        <v>0</v>
      </c>
      <c r="F438" s="343" t="s">
        <v>135</v>
      </c>
      <c r="G438" s="344">
        <v>0</v>
      </c>
      <c r="H438" s="484" t="s">
        <v>21</v>
      </c>
      <c r="I438" s="347">
        <v>108.77</v>
      </c>
      <c r="J438" s="347">
        <v>0</v>
      </c>
      <c r="K438" s="348">
        <f>(J438-I438)*E438/100</f>
        <v>0</v>
      </c>
      <c r="L438" s="381"/>
    </row>
    <row r="439" spans="1:12" s="270" customFormat="1">
      <c r="A439" s="337" t="s">
        <v>167</v>
      </c>
      <c r="B439" s="340">
        <v>38954</v>
      </c>
      <c r="C439" s="341"/>
      <c r="D439" s="543"/>
      <c r="E439" s="342">
        <v>0</v>
      </c>
      <c r="F439" s="343" t="s">
        <v>135</v>
      </c>
      <c r="G439" s="344">
        <v>0</v>
      </c>
      <c r="H439" s="484"/>
      <c r="I439" s="347">
        <v>109.88</v>
      </c>
      <c r="J439" s="347">
        <v>0</v>
      </c>
      <c r="K439" s="348">
        <f>(J439-I439)*E439/100</f>
        <v>0</v>
      </c>
      <c r="L439" s="381"/>
    </row>
    <row r="440" spans="1:12" s="270" customFormat="1">
      <c r="A440" s="285" t="s">
        <v>168</v>
      </c>
      <c r="B440" s="288">
        <v>39220</v>
      </c>
      <c r="C440" s="289" t="s">
        <v>21</v>
      </c>
      <c r="D440" s="544"/>
      <c r="E440" s="290">
        <v>0</v>
      </c>
      <c r="F440" s="291" t="s">
        <v>135</v>
      </c>
      <c r="G440" s="292">
        <v>0</v>
      </c>
      <c r="H440" s="485" t="s">
        <v>23</v>
      </c>
      <c r="I440" s="295">
        <v>102.55500000000001</v>
      </c>
      <c r="J440" s="295">
        <v>0</v>
      </c>
      <c r="K440" s="296">
        <f>(J440-I440)*E440/100</f>
        <v>0</v>
      </c>
      <c r="L440" s="381"/>
    </row>
    <row r="441" spans="1:12" s="270" customFormat="1">
      <c r="A441" s="285" t="s">
        <v>168</v>
      </c>
      <c r="B441" s="288">
        <v>39224</v>
      </c>
      <c r="C441" s="289" t="s">
        <v>21</v>
      </c>
      <c r="D441" s="544"/>
      <c r="E441" s="290">
        <v>0</v>
      </c>
      <c r="F441" s="291" t="s">
        <v>135</v>
      </c>
      <c r="G441" s="292">
        <v>0</v>
      </c>
      <c r="H441" s="485"/>
      <c r="I441" s="295">
        <v>102.89</v>
      </c>
      <c r="J441" s="295">
        <v>0</v>
      </c>
      <c r="K441" s="296">
        <f>(J441-I441)*E441/100</f>
        <v>0</v>
      </c>
      <c r="L441" s="381"/>
    </row>
    <row r="442" spans="1:12" s="270" customFormat="1">
      <c r="A442" s="349" t="s">
        <v>166</v>
      </c>
      <c r="B442" s="350"/>
      <c r="C442" s="351"/>
      <c r="D442" s="545"/>
      <c r="E442" s="352">
        <f>SUM(E432:E441)</f>
        <v>0</v>
      </c>
      <c r="F442" s="353"/>
      <c r="G442" s="354">
        <f>SUM(G432:G441)</f>
        <v>0</v>
      </c>
      <c r="H442" s="486"/>
      <c r="I442" s="356"/>
      <c r="J442" s="357"/>
      <c r="K442" s="358">
        <f>SUM(K432:K441)</f>
        <v>0</v>
      </c>
      <c r="L442" s="381"/>
    </row>
    <row r="443" spans="1:12" s="270" customFormat="1">
      <c r="A443" s="65"/>
      <c r="B443" s="108"/>
      <c r="C443" s="275"/>
      <c r="D443" s="546"/>
      <c r="E443" s="70"/>
      <c r="F443" s="203"/>
      <c r="G443" s="105"/>
      <c r="H443" s="487"/>
      <c r="I443" s="204"/>
      <c r="J443" s="205"/>
      <c r="K443" s="106"/>
      <c r="L443" s="381"/>
    </row>
    <row r="444" spans="1:12" s="270" customFormat="1">
      <c r="A444" s="716" t="s">
        <v>321</v>
      </c>
      <c r="B444" s="108"/>
      <c r="C444" s="275"/>
      <c r="D444" s="546"/>
      <c r="E444" s="70"/>
      <c r="F444" s="203"/>
      <c r="G444" s="105"/>
      <c r="H444" s="487"/>
      <c r="I444" s="204"/>
      <c r="J444" s="205"/>
      <c r="K444" s="106"/>
      <c r="L444" s="381"/>
    </row>
    <row r="445" spans="1:12" s="270" customFormat="1">
      <c r="A445" s="206" t="s">
        <v>99</v>
      </c>
      <c r="B445" s="207" t="s">
        <v>7</v>
      </c>
      <c r="C445" s="207" t="s">
        <v>171</v>
      </c>
      <c r="D445" s="535" t="s">
        <v>170</v>
      </c>
      <c r="E445" s="208" t="s">
        <v>11</v>
      </c>
      <c r="F445" s="207" t="s">
        <v>2</v>
      </c>
      <c r="G445" s="209" t="s">
        <v>12</v>
      </c>
      <c r="H445" s="482" t="s">
        <v>18</v>
      </c>
      <c r="I445" s="209" t="s">
        <v>10</v>
      </c>
      <c r="J445" s="207" t="s">
        <v>216</v>
      </c>
      <c r="K445" s="260" t="s">
        <v>212</v>
      </c>
      <c r="L445" s="381"/>
    </row>
    <row r="446" spans="1:12" s="270" customFormat="1">
      <c r="A446" s="690" t="s">
        <v>363</v>
      </c>
      <c r="B446" s="700">
        <v>44064</v>
      </c>
      <c r="C446" s="691">
        <v>44231</v>
      </c>
      <c r="D446" s="701"/>
      <c r="E446" s="702">
        <v>0</v>
      </c>
      <c r="F446" s="693"/>
      <c r="G446" s="779">
        <f>-VLOOKUP(A446,'market px'!K$2:P$25,3,FALSE)*E446/1000000</f>
        <v>0</v>
      </c>
      <c r="H446" s="703"/>
      <c r="I446" s="704">
        <v>97.344700000000003</v>
      </c>
      <c r="J446" s="696">
        <v>95.384200000000007</v>
      </c>
      <c r="K446" s="698">
        <f t="shared" ref="K446:K463" si="11">(J446-I446)*E446/100</f>
        <v>0</v>
      </c>
      <c r="L446" s="381"/>
    </row>
    <row r="447" spans="1:12" s="270" customFormat="1">
      <c r="A447" s="325" t="s">
        <v>415</v>
      </c>
      <c r="B447" s="328"/>
      <c r="C447" s="329"/>
      <c r="D447" s="542"/>
      <c r="E447" s="330"/>
      <c r="F447" s="331"/>
      <c r="G447" s="332"/>
      <c r="H447" s="483"/>
      <c r="I447" s="335"/>
      <c r="J447" s="335"/>
      <c r="K447" s="336">
        <f t="shared" si="11"/>
        <v>0</v>
      </c>
      <c r="L447" s="381"/>
    </row>
    <row r="448" spans="1:12" s="270" customFormat="1">
      <c r="A448" s="337" t="s">
        <v>432</v>
      </c>
      <c r="B448" s="340"/>
      <c r="C448" s="341"/>
      <c r="D448" s="543"/>
      <c r="E448" s="342"/>
      <c r="F448" s="343"/>
      <c r="G448" s="344"/>
      <c r="H448" s="484"/>
      <c r="I448" s="347"/>
      <c r="J448" s="347"/>
      <c r="K448" s="348">
        <f t="shared" si="11"/>
        <v>0</v>
      </c>
      <c r="L448" s="381"/>
    </row>
    <row r="449" spans="1:12" s="270" customFormat="1">
      <c r="A449" s="337" t="s">
        <v>514</v>
      </c>
      <c r="B449" s="340"/>
      <c r="C449" s="341"/>
      <c r="D449" s="543"/>
      <c r="E449" s="342"/>
      <c r="F449" s="343"/>
      <c r="G449" s="344"/>
      <c r="H449" s="484"/>
      <c r="I449" s="347"/>
      <c r="J449" s="347"/>
      <c r="K449" s="348">
        <f t="shared" si="11"/>
        <v>0</v>
      </c>
      <c r="L449" s="381"/>
    </row>
    <row r="450" spans="1:12" s="270" customFormat="1">
      <c r="A450" s="337" t="s">
        <v>557</v>
      </c>
      <c r="B450" s="340"/>
      <c r="C450" s="341"/>
      <c r="D450" s="543"/>
      <c r="E450" s="342"/>
      <c r="F450" s="343"/>
      <c r="G450" s="344"/>
      <c r="H450" s="484"/>
      <c r="I450" s="347"/>
      <c r="J450" s="347"/>
      <c r="K450" s="348">
        <f t="shared" si="11"/>
        <v>0</v>
      </c>
      <c r="L450" s="381"/>
    </row>
    <row r="451" spans="1:12" s="270" customFormat="1">
      <c r="A451" s="337"/>
      <c r="B451" s="340"/>
      <c r="C451" s="341"/>
      <c r="D451" s="543"/>
      <c r="E451" s="342"/>
      <c r="F451" s="343"/>
      <c r="G451" s="344"/>
      <c r="H451" s="484"/>
      <c r="I451" s="347"/>
      <c r="J451" s="347"/>
      <c r="K451" s="348">
        <f t="shared" si="11"/>
        <v>0</v>
      </c>
      <c r="L451" s="381"/>
    </row>
    <row r="452" spans="1:12" s="270" customFormat="1">
      <c r="A452" s="337"/>
      <c r="B452" s="340"/>
      <c r="C452" s="341"/>
      <c r="D452" s="543"/>
      <c r="E452" s="342"/>
      <c r="F452" s="343"/>
      <c r="G452" s="344"/>
      <c r="H452" s="484"/>
      <c r="I452" s="347"/>
      <c r="J452" s="347"/>
      <c r="K452" s="348">
        <f t="shared" si="11"/>
        <v>0</v>
      </c>
      <c r="L452" s="381"/>
    </row>
    <row r="453" spans="1:12" s="270" customFormat="1">
      <c r="A453" s="337"/>
      <c r="B453" s="340"/>
      <c r="C453" s="341"/>
      <c r="D453" s="543"/>
      <c r="E453" s="342"/>
      <c r="F453" s="343"/>
      <c r="G453" s="344"/>
      <c r="H453" s="484"/>
      <c r="I453" s="347"/>
      <c r="J453" s="347"/>
      <c r="K453" s="348">
        <f t="shared" si="11"/>
        <v>0</v>
      </c>
      <c r="L453" s="381"/>
    </row>
    <row r="454" spans="1:12" s="270" customFormat="1">
      <c r="A454" s="337"/>
      <c r="B454" s="340"/>
      <c r="C454" s="341"/>
      <c r="D454" s="543"/>
      <c r="E454" s="342"/>
      <c r="F454" s="343"/>
      <c r="G454" s="344"/>
      <c r="H454" s="484"/>
      <c r="I454" s="347"/>
      <c r="J454" s="347"/>
      <c r="K454" s="348">
        <f t="shared" si="11"/>
        <v>0</v>
      </c>
      <c r="L454" s="381"/>
    </row>
    <row r="455" spans="1:12" s="270" customFormat="1">
      <c r="A455" s="337"/>
      <c r="B455" s="340"/>
      <c r="C455" s="341"/>
      <c r="D455" s="543"/>
      <c r="E455" s="342"/>
      <c r="F455" s="343"/>
      <c r="G455" s="344"/>
      <c r="H455" s="484"/>
      <c r="I455" s="347"/>
      <c r="J455" s="347"/>
      <c r="K455" s="348">
        <f t="shared" si="11"/>
        <v>0</v>
      </c>
      <c r="L455" s="381"/>
    </row>
    <row r="456" spans="1:12" s="270" customFormat="1">
      <c r="A456" s="337"/>
      <c r="B456" s="340"/>
      <c r="C456" s="341"/>
      <c r="D456" s="543"/>
      <c r="E456" s="342"/>
      <c r="F456" s="343"/>
      <c r="G456" s="344"/>
      <c r="H456" s="484"/>
      <c r="I456" s="347"/>
      <c r="J456" s="347"/>
      <c r="K456" s="348">
        <f t="shared" si="11"/>
        <v>0</v>
      </c>
      <c r="L456" s="381"/>
    </row>
    <row r="457" spans="1:12" s="270" customFormat="1">
      <c r="A457" s="337"/>
      <c r="B457" s="340"/>
      <c r="C457" s="341"/>
      <c r="D457" s="543"/>
      <c r="E457" s="342"/>
      <c r="F457" s="343"/>
      <c r="G457" s="344"/>
      <c r="H457" s="484"/>
      <c r="I457" s="347"/>
      <c r="J457" s="347"/>
      <c r="K457" s="348">
        <f t="shared" si="11"/>
        <v>0</v>
      </c>
      <c r="L457" s="381"/>
    </row>
    <row r="458" spans="1:12" s="270" customFormat="1">
      <c r="A458" s="337"/>
      <c r="B458" s="340"/>
      <c r="C458" s="341"/>
      <c r="D458" s="543"/>
      <c r="E458" s="342"/>
      <c r="F458" s="343"/>
      <c r="G458" s="344"/>
      <c r="H458" s="484"/>
      <c r="I458" s="347"/>
      <c r="J458" s="347"/>
      <c r="K458" s="348">
        <f t="shared" si="11"/>
        <v>0</v>
      </c>
      <c r="L458" s="381"/>
    </row>
    <row r="459" spans="1:12" s="270" customFormat="1">
      <c r="A459" s="337"/>
      <c r="B459" s="340"/>
      <c r="C459" s="341"/>
      <c r="D459" s="543"/>
      <c r="E459" s="342"/>
      <c r="F459" s="343"/>
      <c r="G459" s="344"/>
      <c r="H459" s="484"/>
      <c r="I459" s="347"/>
      <c r="J459" s="347"/>
      <c r="K459" s="348">
        <f t="shared" si="11"/>
        <v>0</v>
      </c>
      <c r="L459" s="381"/>
    </row>
    <row r="460" spans="1:12" s="270" customFormat="1">
      <c r="A460" s="337"/>
      <c r="B460" s="340"/>
      <c r="C460" s="341"/>
      <c r="D460" s="543"/>
      <c r="E460" s="342"/>
      <c r="F460" s="343"/>
      <c r="G460" s="344"/>
      <c r="H460" s="484"/>
      <c r="I460" s="347"/>
      <c r="J460" s="347"/>
      <c r="K460" s="348">
        <f t="shared" si="11"/>
        <v>0</v>
      </c>
      <c r="L460" s="381"/>
    </row>
    <row r="461" spans="1:12" s="270" customFormat="1">
      <c r="A461" s="337"/>
      <c r="B461" s="340"/>
      <c r="C461" s="341"/>
      <c r="D461" s="543"/>
      <c r="E461" s="342"/>
      <c r="F461" s="343"/>
      <c r="G461" s="344"/>
      <c r="H461" s="484"/>
      <c r="I461" s="347"/>
      <c r="J461" s="347"/>
      <c r="K461" s="348">
        <f t="shared" si="11"/>
        <v>0</v>
      </c>
      <c r="L461" s="381"/>
    </row>
    <row r="462" spans="1:12" s="270" customFormat="1">
      <c r="A462" s="285"/>
      <c r="B462" s="288"/>
      <c r="C462" s="289"/>
      <c r="D462" s="544"/>
      <c r="E462" s="290"/>
      <c r="F462" s="291"/>
      <c r="G462" s="292"/>
      <c r="H462" s="485"/>
      <c r="I462" s="295"/>
      <c r="J462" s="295"/>
      <c r="K462" s="296">
        <f t="shared" si="11"/>
        <v>0</v>
      </c>
      <c r="L462" s="381"/>
    </row>
    <row r="463" spans="1:12" s="270" customFormat="1">
      <c r="A463" s="285"/>
      <c r="B463" s="288"/>
      <c r="C463" s="289"/>
      <c r="D463" s="544"/>
      <c r="E463" s="290"/>
      <c r="F463" s="291"/>
      <c r="G463" s="292"/>
      <c r="H463" s="485"/>
      <c r="I463" s="295"/>
      <c r="J463" s="295"/>
      <c r="K463" s="296">
        <f t="shared" si="11"/>
        <v>0</v>
      </c>
      <c r="L463" s="381"/>
    </row>
    <row r="464" spans="1:12" s="270" customFormat="1">
      <c r="A464" s="111" t="s">
        <v>166</v>
      </c>
      <c r="B464" s="313"/>
      <c r="C464" s="313"/>
      <c r="D464" s="539"/>
      <c r="E464" s="314">
        <f>SUM(E446:E463)</f>
        <v>0</v>
      </c>
      <c r="F464" s="314"/>
      <c r="G464" s="316">
        <f>SUM(G446:G463)</f>
        <v>0</v>
      </c>
      <c r="H464" s="479"/>
      <c r="I464" s="323"/>
      <c r="J464" s="318"/>
      <c r="K464" s="316">
        <f>SUM(K446:K463)</f>
        <v>0</v>
      </c>
      <c r="L464" s="381"/>
    </row>
    <row r="465" spans="1:12" s="270" customFormat="1">
      <c r="A465"/>
      <c r="B465" s="14"/>
      <c r="C465" s="14"/>
      <c r="D465" s="534"/>
      <c r="E465" s="2"/>
      <c r="F465" s="14"/>
      <c r="G465" s="14"/>
      <c r="H465" s="488"/>
      <c r="I465" s="44"/>
      <c r="J465" s="44"/>
      <c r="K465"/>
      <c r="L465" s="381"/>
    </row>
    <row r="466" spans="1:12" s="270" customFormat="1">
      <c r="A466"/>
      <c r="B466" s="14"/>
      <c r="C466" s="14"/>
      <c r="D466" s="534"/>
      <c r="E466" s="2"/>
      <c r="F466" s="14"/>
      <c r="G466" s="14"/>
      <c r="H466" s="488"/>
      <c r="I466" s="44"/>
      <c r="J466" s="44"/>
      <c r="K466"/>
      <c r="L466" s="381"/>
    </row>
    <row r="467" spans="1:12" s="270" customFormat="1">
      <c r="A467"/>
      <c r="B467" s="14"/>
      <c r="C467" s="14"/>
      <c r="D467" s="534"/>
      <c r="E467" s="2"/>
      <c r="F467" s="14"/>
      <c r="G467" s="14"/>
      <c r="H467" s="488"/>
      <c r="I467" s="44"/>
      <c r="J467" s="44"/>
      <c r="K467"/>
      <c r="L467" s="381"/>
    </row>
    <row r="468" spans="1:12" s="270" customFormat="1">
      <c r="A468"/>
      <c r="B468" s="14"/>
      <c r="C468" s="14"/>
      <c r="D468" s="534"/>
      <c r="E468" s="2"/>
      <c r="F468" s="14"/>
      <c r="G468" s="14"/>
      <c r="H468" s="488"/>
      <c r="I468" s="44"/>
      <c r="J468" s="44"/>
      <c r="K468"/>
      <c r="L468" s="381"/>
    </row>
    <row r="469" spans="1:12" s="270" customFormat="1">
      <c r="A469"/>
      <c r="B469" s="14"/>
      <c r="C469" s="14"/>
      <c r="D469" s="534"/>
      <c r="E469" s="2"/>
      <c r="F469" s="14"/>
      <c r="G469" s="14"/>
      <c r="H469" s="488"/>
      <c r="I469" s="44"/>
      <c r="J469" s="44"/>
      <c r="K469"/>
      <c r="L469" s="381"/>
    </row>
    <row r="470" spans="1:12" s="270" customFormat="1">
      <c r="A470"/>
      <c r="B470" s="14"/>
      <c r="C470" s="14"/>
      <c r="D470" s="534"/>
      <c r="E470" s="2"/>
      <c r="F470" s="14"/>
      <c r="G470" s="14"/>
      <c r="H470" s="489"/>
      <c r="I470" s="44"/>
      <c r="J470" s="44"/>
      <c r="K470"/>
      <c r="L470" s="381"/>
    </row>
    <row r="471" spans="1:12" s="270" customFormat="1">
      <c r="A471"/>
      <c r="B471" s="14"/>
      <c r="C471" s="14"/>
      <c r="D471" s="534"/>
      <c r="E471" s="2"/>
      <c r="F471" s="14"/>
      <c r="G471" s="14"/>
      <c r="H471" s="489"/>
      <c r="I471" s="44"/>
      <c r="J471" s="44"/>
      <c r="K471"/>
      <c r="L471" s="381"/>
    </row>
    <row r="472" spans="1:12" s="270" customFormat="1">
      <c r="A472"/>
      <c r="B472" s="14"/>
      <c r="C472" s="14"/>
      <c r="D472" s="534"/>
      <c r="E472" s="2"/>
      <c r="F472" s="14"/>
      <c r="G472" s="14"/>
      <c r="H472" s="489"/>
      <c r="I472" s="44"/>
      <c r="J472" s="44"/>
      <c r="K472"/>
      <c r="L472" s="381"/>
    </row>
    <row r="473" spans="1:12" s="270" customFormat="1">
      <c r="A473"/>
      <c r="B473" s="14"/>
      <c r="C473" s="14"/>
      <c r="D473" s="534"/>
      <c r="E473" s="2"/>
      <c r="F473" s="14"/>
      <c r="G473" s="14"/>
      <c r="H473" s="489"/>
      <c r="I473" s="44"/>
      <c r="J473" s="44"/>
      <c r="K473"/>
      <c r="L473" s="381"/>
    </row>
    <row r="474" spans="1:12" s="270" customFormat="1">
      <c r="A474"/>
      <c r="B474" s="14"/>
      <c r="C474" s="14"/>
      <c r="D474" s="534"/>
      <c r="E474" s="2"/>
      <c r="F474" s="14"/>
      <c r="G474" s="14"/>
      <c r="H474" s="489"/>
      <c r="I474" s="44"/>
      <c r="J474" s="44"/>
      <c r="K474"/>
      <c r="L474" s="381"/>
    </row>
    <row r="475" spans="1:12" s="270" customFormat="1">
      <c r="A475"/>
      <c r="B475" s="14"/>
      <c r="C475" s="14"/>
      <c r="D475" s="534"/>
      <c r="E475" s="2"/>
      <c r="F475" s="14"/>
      <c r="G475" s="14"/>
      <c r="H475" s="489"/>
      <c r="I475" s="44"/>
      <c r="J475" s="44"/>
      <c r="K475"/>
      <c r="L475" s="381"/>
    </row>
    <row r="476" spans="1:12" s="270" customFormat="1">
      <c r="A476"/>
      <c r="B476" s="14"/>
      <c r="C476" s="14"/>
      <c r="D476" s="534"/>
      <c r="E476" s="2"/>
      <c r="F476" s="14"/>
      <c r="G476" s="14"/>
      <c r="H476" s="489"/>
      <c r="I476" s="44"/>
      <c r="J476" s="44"/>
      <c r="K476"/>
      <c r="L476" s="381"/>
    </row>
    <row r="477" spans="1:12" s="270" customFormat="1">
      <c r="A477"/>
      <c r="B477" s="14"/>
      <c r="C477" s="14"/>
      <c r="D477" s="534"/>
      <c r="E477" s="2"/>
      <c r="F477" s="14"/>
      <c r="G477" s="14"/>
      <c r="H477" s="489"/>
      <c r="I477" s="44"/>
      <c r="J477" s="44"/>
      <c r="K477"/>
      <c r="L477" s="381"/>
    </row>
    <row r="478" spans="1:12" s="270" customFormat="1">
      <c r="A478"/>
      <c r="B478" s="14"/>
      <c r="C478" s="14"/>
      <c r="D478" s="534"/>
      <c r="E478" s="2"/>
      <c r="F478" s="14"/>
      <c r="G478" s="14"/>
      <c r="H478" s="489"/>
      <c r="I478" s="44"/>
      <c r="J478" s="44"/>
      <c r="K478"/>
      <c r="L478" s="381"/>
    </row>
    <row r="479" spans="1:12" s="270" customFormat="1">
      <c r="A479"/>
      <c r="B479" s="14"/>
      <c r="C479" s="14"/>
      <c r="D479" s="534"/>
      <c r="E479" s="2"/>
      <c r="F479" s="14"/>
      <c r="G479" s="14"/>
      <c r="H479" s="489"/>
      <c r="I479" s="44"/>
      <c r="J479" s="44"/>
      <c r="K479"/>
      <c r="L479" s="381"/>
    </row>
    <row r="480" spans="1:12" s="270" customFormat="1">
      <c r="A480"/>
      <c r="B480" s="14"/>
      <c r="C480" s="14"/>
      <c r="D480" s="534"/>
      <c r="E480" s="2"/>
      <c r="F480" s="14"/>
      <c r="G480" s="14"/>
      <c r="H480" s="489"/>
      <c r="I480" s="44"/>
      <c r="J480" s="44"/>
      <c r="K480"/>
      <c r="L480" s="381"/>
    </row>
    <row r="481" spans="1:12" s="270" customFormat="1">
      <c r="A481"/>
      <c r="B481" s="14"/>
      <c r="C481" s="14"/>
      <c r="D481" s="534"/>
      <c r="E481" s="2"/>
      <c r="F481" s="14"/>
      <c r="G481" s="14"/>
      <c r="H481" s="489"/>
      <c r="I481" s="44"/>
      <c r="J481" s="44"/>
      <c r="K481"/>
      <c r="L481" s="381"/>
    </row>
    <row r="482" spans="1:12" s="270" customFormat="1">
      <c r="A482"/>
      <c r="B482" s="14"/>
      <c r="C482" s="14"/>
      <c r="D482" s="534"/>
      <c r="E482" s="2"/>
      <c r="F482" s="14"/>
      <c r="G482" s="14"/>
      <c r="H482" s="489"/>
      <c r="I482" s="44"/>
      <c r="J482" s="44"/>
      <c r="K482"/>
      <c r="L482" s="381"/>
    </row>
    <row r="483" spans="1:12" s="270" customFormat="1">
      <c r="A483"/>
      <c r="B483" s="14"/>
      <c r="C483" s="14"/>
      <c r="D483" s="534"/>
      <c r="E483" s="2"/>
      <c r="F483" s="14"/>
      <c r="G483" s="14"/>
      <c r="H483" s="489"/>
      <c r="I483" s="44"/>
      <c r="J483" s="44"/>
      <c r="K483"/>
      <c r="L483" s="381"/>
    </row>
    <row r="484" spans="1:12" s="270" customFormat="1">
      <c r="A484"/>
      <c r="B484" s="14"/>
      <c r="C484" s="14"/>
      <c r="D484" s="534"/>
      <c r="E484" s="2"/>
      <c r="F484" s="14"/>
      <c r="G484" s="14"/>
      <c r="H484" s="489"/>
      <c r="I484" s="44"/>
      <c r="J484" s="44"/>
      <c r="K484"/>
      <c r="L484" s="381"/>
    </row>
    <row r="485" spans="1:12" s="270" customFormat="1">
      <c r="A485"/>
      <c r="B485" s="14"/>
      <c r="C485" s="14"/>
      <c r="D485" s="534"/>
      <c r="E485" s="2"/>
      <c r="F485" s="14"/>
      <c r="G485" s="14"/>
      <c r="H485" s="489"/>
      <c r="I485" s="44"/>
      <c r="J485" s="44"/>
      <c r="K485"/>
      <c r="L485" s="381"/>
    </row>
    <row r="486" spans="1:12" s="270" customFormat="1">
      <c r="A486"/>
      <c r="B486" s="14"/>
      <c r="C486" s="14"/>
      <c r="D486" s="534"/>
      <c r="E486" s="2"/>
      <c r="F486" s="14"/>
      <c r="G486" s="14"/>
      <c r="H486" s="489"/>
      <c r="I486" s="44"/>
      <c r="J486" s="44"/>
      <c r="K486"/>
      <c r="L486" s="381"/>
    </row>
    <row r="487" spans="1:12" s="270" customFormat="1">
      <c r="A487"/>
      <c r="B487" s="14"/>
      <c r="C487" s="14"/>
      <c r="D487" s="534"/>
      <c r="E487" s="2"/>
      <c r="F487" s="14"/>
      <c r="G487" s="14"/>
      <c r="H487" s="489"/>
      <c r="I487" s="44"/>
      <c r="J487" s="44"/>
      <c r="K487"/>
      <c r="L487" s="381"/>
    </row>
    <row r="488" spans="1:12" s="270" customFormat="1">
      <c r="A488"/>
      <c r="B488" s="14"/>
      <c r="C488" s="14"/>
      <c r="D488" s="534"/>
      <c r="E488" s="2"/>
      <c r="F488" s="14"/>
      <c r="G488" s="14"/>
      <c r="H488" s="489"/>
      <c r="I488" s="44"/>
      <c r="J488" s="44"/>
      <c r="K488"/>
      <c r="L488" s="381"/>
    </row>
    <row r="489" spans="1:12" s="270" customFormat="1">
      <c r="A489"/>
      <c r="B489" s="14"/>
      <c r="C489" s="14"/>
      <c r="D489" s="534"/>
      <c r="E489" s="2"/>
      <c r="F489" s="14"/>
      <c r="G489" s="14"/>
      <c r="H489" s="489"/>
      <c r="I489" s="44"/>
      <c r="J489" s="44"/>
      <c r="K489"/>
      <c r="L489" s="381"/>
    </row>
    <row r="490" spans="1:12" s="270" customFormat="1">
      <c r="A490"/>
      <c r="B490" s="14"/>
      <c r="C490" s="14"/>
      <c r="D490" s="534"/>
      <c r="E490" s="2"/>
      <c r="F490" s="14"/>
      <c r="G490" s="14"/>
      <c r="H490" s="489"/>
      <c r="I490" s="44"/>
      <c r="J490" s="44"/>
      <c r="K490"/>
      <c r="L490" s="381"/>
    </row>
    <row r="491" spans="1:12" s="270" customFormat="1">
      <c r="A491"/>
      <c r="B491" s="14"/>
      <c r="C491" s="14"/>
      <c r="D491" s="534"/>
      <c r="E491" s="2"/>
      <c r="F491" s="14"/>
      <c r="G491" s="14"/>
      <c r="H491" s="489"/>
      <c r="I491" s="44"/>
      <c r="J491" s="44"/>
      <c r="K491"/>
      <c r="L491" s="381"/>
    </row>
    <row r="492" spans="1:12" s="270" customFormat="1">
      <c r="A492"/>
      <c r="B492" s="14"/>
      <c r="C492" s="14"/>
      <c r="D492" s="534"/>
      <c r="E492" s="2"/>
      <c r="F492" s="14"/>
      <c r="G492" s="14"/>
      <c r="H492" s="489"/>
      <c r="I492" s="44"/>
      <c r="J492" s="44"/>
      <c r="K492"/>
      <c r="L492" s="381"/>
    </row>
    <row r="493" spans="1:12" s="270" customFormat="1">
      <c r="A493"/>
      <c r="B493" s="14"/>
      <c r="C493" s="14"/>
      <c r="D493" s="534"/>
      <c r="E493" s="2"/>
      <c r="F493" s="14"/>
      <c r="G493" s="14"/>
      <c r="H493" s="489"/>
      <c r="I493" s="44"/>
      <c r="J493" s="44"/>
      <c r="K493"/>
      <c r="L493" s="381"/>
    </row>
    <row r="494" spans="1:12" s="270" customFormat="1">
      <c r="A494"/>
      <c r="B494" s="14"/>
      <c r="C494" s="14"/>
      <c r="D494" s="534"/>
      <c r="E494" s="2"/>
      <c r="F494" s="14"/>
      <c r="G494" s="14"/>
      <c r="H494" s="489"/>
      <c r="I494" s="44"/>
      <c r="J494" s="44"/>
      <c r="K494"/>
      <c r="L494" s="381"/>
    </row>
    <row r="495" spans="1:12" s="270" customFormat="1">
      <c r="A495"/>
      <c r="B495" s="14"/>
      <c r="C495" s="14"/>
      <c r="D495" s="534"/>
      <c r="E495" s="2"/>
      <c r="F495" s="14"/>
      <c r="G495" s="14"/>
      <c r="H495" s="489"/>
      <c r="I495" s="44"/>
      <c r="J495" s="44"/>
      <c r="K495"/>
      <c r="L495" s="381"/>
    </row>
    <row r="496" spans="1:12" s="270" customFormat="1">
      <c r="A496"/>
      <c r="B496" s="14"/>
      <c r="C496" s="14"/>
      <c r="D496" s="534"/>
      <c r="E496" s="2"/>
      <c r="F496" s="14"/>
      <c r="G496" s="14"/>
      <c r="H496" s="489"/>
      <c r="I496" s="44"/>
      <c r="J496" s="44"/>
      <c r="K496"/>
      <c r="L496" s="381"/>
    </row>
    <row r="497" spans="1:19" s="93" customFormat="1">
      <c r="A497"/>
      <c r="B497" s="14"/>
      <c r="C497" s="14"/>
      <c r="D497" s="534"/>
      <c r="E497" s="2"/>
      <c r="F497" s="14"/>
      <c r="G497" s="14"/>
      <c r="H497" s="489"/>
      <c r="I497" s="44"/>
      <c r="J497" s="44"/>
      <c r="K497"/>
      <c r="L497" s="377"/>
      <c r="S497" s="131" t="s">
        <v>21</v>
      </c>
    </row>
    <row r="498" spans="1:19" s="93" customFormat="1">
      <c r="A498"/>
      <c r="B498" s="14"/>
      <c r="C498" s="14"/>
      <c r="D498" s="534"/>
      <c r="E498" s="2"/>
      <c r="F498" s="14"/>
      <c r="G498" s="14"/>
      <c r="H498" s="489"/>
      <c r="I498" s="44"/>
      <c r="J498" s="44"/>
      <c r="K498"/>
      <c r="L498" s="377"/>
    </row>
    <row r="499" spans="1:19" s="93" customFormat="1">
      <c r="A499"/>
      <c r="B499" s="14"/>
      <c r="C499" s="14"/>
      <c r="D499" s="534"/>
      <c r="E499" s="2"/>
      <c r="F499" s="14"/>
      <c r="G499" s="14"/>
      <c r="H499" s="489"/>
      <c r="I499" s="44"/>
      <c r="J499" s="44"/>
      <c r="K499"/>
      <c r="L499" s="377"/>
    </row>
    <row r="500" spans="1:19" s="93" customFormat="1">
      <c r="A500"/>
      <c r="B500" s="14"/>
      <c r="C500" s="14"/>
      <c r="D500" s="534"/>
      <c r="E500" s="2"/>
      <c r="F500" s="14"/>
      <c r="G500" s="14"/>
      <c r="H500" s="489"/>
      <c r="I500" s="44"/>
      <c r="J500" s="44"/>
      <c r="K500"/>
      <c r="L500" s="377"/>
    </row>
    <row r="501" spans="1:19" s="93" customFormat="1">
      <c r="A501"/>
      <c r="B501" s="14"/>
      <c r="C501" s="14"/>
      <c r="D501" s="534"/>
      <c r="E501" s="2"/>
      <c r="F501" s="14"/>
      <c r="G501" s="14"/>
      <c r="H501" s="489"/>
      <c r="I501" s="44"/>
      <c r="J501" s="44"/>
      <c r="K501"/>
      <c r="L501" s="377"/>
    </row>
    <row r="502" spans="1:19" s="93" customFormat="1">
      <c r="A502"/>
      <c r="B502" s="14"/>
      <c r="C502" s="14"/>
      <c r="D502" s="534"/>
      <c r="E502" s="2"/>
      <c r="F502" s="14"/>
      <c r="G502" s="14"/>
      <c r="H502" s="489"/>
      <c r="I502" s="44"/>
      <c r="J502" s="44"/>
      <c r="K502"/>
      <c r="L502" s="377"/>
    </row>
    <row r="503" spans="1:19" s="93" customFormat="1">
      <c r="A503"/>
      <c r="B503" s="14"/>
      <c r="C503" s="14"/>
      <c r="D503" s="534"/>
      <c r="E503" s="2"/>
      <c r="F503" s="14"/>
      <c r="G503" s="14"/>
      <c r="H503" s="489"/>
      <c r="I503" s="44"/>
      <c r="J503" s="44"/>
      <c r="K503"/>
      <c r="L503" s="377"/>
    </row>
    <row r="504" spans="1:19" s="93" customFormat="1">
      <c r="A504"/>
      <c r="B504" s="14"/>
      <c r="C504" s="14"/>
      <c r="D504" s="534"/>
      <c r="E504" s="2"/>
      <c r="F504" s="14"/>
      <c r="G504" s="14"/>
      <c r="H504" s="489"/>
      <c r="I504" s="44"/>
      <c r="J504" s="44"/>
      <c r="K504"/>
      <c r="L504" s="377"/>
    </row>
    <row r="505" spans="1:19" s="93" customFormat="1">
      <c r="A505"/>
      <c r="B505" s="14"/>
      <c r="C505" s="14"/>
      <c r="D505" s="534"/>
      <c r="E505" s="2"/>
      <c r="F505" s="14"/>
      <c r="G505" s="14"/>
      <c r="H505" s="489"/>
      <c r="I505" s="44"/>
      <c r="J505" s="44"/>
      <c r="K505"/>
      <c r="L505" s="377"/>
    </row>
    <row r="506" spans="1:19" s="93" customFormat="1">
      <c r="A506"/>
      <c r="B506" s="14"/>
      <c r="C506" s="14"/>
      <c r="D506" s="534"/>
      <c r="E506" s="2"/>
      <c r="F506" s="14"/>
      <c r="G506" s="14"/>
      <c r="H506" s="489"/>
      <c r="I506" s="44"/>
      <c r="J506" s="44"/>
      <c r="K506"/>
      <c r="L506" s="377"/>
    </row>
    <row r="507" spans="1:19" s="93" customFormat="1">
      <c r="A507"/>
      <c r="B507" s="14"/>
      <c r="C507" s="14"/>
      <c r="D507" s="534"/>
      <c r="E507" s="2"/>
      <c r="F507" s="14"/>
      <c r="G507" s="14"/>
      <c r="H507" s="489"/>
      <c r="I507" s="44"/>
      <c r="J507" s="44"/>
      <c r="K507"/>
      <c r="L507" s="377"/>
    </row>
    <row r="508" spans="1:19" s="93" customFormat="1">
      <c r="A508"/>
      <c r="B508" s="14"/>
      <c r="C508" s="14"/>
      <c r="D508" s="534"/>
      <c r="E508" s="2"/>
      <c r="F508" s="14"/>
      <c r="G508" s="14"/>
      <c r="H508" s="489"/>
      <c r="I508" s="44"/>
      <c r="J508" s="44"/>
      <c r="K508"/>
      <c r="L508" s="377"/>
    </row>
    <row r="509" spans="1:19" s="93" customFormat="1">
      <c r="A509"/>
      <c r="B509" s="14"/>
      <c r="C509" s="14"/>
      <c r="D509" s="534"/>
      <c r="E509" s="2"/>
      <c r="F509" s="14"/>
      <c r="G509" s="14"/>
      <c r="H509" s="489"/>
      <c r="I509" s="44"/>
      <c r="J509" s="44"/>
      <c r="K509"/>
      <c r="L509" s="377"/>
    </row>
    <row r="510" spans="1:19" s="93" customFormat="1">
      <c r="A510"/>
      <c r="B510" s="14"/>
      <c r="C510" s="14"/>
      <c r="D510" s="534"/>
      <c r="E510" s="2"/>
      <c r="F510" s="14"/>
      <c r="G510" s="14"/>
      <c r="H510" s="489"/>
      <c r="I510" s="44"/>
      <c r="J510" s="44"/>
      <c r="K510"/>
      <c r="L510" s="377"/>
    </row>
    <row r="511" spans="1:19" s="93" customFormat="1">
      <c r="A511"/>
      <c r="B511" s="14"/>
      <c r="C511" s="14"/>
      <c r="D511" s="534"/>
      <c r="E511" s="2"/>
      <c r="F511" s="14"/>
      <c r="G511" s="14"/>
      <c r="H511" s="489"/>
      <c r="I511" s="44"/>
      <c r="J511" s="44"/>
      <c r="K511"/>
      <c r="L511" s="377"/>
    </row>
    <row r="512" spans="1:19" s="93" customFormat="1">
      <c r="A512"/>
      <c r="B512" s="14"/>
      <c r="C512" s="14"/>
      <c r="D512" s="534"/>
      <c r="E512" s="2"/>
      <c r="F512" s="14"/>
      <c r="G512" s="14"/>
      <c r="H512" s="489"/>
      <c r="I512" s="44"/>
      <c r="J512" s="44"/>
      <c r="K512"/>
      <c r="L512" s="377"/>
    </row>
    <row r="513" spans="1:12" s="93" customFormat="1">
      <c r="A513"/>
      <c r="B513" s="14"/>
      <c r="C513" s="14"/>
      <c r="D513" s="534"/>
      <c r="E513" s="2"/>
      <c r="F513" s="14"/>
      <c r="G513" s="14"/>
      <c r="H513" s="489"/>
      <c r="I513" s="44"/>
      <c r="J513" s="44"/>
      <c r="K513"/>
      <c r="L513" s="377"/>
    </row>
    <row r="514" spans="1:12" s="93" customFormat="1">
      <c r="A514"/>
      <c r="B514" s="14"/>
      <c r="C514" s="14"/>
      <c r="D514" s="534"/>
      <c r="E514" s="2"/>
      <c r="F514" s="14"/>
      <c r="G514" s="14"/>
      <c r="H514" s="489"/>
      <c r="I514" s="44"/>
      <c r="J514" s="44"/>
      <c r="K514"/>
      <c r="L514" s="377"/>
    </row>
    <row r="515" spans="1:12" s="93" customFormat="1">
      <c r="A515"/>
      <c r="B515" s="14"/>
      <c r="C515" s="14"/>
      <c r="D515" s="534"/>
      <c r="E515" s="2"/>
      <c r="F515" s="14"/>
      <c r="G515" s="14"/>
      <c r="H515" s="489"/>
      <c r="I515" s="44"/>
      <c r="J515" s="44"/>
      <c r="K515"/>
      <c r="L515" s="377"/>
    </row>
    <row r="516" spans="1:12" s="93" customFormat="1">
      <c r="A516"/>
      <c r="B516" s="14"/>
      <c r="C516" s="14"/>
      <c r="D516" s="534"/>
      <c r="E516" s="2"/>
      <c r="F516" s="14"/>
      <c r="G516" s="14"/>
      <c r="H516" s="489"/>
      <c r="I516" s="44"/>
      <c r="J516" s="44"/>
      <c r="K516"/>
      <c r="L516" s="377"/>
    </row>
    <row r="517" spans="1:12" s="93" customFormat="1">
      <c r="A517"/>
      <c r="B517" s="14"/>
      <c r="C517" s="14"/>
      <c r="D517" s="534"/>
      <c r="E517" s="2"/>
      <c r="F517" s="14"/>
      <c r="G517" s="14"/>
      <c r="H517" s="489"/>
      <c r="I517" s="44"/>
      <c r="J517" s="44"/>
      <c r="K517"/>
      <c r="L517" s="377"/>
    </row>
    <row r="518" spans="1:12" s="93" customFormat="1">
      <c r="A518"/>
      <c r="B518" s="14"/>
      <c r="C518" s="14"/>
      <c r="D518" s="534"/>
      <c r="E518" s="2"/>
      <c r="F518" s="14"/>
      <c r="G518" s="14"/>
      <c r="H518" s="489"/>
      <c r="I518" s="44"/>
      <c r="J518" s="44"/>
      <c r="K518"/>
      <c r="L518" s="377"/>
    </row>
    <row r="519" spans="1:12" s="93" customFormat="1">
      <c r="A519"/>
      <c r="B519" s="14"/>
      <c r="C519" s="14"/>
      <c r="D519" s="534"/>
      <c r="E519" s="2"/>
      <c r="F519" s="14"/>
      <c r="G519" s="14"/>
      <c r="H519" s="489"/>
      <c r="I519" s="44"/>
      <c r="J519" s="44"/>
      <c r="K519"/>
      <c r="L519" s="377"/>
    </row>
    <row r="520" spans="1:12" s="93" customFormat="1">
      <c r="A520"/>
      <c r="B520" s="14"/>
      <c r="C520" s="14"/>
      <c r="D520" s="534"/>
      <c r="E520" s="2"/>
      <c r="F520" s="14"/>
      <c r="G520" s="14"/>
      <c r="H520" s="489"/>
      <c r="I520" s="44"/>
      <c r="J520" s="44"/>
      <c r="K520"/>
      <c r="L520" s="377"/>
    </row>
    <row r="521" spans="1:12" s="93" customFormat="1">
      <c r="A521"/>
      <c r="B521" s="14"/>
      <c r="C521" s="14"/>
      <c r="D521" s="534"/>
      <c r="E521" s="2"/>
      <c r="F521" s="14"/>
      <c r="G521" s="14"/>
      <c r="H521" s="489"/>
      <c r="I521" s="44"/>
      <c r="J521" s="44"/>
      <c r="K521"/>
      <c r="L521" s="377"/>
    </row>
    <row r="522" spans="1:12" s="93" customFormat="1">
      <c r="A522"/>
      <c r="B522" s="14"/>
      <c r="C522" s="14"/>
      <c r="D522" s="534"/>
      <c r="E522" s="2"/>
      <c r="F522" s="14"/>
      <c r="G522" s="14"/>
      <c r="H522" s="489"/>
      <c r="I522" s="44"/>
      <c r="J522" s="44"/>
      <c r="K522"/>
      <c r="L522" s="377"/>
    </row>
    <row r="523" spans="1:12" s="93" customFormat="1">
      <c r="A523"/>
      <c r="B523" s="14"/>
      <c r="C523" s="14"/>
      <c r="D523" s="534"/>
      <c r="E523" s="2"/>
      <c r="F523" s="14"/>
      <c r="G523" s="14"/>
      <c r="H523" s="489"/>
      <c r="I523" s="44"/>
      <c r="J523" s="44"/>
      <c r="K523"/>
      <c r="L523" s="377"/>
    </row>
    <row r="524" spans="1:12" s="93" customFormat="1">
      <c r="A524"/>
      <c r="B524" s="14"/>
      <c r="C524" s="14"/>
      <c r="D524" s="534"/>
      <c r="E524" s="2"/>
      <c r="F524" s="14"/>
      <c r="G524" s="14"/>
      <c r="H524" s="489"/>
      <c r="I524" s="44"/>
      <c r="J524" s="44"/>
      <c r="K524"/>
      <c r="L524" s="377"/>
    </row>
    <row r="525" spans="1:12" s="93" customFormat="1">
      <c r="A525"/>
      <c r="B525" s="14"/>
      <c r="C525" s="14"/>
      <c r="D525" s="534"/>
      <c r="E525" s="2"/>
      <c r="F525" s="14"/>
      <c r="G525" s="14"/>
      <c r="H525" s="489"/>
      <c r="I525" s="44"/>
      <c r="J525" s="44"/>
      <c r="K525"/>
      <c r="L525" s="377"/>
    </row>
    <row r="526" spans="1:12" s="93" customFormat="1">
      <c r="A526"/>
      <c r="B526" s="14"/>
      <c r="C526" s="14"/>
      <c r="D526" s="534"/>
      <c r="E526" s="2"/>
      <c r="F526" s="14"/>
      <c r="G526" s="14"/>
      <c r="H526" s="489"/>
      <c r="I526" s="44"/>
      <c r="J526" s="44"/>
      <c r="K526"/>
      <c r="L526" s="377"/>
    </row>
    <row r="527" spans="1:12" s="93" customFormat="1">
      <c r="A527"/>
      <c r="B527" s="14"/>
      <c r="C527" s="14"/>
      <c r="D527" s="534"/>
      <c r="E527" s="2"/>
      <c r="F527" s="14"/>
      <c r="G527" s="14"/>
      <c r="H527" s="489"/>
      <c r="I527" s="44"/>
      <c r="J527" s="44"/>
      <c r="K527"/>
      <c r="L527" s="377"/>
    </row>
    <row r="528" spans="1:12" s="93" customFormat="1">
      <c r="A528"/>
      <c r="B528" s="14"/>
      <c r="C528" s="14"/>
      <c r="D528" s="534"/>
      <c r="E528" s="2"/>
      <c r="F528" s="14"/>
      <c r="G528" s="14"/>
      <c r="H528" s="489"/>
      <c r="I528" s="44"/>
      <c r="J528" s="44"/>
      <c r="K528"/>
      <c r="L528" s="377"/>
    </row>
    <row r="529" spans="1:17" s="93" customFormat="1">
      <c r="A529"/>
      <c r="B529" s="14"/>
      <c r="C529" s="14"/>
      <c r="D529" s="534"/>
      <c r="E529" s="2"/>
      <c r="F529" s="14"/>
      <c r="G529" s="14"/>
      <c r="H529" s="489"/>
      <c r="I529" s="44"/>
      <c r="J529" s="44"/>
      <c r="K529"/>
      <c r="L529" s="377"/>
    </row>
    <row r="530" spans="1:17" s="93" customFormat="1">
      <c r="A530"/>
      <c r="B530" s="14"/>
      <c r="C530" s="14"/>
      <c r="D530" s="534"/>
      <c r="E530" s="2"/>
      <c r="F530" s="14"/>
      <c r="G530" s="14"/>
      <c r="H530" s="489"/>
      <c r="I530" s="44"/>
      <c r="J530" s="44"/>
      <c r="K530"/>
      <c r="L530" s="377"/>
    </row>
    <row r="531" spans="1:17" s="93" customFormat="1">
      <c r="A531"/>
      <c r="B531" s="14"/>
      <c r="C531" s="14"/>
      <c r="D531" s="534"/>
      <c r="E531" s="2"/>
      <c r="F531" s="14"/>
      <c r="G531" s="14"/>
      <c r="H531" s="489"/>
      <c r="I531" s="44"/>
      <c r="J531" s="44"/>
      <c r="K531"/>
      <c r="L531" s="377"/>
    </row>
    <row r="532" spans="1:17" s="93" customFormat="1">
      <c r="A532"/>
      <c r="B532" s="14"/>
      <c r="C532" s="14"/>
      <c r="D532" s="534"/>
      <c r="E532" s="2"/>
      <c r="F532" s="14"/>
      <c r="G532" s="14"/>
      <c r="H532" s="489"/>
      <c r="I532" s="44"/>
      <c r="J532" s="44"/>
      <c r="K532"/>
      <c r="L532" s="377"/>
    </row>
    <row r="533" spans="1:17" s="93" customFormat="1">
      <c r="A533"/>
      <c r="B533" s="14"/>
      <c r="C533" s="14"/>
      <c r="D533" s="534"/>
      <c r="E533" s="2"/>
      <c r="F533" s="14"/>
      <c r="G533" s="14"/>
      <c r="H533" s="489"/>
      <c r="I533" s="44"/>
      <c r="J533" s="44"/>
      <c r="K533"/>
      <c r="L533" s="377"/>
    </row>
    <row r="534" spans="1:17" s="93" customFormat="1">
      <c r="A534"/>
      <c r="B534" s="14"/>
      <c r="C534" s="14"/>
      <c r="D534" s="534"/>
      <c r="E534" s="2"/>
      <c r="F534" s="14"/>
      <c r="G534" s="14"/>
      <c r="H534" s="489"/>
      <c r="I534" s="44"/>
      <c r="J534" s="44"/>
      <c r="K534"/>
      <c r="L534" s="377"/>
    </row>
    <row r="535" spans="1:17" s="93" customFormat="1">
      <c r="A535"/>
      <c r="B535" s="14"/>
      <c r="C535" s="14"/>
      <c r="D535" s="534"/>
      <c r="E535" s="2"/>
      <c r="F535" s="14"/>
      <c r="G535" s="14"/>
      <c r="H535" s="489"/>
      <c r="I535" s="44"/>
      <c r="J535" s="44"/>
      <c r="K535"/>
      <c r="L535" s="377"/>
    </row>
    <row r="536" spans="1:17" s="93" customFormat="1">
      <c r="A536"/>
      <c r="B536" s="14"/>
      <c r="C536" s="14"/>
      <c r="D536" s="534"/>
      <c r="E536" s="2"/>
      <c r="F536" s="14"/>
      <c r="G536" s="14"/>
      <c r="H536" s="489"/>
      <c r="I536" s="44"/>
      <c r="J536" s="44"/>
      <c r="K536"/>
      <c r="L536" s="377"/>
    </row>
    <row r="537" spans="1:17" s="93" customFormat="1">
      <c r="A537"/>
      <c r="B537" s="14"/>
      <c r="C537" s="14"/>
      <c r="D537" s="534"/>
      <c r="E537" s="2"/>
      <c r="F537" s="14"/>
      <c r="G537" s="14"/>
      <c r="H537" s="489"/>
      <c r="I537" s="44"/>
      <c r="J537" s="44"/>
      <c r="K537"/>
      <c r="L537" s="377"/>
    </row>
    <row r="538" spans="1:17" s="93" customFormat="1" ht="15.75" customHeight="1">
      <c r="A538"/>
      <c r="B538" s="14"/>
      <c r="C538" s="14"/>
      <c r="D538" s="534"/>
      <c r="E538" s="2"/>
      <c r="F538" s="14"/>
      <c r="G538" s="14"/>
      <c r="H538" s="489"/>
      <c r="I538" s="44"/>
      <c r="J538" s="44"/>
      <c r="K538"/>
      <c r="L538" s="377"/>
    </row>
    <row r="539" spans="1:17" s="270" customFormat="1">
      <c r="A539"/>
      <c r="B539" s="14"/>
      <c r="C539" s="14"/>
      <c r="D539" s="534"/>
      <c r="E539" s="2"/>
      <c r="F539" s="14"/>
      <c r="G539" s="14"/>
      <c r="H539" s="489"/>
      <c r="I539" s="44"/>
      <c r="J539" s="44"/>
      <c r="K539"/>
      <c r="L539" s="381"/>
    </row>
    <row r="540" spans="1:17" s="270" customFormat="1">
      <c r="A540"/>
      <c r="B540" s="14"/>
      <c r="C540" s="14"/>
      <c r="D540" s="534"/>
      <c r="E540" s="2"/>
      <c r="F540" s="14"/>
      <c r="G540" s="14"/>
      <c r="H540" s="489"/>
      <c r="I540" s="44"/>
      <c r="J540" s="44"/>
      <c r="K540"/>
      <c r="L540" s="381"/>
    </row>
    <row r="541" spans="1:17" s="270" customFormat="1">
      <c r="A541"/>
      <c r="B541" s="14"/>
      <c r="C541" s="14"/>
      <c r="D541" s="534"/>
      <c r="E541" s="2"/>
      <c r="F541" s="14"/>
      <c r="G541" s="14"/>
      <c r="H541" s="489"/>
      <c r="I541" s="44"/>
      <c r="J541" s="44"/>
      <c r="K541"/>
      <c r="L541" s="381"/>
    </row>
    <row r="542" spans="1:17" s="270" customFormat="1">
      <c r="A542"/>
      <c r="B542" s="14"/>
      <c r="C542" s="14"/>
      <c r="D542" s="534"/>
      <c r="E542" s="2"/>
      <c r="F542" s="14"/>
      <c r="G542" s="14"/>
      <c r="H542" s="489"/>
      <c r="I542" s="44"/>
      <c r="J542" s="44"/>
      <c r="K542"/>
      <c r="L542" s="381"/>
    </row>
    <row r="543" spans="1:17" s="93" customFormat="1">
      <c r="A543"/>
      <c r="B543" s="14"/>
      <c r="C543" s="14"/>
      <c r="D543" s="534"/>
      <c r="E543" s="2"/>
      <c r="F543" s="14"/>
      <c r="G543" s="14"/>
      <c r="H543" s="489"/>
      <c r="I543" s="44"/>
      <c r="J543" s="44"/>
      <c r="K543"/>
      <c r="L543" s="377"/>
      <c r="M543"/>
      <c r="N543"/>
      <c r="O543"/>
      <c r="P543"/>
      <c r="Q543"/>
    </row>
    <row r="544" spans="1:17">
      <c r="G544" s="14"/>
      <c r="H544" s="489"/>
    </row>
    <row r="545" spans="2:12">
      <c r="G545" s="14"/>
      <c r="H545" s="489"/>
      <c r="L545"/>
    </row>
    <row r="546" spans="2:12">
      <c r="G546" s="14"/>
      <c r="H546" s="489"/>
      <c r="L546"/>
    </row>
    <row r="547" spans="2:12">
      <c r="G547" s="14"/>
      <c r="H547" s="489"/>
      <c r="L547"/>
    </row>
    <row r="548" spans="2:12">
      <c r="G548" s="14"/>
      <c r="H548" s="489"/>
      <c r="L548"/>
    </row>
    <row r="549" spans="2:12">
      <c r="G549" s="14"/>
      <c r="H549" s="489"/>
      <c r="L549"/>
    </row>
    <row r="550" spans="2:12">
      <c r="G550" s="14"/>
      <c r="H550" s="489"/>
      <c r="L550"/>
    </row>
    <row r="551" spans="2:12">
      <c r="G551" s="14"/>
      <c r="H551" s="489"/>
      <c r="L551"/>
    </row>
    <row r="552" spans="2:12">
      <c r="G552" s="14"/>
      <c r="H552" s="489"/>
      <c r="L552"/>
    </row>
    <row r="553" spans="2:12">
      <c r="G553" s="14"/>
      <c r="H553" s="489"/>
      <c r="L553"/>
    </row>
    <row r="554" spans="2:12">
      <c r="G554" s="14"/>
      <c r="H554" s="489"/>
      <c r="L554"/>
    </row>
    <row r="555" spans="2:12">
      <c r="G555" s="14"/>
      <c r="H555" s="489"/>
      <c r="L555"/>
    </row>
    <row r="556" spans="2:12">
      <c r="G556" s="14"/>
      <c r="H556" s="489"/>
      <c r="L556"/>
    </row>
    <row r="557" spans="2:12">
      <c r="G557" s="14"/>
      <c r="H557" s="489"/>
      <c r="L557"/>
    </row>
    <row r="558" spans="2:12">
      <c r="B558"/>
      <c r="C558"/>
      <c r="D558"/>
      <c r="E558"/>
      <c r="F558"/>
      <c r="G558" s="14"/>
      <c r="H558" s="489"/>
      <c r="I558"/>
      <c r="J558"/>
      <c r="L558"/>
    </row>
    <row r="559" spans="2:12">
      <c r="B559"/>
      <c r="C559"/>
      <c r="D559"/>
      <c r="E559"/>
      <c r="F559"/>
      <c r="G559" s="14"/>
      <c r="H559" s="489"/>
      <c r="I559"/>
      <c r="J559"/>
      <c r="L559"/>
    </row>
    <row r="560" spans="2:12">
      <c r="B560"/>
      <c r="C560"/>
      <c r="D560"/>
      <c r="E560"/>
      <c r="F560"/>
      <c r="G560" s="14"/>
      <c r="H560" s="489"/>
      <c r="I560"/>
      <c r="J560"/>
      <c r="L560"/>
    </row>
    <row r="561" spans="2:12">
      <c r="B561"/>
      <c r="C561"/>
      <c r="D561"/>
      <c r="E561"/>
      <c r="F561"/>
      <c r="G561" s="14"/>
      <c r="H561" s="489"/>
      <c r="I561"/>
      <c r="J561"/>
      <c r="L561"/>
    </row>
    <row r="562" spans="2:12">
      <c r="B562"/>
      <c r="C562"/>
      <c r="D562"/>
      <c r="E562"/>
      <c r="F562"/>
      <c r="G562" s="14"/>
      <c r="H562" s="489"/>
      <c r="I562"/>
      <c r="J562"/>
      <c r="L562"/>
    </row>
    <row r="563" spans="2:12">
      <c r="B563"/>
      <c r="C563"/>
      <c r="D563"/>
      <c r="E563"/>
      <c r="F563"/>
      <c r="G563" s="14"/>
      <c r="H563" s="489"/>
      <c r="I563"/>
      <c r="J563"/>
      <c r="L563"/>
    </row>
    <row r="564" spans="2:12">
      <c r="B564"/>
      <c r="C564"/>
      <c r="D564"/>
      <c r="E564"/>
      <c r="F564"/>
      <c r="G564" s="14"/>
      <c r="H564" s="489"/>
      <c r="I564"/>
      <c r="J564"/>
      <c r="L564"/>
    </row>
    <row r="565" spans="2:12">
      <c r="B565"/>
      <c r="C565"/>
      <c r="D565"/>
      <c r="E565"/>
      <c r="F565"/>
      <c r="G565" s="14"/>
      <c r="H565" s="489"/>
      <c r="I565"/>
      <c r="J565"/>
      <c r="L565"/>
    </row>
    <row r="566" spans="2:12">
      <c r="B566"/>
      <c r="C566"/>
      <c r="D566"/>
      <c r="E566"/>
      <c r="F566"/>
      <c r="G566" s="14"/>
      <c r="H566" s="489"/>
      <c r="I566"/>
      <c r="J566"/>
      <c r="L566"/>
    </row>
    <row r="567" spans="2:12">
      <c r="B567"/>
      <c r="C567"/>
      <c r="D567"/>
      <c r="E567"/>
      <c r="F567"/>
      <c r="G567" s="14"/>
      <c r="H567" s="489"/>
      <c r="I567"/>
      <c r="J567"/>
      <c r="L567"/>
    </row>
    <row r="568" spans="2:12">
      <c r="B568"/>
      <c r="C568"/>
      <c r="D568"/>
      <c r="E568"/>
      <c r="F568"/>
      <c r="G568" s="14"/>
      <c r="H568" s="489"/>
      <c r="I568"/>
      <c r="J568"/>
      <c r="L568"/>
    </row>
    <row r="569" spans="2:12">
      <c r="B569"/>
      <c r="C569"/>
      <c r="D569"/>
      <c r="E569"/>
      <c r="F569"/>
      <c r="G569" s="14"/>
      <c r="H569" s="489"/>
      <c r="I569"/>
      <c r="J569"/>
      <c r="L569"/>
    </row>
    <row r="570" spans="2:12">
      <c r="B570"/>
      <c r="C570"/>
      <c r="D570"/>
      <c r="E570"/>
      <c r="F570"/>
      <c r="G570" s="14"/>
      <c r="H570" s="489"/>
      <c r="I570"/>
      <c r="J570"/>
      <c r="L570"/>
    </row>
    <row r="571" spans="2:12">
      <c r="B571"/>
      <c r="C571"/>
      <c r="D571"/>
      <c r="E571"/>
      <c r="F571"/>
      <c r="G571" s="14"/>
      <c r="H571" s="489"/>
      <c r="I571"/>
      <c r="J571"/>
      <c r="L571"/>
    </row>
    <row r="572" spans="2:12">
      <c r="B572"/>
      <c r="C572"/>
      <c r="D572"/>
      <c r="E572"/>
      <c r="F572"/>
      <c r="G572" s="14"/>
      <c r="H572" s="489"/>
      <c r="I572"/>
      <c r="J572"/>
      <c r="L572"/>
    </row>
    <row r="573" spans="2:12">
      <c r="B573"/>
      <c r="C573"/>
      <c r="D573"/>
      <c r="E573"/>
      <c r="F573"/>
      <c r="G573" s="14"/>
      <c r="H573" s="489"/>
      <c r="I573"/>
      <c r="J573"/>
      <c r="L573"/>
    </row>
    <row r="574" spans="2:12">
      <c r="B574"/>
      <c r="C574"/>
      <c r="D574"/>
      <c r="E574"/>
      <c r="F574"/>
      <c r="G574" s="14"/>
      <c r="H574" s="489"/>
      <c r="I574"/>
      <c r="J574"/>
      <c r="L574"/>
    </row>
    <row r="575" spans="2:12">
      <c r="B575"/>
      <c r="C575"/>
      <c r="D575"/>
      <c r="E575"/>
      <c r="F575"/>
      <c r="G575" s="14"/>
      <c r="H575" s="489"/>
      <c r="I575"/>
      <c r="J575"/>
      <c r="L575"/>
    </row>
    <row r="576" spans="2:12">
      <c r="B576"/>
      <c r="C576"/>
      <c r="D576"/>
      <c r="E576"/>
      <c r="F576"/>
      <c r="G576" s="14"/>
      <c r="H576" s="489"/>
      <c r="I576"/>
      <c r="J576"/>
      <c r="L576"/>
    </row>
    <row r="577" spans="2:12">
      <c r="B577"/>
      <c r="C577"/>
      <c r="D577"/>
      <c r="E577"/>
      <c r="F577"/>
      <c r="G577" s="14"/>
      <c r="H577" s="489"/>
      <c r="I577"/>
      <c r="J577"/>
      <c r="L577"/>
    </row>
    <row r="578" spans="2:12">
      <c r="B578"/>
      <c r="C578"/>
      <c r="D578"/>
      <c r="E578"/>
      <c r="F578"/>
      <c r="G578" s="14"/>
      <c r="H578" s="489"/>
      <c r="I578"/>
      <c r="J578"/>
      <c r="L578"/>
    </row>
    <row r="579" spans="2:12">
      <c r="B579"/>
      <c r="C579"/>
      <c r="D579"/>
      <c r="E579"/>
      <c r="F579"/>
      <c r="G579" s="14"/>
      <c r="H579" s="489"/>
      <c r="I579"/>
      <c r="J579"/>
      <c r="L579"/>
    </row>
    <row r="580" spans="2:12">
      <c r="B580"/>
      <c r="C580"/>
      <c r="D580"/>
      <c r="E580"/>
      <c r="F580"/>
      <c r="G580" s="14"/>
      <c r="H580" s="489"/>
      <c r="I580"/>
      <c r="J580"/>
      <c r="L580"/>
    </row>
    <row r="581" spans="2:12">
      <c r="B581"/>
      <c r="C581"/>
      <c r="D581"/>
      <c r="E581"/>
      <c r="F581"/>
      <c r="G581" s="14"/>
      <c r="H581" s="489"/>
      <c r="I581"/>
      <c r="J581"/>
      <c r="L581"/>
    </row>
    <row r="582" spans="2:12">
      <c r="B582"/>
      <c r="C582"/>
      <c r="D582"/>
      <c r="E582"/>
      <c r="F582"/>
      <c r="G582" s="14"/>
      <c r="H582" s="489"/>
      <c r="I582"/>
      <c r="J582"/>
      <c r="L582"/>
    </row>
    <row r="583" spans="2:12">
      <c r="B583"/>
      <c r="C583"/>
      <c r="D583"/>
      <c r="E583"/>
      <c r="F583"/>
      <c r="G583" s="14"/>
      <c r="H583" s="489"/>
      <c r="I583"/>
      <c r="J583"/>
      <c r="L583"/>
    </row>
    <row r="584" spans="2:12">
      <c r="B584"/>
      <c r="C584"/>
      <c r="D584"/>
      <c r="E584"/>
      <c r="F584"/>
      <c r="G584" s="14"/>
      <c r="H584" s="489"/>
      <c r="I584"/>
      <c r="J584"/>
      <c r="L584"/>
    </row>
    <row r="585" spans="2:12">
      <c r="B585"/>
      <c r="C585"/>
      <c r="D585"/>
      <c r="E585"/>
      <c r="F585"/>
      <c r="G585" s="14"/>
      <c r="H585" s="489"/>
      <c r="I585"/>
      <c r="J585"/>
      <c r="L585"/>
    </row>
    <row r="586" spans="2:12">
      <c r="B586"/>
      <c r="C586"/>
      <c r="D586"/>
      <c r="E586"/>
      <c r="F586"/>
      <c r="G586" s="14"/>
      <c r="H586" s="489"/>
      <c r="I586"/>
      <c r="J586"/>
      <c r="L586"/>
    </row>
    <row r="587" spans="2:12">
      <c r="B587"/>
      <c r="C587"/>
      <c r="D587"/>
      <c r="E587"/>
      <c r="F587"/>
      <c r="G587" s="14"/>
      <c r="H587" s="489"/>
      <c r="I587"/>
      <c r="J587"/>
      <c r="L587"/>
    </row>
    <row r="588" spans="2:12">
      <c r="B588"/>
      <c r="C588"/>
      <c r="D588"/>
      <c r="E588"/>
      <c r="F588"/>
      <c r="G588" s="14"/>
      <c r="H588" s="489"/>
      <c r="I588"/>
      <c r="J588"/>
      <c r="L588"/>
    </row>
    <row r="589" spans="2:12">
      <c r="B589"/>
      <c r="C589"/>
      <c r="D589"/>
      <c r="E589"/>
      <c r="F589"/>
      <c r="G589" s="14"/>
      <c r="H589" s="489"/>
      <c r="I589"/>
      <c r="J589"/>
      <c r="L589"/>
    </row>
    <row r="590" spans="2:12">
      <c r="B590"/>
      <c r="C590"/>
      <c r="D590"/>
      <c r="E590"/>
      <c r="F590"/>
      <c r="G590" s="14"/>
      <c r="H590" s="489"/>
      <c r="I590"/>
      <c r="J590"/>
      <c r="L590"/>
    </row>
    <row r="591" spans="2:12">
      <c r="B591"/>
      <c r="C591"/>
      <c r="D591"/>
      <c r="E591"/>
      <c r="F591"/>
      <c r="G591" s="14"/>
      <c r="H591" s="489"/>
      <c r="I591"/>
      <c r="J591"/>
      <c r="L591"/>
    </row>
    <row r="592" spans="2:12">
      <c r="B592"/>
      <c r="C592"/>
      <c r="D592"/>
      <c r="E592"/>
      <c r="F592"/>
      <c r="G592" s="14"/>
      <c r="H592" s="489"/>
      <c r="I592"/>
      <c r="J592"/>
      <c r="L592"/>
    </row>
    <row r="593" spans="2:12">
      <c r="B593"/>
      <c r="C593"/>
      <c r="D593"/>
      <c r="E593"/>
      <c r="F593"/>
      <c r="G593" s="14"/>
      <c r="H593" s="489"/>
      <c r="I593"/>
      <c r="J593"/>
      <c r="L593"/>
    </row>
    <row r="594" spans="2:12">
      <c r="B594"/>
      <c r="C594"/>
      <c r="D594"/>
      <c r="E594"/>
      <c r="F594"/>
      <c r="G594" s="14"/>
      <c r="H594" s="489"/>
      <c r="I594"/>
      <c r="J594"/>
      <c r="L594"/>
    </row>
    <row r="595" spans="2:12">
      <c r="B595"/>
      <c r="C595"/>
      <c r="D595"/>
      <c r="E595"/>
      <c r="F595"/>
      <c r="G595" s="14"/>
      <c r="H595" s="489"/>
      <c r="I595"/>
      <c r="J595"/>
      <c r="L595"/>
    </row>
    <row r="596" spans="2:12">
      <c r="B596"/>
      <c r="C596"/>
      <c r="D596"/>
      <c r="E596"/>
      <c r="F596"/>
      <c r="G596" s="14"/>
      <c r="H596" s="489"/>
      <c r="I596"/>
      <c r="J596"/>
      <c r="L596"/>
    </row>
    <row r="597" spans="2:12">
      <c r="B597"/>
      <c r="C597"/>
      <c r="D597"/>
      <c r="E597"/>
      <c r="F597"/>
      <c r="G597" s="14"/>
      <c r="H597" s="489"/>
      <c r="I597"/>
      <c r="J597"/>
      <c r="L597"/>
    </row>
    <row r="598" spans="2:12">
      <c r="B598"/>
      <c r="C598"/>
      <c r="D598"/>
      <c r="E598"/>
      <c r="F598"/>
      <c r="G598" s="14"/>
      <c r="H598" s="489"/>
      <c r="I598"/>
      <c r="J598"/>
      <c r="L598"/>
    </row>
    <row r="599" spans="2:12">
      <c r="B599"/>
      <c r="C599"/>
      <c r="D599"/>
      <c r="E599"/>
      <c r="F599"/>
      <c r="G599" s="14"/>
      <c r="H599" s="489"/>
      <c r="I599"/>
      <c r="J599"/>
      <c r="L599"/>
    </row>
    <row r="600" spans="2:12">
      <c r="B600"/>
      <c r="C600"/>
      <c r="D600"/>
      <c r="E600"/>
      <c r="F600"/>
      <c r="G600" s="14"/>
      <c r="H600" s="489"/>
      <c r="I600"/>
      <c r="J600"/>
      <c r="L600"/>
    </row>
    <row r="601" spans="2:12">
      <c r="B601"/>
      <c r="C601"/>
      <c r="D601"/>
      <c r="E601"/>
      <c r="F601"/>
      <c r="G601" s="14"/>
      <c r="H601" s="489"/>
      <c r="I601"/>
      <c r="J601"/>
      <c r="L601"/>
    </row>
    <row r="602" spans="2:12">
      <c r="B602"/>
      <c r="C602"/>
      <c r="D602"/>
      <c r="E602"/>
      <c r="F602"/>
      <c r="G602" s="14"/>
      <c r="H602" s="489"/>
      <c r="I602"/>
      <c r="J602"/>
      <c r="L602"/>
    </row>
    <row r="603" spans="2:12">
      <c r="B603"/>
      <c r="C603"/>
      <c r="D603"/>
      <c r="E603"/>
      <c r="F603"/>
      <c r="G603" s="14"/>
      <c r="H603" s="489"/>
      <c r="I603"/>
      <c r="J603"/>
      <c r="L603"/>
    </row>
    <row r="604" spans="2:12">
      <c r="B604"/>
      <c r="C604"/>
      <c r="D604"/>
      <c r="E604"/>
      <c r="F604"/>
      <c r="G604" s="14"/>
      <c r="H604" s="489"/>
      <c r="I604"/>
      <c r="J604"/>
      <c r="L604"/>
    </row>
    <row r="605" spans="2:12">
      <c r="B605"/>
      <c r="C605"/>
      <c r="D605"/>
      <c r="E605"/>
      <c r="F605"/>
      <c r="G605" s="14"/>
      <c r="H605" s="489"/>
      <c r="I605"/>
      <c r="J605"/>
      <c r="L605"/>
    </row>
    <row r="606" spans="2:12">
      <c r="B606"/>
      <c r="C606"/>
      <c r="D606"/>
      <c r="E606"/>
      <c r="F606"/>
      <c r="G606" s="14"/>
      <c r="H606" s="489"/>
      <c r="I606"/>
      <c r="J606"/>
      <c r="L606"/>
    </row>
    <row r="607" spans="2:12">
      <c r="B607"/>
      <c r="C607"/>
      <c r="D607"/>
      <c r="E607"/>
      <c r="F607"/>
      <c r="G607" s="14"/>
      <c r="H607" s="489"/>
      <c r="I607"/>
      <c r="J607"/>
      <c r="L607"/>
    </row>
    <row r="608" spans="2:12">
      <c r="B608"/>
      <c r="C608"/>
      <c r="D608"/>
      <c r="E608"/>
      <c r="F608"/>
      <c r="G608" s="14"/>
      <c r="H608" s="489"/>
      <c r="I608"/>
      <c r="J608"/>
      <c r="L608"/>
    </row>
    <row r="609" spans="2:12">
      <c r="B609"/>
      <c r="C609"/>
      <c r="D609"/>
      <c r="E609"/>
      <c r="F609"/>
      <c r="G609" s="14"/>
      <c r="H609" s="489"/>
      <c r="I609"/>
      <c r="J609"/>
      <c r="L609"/>
    </row>
    <row r="610" spans="2:12">
      <c r="B610"/>
      <c r="C610"/>
      <c r="D610"/>
      <c r="E610"/>
      <c r="F610"/>
      <c r="G610" s="14"/>
      <c r="H610" s="489"/>
      <c r="I610"/>
      <c r="J610"/>
      <c r="L610"/>
    </row>
    <row r="611" spans="2:12">
      <c r="B611"/>
      <c r="C611"/>
      <c r="D611"/>
      <c r="E611"/>
      <c r="F611"/>
      <c r="G611" s="14"/>
      <c r="H611" s="489"/>
      <c r="I611"/>
      <c r="J611"/>
      <c r="L611"/>
    </row>
    <row r="612" spans="2:12">
      <c r="B612"/>
      <c r="C612"/>
      <c r="D612"/>
      <c r="E612"/>
      <c r="F612"/>
      <c r="G612" s="14"/>
      <c r="H612" s="489"/>
      <c r="I612"/>
      <c r="J612"/>
      <c r="L612"/>
    </row>
    <row r="613" spans="2:12">
      <c r="B613"/>
      <c r="C613"/>
      <c r="D613"/>
      <c r="E613"/>
      <c r="F613"/>
      <c r="G613" s="14"/>
      <c r="H613" s="489"/>
      <c r="I613"/>
      <c r="J613"/>
      <c r="L613"/>
    </row>
    <row r="614" spans="2:12">
      <c r="B614"/>
      <c r="C614"/>
      <c r="D614"/>
      <c r="E614"/>
      <c r="F614"/>
      <c r="G614" s="14"/>
      <c r="H614" s="489"/>
      <c r="I614"/>
      <c r="J614"/>
      <c r="L614"/>
    </row>
    <row r="615" spans="2:12">
      <c r="B615"/>
      <c r="C615"/>
      <c r="D615"/>
      <c r="E615"/>
      <c r="F615"/>
      <c r="G615" s="14"/>
      <c r="H615" s="489"/>
      <c r="I615"/>
      <c r="J615"/>
      <c r="L615"/>
    </row>
    <row r="616" spans="2:12">
      <c r="B616"/>
      <c r="C616"/>
      <c r="D616"/>
      <c r="E616"/>
      <c r="F616"/>
      <c r="G616" s="14"/>
      <c r="H616" s="489"/>
      <c r="I616"/>
      <c r="J616"/>
      <c r="L616"/>
    </row>
    <row r="617" spans="2:12">
      <c r="B617"/>
      <c r="C617"/>
      <c r="D617"/>
      <c r="E617"/>
      <c r="F617"/>
      <c r="G617" s="14"/>
      <c r="H617" s="489"/>
      <c r="I617"/>
      <c r="J617"/>
      <c r="L617"/>
    </row>
    <row r="618" spans="2:12">
      <c r="B618"/>
      <c r="C618"/>
      <c r="D618"/>
      <c r="E618"/>
      <c r="F618"/>
      <c r="G618" s="14"/>
      <c r="H618" s="489"/>
      <c r="I618"/>
      <c r="J618"/>
      <c r="L618"/>
    </row>
    <row r="619" spans="2:12">
      <c r="B619"/>
      <c r="C619"/>
      <c r="D619"/>
      <c r="E619"/>
      <c r="F619"/>
      <c r="G619" s="14"/>
      <c r="H619" s="489"/>
      <c r="I619"/>
      <c r="J619"/>
      <c r="L619"/>
    </row>
    <row r="620" spans="2:12">
      <c r="B620"/>
      <c r="C620"/>
      <c r="D620"/>
      <c r="E620"/>
      <c r="F620"/>
      <c r="G620" s="14"/>
      <c r="H620" s="489"/>
      <c r="I620"/>
      <c r="J620"/>
      <c r="L620"/>
    </row>
    <row r="621" spans="2:12">
      <c r="B621"/>
      <c r="C621"/>
      <c r="D621"/>
      <c r="E621"/>
      <c r="F621"/>
      <c r="G621" s="14"/>
      <c r="H621" s="489"/>
      <c r="I621"/>
      <c r="J621"/>
      <c r="L621"/>
    </row>
    <row r="622" spans="2:12">
      <c r="B622"/>
      <c r="C622"/>
      <c r="D622"/>
      <c r="E622"/>
      <c r="F622"/>
      <c r="G622" s="14"/>
      <c r="H622" s="489"/>
      <c r="I622"/>
      <c r="J622"/>
      <c r="L622"/>
    </row>
    <row r="623" spans="2:12">
      <c r="B623"/>
      <c r="C623"/>
      <c r="D623"/>
      <c r="E623"/>
      <c r="F623"/>
      <c r="G623" s="14"/>
      <c r="H623" s="489"/>
      <c r="I623"/>
      <c r="J623"/>
      <c r="L623"/>
    </row>
    <row r="624" spans="2:12">
      <c r="B624"/>
      <c r="C624"/>
      <c r="D624"/>
      <c r="E624"/>
      <c r="F624"/>
      <c r="G624" s="14"/>
      <c r="H624" s="489"/>
      <c r="I624"/>
      <c r="J624"/>
      <c r="L624"/>
    </row>
    <row r="625" spans="2:12">
      <c r="B625"/>
      <c r="C625"/>
      <c r="D625"/>
      <c r="E625"/>
      <c r="F625"/>
      <c r="G625" s="14"/>
      <c r="H625" s="489"/>
      <c r="I625"/>
      <c r="J625"/>
      <c r="L625"/>
    </row>
    <row r="626" spans="2:12">
      <c r="B626"/>
      <c r="C626"/>
      <c r="D626"/>
      <c r="E626"/>
      <c r="F626"/>
      <c r="G626" s="14"/>
      <c r="H626" s="489"/>
      <c r="I626"/>
      <c r="J626"/>
      <c r="L626"/>
    </row>
    <row r="627" spans="2:12">
      <c r="B627"/>
      <c r="C627"/>
      <c r="D627"/>
      <c r="E627"/>
      <c r="F627"/>
      <c r="G627" s="14"/>
      <c r="H627" s="489"/>
      <c r="I627"/>
      <c r="J627"/>
      <c r="L627"/>
    </row>
    <row r="628" spans="2:12">
      <c r="B628"/>
      <c r="C628"/>
      <c r="D628"/>
      <c r="E628"/>
      <c r="F628"/>
      <c r="G628" s="14"/>
      <c r="H628" s="489"/>
      <c r="I628"/>
      <c r="J628"/>
      <c r="L628"/>
    </row>
    <row r="629" spans="2:12">
      <c r="B629"/>
      <c r="C629"/>
      <c r="D629"/>
      <c r="E629"/>
      <c r="F629"/>
      <c r="G629" s="14"/>
      <c r="H629" s="489"/>
      <c r="I629"/>
      <c r="J629"/>
      <c r="L629"/>
    </row>
    <row r="630" spans="2:12">
      <c r="B630"/>
      <c r="C630"/>
      <c r="D630"/>
      <c r="E630"/>
      <c r="F630"/>
      <c r="G630" s="14"/>
      <c r="H630" s="489"/>
      <c r="I630"/>
      <c r="J630"/>
      <c r="L630"/>
    </row>
    <row r="631" spans="2:12">
      <c r="B631"/>
      <c r="C631"/>
      <c r="D631"/>
      <c r="E631"/>
      <c r="F631"/>
      <c r="G631" s="14"/>
      <c r="H631" s="489"/>
      <c r="I631"/>
      <c r="J631"/>
      <c r="L631"/>
    </row>
    <row r="632" spans="2:12">
      <c r="B632"/>
      <c r="C632"/>
      <c r="D632"/>
      <c r="E632"/>
      <c r="F632"/>
      <c r="G632" s="14"/>
      <c r="H632" s="489"/>
      <c r="I632"/>
      <c r="J632"/>
      <c r="L632"/>
    </row>
    <row r="633" spans="2:12">
      <c r="B633"/>
      <c r="C633"/>
      <c r="D633"/>
      <c r="E633"/>
      <c r="F633"/>
      <c r="G633" s="14"/>
      <c r="H633" s="489"/>
      <c r="I633"/>
      <c r="J633"/>
      <c r="L633"/>
    </row>
    <row r="634" spans="2:12">
      <c r="B634"/>
      <c r="C634"/>
      <c r="D634"/>
      <c r="E634"/>
      <c r="F634"/>
      <c r="G634" s="14"/>
      <c r="H634" s="489"/>
      <c r="I634"/>
      <c r="J634"/>
      <c r="L634"/>
    </row>
    <row r="635" spans="2:12">
      <c r="B635"/>
      <c r="C635"/>
      <c r="D635"/>
      <c r="E635"/>
      <c r="F635"/>
      <c r="G635" s="14"/>
      <c r="H635" s="489"/>
      <c r="I635"/>
      <c r="J635"/>
      <c r="L635"/>
    </row>
    <row r="636" spans="2:12">
      <c r="B636"/>
      <c r="C636"/>
      <c r="D636"/>
      <c r="E636"/>
      <c r="F636"/>
      <c r="G636" s="14"/>
      <c r="H636" s="489"/>
      <c r="I636"/>
      <c r="J636"/>
      <c r="L636"/>
    </row>
    <row r="637" spans="2:12">
      <c r="B637"/>
      <c r="C637"/>
      <c r="D637"/>
      <c r="E637"/>
      <c r="F637"/>
      <c r="G637" s="14"/>
      <c r="H637" s="489"/>
      <c r="I637"/>
      <c r="J637"/>
      <c r="L637"/>
    </row>
    <row r="638" spans="2:12">
      <c r="B638"/>
      <c r="C638"/>
      <c r="D638"/>
      <c r="E638"/>
      <c r="F638"/>
      <c r="G638" s="14"/>
      <c r="H638" s="489"/>
      <c r="I638"/>
      <c r="J638"/>
      <c r="L638"/>
    </row>
    <row r="639" spans="2:12">
      <c r="B639"/>
      <c r="C639"/>
      <c r="D639"/>
      <c r="E639"/>
      <c r="F639"/>
      <c r="G639" s="14"/>
      <c r="H639" s="489"/>
      <c r="I639"/>
      <c r="J639"/>
      <c r="L639"/>
    </row>
    <row r="640" spans="2:12">
      <c r="B640"/>
      <c r="C640"/>
      <c r="D640"/>
      <c r="E640"/>
      <c r="F640"/>
      <c r="G640" s="14"/>
      <c r="H640" s="489"/>
      <c r="I640"/>
      <c r="J640"/>
      <c r="L640"/>
    </row>
    <row r="641" spans="2:12">
      <c r="B641"/>
      <c r="C641"/>
      <c r="D641"/>
      <c r="E641"/>
      <c r="F641"/>
      <c r="G641" s="14"/>
      <c r="H641" s="489"/>
      <c r="I641"/>
      <c r="J641"/>
      <c r="L641"/>
    </row>
    <row r="642" spans="2:12">
      <c r="B642"/>
      <c r="C642"/>
      <c r="D642"/>
      <c r="E642"/>
      <c r="F642"/>
      <c r="G642" s="14"/>
      <c r="H642" s="489"/>
      <c r="I642"/>
      <c r="J642"/>
      <c r="L642"/>
    </row>
    <row r="643" spans="2:12">
      <c r="B643"/>
      <c r="C643"/>
      <c r="D643"/>
      <c r="E643"/>
      <c r="F643"/>
      <c r="G643" s="14"/>
      <c r="H643" s="489"/>
      <c r="I643"/>
      <c r="J643"/>
      <c r="L643"/>
    </row>
    <row r="644" spans="2:12">
      <c r="B644"/>
      <c r="C644"/>
      <c r="D644"/>
      <c r="E644"/>
      <c r="F644"/>
      <c r="G644" s="14"/>
      <c r="H644" s="489"/>
      <c r="I644"/>
      <c r="J644"/>
      <c r="L644"/>
    </row>
    <row r="645" spans="2:12">
      <c r="B645"/>
      <c r="C645"/>
      <c r="D645"/>
      <c r="E645"/>
      <c r="F645"/>
      <c r="G645" s="14"/>
      <c r="H645" s="489"/>
      <c r="I645"/>
      <c r="J645"/>
      <c r="L645"/>
    </row>
    <row r="646" spans="2:12">
      <c r="B646"/>
      <c r="C646"/>
      <c r="D646"/>
      <c r="E646"/>
      <c r="F646"/>
      <c r="G646" s="14"/>
      <c r="H646" s="489"/>
      <c r="I646"/>
      <c r="J646"/>
      <c r="L646"/>
    </row>
    <row r="647" spans="2:12">
      <c r="B647"/>
      <c r="C647"/>
      <c r="D647"/>
      <c r="E647"/>
      <c r="F647"/>
      <c r="G647" s="14"/>
      <c r="H647" s="489"/>
      <c r="I647"/>
      <c r="J647"/>
      <c r="L647"/>
    </row>
    <row r="648" spans="2:12">
      <c r="B648"/>
      <c r="C648"/>
      <c r="D648"/>
      <c r="E648"/>
      <c r="F648"/>
      <c r="G648" s="14"/>
      <c r="H648" s="489"/>
      <c r="I648"/>
      <c r="J648"/>
      <c r="L648"/>
    </row>
    <row r="649" spans="2:12">
      <c r="B649"/>
      <c r="C649"/>
      <c r="D649"/>
      <c r="E649"/>
      <c r="F649"/>
      <c r="G649" s="14"/>
      <c r="H649" s="489"/>
      <c r="I649"/>
      <c r="J649"/>
      <c r="L649"/>
    </row>
    <row r="650" spans="2:12">
      <c r="B650"/>
      <c r="C650"/>
      <c r="D650"/>
      <c r="E650"/>
      <c r="F650"/>
      <c r="G650" s="14"/>
      <c r="H650" s="489"/>
      <c r="I650"/>
      <c r="J650"/>
      <c r="L650"/>
    </row>
    <row r="651" spans="2:12">
      <c r="B651"/>
      <c r="C651"/>
      <c r="D651"/>
      <c r="E651"/>
      <c r="F651"/>
      <c r="G651" s="14"/>
      <c r="H651" s="489"/>
      <c r="I651"/>
      <c r="J651"/>
      <c r="L651"/>
    </row>
    <row r="652" spans="2:12">
      <c r="B652"/>
      <c r="C652"/>
      <c r="D652"/>
      <c r="E652"/>
      <c r="F652"/>
      <c r="G652" s="14"/>
      <c r="H652" s="489"/>
      <c r="I652"/>
      <c r="J652"/>
      <c r="L652"/>
    </row>
    <row r="653" spans="2:12">
      <c r="B653"/>
      <c r="C653"/>
      <c r="D653"/>
      <c r="E653"/>
      <c r="F653"/>
      <c r="G653" s="14"/>
      <c r="H653" s="489"/>
      <c r="I653"/>
      <c r="J653"/>
      <c r="L653"/>
    </row>
    <row r="654" spans="2:12">
      <c r="B654"/>
      <c r="C654"/>
      <c r="D654"/>
      <c r="E654"/>
      <c r="F654"/>
      <c r="G654" s="14"/>
      <c r="H654" s="489"/>
      <c r="I654"/>
      <c r="J654"/>
      <c r="L654"/>
    </row>
    <row r="655" spans="2:12">
      <c r="B655"/>
      <c r="C655"/>
      <c r="D655"/>
      <c r="E655"/>
      <c r="F655"/>
      <c r="G655" s="14"/>
      <c r="H655" s="489"/>
      <c r="I655"/>
      <c r="J655"/>
      <c r="L655"/>
    </row>
    <row r="656" spans="2:12">
      <c r="B656"/>
      <c r="C656"/>
      <c r="D656"/>
      <c r="E656"/>
      <c r="F656"/>
      <c r="G656" s="14"/>
      <c r="H656" s="489"/>
      <c r="I656"/>
      <c r="J656"/>
      <c r="L656"/>
    </row>
    <row r="657" spans="2:12">
      <c r="B657"/>
      <c r="C657"/>
      <c r="D657"/>
      <c r="E657"/>
      <c r="F657"/>
      <c r="G657" s="14"/>
      <c r="H657" s="489"/>
      <c r="I657"/>
      <c r="J657"/>
      <c r="L657"/>
    </row>
    <row r="658" spans="2:12">
      <c r="B658"/>
      <c r="C658"/>
      <c r="D658"/>
      <c r="E658"/>
      <c r="F658"/>
      <c r="G658" s="14"/>
      <c r="H658" s="489"/>
      <c r="I658"/>
      <c r="J658"/>
      <c r="L658"/>
    </row>
    <row r="659" spans="2:12">
      <c r="B659"/>
      <c r="C659"/>
      <c r="D659"/>
      <c r="E659"/>
      <c r="F659"/>
      <c r="G659" s="14"/>
      <c r="H659" s="489"/>
      <c r="I659"/>
      <c r="J659"/>
      <c r="L659"/>
    </row>
    <row r="660" spans="2:12">
      <c r="B660"/>
      <c r="C660"/>
      <c r="D660"/>
      <c r="E660"/>
      <c r="F660"/>
      <c r="G660" s="14"/>
      <c r="H660" s="489"/>
      <c r="I660"/>
      <c r="J660"/>
      <c r="L660"/>
    </row>
    <row r="661" spans="2:12">
      <c r="B661"/>
      <c r="C661"/>
      <c r="D661"/>
      <c r="E661"/>
      <c r="F661"/>
      <c r="G661" s="14"/>
      <c r="H661" s="489"/>
      <c r="I661"/>
      <c r="J661"/>
      <c r="L661"/>
    </row>
    <row r="662" spans="2:12">
      <c r="B662"/>
      <c r="C662"/>
      <c r="D662"/>
      <c r="E662"/>
      <c r="F662"/>
      <c r="G662" s="14"/>
      <c r="H662" s="489"/>
      <c r="I662"/>
      <c r="J662"/>
      <c r="L662"/>
    </row>
    <row r="663" spans="2:12">
      <c r="B663"/>
      <c r="C663"/>
      <c r="D663"/>
      <c r="E663"/>
      <c r="F663"/>
      <c r="G663" s="14"/>
      <c r="H663" s="489"/>
      <c r="I663"/>
      <c r="J663"/>
      <c r="L663"/>
    </row>
    <row r="664" spans="2:12">
      <c r="B664"/>
      <c r="C664"/>
      <c r="D664"/>
      <c r="E664"/>
      <c r="F664"/>
      <c r="G664" s="14"/>
      <c r="H664" s="489"/>
      <c r="I664"/>
      <c r="J664"/>
      <c r="L664"/>
    </row>
    <row r="665" spans="2:12">
      <c r="B665"/>
      <c r="C665"/>
      <c r="D665"/>
      <c r="E665"/>
      <c r="F665"/>
      <c r="G665" s="14"/>
      <c r="H665" s="489"/>
      <c r="I665"/>
      <c r="J665"/>
      <c r="L665"/>
    </row>
    <row r="666" spans="2:12">
      <c r="B666"/>
      <c r="C666"/>
      <c r="D666"/>
      <c r="E666"/>
      <c r="F666"/>
      <c r="G666" s="14"/>
      <c r="H666" s="489"/>
      <c r="I666"/>
      <c r="J666"/>
      <c r="L666"/>
    </row>
    <row r="667" spans="2:12">
      <c r="B667"/>
      <c r="C667"/>
      <c r="D667"/>
      <c r="E667"/>
      <c r="F667"/>
      <c r="G667" s="14"/>
      <c r="H667" s="489"/>
      <c r="I667"/>
      <c r="J667"/>
      <c r="L667"/>
    </row>
    <row r="668" spans="2:12">
      <c r="B668"/>
      <c r="C668"/>
      <c r="D668"/>
      <c r="E668"/>
      <c r="F668"/>
      <c r="G668" s="14"/>
      <c r="H668" s="489"/>
      <c r="I668"/>
      <c r="J668"/>
      <c r="L668"/>
    </row>
    <row r="669" spans="2:12">
      <c r="B669"/>
      <c r="C669"/>
      <c r="D669"/>
      <c r="E669"/>
      <c r="F669"/>
      <c r="G669" s="14"/>
      <c r="H669" s="489"/>
      <c r="I669"/>
      <c r="J669"/>
      <c r="L669"/>
    </row>
    <row r="670" spans="2:12">
      <c r="B670"/>
      <c r="C670"/>
      <c r="D670"/>
      <c r="E670"/>
      <c r="F670"/>
      <c r="G670" s="14"/>
      <c r="H670" s="489"/>
      <c r="I670"/>
      <c r="J670"/>
      <c r="L670"/>
    </row>
    <row r="671" spans="2:12">
      <c r="B671"/>
      <c r="C671"/>
      <c r="D671"/>
      <c r="E671"/>
      <c r="F671"/>
      <c r="G671" s="14"/>
      <c r="H671" s="489"/>
      <c r="I671"/>
      <c r="J671"/>
      <c r="L671"/>
    </row>
    <row r="672" spans="2:12">
      <c r="B672"/>
      <c r="C672"/>
      <c r="D672"/>
      <c r="E672"/>
      <c r="F672"/>
      <c r="G672" s="14"/>
      <c r="H672" s="489"/>
      <c r="I672"/>
      <c r="J672"/>
      <c r="L672"/>
    </row>
    <row r="673" spans="2:12">
      <c r="B673"/>
      <c r="C673"/>
      <c r="D673"/>
      <c r="E673"/>
      <c r="F673"/>
      <c r="G673" s="14"/>
      <c r="H673" s="489"/>
      <c r="I673"/>
      <c r="J673"/>
      <c r="L673"/>
    </row>
    <row r="674" spans="2:12">
      <c r="B674"/>
      <c r="C674"/>
      <c r="D674"/>
      <c r="E674"/>
      <c r="F674"/>
      <c r="G674" s="14"/>
      <c r="H674" s="489"/>
      <c r="I674"/>
      <c r="J674"/>
      <c r="L674"/>
    </row>
    <row r="675" spans="2:12">
      <c r="B675"/>
      <c r="C675"/>
      <c r="D675"/>
      <c r="E675"/>
      <c r="F675"/>
      <c r="G675" s="14"/>
      <c r="H675" s="489"/>
      <c r="I675"/>
      <c r="J675"/>
      <c r="L675"/>
    </row>
    <row r="676" spans="2:12">
      <c r="B676"/>
      <c r="C676"/>
      <c r="D676"/>
      <c r="E676"/>
      <c r="F676"/>
      <c r="G676" s="14"/>
      <c r="H676" s="489"/>
      <c r="I676"/>
      <c r="J676"/>
      <c r="L676"/>
    </row>
    <row r="677" spans="2:12">
      <c r="B677"/>
      <c r="C677"/>
      <c r="D677"/>
      <c r="E677"/>
      <c r="F677"/>
      <c r="G677" s="14"/>
      <c r="H677" s="489"/>
      <c r="I677"/>
      <c r="J677"/>
      <c r="L677"/>
    </row>
    <row r="678" spans="2:12">
      <c r="B678"/>
      <c r="C678"/>
      <c r="D678"/>
      <c r="E678"/>
      <c r="F678"/>
      <c r="G678" s="14"/>
      <c r="H678" s="489"/>
      <c r="I678"/>
      <c r="J678"/>
      <c r="L678"/>
    </row>
    <row r="679" spans="2:12">
      <c r="B679"/>
      <c r="C679"/>
      <c r="D679"/>
      <c r="E679"/>
      <c r="F679"/>
      <c r="G679" s="14"/>
      <c r="H679" s="489"/>
      <c r="I679"/>
      <c r="J679"/>
      <c r="L679"/>
    </row>
    <row r="680" spans="2:12">
      <c r="B680"/>
      <c r="C680"/>
      <c r="D680"/>
      <c r="E680"/>
      <c r="F680"/>
      <c r="G680" s="14"/>
      <c r="H680" s="489"/>
      <c r="I680"/>
      <c r="J680"/>
      <c r="L680"/>
    </row>
    <row r="681" spans="2:12">
      <c r="B681"/>
      <c r="C681"/>
      <c r="D681"/>
      <c r="E681"/>
      <c r="F681"/>
      <c r="G681" s="14"/>
      <c r="H681" s="489"/>
      <c r="I681"/>
      <c r="J681"/>
      <c r="L681"/>
    </row>
    <row r="682" spans="2:12">
      <c r="B682"/>
      <c r="C682"/>
      <c r="D682"/>
      <c r="E682"/>
      <c r="F682"/>
      <c r="G682" s="14"/>
      <c r="H682" s="489"/>
      <c r="I682"/>
      <c r="J682"/>
      <c r="L682"/>
    </row>
    <row r="683" spans="2:12">
      <c r="B683"/>
      <c r="C683"/>
      <c r="D683"/>
      <c r="E683"/>
      <c r="F683"/>
      <c r="G683" s="14"/>
      <c r="H683" s="489"/>
      <c r="I683"/>
      <c r="J683"/>
      <c r="L683"/>
    </row>
    <row r="684" spans="2:12">
      <c r="B684"/>
      <c r="C684"/>
      <c r="D684"/>
      <c r="E684"/>
      <c r="F684"/>
      <c r="G684" s="14"/>
      <c r="H684" s="489"/>
      <c r="I684"/>
      <c r="J684"/>
      <c r="L684"/>
    </row>
    <row r="685" spans="2:12">
      <c r="B685"/>
      <c r="C685"/>
      <c r="D685"/>
      <c r="E685"/>
      <c r="F685"/>
      <c r="G685" s="14"/>
      <c r="H685" s="489"/>
      <c r="I685"/>
      <c r="J685"/>
      <c r="L685"/>
    </row>
    <row r="686" spans="2:12">
      <c r="B686"/>
      <c r="C686"/>
      <c r="D686"/>
      <c r="E686"/>
      <c r="F686"/>
      <c r="G686" s="14"/>
      <c r="H686" s="489"/>
      <c r="I686"/>
      <c r="J686"/>
      <c r="L686"/>
    </row>
    <row r="687" spans="2:12">
      <c r="B687"/>
      <c r="C687"/>
      <c r="D687"/>
      <c r="E687"/>
      <c r="F687"/>
      <c r="G687" s="14"/>
      <c r="H687" s="489"/>
      <c r="I687"/>
      <c r="J687"/>
      <c r="L687"/>
    </row>
    <row r="688" spans="2:12">
      <c r="B688"/>
      <c r="C688"/>
      <c r="D688"/>
      <c r="E688"/>
      <c r="F688"/>
      <c r="G688" s="14"/>
      <c r="H688" s="489"/>
      <c r="I688"/>
      <c r="J688"/>
      <c r="L688"/>
    </row>
    <row r="689" spans="2:12">
      <c r="B689"/>
      <c r="C689"/>
      <c r="D689"/>
      <c r="E689"/>
      <c r="F689"/>
      <c r="G689" s="14"/>
      <c r="H689" s="489"/>
      <c r="I689"/>
      <c r="J689"/>
      <c r="L689"/>
    </row>
    <row r="690" spans="2:12">
      <c r="B690"/>
      <c r="C690"/>
      <c r="D690"/>
      <c r="E690"/>
      <c r="F690"/>
      <c r="G690" s="14"/>
      <c r="H690" s="489"/>
      <c r="I690"/>
      <c r="J690"/>
      <c r="L690"/>
    </row>
    <row r="691" spans="2:12">
      <c r="B691"/>
      <c r="C691"/>
      <c r="D691"/>
      <c r="E691"/>
      <c r="F691"/>
      <c r="G691" s="14"/>
      <c r="H691" s="489"/>
      <c r="I691"/>
      <c r="J691"/>
      <c r="L691"/>
    </row>
    <row r="692" spans="2:12">
      <c r="B692"/>
      <c r="C692"/>
      <c r="D692"/>
      <c r="E692"/>
      <c r="F692"/>
      <c r="G692" s="14"/>
      <c r="H692" s="489"/>
      <c r="I692"/>
      <c r="J692"/>
      <c r="L692"/>
    </row>
    <row r="693" spans="2:12">
      <c r="B693"/>
      <c r="C693"/>
      <c r="D693"/>
      <c r="E693"/>
      <c r="F693"/>
      <c r="G693" s="14"/>
      <c r="H693" s="489"/>
      <c r="I693"/>
      <c r="J693"/>
      <c r="L693"/>
    </row>
    <row r="694" spans="2:12">
      <c r="B694"/>
      <c r="C694"/>
      <c r="D694"/>
      <c r="E694"/>
      <c r="F694"/>
      <c r="G694" s="14"/>
      <c r="H694" s="489"/>
      <c r="I694"/>
      <c r="J694"/>
      <c r="L694"/>
    </row>
    <row r="695" spans="2:12">
      <c r="B695"/>
      <c r="C695"/>
      <c r="D695"/>
      <c r="E695"/>
      <c r="F695"/>
      <c r="G695" s="14"/>
      <c r="H695" s="489"/>
      <c r="I695"/>
      <c r="J695"/>
      <c r="L695"/>
    </row>
    <row r="696" spans="2:12">
      <c r="B696"/>
      <c r="C696"/>
      <c r="D696"/>
      <c r="E696"/>
      <c r="F696"/>
      <c r="G696" s="14"/>
      <c r="H696" s="489"/>
      <c r="I696"/>
      <c r="J696"/>
      <c r="L696"/>
    </row>
    <row r="697" spans="2:12">
      <c r="B697"/>
      <c r="C697"/>
      <c r="D697"/>
      <c r="E697"/>
      <c r="F697"/>
      <c r="G697" s="14"/>
      <c r="H697" s="489"/>
      <c r="I697"/>
      <c r="J697"/>
      <c r="L697"/>
    </row>
    <row r="698" spans="2:12">
      <c r="B698"/>
      <c r="C698"/>
      <c r="D698"/>
      <c r="E698"/>
      <c r="F698"/>
      <c r="G698" s="14"/>
      <c r="H698" s="489"/>
      <c r="I698"/>
      <c r="J698"/>
      <c r="L698"/>
    </row>
    <row r="699" spans="2:12">
      <c r="B699"/>
      <c r="C699"/>
      <c r="D699"/>
      <c r="E699"/>
      <c r="F699"/>
      <c r="G699" s="14"/>
      <c r="H699" s="489"/>
      <c r="I699"/>
      <c r="J699"/>
      <c r="L699"/>
    </row>
    <row r="700" spans="2:12">
      <c r="B700"/>
      <c r="C700"/>
      <c r="D700"/>
      <c r="E700"/>
      <c r="F700"/>
      <c r="G700" s="14"/>
      <c r="H700" s="489"/>
      <c r="I700"/>
      <c r="J700"/>
      <c r="L700"/>
    </row>
    <row r="701" spans="2:12">
      <c r="B701"/>
      <c r="C701"/>
      <c r="D701"/>
      <c r="E701"/>
      <c r="F701"/>
      <c r="G701" s="14"/>
      <c r="H701" s="489"/>
      <c r="I701"/>
      <c r="J701"/>
      <c r="L701"/>
    </row>
    <row r="702" spans="2:12">
      <c r="B702"/>
      <c r="C702"/>
      <c r="D702"/>
      <c r="E702"/>
      <c r="F702"/>
      <c r="G702" s="14"/>
      <c r="H702" s="489"/>
      <c r="I702"/>
      <c r="J702"/>
      <c r="L702"/>
    </row>
    <row r="703" spans="2:12">
      <c r="B703"/>
      <c r="C703"/>
      <c r="D703"/>
      <c r="E703"/>
      <c r="F703"/>
      <c r="G703" s="14"/>
      <c r="H703" s="489"/>
      <c r="I703"/>
      <c r="J703"/>
      <c r="L703"/>
    </row>
    <row r="704" spans="2:12">
      <c r="B704"/>
      <c r="C704"/>
      <c r="D704"/>
      <c r="E704"/>
      <c r="F704"/>
      <c r="G704" s="14"/>
      <c r="H704" s="489"/>
      <c r="I704"/>
      <c r="J704"/>
      <c r="L704"/>
    </row>
    <row r="705" spans="2:12">
      <c r="B705"/>
      <c r="C705"/>
      <c r="D705"/>
      <c r="E705"/>
      <c r="F705"/>
      <c r="G705" s="14"/>
      <c r="H705" s="489"/>
      <c r="I705"/>
      <c r="J705"/>
      <c r="L705"/>
    </row>
    <row r="706" spans="2:12">
      <c r="B706"/>
      <c r="C706"/>
      <c r="D706"/>
      <c r="E706"/>
      <c r="F706"/>
      <c r="G706" s="14"/>
      <c r="H706" s="489"/>
      <c r="I706"/>
      <c r="J706"/>
      <c r="L706"/>
    </row>
    <row r="707" spans="2:12">
      <c r="B707"/>
      <c r="C707"/>
      <c r="D707"/>
      <c r="E707"/>
      <c r="F707"/>
      <c r="G707" s="14"/>
      <c r="H707" s="489"/>
      <c r="I707"/>
      <c r="J707"/>
      <c r="L707"/>
    </row>
    <row r="708" spans="2:12">
      <c r="B708"/>
      <c r="C708"/>
      <c r="D708"/>
      <c r="E708"/>
      <c r="F708"/>
      <c r="G708" s="14"/>
      <c r="H708" s="489"/>
      <c r="I708"/>
      <c r="J708"/>
      <c r="L708"/>
    </row>
    <row r="709" spans="2:12">
      <c r="B709"/>
      <c r="C709"/>
      <c r="D709"/>
      <c r="E709"/>
      <c r="F709"/>
      <c r="G709" s="14"/>
      <c r="H709" s="489"/>
      <c r="I709"/>
      <c r="J709"/>
      <c r="L709"/>
    </row>
    <row r="710" spans="2:12">
      <c r="B710"/>
      <c r="C710"/>
      <c r="D710"/>
      <c r="E710"/>
      <c r="F710"/>
      <c r="G710" s="14"/>
      <c r="H710" s="489"/>
      <c r="I710"/>
      <c r="J710"/>
      <c r="L710"/>
    </row>
    <row r="711" spans="2:12">
      <c r="B711"/>
      <c r="C711"/>
      <c r="D711"/>
      <c r="E711"/>
      <c r="F711"/>
      <c r="G711" s="14"/>
      <c r="H711" s="489"/>
      <c r="I711"/>
      <c r="J711"/>
      <c r="L711"/>
    </row>
    <row r="712" spans="2:12">
      <c r="B712"/>
      <c r="C712"/>
      <c r="D712"/>
      <c r="E712"/>
      <c r="F712"/>
      <c r="G712" s="14"/>
      <c r="H712" s="489"/>
      <c r="I712"/>
      <c r="J712"/>
      <c r="L712"/>
    </row>
    <row r="713" spans="2:12">
      <c r="B713"/>
      <c r="C713"/>
      <c r="D713"/>
      <c r="E713"/>
      <c r="F713"/>
      <c r="G713" s="14"/>
      <c r="H713" s="489"/>
      <c r="I713"/>
      <c r="J713"/>
      <c r="L713"/>
    </row>
    <row r="714" spans="2:12">
      <c r="B714"/>
      <c r="C714"/>
      <c r="D714"/>
      <c r="E714"/>
      <c r="F714"/>
      <c r="G714" s="14"/>
      <c r="H714" s="489"/>
      <c r="I714"/>
      <c r="J714"/>
      <c r="L714"/>
    </row>
    <row r="715" spans="2:12">
      <c r="B715"/>
      <c r="C715"/>
      <c r="D715"/>
      <c r="E715"/>
      <c r="F715"/>
      <c r="G715" s="14"/>
      <c r="H715" s="489"/>
      <c r="I715"/>
      <c r="J715"/>
      <c r="L715"/>
    </row>
    <row r="716" spans="2:12">
      <c r="B716"/>
      <c r="C716"/>
      <c r="D716"/>
      <c r="E716"/>
      <c r="F716"/>
      <c r="G716" s="14"/>
      <c r="H716" s="489"/>
      <c r="I716"/>
      <c r="J716"/>
      <c r="L716"/>
    </row>
    <row r="717" spans="2:12">
      <c r="B717"/>
      <c r="C717"/>
      <c r="D717"/>
      <c r="E717"/>
      <c r="F717"/>
      <c r="G717" s="14"/>
      <c r="H717" s="489"/>
      <c r="I717"/>
      <c r="J717"/>
      <c r="L717"/>
    </row>
    <row r="718" spans="2:12">
      <c r="B718"/>
      <c r="C718"/>
      <c r="D718"/>
      <c r="E718"/>
      <c r="F718"/>
      <c r="G718" s="14"/>
      <c r="H718" s="489"/>
      <c r="I718"/>
      <c r="J718"/>
      <c r="L718"/>
    </row>
    <row r="719" spans="2:12">
      <c r="B719"/>
      <c r="C719"/>
      <c r="D719"/>
      <c r="E719"/>
      <c r="F719"/>
      <c r="G719" s="14"/>
      <c r="H719" s="489"/>
      <c r="I719"/>
      <c r="J719"/>
      <c r="L719"/>
    </row>
    <row r="720" spans="2:12">
      <c r="B720"/>
      <c r="C720"/>
      <c r="D720"/>
      <c r="E720"/>
      <c r="F720"/>
      <c r="G720" s="14"/>
      <c r="H720" s="489"/>
      <c r="I720"/>
      <c r="J720"/>
      <c r="L720"/>
    </row>
    <row r="721" spans="2:12">
      <c r="B721"/>
      <c r="C721"/>
      <c r="D721"/>
      <c r="E721"/>
      <c r="F721"/>
      <c r="G721" s="14"/>
      <c r="H721" s="489"/>
      <c r="I721"/>
      <c r="J721"/>
      <c r="L721"/>
    </row>
    <row r="722" spans="2:12">
      <c r="B722"/>
      <c r="C722"/>
      <c r="D722"/>
      <c r="E722"/>
      <c r="F722"/>
      <c r="G722" s="14"/>
      <c r="H722" s="489"/>
      <c r="I722"/>
      <c r="J722"/>
      <c r="L722"/>
    </row>
    <row r="723" spans="2:12">
      <c r="B723"/>
      <c r="C723"/>
      <c r="D723"/>
      <c r="E723"/>
      <c r="F723"/>
      <c r="G723" s="14"/>
      <c r="H723" s="489"/>
      <c r="I723"/>
      <c r="J723"/>
      <c r="L723"/>
    </row>
    <row r="724" spans="2:12">
      <c r="B724"/>
      <c r="C724"/>
      <c r="D724"/>
      <c r="E724"/>
      <c r="F724"/>
      <c r="G724" s="14"/>
      <c r="H724" s="489"/>
      <c r="I724"/>
      <c r="J724"/>
      <c r="L724"/>
    </row>
    <row r="725" spans="2:12">
      <c r="B725"/>
      <c r="C725"/>
      <c r="D725"/>
      <c r="E725"/>
      <c r="F725"/>
      <c r="G725" s="14"/>
      <c r="H725" s="489"/>
      <c r="I725"/>
      <c r="J725"/>
      <c r="L725"/>
    </row>
    <row r="726" spans="2:12">
      <c r="B726"/>
      <c r="C726"/>
      <c r="D726"/>
      <c r="E726"/>
      <c r="F726"/>
      <c r="G726" s="14"/>
      <c r="H726" s="489"/>
      <c r="I726"/>
      <c r="J726"/>
      <c r="L726"/>
    </row>
    <row r="727" spans="2:12">
      <c r="B727"/>
      <c r="C727"/>
      <c r="D727"/>
      <c r="E727"/>
      <c r="F727"/>
      <c r="G727" s="14"/>
      <c r="H727" s="489"/>
      <c r="I727"/>
      <c r="J727"/>
      <c r="L727"/>
    </row>
    <row r="728" spans="2:12">
      <c r="B728"/>
      <c r="C728"/>
      <c r="D728"/>
      <c r="E728"/>
      <c r="F728"/>
      <c r="G728" s="14"/>
      <c r="H728" s="489"/>
      <c r="I728"/>
      <c r="J728"/>
      <c r="L728"/>
    </row>
    <row r="729" spans="2:12">
      <c r="B729"/>
      <c r="C729"/>
      <c r="D729"/>
      <c r="E729"/>
      <c r="F729"/>
      <c r="G729" s="14"/>
      <c r="H729" s="489"/>
      <c r="I729"/>
      <c r="J729"/>
      <c r="L729"/>
    </row>
    <row r="730" spans="2:12">
      <c r="B730"/>
      <c r="C730"/>
      <c r="D730"/>
      <c r="E730"/>
      <c r="F730"/>
      <c r="G730" s="14"/>
      <c r="H730" s="489"/>
      <c r="I730"/>
      <c r="J730"/>
      <c r="L730"/>
    </row>
    <row r="731" spans="2:12">
      <c r="B731"/>
      <c r="C731"/>
      <c r="D731"/>
      <c r="E731"/>
      <c r="F731"/>
      <c r="G731" s="14"/>
      <c r="H731" s="489"/>
      <c r="I731"/>
      <c r="J731"/>
      <c r="L731"/>
    </row>
    <row r="732" spans="2:12">
      <c r="B732"/>
      <c r="C732"/>
      <c r="D732"/>
      <c r="E732"/>
      <c r="F732"/>
      <c r="G732" s="14"/>
      <c r="H732" s="489"/>
      <c r="I732"/>
      <c r="J732"/>
      <c r="L732"/>
    </row>
    <row r="733" spans="2:12">
      <c r="B733"/>
      <c r="C733"/>
      <c r="D733"/>
      <c r="E733"/>
      <c r="F733"/>
      <c r="G733" s="14"/>
      <c r="H733" s="489"/>
      <c r="I733"/>
      <c r="J733"/>
      <c r="L733"/>
    </row>
    <row r="734" spans="2:12">
      <c r="B734"/>
      <c r="C734"/>
      <c r="D734"/>
      <c r="E734"/>
      <c r="F734"/>
      <c r="G734" s="14"/>
      <c r="H734" s="489"/>
      <c r="I734"/>
      <c r="J734"/>
      <c r="L734"/>
    </row>
    <row r="735" spans="2:12">
      <c r="B735"/>
      <c r="C735"/>
      <c r="D735"/>
      <c r="E735"/>
      <c r="F735"/>
      <c r="G735" s="14"/>
      <c r="H735" s="489"/>
      <c r="I735"/>
      <c r="J735"/>
      <c r="L735"/>
    </row>
    <row r="736" spans="2:12">
      <c r="B736"/>
      <c r="C736"/>
      <c r="D736"/>
      <c r="E736"/>
      <c r="F736"/>
      <c r="G736" s="14"/>
      <c r="H736" s="489"/>
      <c r="I736"/>
      <c r="J736"/>
      <c r="L736"/>
    </row>
    <row r="737" spans="2:12">
      <c r="B737"/>
      <c r="C737"/>
      <c r="D737"/>
      <c r="E737"/>
      <c r="F737"/>
      <c r="G737" s="14"/>
      <c r="H737" s="489"/>
      <c r="I737"/>
      <c r="J737"/>
      <c r="L737"/>
    </row>
    <row r="738" spans="2:12">
      <c r="B738"/>
      <c r="C738"/>
      <c r="D738"/>
      <c r="E738"/>
      <c r="F738"/>
      <c r="G738" s="14"/>
      <c r="H738" s="489"/>
      <c r="I738"/>
      <c r="J738"/>
      <c r="L738"/>
    </row>
    <row r="739" spans="2:12">
      <c r="B739"/>
      <c r="C739"/>
      <c r="D739"/>
      <c r="E739"/>
      <c r="F739"/>
      <c r="G739" s="14"/>
      <c r="H739" s="489"/>
      <c r="I739"/>
      <c r="J739"/>
      <c r="L739"/>
    </row>
    <row r="740" spans="2:12">
      <c r="B740"/>
      <c r="C740"/>
      <c r="D740"/>
      <c r="E740"/>
      <c r="F740"/>
      <c r="G740" s="14"/>
      <c r="H740" s="489"/>
      <c r="I740"/>
      <c r="J740"/>
      <c r="L740"/>
    </row>
    <row r="741" spans="2:12">
      <c r="B741"/>
      <c r="C741"/>
      <c r="D741"/>
      <c r="E741"/>
      <c r="F741"/>
      <c r="G741" s="14"/>
      <c r="H741" s="489"/>
      <c r="I741"/>
      <c r="J741"/>
      <c r="L741"/>
    </row>
    <row r="742" spans="2:12">
      <c r="B742"/>
      <c r="C742"/>
      <c r="D742"/>
      <c r="E742"/>
      <c r="F742"/>
      <c r="G742" s="14"/>
      <c r="H742" s="489"/>
      <c r="I742"/>
      <c r="J742"/>
      <c r="L742"/>
    </row>
    <row r="743" spans="2:12">
      <c r="B743"/>
      <c r="C743"/>
      <c r="D743"/>
      <c r="E743"/>
      <c r="F743"/>
      <c r="G743" s="14"/>
      <c r="H743" s="489"/>
      <c r="I743"/>
      <c r="J743"/>
      <c r="L743"/>
    </row>
    <row r="744" spans="2:12">
      <c r="B744"/>
      <c r="C744"/>
      <c r="D744"/>
      <c r="E744"/>
      <c r="F744"/>
      <c r="G744" s="14"/>
      <c r="H744" s="489"/>
      <c r="I744"/>
      <c r="J744"/>
      <c r="L744"/>
    </row>
    <row r="745" spans="2:12">
      <c r="B745"/>
      <c r="C745"/>
      <c r="D745"/>
      <c r="E745"/>
      <c r="F745"/>
      <c r="G745" s="14"/>
      <c r="H745" s="489"/>
      <c r="I745"/>
      <c r="J745"/>
      <c r="L745"/>
    </row>
    <row r="746" spans="2:12">
      <c r="B746"/>
      <c r="C746"/>
      <c r="D746"/>
      <c r="E746"/>
      <c r="F746"/>
      <c r="G746" s="14"/>
      <c r="H746" s="489"/>
      <c r="I746"/>
      <c r="J746"/>
      <c r="L746"/>
    </row>
    <row r="747" spans="2:12">
      <c r="B747"/>
      <c r="C747"/>
      <c r="D747"/>
      <c r="E747"/>
      <c r="F747"/>
      <c r="G747" s="14"/>
      <c r="H747" s="489"/>
      <c r="I747"/>
      <c r="J747"/>
      <c r="L747"/>
    </row>
    <row r="748" spans="2:12">
      <c r="B748"/>
      <c r="C748"/>
      <c r="D748"/>
      <c r="E748"/>
      <c r="F748"/>
      <c r="G748" s="14"/>
      <c r="H748" s="489"/>
      <c r="I748"/>
      <c r="J748"/>
      <c r="L748"/>
    </row>
    <row r="749" spans="2:12">
      <c r="B749"/>
      <c r="C749"/>
      <c r="D749"/>
      <c r="E749"/>
      <c r="F749"/>
      <c r="G749" s="14"/>
      <c r="H749" s="489"/>
      <c r="I749"/>
      <c r="J749"/>
      <c r="L749"/>
    </row>
    <row r="750" spans="2:12">
      <c r="B750"/>
      <c r="C750"/>
      <c r="D750"/>
      <c r="E750"/>
      <c r="F750"/>
      <c r="G750" s="14"/>
      <c r="H750" s="489"/>
      <c r="I750"/>
      <c r="J750"/>
      <c r="L750"/>
    </row>
    <row r="751" spans="2:12">
      <c r="B751"/>
      <c r="C751"/>
      <c r="D751"/>
      <c r="E751"/>
      <c r="F751"/>
      <c r="G751" s="14"/>
      <c r="H751" s="489"/>
      <c r="I751"/>
      <c r="J751"/>
      <c r="L751"/>
    </row>
    <row r="752" spans="2:12">
      <c r="B752"/>
      <c r="C752"/>
      <c r="D752"/>
      <c r="E752"/>
      <c r="F752"/>
      <c r="G752" s="14"/>
      <c r="H752" s="489"/>
      <c r="I752"/>
      <c r="J752"/>
      <c r="L752"/>
    </row>
    <row r="753" spans="2:12">
      <c r="B753"/>
      <c r="C753"/>
      <c r="D753"/>
      <c r="E753"/>
      <c r="F753"/>
      <c r="G753" s="14"/>
      <c r="H753" s="489"/>
      <c r="I753"/>
      <c r="J753"/>
      <c r="L753"/>
    </row>
    <row r="754" spans="2:12">
      <c r="B754"/>
      <c r="C754"/>
      <c r="D754"/>
      <c r="E754"/>
      <c r="F754"/>
      <c r="G754" s="14"/>
      <c r="H754" s="489"/>
      <c r="I754"/>
      <c r="J754"/>
      <c r="L754"/>
    </row>
    <row r="755" spans="2:12">
      <c r="B755"/>
      <c r="C755"/>
      <c r="D755"/>
      <c r="E755"/>
      <c r="F755"/>
      <c r="G755" s="14"/>
      <c r="H755" s="489"/>
      <c r="I755"/>
      <c r="J755"/>
      <c r="L755"/>
    </row>
    <row r="756" spans="2:12">
      <c r="B756"/>
      <c r="C756"/>
      <c r="D756"/>
      <c r="E756"/>
      <c r="F756"/>
      <c r="G756" s="14"/>
      <c r="H756" s="489"/>
      <c r="I756"/>
      <c r="J756"/>
      <c r="L756"/>
    </row>
    <row r="757" spans="2:12">
      <c r="B757"/>
      <c r="C757"/>
      <c r="D757"/>
      <c r="E757"/>
      <c r="F757"/>
      <c r="G757" s="14"/>
      <c r="H757" s="489"/>
      <c r="I757"/>
      <c r="J757"/>
      <c r="L757"/>
    </row>
    <row r="758" spans="2:12">
      <c r="B758"/>
      <c r="C758"/>
      <c r="D758"/>
      <c r="E758"/>
      <c r="F758"/>
      <c r="G758" s="14"/>
      <c r="H758" s="489"/>
      <c r="I758"/>
      <c r="J758"/>
      <c r="L758"/>
    </row>
    <row r="759" spans="2:12">
      <c r="B759"/>
      <c r="C759"/>
      <c r="D759"/>
      <c r="E759"/>
      <c r="F759"/>
      <c r="G759" s="14"/>
      <c r="H759" s="489"/>
      <c r="I759"/>
      <c r="J759"/>
      <c r="L759"/>
    </row>
    <row r="760" spans="2:12">
      <c r="B760"/>
      <c r="C760"/>
      <c r="D760"/>
      <c r="E760"/>
      <c r="F760"/>
      <c r="G760" s="14"/>
      <c r="H760" s="489"/>
      <c r="I760"/>
      <c r="J760"/>
      <c r="L760"/>
    </row>
    <row r="761" spans="2:12">
      <c r="B761"/>
      <c r="C761"/>
      <c r="D761"/>
      <c r="E761"/>
      <c r="F761"/>
      <c r="G761" s="14"/>
      <c r="H761" s="489"/>
      <c r="I761"/>
      <c r="J761"/>
      <c r="L761"/>
    </row>
    <row r="762" spans="2:12">
      <c r="B762"/>
      <c r="C762"/>
      <c r="D762"/>
      <c r="E762"/>
      <c r="F762"/>
      <c r="G762" s="14"/>
      <c r="H762" s="489"/>
      <c r="I762"/>
      <c r="J762"/>
      <c r="L762"/>
    </row>
    <row r="763" spans="2:12">
      <c r="B763"/>
      <c r="C763"/>
      <c r="D763"/>
      <c r="E763"/>
      <c r="F763"/>
      <c r="G763" s="14"/>
      <c r="H763" s="489"/>
      <c r="I763"/>
      <c r="J763"/>
      <c r="L763"/>
    </row>
    <row r="764" spans="2:12">
      <c r="B764"/>
      <c r="C764"/>
      <c r="D764"/>
      <c r="E764"/>
      <c r="F764"/>
      <c r="G764" s="14"/>
      <c r="H764" s="489"/>
      <c r="I764"/>
      <c r="J764"/>
      <c r="L764"/>
    </row>
    <row r="765" spans="2:12">
      <c r="B765"/>
      <c r="C765"/>
      <c r="D765"/>
      <c r="E765"/>
      <c r="F765"/>
      <c r="G765" s="14"/>
      <c r="H765" s="489"/>
      <c r="I765"/>
      <c r="J765"/>
      <c r="L765"/>
    </row>
    <row r="766" spans="2:12">
      <c r="B766"/>
      <c r="C766"/>
      <c r="D766"/>
      <c r="E766"/>
      <c r="F766"/>
      <c r="G766" s="14"/>
      <c r="H766" s="489"/>
      <c r="I766"/>
      <c r="J766"/>
      <c r="L766"/>
    </row>
    <row r="767" spans="2:12">
      <c r="B767"/>
      <c r="C767"/>
      <c r="D767"/>
      <c r="E767"/>
      <c r="F767"/>
      <c r="G767" s="14"/>
      <c r="H767" s="489"/>
      <c r="I767"/>
      <c r="J767"/>
      <c r="L767"/>
    </row>
    <row r="768" spans="2:12">
      <c r="B768"/>
      <c r="C768"/>
      <c r="D768"/>
      <c r="E768"/>
      <c r="F768"/>
      <c r="G768" s="14"/>
      <c r="H768" s="489"/>
      <c r="I768"/>
      <c r="J768"/>
      <c r="L768"/>
    </row>
    <row r="769" spans="2:12">
      <c r="B769"/>
      <c r="C769"/>
      <c r="D769"/>
      <c r="E769"/>
      <c r="F769"/>
      <c r="G769" s="14"/>
      <c r="H769" s="489"/>
      <c r="I769"/>
      <c r="J769"/>
      <c r="L769"/>
    </row>
    <row r="770" spans="2:12">
      <c r="B770"/>
      <c r="C770"/>
      <c r="D770"/>
      <c r="E770"/>
      <c r="F770"/>
      <c r="G770" s="14"/>
      <c r="H770" s="489"/>
      <c r="I770"/>
      <c r="J770"/>
      <c r="L770"/>
    </row>
    <row r="771" spans="2:12">
      <c r="B771"/>
      <c r="C771"/>
      <c r="D771"/>
      <c r="E771"/>
      <c r="F771"/>
      <c r="G771" s="14"/>
      <c r="H771" s="489"/>
      <c r="I771"/>
      <c r="J771"/>
      <c r="L771"/>
    </row>
    <row r="772" spans="2:12">
      <c r="B772"/>
      <c r="C772"/>
      <c r="D772"/>
      <c r="E772"/>
      <c r="F772"/>
      <c r="G772" s="14"/>
      <c r="H772" s="489"/>
      <c r="I772"/>
      <c r="J772"/>
      <c r="L772"/>
    </row>
    <row r="773" spans="2:12">
      <c r="B773"/>
      <c r="C773"/>
      <c r="D773"/>
      <c r="E773"/>
      <c r="F773"/>
      <c r="G773" s="14"/>
      <c r="H773" s="489"/>
      <c r="I773"/>
      <c r="J773"/>
      <c r="L773"/>
    </row>
    <row r="774" spans="2:12">
      <c r="B774"/>
      <c r="C774"/>
      <c r="D774"/>
      <c r="E774"/>
      <c r="F774"/>
      <c r="G774" s="14"/>
      <c r="H774" s="489"/>
      <c r="I774"/>
      <c r="J774"/>
      <c r="L774"/>
    </row>
    <row r="775" spans="2:12">
      <c r="B775"/>
      <c r="C775"/>
      <c r="D775"/>
      <c r="E775"/>
      <c r="F775"/>
      <c r="G775" s="14"/>
      <c r="H775" s="489"/>
      <c r="I775"/>
      <c r="J775"/>
      <c r="L775"/>
    </row>
    <row r="776" spans="2:12">
      <c r="B776"/>
      <c r="C776"/>
      <c r="D776"/>
      <c r="E776"/>
      <c r="F776"/>
      <c r="G776" s="14"/>
      <c r="H776" s="489"/>
      <c r="I776"/>
      <c r="J776"/>
      <c r="L776"/>
    </row>
    <row r="777" spans="2:12">
      <c r="B777"/>
      <c r="C777"/>
      <c r="D777"/>
      <c r="E777"/>
      <c r="F777"/>
      <c r="G777" s="14"/>
      <c r="H777" s="489"/>
      <c r="I777"/>
      <c r="J777"/>
      <c r="L777"/>
    </row>
    <row r="778" spans="2:12">
      <c r="B778"/>
      <c r="C778"/>
      <c r="D778"/>
      <c r="E778"/>
      <c r="F778"/>
      <c r="G778" s="14"/>
      <c r="H778" s="489"/>
      <c r="I778"/>
      <c r="J778"/>
      <c r="L778"/>
    </row>
    <row r="779" spans="2:12">
      <c r="B779"/>
      <c r="C779"/>
      <c r="D779"/>
      <c r="E779"/>
      <c r="F779"/>
      <c r="G779" s="14"/>
      <c r="H779" s="489"/>
      <c r="I779"/>
      <c r="J779"/>
      <c r="L779"/>
    </row>
    <row r="780" spans="2:12">
      <c r="B780"/>
      <c r="C780"/>
      <c r="D780"/>
      <c r="E780"/>
      <c r="F780"/>
      <c r="G780" s="14"/>
      <c r="H780" s="489"/>
      <c r="I780"/>
      <c r="J780"/>
      <c r="L780"/>
    </row>
    <row r="781" spans="2:12">
      <c r="B781"/>
      <c r="C781"/>
      <c r="D781"/>
      <c r="E781"/>
      <c r="F781"/>
      <c r="G781" s="14"/>
      <c r="H781" s="489"/>
      <c r="I781"/>
      <c r="J781"/>
      <c r="L781"/>
    </row>
    <row r="782" spans="2:12">
      <c r="B782"/>
      <c r="C782"/>
      <c r="D782"/>
      <c r="E782"/>
      <c r="F782"/>
      <c r="G782" s="14"/>
      <c r="H782" s="489"/>
      <c r="I782"/>
      <c r="J782"/>
      <c r="L782"/>
    </row>
    <row r="783" spans="2:12">
      <c r="B783"/>
      <c r="C783"/>
      <c r="D783"/>
      <c r="E783"/>
      <c r="F783"/>
      <c r="G783" s="14"/>
      <c r="H783" s="489"/>
      <c r="I783"/>
      <c r="J783"/>
      <c r="L783"/>
    </row>
    <row r="784" spans="2:12">
      <c r="B784"/>
      <c r="C784"/>
      <c r="D784"/>
      <c r="E784"/>
      <c r="F784"/>
      <c r="G784" s="14"/>
      <c r="H784" s="489"/>
      <c r="I784"/>
      <c r="J784"/>
      <c r="L784"/>
    </row>
    <row r="785" spans="2:12">
      <c r="B785"/>
      <c r="C785"/>
      <c r="D785"/>
      <c r="E785"/>
      <c r="F785"/>
      <c r="G785" s="14"/>
      <c r="H785" s="489"/>
      <c r="I785"/>
      <c r="J785"/>
      <c r="L785"/>
    </row>
    <row r="786" spans="2:12">
      <c r="B786"/>
      <c r="C786"/>
      <c r="D786"/>
      <c r="E786"/>
      <c r="F786"/>
      <c r="G786" s="14"/>
      <c r="H786" s="489"/>
      <c r="I786"/>
      <c r="J786"/>
      <c r="L786"/>
    </row>
    <row r="787" spans="2:12">
      <c r="B787"/>
      <c r="C787"/>
      <c r="D787"/>
      <c r="E787"/>
      <c r="F787"/>
      <c r="G787" s="14"/>
      <c r="H787" s="489"/>
      <c r="I787"/>
      <c r="J787"/>
      <c r="L787"/>
    </row>
    <row r="788" spans="2:12">
      <c r="B788"/>
      <c r="C788"/>
      <c r="D788"/>
      <c r="E788"/>
      <c r="F788"/>
      <c r="G788" s="14"/>
      <c r="H788" s="489"/>
      <c r="I788"/>
      <c r="J788"/>
      <c r="L788"/>
    </row>
    <row r="789" spans="2:12">
      <c r="B789"/>
      <c r="C789"/>
      <c r="D789"/>
      <c r="E789"/>
      <c r="F789"/>
      <c r="G789" s="14"/>
      <c r="H789" s="489"/>
      <c r="I789"/>
      <c r="J789"/>
      <c r="L789"/>
    </row>
    <row r="790" spans="2:12">
      <c r="B790"/>
      <c r="C790"/>
      <c r="D790"/>
      <c r="E790"/>
      <c r="F790"/>
      <c r="G790" s="14"/>
      <c r="H790" s="489"/>
      <c r="I790"/>
      <c r="J790"/>
      <c r="L790"/>
    </row>
    <row r="791" spans="2:12">
      <c r="B791"/>
      <c r="C791"/>
      <c r="D791"/>
      <c r="E791"/>
      <c r="F791"/>
      <c r="G791" s="14"/>
      <c r="H791" s="489"/>
      <c r="I791"/>
      <c r="J791"/>
      <c r="L791"/>
    </row>
    <row r="792" spans="2:12">
      <c r="B792"/>
      <c r="C792"/>
      <c r="D792"/>
      <c r="E792"/>
      <c r="F792"/>
      <c r="G792" s="14"/>
      <c r="H792" s="489"/>
      <c r="I792"/>
      <c r="J792"/>
      <c r="L792"/>
    </row>
    <row r="793" spans="2:12">
      <c r="B793"/>
      <c r="C793"/>
      <c r="D793"/>
      <c r="E793"/>
      <c r="F793"/>
      <c r="G793" s="14"/>
      <c r="H793" s="489"/>
      <c r="I793"/>
      <c r="J793"/>
      <c r="L793"/>
    </row>
    <row r="794" spans="2:12">
      <c r="B794"/>
      <c r="C794"/>
      <c r="D794"/>
      <c r="E794"/>
      <c r="F794"/>
      <c r="G794" s="14"/>
      <c r="H794" s="489"/>
      <c r="I794"/>
      <c r="J794"/>
      <c r="L794"/>
    </row>
    <row r="795" spans="2:12">
      <c r="B795"/>
      <c r="C795"/>
      <c r="D795"/>
      <c r="E795"/>
      <c r="F795"/>
      <c r="G795" s="14"/>
      <c r="H795" s="489"/>
      <c r="I795"/>
      <c r="J795"/>
      <c r="L795"/>
    </row>
    <row r="796" spans="2:12">
      <c r="B796"/>
      <c r="C796"/>
      <c r="D796"/>
      <c r="E796"/>
      <c r="F796"/>
      <c r="G796" s="14"/>
      <c r="H796" s="489"/>
      <c r="I796"/>
      <c r="J796"/>
      <c r="L796"/>
    </row>
    <row r="797" spans="2:12">
      <c r="B797"/>
      <c r="C797"/>
      <c r="D797"/>
      <c r="E797"/>
      <c r="F797"/>
      <c r="G797" s="14"/>
      <c r="H797" s="489"/>
      <c r="I797"/>
      <c r="J797"/>
      <c r="L797"/>
    </row>
    <row r="798" spans="2:12">
      <c r="B798"/>
      <c r="C798"/>
      <c r="D798"/>
      <c r="E798"/>
      <c r="F798"/>
      <c r="G798" s="14"/>
      <c r="H798" s="489"/>
      <c r="I798"/>
      <c r="J798"/>
      <c r="L798"/>
    </row>
    <row r="799" spans="2:12">
      <c r="B799"/>
      <c r="C799"/>
      <c r="D799"/>
      <c r="E799"/>
      <c r="F799"/>
      <c r="G799" s="14"/>
      <c r="H799" s="489"/>
      <c r="I799"/>
      <c r="J799"/>
      <c r="L799"/>
    </row>
    <row r="800" spans="2:12">
      <c r="B800"/>
      <c r="C800"/>
      <c r="D800"/>
      <c r="E800"/>
      <c r="F800"/>
      <c r="G800" s="14"/>
      <c r="H800" s="489"/>
      <c r="I800"/>
      <c r="J800"/>
      <c r="L800"/>
    </row>
    <row r="801" spans="2:12">
      <c r="B801"/>
      <c r="C801"/>
      <c r="D801"/>
      <c r="E801"/>
      <c r="F801"/>
      <c r="G801" s="14"/>
      <c r="H801" s="489"/>
      <c r="I801"/>
      <c r="J801"/>
      <c r="L801"/>
    </row>
    <row r="802" spans="2:12">
      <c r="B802"/>
      <c r="C802"/>
      <c r="D802"/>
      <c r="E802"/>
      <c r="F802"/>
      <c r="G802" s="14"/>
      <c r="H802" s="489"/>
      <c r="I802"/>
      <c r="J802"/>
      <c r="L802"/>
    </row>
    <row r="803" spans="2:12">
      <c r="B803"/>
      <c r="C803"/>
      <c r="D803"/>
      <c r="E803"/>
      <c r="F803"/>
      <c r="G803" s="14"/>
      <c r="I803"/>
      <c r="J803"/>
      <c r="L803"/>
    </row>
    <row r="804" spans="2:12">
      <c r="B804"/>
      <c r="C804"/>
      <c r="D804"/>
      <c r="E804"/>
      <c r="F804"/>
      <c r="G804" s="14"/>
      <c r="I804"/>
      <c r="J804"/>
      <c r="L804"/>
    </row>
    <row r="805" spans="2:12">
      <c r="B805"/>
      <c r="C805"/>
      <c r="D805"/>
      <c r="E805"/>
      <c r="F805"/>
      <c r="G805" s="14"/>
      <c r="I805"/>
      <c r="J805"/>
      <c r="L805"/>
    </row>
    <row r="806" spans="2:12">
      <c r="B806"/>
      <c r="C806"/>
      <c r="D806"/>
      <c r="E806"/>
      <c r="F806"/>
      <c r="G806" s="14"/>
      <c r="I806"/>
      <c r="J806"/>
      <c r="L806"/>
    </row>
    <row r="807" spans="2:12">
      <c r="B807"/>
      <c r="C807"/>
      <c r="D807"/>
      <c r="E807"/>
      <c r="F807"/>
      <c r="G807" s="14"/>
      <c r="I807"/>
      <c r="J807"/>
      <c r="L807"/>
    </row>
    <row r="808" spans="2:12">
      <c r="B808"/>
      <c r="C808"/>
      <c r="D808"/>
      <c r="E808"/>
      <c r="F808"/>
      <c r="G808" s="14"/>
      <c r="I808"/>
      <c r="J808"/>
      <c r="L808"/>
    </row>
    <row r="809" spans="2:12">
      <c r="B809"/>
      <c r="C809"/>
      <c r="D809"/>
      <c r="E809"/>
      <c r="F809"/>
      <c r="G809" s="14"/>
      <c r="I809"/>
      <c r="J809"/>
      <c r="L809"/>
    </row>
    <row r="810" spans="2:12">
      <c r="B810"/>
      <c r="C810"/>
      <c r="D810"/>
      <c r="E810"/>
      <c r="F810"/>
      <c r="G810" s="14"/>
      <c r="I810"/>
      <c r="J810"/>
      <c r="L810"/>
    </row>
    <row r="811" spans="2:12">
      <c r="B811"/>
      <c r="C811"/>
      <c r="D811"/>
      <c r="E811"/>
      <c r="F811"/>
      <c r="G811" s="14"/>
      <c r="I811"/>
      <c r="J811"/>
      <c r="L811"/>
    </row>
    <row r="812" spans="2:12">
      <c r="B812"/>
      <c r="C812"/>
      <c r="D812"/>
      <c r="E812"/>
      <c r="F812"/>
      <c r="G812" s="14"/>
      <c r="I812"/>
      <c r="J812"/>
      <c r="L812"/>
    </row>
    <row r="813" spans="2:12">
      <c r="B813"/>
      <c r="C813"/>
      <c r="D813"/>
      <c r="E813"/>
      <c r="F813"/>
      <c r="G813" s="14"/>
      <c r="I813"/>
      <c r="J813"/>
      <c r="L813"/>
    </row>
    <row r="814" spans="2:12">
      <c r="B814"/>
      <c r="C814"/>
      <c r="D814"/>
      <c r="E814"/>
      <c r="F814"/>
      <c r="G814" s="14"/>
      <c r="H814"/>
      <c r="I814"/>
      <c r="J814"/>
      <c r="L814"/>
    </row>
    <row r="815" spans="2:12">
      <c r="B815"/>
      <c r="C815"/>
      <c r="D815"/>
      <c r="E815"/>
      <c r="F815"/>
      <c r="G815" s="14"/>
      <c r="H815"/>
      <c r="I815"/>
      <c r="J815"/>
      <c r="L815"/>
    </row>
    <row r="816" spans="2:12">
      <c r="B816"/>
      <c r="C816"/>
      <c r="D816"/>
      <c r="E816"/>
      <c r="F816"/>
      <c r="G816" s="14"/>
      <c r="H816"/>
      <c r="I816"/>
      <c r="J816"/>
      <c r="L816"/>
    </row>
    <row r="817" spans="2:12">
      <c r="B817"/>
      <c r="C817"/>
      <c r="D817"/>
      <c r="E817"/>
      <c r="F817"/>
      <c r="G817" s="14"/>
      <c r="H817"/>
      <c r="I817"/>
      <c r="J817"/>
      <c r="L817"/>
    </row>
    <row r="818" spans="2:12">
      <c r="B818"/>
      <c r="C818"/>
      <c r="D818"/>
      <c r="E818"/>
      <c r="F818"/>
      <c r="G818" s="14"/>
      <c r="H818"/>
      <c r="I818"/>
      <c r="J818"/>
      <c r="L818"/>
    </row>
    <row r="819" spans="2:12">
      <c r="B819"/>
      <c r="C819"/>
      <c r="D819"/>
      <c r="E819"/>
      <c r="F819"/>
      <c r="G819" s="14"/>
      <c r="H819"/>
      <c r="I819"/>
      <c r="J819"/>
      <c r="L819"/>
    </row>
    <row r="820" spans="2:12">
      <c r="B820"/>
      <c r="C820"/>
      <c r="D820"/>
      <c r="E820"/>
      <c r="F820"/>
      <c r="G820" s="14"/>
      <c r="H820"/>
      <c r="I820"/>
      <c r="J820"/>
      <c r="L820"/>
    </row>
    <row r="821" spans="2:12">
      <c r="B821"/>
      <c r="C821"/>
      <c r="D821"/>
      <c r="E821"/>
      <c r="F821"/>
      <c r="G821" s="14"/>
      <c r="H821"/>
      <c r="I821"/>
      <c r="J821"/>
      <c r="L821"/>
    </row>
    <row r="822" spans="2:12">
      <c r="B822"/>
      <c r="C822"/>
      <c r="D822"/>
      <c r="E822"/>
      <c r="F822"/>
      <c r="G822" s="14"/>
      <c r="H822"/>
      <c r="I822"/>
      <c r="J822"/>
      <c r="L822"/>
    </row>
    <row r="823" spans="2:12">
      <c r="B823"/>
      <c r="C823"/>
      <c r="D823"/>
      <c r="E823"/>
      <c r="F823"/>
      <c r="G823" s="14"/>
      <c r="H823"/>
      <c r="I823"/>
      <c r="J823"/>
      <c r="L823"/>
    </row>
    <row r="824" spans="2:12">
      <c r="B824"/>
      <c r="C824"/>
      <c r="D824"/>
      <c r="E824"/>
      <c r="F824"/>
      <c r="G824" s="14"/>
      <c r="H824"/>
      <c r="I824"/>
      <c r="J824"/>
      <c r="L824"/>
    </row>
    <row r="825" spans="2:12">
      <c r="B825"/>
      <c r="C825"/>
      <c r="D825"/>
      <c r="E825"/>
      <c r="F825"/>
      <c r="G825" s="14"/>
      <c r="H825"/>
      <c r="I825"/>
      <c r="J825"/>
      <c r="L825"/>
    </row>
    <row r="826" spans="2:12">
      <c r="B826"/>
      <c r="C826"/>
      <c r="D826"/>
      <c r="E826"/>
      <c r="F826"/>
      <c r="G826" s="14"/>
      <c r="H826"/>
      <c r="I826"/>
      <c r="J826"/>
      <c r="L826"/>
    </row>
    <row r="827" spans="2:12">
      <c r="B827"/>
      <c r="C827"/>
      <c r="D827"/>
      <c r="E827"/>
      <c r="F827"/>
      <c r="G827" s="14"/>
      <c r="H827"/>
      <c r="I827"/>
      <c r="J827"/>
      <c r="L827"/>
    </row>
    <row r="828" spans="2:12">
      <c r="B828"/>
      <c r="C828"/>
      <c r="D828"/>
      <c r="E828"/>
      <c r="F828"/>
      <c r="G828" s="14"/>
      <c r="H828"/>
      <c r="I828"/>
      <c r="J828"/>
      <c r="L828"/>
    </row>
    <row r="829" spans="2:12">
      <c r="B829"/>
      <c r="C829"/>
      <c r="D829"/>
      <c r="E829"/>
      <c r="F829"/>
      <c r="G829" s="14"/>
      <c r="H829"/>
      <c r="I829"/>
      <c r="J829"/>
      <c r="L829"/>
    </row>
    <row r="830" spans="2:12">
      <c r="B830"/>
      <c r="C830"/>
      <c r="D830"/>
      <c r="E830"/>
      <c r="F830"/>
      <c r="G830" s="14"/>
      <c r="H830"/>
      <c r="I830"/>
      <c r="J830"/>
      <c r="L830"/>
    </row>
    <row r="831" spans="2:12">
      <c r="B831"/>
      <c r="C831"/>
      <c r="D831"/>
      <c r="E831"/>
      <c r="F831"/>
      <c r="G831" s="14"/>
      <c r="H831"/>
      <c r="I831"/>
      <c r="J831"/>
      <c r="L831"/>
    </row>
    <row r="832" spans="2:12">
      <c r="B832"/>
      <c r="C832"/>
      <c r="D832"/>
      <c r="E832"/>
      <c r="F832"/>
      <c r="G832" s="14"/>
      <c r="H832"/>
      <c r="I832"/>
      <c r="J832"/>
      <c r="L832"/>
    </row>
    <row r="833" spans="2:12">
      <c r="B833"/>
      <c r="C833"/>
      <c r="D833"/>
      <c r="E833"/>
      <c r="F833"/>
      <c r="G833" s="14"/>
      <c r="H833"/>
      <c r="I833"/>
      <c r="J833"/>
      <c r="L833"/>
    </row>
    <row r="834" spans="2:12">
      <c r="B834"/>
      <c r="C834"/>
      <c r="D834"/>
      <c r="E834"/>
      <c r="F834"/>
      <c r="G834" s="14"/>
      <c r="H834"/>
      <c r="I834"/>
      <c r="J834"/>
      <c r="L834"/>
    </row>
    <row r="835" spans="2:12">
      <c r="B835"/>
      <c r="C835"/>
      <c r="D835"/>
      <c r="E835"/>
      <c r="F835"/>
      <c r="G835" s="14"/>
      <c r="H835"/>
      <c r="I835"/>
      <c r="J835"/>
      <c r="L835"/>
    </row>
    <row r="836" spans="2:12">
      <c r="B836"/>
      <c r="C836"/>
      <c r="D836"/>
      <c r="E836"/>
      <c r="F836"/>
      <c r="G836" s="14"/>
      <c r="H836"/>
      <c r="I836"/>
      <c r="J836"/>
      <c r="L836"/>
    </row>
    <row r="837" spans="2:12">
      <c r="B837"/>
      <c r="C837"/>
      <c r="D837"/>
      <c r="E837"/>
      <c r="F837"/>
      <c r="G837" s="14"/>
      <c r="H837"/>
      <c r="I837"/>
      <c r="J837"/>
      <c r="L837"/>
    </row>
    <row r="838" spans="2:12">
      <c r="B838"/>
      <c r="C838"/>
      <c r="D838"/>
      <c r="E838"/>
      <c r="F838"/>
      <c r="G838" s="14"/>
      <c r="H838"/>
      <c r="I838"/>
      <c r="J838"/>
      <c r="L838"/>
    </row>
    <row r="839" spans="2:12">
      <c r="B839"/>
      <c r="C839"/>
      <c r="D839"/>
      <c r="E839"/>
      <c r="F839"/>
      <c r="G839" s="14"/>
      <c r="H839"/>
      <c r="I839"/>
      <c r="J839"/>
      <c r="L839"/>
    </row>
    <row r="840" spans="2:12">
      <c r="B840"/>
      <c r="C840"/>
      <c r="D840"/>
      <c r="E840"/>
      <c r="F840"/>
      <c r="G840" s="14"/>
      <c r="H840"/>
      <c r="I840"/>
      <c r="J840"/>
      <c r="L840"/>
    </row>
    <row r="841" spans="2:12">
      <c r="B841"/>
      <c r="C841"/>
      <c r="D841"/>
      <c r="E841"/>
      <c r="F841"/>
      <c r="G841" s="14"/>
      <c r="H841"/>
      <c r="I841"/>
      <c r="J841"/>
      <c r="L841"/>
    </row>
    <row r="842" spans="2:12">
      <c r="B842"/>
      <c r="C842"/>
      <c r="D842"/>
      <c r="E842"/>
      <c r="F842"/>
      <c r="G842" s="14"/>
      <c r="H842"/>
      <c r="I842"/>
      <c r="J842"/>
      <c r="L842"/>
    </row>
    <row r="843" spans="2:12">
      <c r="B843"/>
      <c r="C843"/>
      <c r="D843"/>
      <c r="E843"/>
      <c r="F843"/>
      <c r="G843" s="14"/>
      <c r="H843"/>
      <c r="I843"/>
      <c r="J843"/>
      <c r="L843"/>
    </row>
    <row r="844" spans="2:12">
      <c r="B844"/>
      <c r="C844"/>
      <c r="D844"/>
      <c r="E844"/>
      <c r="F844"/>
      <c r="G844" s="14"/>
      <c r="H844"/>
      <c r="I844"/>
      <c r="J844"/>
      <c r="L844"/>
    </row>
    <row r="845" spans="2:12">
      <c r="B845"/>
      <c r="C845"/>
      <c r="D845"/>
      <c r="E845"/>
      <c r="F845"/>
      <c r="G845" s="14"/>
      <c r="H845"/>
      <c r="I845"/>
      <c r="J845"/>
      <c r="L845"/>
    </row>
    <row r="846" spans="2:12">
      <c r="B846"/>
      <c r="C846"/>
      <c r="D846"/>
      <c r="E846"/>
      <c r="F846"/>
      <c r="G846" s="14"/>
      <c r="H846"/>
      <c r="I846"/>
      <c r="J846"/>
      <c r="L846"/>
    </row>
    <row r="847" spans="2:12">
      <c r="B847"/>
      <c r="C847"/>
      <c r="D847"/>
      <c r="E847"/>
      <c r="F847"/>
      <c r="G847" s="14"/>
      <c r="H847"/>
      <c r="I847"/>
      <c r="J847"/>
      <c r="L847"/>
    </row>
    <row r="848" spans="2:12">
      <c r="B848"/>
      <c r="C848"/>
      <c r="D848"/>
      <c r="E848"/>
      <c r="F848"/>
      <c r="G848" s="14"/>
      <c r="H848"/>
      <c r="I848"/>
      <c r="J848"/>
      <c r="L848"/>
    </row>
    <row r="849" spans="2:12">
      <c r="B849"/>
      <c r="C849"/>
      <c r="D849"/>
      <c r="E849"/>
      <c r="F849"/>
      <c r="G849" s="14"/>
      <c r="H849"/>
      <c r="I849"/>
      <c r="J849"/>
      <c r="L849"/>
    </row>
    <row r="850" spans="2:12">
      <c r="B850"/>
      <c r="C850"/>
      <c r="D850"/>
      <c r="E850"/>
      <c r="F850"/>
      <c r="G850" s="14"/>
      <c r="H850"/>
      <c r="I850"/>
      <c r="J850"/>
      <c r="L850"/>
    </row>
    <row r="851" spans="2:12">
      <c r="B851"/>
      <c r="C851"/>
      <c r="D851"/>
      <c r="E851"/>
      <c r="F851"/>
      <c r="G851" s="14"/>
      <c r="H851"/>
      <c r="I851"/>
      <c r="J851"/>
      <c r="L851"/>
    </row>
    <row r="852" spans="2:12">
      <c r="B852"/>
      <c r="C852"/>
      <c r="D852"/>
      <c r="E852"/>
      <c r="F852"/>
      <c r="G852" s="14"/>
      <c r="H852"/>
      <c r="I852"/>
      <c r="J852"/>
      <c r="L852"/>
    </row>
    <row r="853" spans="2:12">
      <c r="B853"/>
      <c r="C853"/>
      <c r="D853"/>
      <c r="E853"/>
      <c r="F853"/>
      <c r="G853" s="14"/>
      <c r="H853"/>
      <c r="I853"/>
      <c r="J853"/>
      <c r="L853"/>
    </row>
    <row r="854" spans="2:12">
      <c r="B854"/>
      <c r="C854"/>
      <c r="D854"/>
      <c r="E854"/>
      <c r="F854"/>
      <c r="G854" s="14"/>
      <c r="H854"/>
      <c r="I854"/>
      <c r="J854"/>
      <c r="L854"/>
    </row>
    <row r="855" spans="2:12">
      <c r="B855"/>
      <c r="C855"/>
      <c r="D855"/>
      <c r="E855"/>
      <c r="F855"/>
      <c r="G855" s="14"/>
      <c r="H855"/>
      <c r="I855"/>
      <c r="J855"/>
      <c r="L855"/>
    </row>
    <row r="856" spans="2:12">
      <c r="B856"/>
      <c r="C856"/>
      <c r="D856"/>
      <c r="E856"/>
      <c r="F856"/>
      <c r="G856" s="14"/>
      <c r="H856"/>
      <c r="I856"/>
      <c r="J856"/>
      <c r="L856"/>
    </row>
    <row r="857" spans="2:12">
      <c r="B857"/>
      <c r="C857"/>
      <c r="D857"/>
      <c r="E857"/>
      <c r="F857"/>
      <c r="G857" s="14"/>
      <c r="H857"/>
      <c r="I857"/>
      <c r="J857"/>
      <c r="L857"/>
    </row>
    <row r="858" spans="2:12">
      <c r="B858"/>
      <c r="C858"/>
      <c r="D858"/>
      <c r="E858"/>
      <c r="F858"/>
      <c r="G858" s="14"/>
      <c r="H858"/>
      <c r="I858"/>
      <c r="J858"/>
      <c r="L858"/>
    </row>
    <row r="859" spans="2:12">
      <c r="B859"/>
      <c r="C859"/>
      <c r="D859"/>
      <c r="E859"/>
      <c r="F859"/>
      <c r="G859" s="14"/>
      <c r="H859"/>
      <c r="I859"/>
      <c r="J859"/>
      <c r="L859"/>
    </row>
    <row r="860" spans="2:12">
      <c r="B860"/>
      <c r="C860"/>
      <c r="D860"/>
      <c r="E860"/>
      <c r="F860"/>
      <c r="G860" s="14"/>
      <c r="H860"/>
      <c r="I860"/>
      <c r="J860"/>
      <c r="L860"/>
    </row>
    <row r="861" spans="2:12">
      <c r="B861"/>
      <c r="C861"/>
      <c r="D861"/>
      <c r="E861"/>
      <c r="F861"/>
      <c r="G861" s="14"/>
      <c r="H861"/>
      <c r="I861"/>
      <c r="J861"/>
      <c r="L861"/>
    </row>
    <row r="862" spans="2:12">
      <c r="B862"/>
      <c r="C862"/>
      <c r="D862"/>
      <c r="E862"/>
      <c r="F862"/>
      <c r="G862" s="14"/>
      <c r="H862"/>
      <c r="I862"/>
      <c r="J862"/>
      <c r="L862"/>
    </row>
    <row r="863" spans="2:12">
      <c r="B863"/>
      <c r="C863"/>
      <c r="D863"/>
      <c r="E863"/>
      <c r="F863"/>
      <c r="G863" s="14"/>
      <c r="H863"/>
      <c r="I863"/>
      <c r="J863"/>
      <c r="L863"/>
    </row>
    <row r="864" spans="2:12">
      <c r="B864"/>
      <c r="C864"/>
      <c r="D864"/>
      <c r="E864"/>
      <c r="F864"/>
      <c r="G864" s="14"/>
      <c r="H864"/>
      <c r="I864"/>
      <c r="J864"/>
      <c r="L864"/>
    </row>
    <row r="865" spans="2:12">
      <c r="B865"/>
      <c r="C865"/>
      <c r="D865"/>
      <c r="E865"/>
      <c r="F865"/>
      <c r="G865" s="14"/>
      <c r="H865"/>
      <c r="I865"/>
      <c r="J865"/>
      <c r="L865"/>
    </row>
    <row r="866" spans="2:12">
      <c r="B866"/>
      <c r="C866"/>
      <c r="D866"/>
      <c r="E866"/>
      <c r="F866"/>
      <c r="G866" s="14"/>
      <c r="H866"/>
      <c r="I866"/>
      <c r="J866"/>
      <c r="L866"/>
    </row>
    <row r="867" spans="2:12">
      <c r="B867"/>
      <c r="C867"/>
      <c r="D867"/>
      <c r="E867"/>
      <c r="F867"/>
      <c r="G867" s="14"/>
      <c r="H867"/>
      <c r="I867"/>
      <c r="J867"/>
      <c r="L867"/>
    </row>
    <row r="868" spans="2:12">
      <c r="B868"/>
      <c r="C868"/>
      <c r="D868"/>
      <c r="E868"/>
      <c r="F868"/>
      <c r="G868" s="14"/>
      <c r="H868"/>
      <c r="I868"/>
      <c r="J868"/>
      <c r="L868"/>
    </row>
    <row r="869" spans="2:12">
      <c r="B869"/>
      <c r="C869"/>
      <c r="D869"/>
      <c r="E869"/>
      <c r="F869"/>
      <c r="G869" s="14"/>
      <c r="H869"/>
      <c r="I869"/>
      <c r="J869"/>
      <c r="L869"/>
    </row>
    <row r="870" spans="2:12">
      <c r="B870"/>
      <c r="C870"/>
      <c r="D870"/>
      <c r="E870"/>
      <c r="F870"/>
      <c r="G870" s="14"/>
      <c r="H870"/>
      <c r="I870"/>
      <c r="J870"/>
      <c r="L870"/>
    </row>
    <row r="871" spans="2:12">
      <c r="B871"/>
      <c r="C871"/>
      <c r="D871"/>
      <c r="E871"/>
      <c r="F871"/>
      <c r="G871" s="14"/>
      <c r="H871"/>
      <c r="I871"/>
      <c r="J871"/>
      <c r="L871"/>
    </row>
    <row r="872" spans="2:12">
      <c r="B872"/>
      <c r="C872"/>
      <c r="D872"/>
      <c r="E872"/>
      <c r="F872"/>
      <c r="G872" s="14"/>
      <c r="H872"/>
      <c r="I872"/>
      <c r="J872"/>
      <c r="L872"/>
    </row>
    <row r="873" spans="2:12">
      <c r="B873"/>
      <c r="C873"/>
      <c r="D873"/>
      <c r="E873"/>
      <c r="F873"/>
      <c r="G873" s="14"/>
      <c r="H873"/>
      <c r="I873"/>
      <c r="J873"/>
      <c r="L873"/>
    </row>
    <row r="874" spans="2:12">
      <c r="B874"/>
      <c r="C874"/>
      <c r="D874"/>
      <c r="E874"/>
      <c r="F874"/>
      <c r="G874" s="14"/>
      <c r="H874"/>
      <c r="I874"/>
      <c r="J874"/>
      <c r="L874"/>
    </row>
    <row r="875" spans="2:12">
      <c r="B875"/>
      <c r="C875"/>
      <c r="D875"/>
      <c r="E875"/>
      <c r="F875"/>
      <c r="G875" s="14"/>
      <c r="H875"/>
      <c r="I875"/>
      <c r="J875"/>
      <c r="L875"/>
    </row>
    <row r="876" spans="2:12">
      <c r="B876"/>
      <c r="C876"/>
      <c r="D876"/>
      <c r="E876"/>
      <c r="F876"/>
      <c r="G876" s="14"/>
      <c r="H876"/>
      <c r="I876"/>
      <c r="J876"/>
      <c r="L876"/>
    </row>
    <row r="877" spans="2:12">
      <c r="B877"/>
      <c r="C877"/>
      <c r="D877"/>
      <c r="E877"/>
      <c r="F877"/>
      <c r="G877" s="14"/>
      <c r="H877"/>
      <c r="I877"/>
      <c r="J877"/>
      <c r="L877"/>
    </row>
    <row r="878" spans="2:12">
      <c r="B878"/>
      <c r="C878"/>
      <c r="D878"/>
      <c r="E878"/>
      <c r="F878"/>
      <c r="G878" s="14"/>
      <c r="H878"/>
      <c r="I878"/>
      <c r="J878"/>
      <c r="L878"/>
    </row>
    <row r="879" spans="2:12">
      <c r="B879"/>
      <c r="C879"/>
      <c r="D879"/>
      <c r="E879"/>
      <c r="F879"/>
      <c r="G879" s="14"/>
      <c r="H879"/>
      <c r="I879"/>
      <c r="J879"/>
      <c r="L879"/>
    </row>
    <row r="880" spans="2:12">
      <c r="B880"/>
      <c r="C880"/>
      <c r="D880"/>
      <c r="E880"/>
      <c r="F880"/>
      <c r="G880" s="14"/>
      <c r="H880"/>
      <c r="I880"/>
      <c r="J880"/>
      <c r="L880"/>
    </row>
    <row r="881" spans="2:12">
      <c r="B881"/>
      <c r="C881"/>
      <c r="D881"/>
      <c r="E881"/>
      <c r="F881"/>
      <c r="G881" s="14"/>
      <c r="H881"/>
      <c r="I881"/>
      <c r="J881"/>
      <c r="L881"/>
    </row>
    <row r="882" spans="2:12">
      <c r="B882"/>
      <c r="C882"/>
      <c r="D882"/>
      <c r="E882"/>
      <c r="F882"/>
      <c r="G882" s="14"/>
      <c r="H882"/>
      <c r="I882"/>
      <c r="J882"/>
      <c r="L882"/>
    </row>
    <row r="883" spans="2:12">
      <c r="B883"/>
      <c r="C883"/>
      <c r="D883"/>
      <c r="E883"/>
      <c r="F883"/>
      <c r="G883" s="14"/>
      <c r="H883"/>
      <c r="I883"/>
      <c r="J883"/>
      <c r="L883"/>
    </row>
    <row r="884" spans="2:12">
      <c r="B884"/>
      <c r="C884"/>
      <c r="D884"/>
      <c r="E884"/>
      <c r="F884"/>
      <c r="G884" s="14"/>
      <c r="H884"/>
      <c r="I884"/>
      <c r="J884"/>
      <c r="L884"/>
    </row>
    <row r="885" spans="2:12">
      <c r="B885"/>
      <c r="C885"/>
      <c r="D885"/>
      <c r="E885"/>
      <c r="F885"/>
      <c r="G885" s="14"/>
      <c r="H885"/>
      <c r="I885"/>
      <c r="J885"/>
      <c r="L885"/>
    </row>
    <row r="886" spans="2:12">
      <c r="B886"/>
      <c r="C886"/>
      <c r="D886"/>
      <c r="E886"/>
      <c r="F886"/>
      <c r="G886" s="14"/>
      <c r="H886"/>
      <c r="I886"/>
      <c r="J886"/>
      <c r="L886"/>
    </row>
    <row r="887" spans="2:12">
      <c r="B887"/>
      <c r="C887"/>
      <c r="D887"/>
      <c r="E887"/>
      <c r="F887"/>
      <c r="G887" s="14"/>
      <c r="H887"/>
      <c r="I887"/>
      <c r="J887"/>
      <c r="L887"/>
    </row>
    <row r="888" spans="2:12">
      <c r="B888"/>
      <c r="C888"/>
      <c r="D888"/>
      <c r="E888"/>
      <c r="F888"/>
      <c r="G888" s="14"/>
      <c r="H888"/>
      <c r="I888"/>
      <c r="J888"/>
      <c r="L888"/>
    </row>
    <row r="889" spans="2:12">
      <c r="B889"/>
      <c r="C889"/>
      <c r="D889"/>
      <c r="E889"/>
      <c r="F889"/>
      <c r="G889" s="14"/>
      <c r="H889"/>
      <c r="I889"/>
      <c r="J889"/>
      <c r="L889"/>
    </row>
    <row r="890" spans="2:12">
      <c r="B890"/>
      <c r="C890"/>
      <c r="D890"/>
      <c r="E890"/>
      <c r="F890"/>
      <c r="G890" s="14"/>
      <c r="H890"/>
      <c r="I890"/>
      <c r="J890"/>
      <c r="L890"/>
    </row>
    <row r="891" spans="2:12">
      <c r="B891"/>
      <c r="C891"/>
      <c r="D891"/>
      <c r="E891"/>
      <c r="F891"/>
      <c r="G891" s="14"/>
      <c r="H891"/>
      <c r="I891"/>
      <c r="J891"/>
      <c r="L891"/>
    </row>
    <row r="892" spans="2:12">
      <c r="B892"/>
      <c r="C892"/>
      <c r="D892"/>
      <c r="E892"/>
      <c r="F892"/>
      <c r="G892" s="14"/>
      <c r="H892"/>
      <c r="I892"/>
      <c r="J892"/>
      <c r="L892"/>
    </row>
    <row r="893" spans="2:12">
      <c r="B893"/>
      <c r="C893"/>
      <c r="D893"/>
      <c r="E893"/>
      <c r="F893"/>
      <c r="G893" s="14"/>
      <c r="H893"/>
      <c r="I893"/>
      <c r="J893"/>
      <c r="L893"/>
    </row>
    <row r="894" spans="2:12">
      <c r="B894"/>
      <c r="C894"/>
      <c r="D894"/>
      <c r="E894"/>
      <c r="F894"/>
      <c r="G894" s="14"/>
      <c r="H894"/>
      <c r="I894"/>
      <c r="J894"/>
      <c r="L894"/>
    </row>
    <row r="895" spans="2:12">
      <c r="B895"/>
      <c r="C895"/>
      <c r="D895"/>
      <c r="E895"/>
      <c r="F895"/>
      <c r="G895" s="14"/>
      <c r="H895"/>
      <c r="I895"/>
      <c r="J895"/>
      <c r="L895"/>
    </row>
    <row r="896" spans="2:12">
      <c r="B896"/>
      <c r="C896"/>
      <c r="D896"/>
      <c r="E896"/>
      <c r="F896"/>
      <c r="G896" s="14"/>
      <c r="H896"/>
      <c r="I896"/>
      <c r="J896"/>
      <c r="L896"/>
    </row>
    <row r="897" spans="2:12">
      <c r="B897"/>
      <c r="C897"/>
      <c r="D897"/>
      <c r="E897"/>
      <c r="F897"/>
      <c r="G897" s="14"/>
      <c r="H897"/>
      <c r="I897"/>
      <c r="J897"/>
      <c r="L897"/>
    </row>
    <row r="898" spans="2:12">
      <c r="B898"/>
      <c r="C898"/>
      <c r="D898"/>
      <c r="E898"/>
      <c r="F898"/>
      <c r="G898" s="14"/>
      <c r="H898"/>
      <c r="I898"/>
      <c r="J898"/>
      <c r="L898"/>
    </row>
    <row r="899" spans="2:12">
      <c r="B899"/>
      <c r="C899"/>
      <c r="D899"/>
      <c r="E899"/>
      <c r="F899"/>
      <c r="G899" s="14"/>
      <c r="H899"/>
      <c r="I899"/>
      <c r="J899"/>
      <c r="L899"/>
    </row>
    <row r="900" spans="2:12">
      <c r="B900"/>
      <c r="C900"/>
      <c r="D900"/>
      <c r="E900"/>
      <c r="F900"/>
      <c r="G900" s="14"/>
      <c r="H900"/>
      <c r="I900"/>
      <c r="J900"/>
      <c r="L900"/>
    </row>
    <row r="901" spans="2:12">
      <c r="B901"/>
      <c r="C901"/>
      <c r="D901"/>
      <c r="E901"/>
      <c r="F901"/>
      <c r="G901" s="14"/>
      <c r="H901"/>
      <c r="I901"/>
      <c r="J901"/>
      <c r="L901"/>
    </row>
    <row r="902" spans="2:12">
      <c r="B902"/>
      <c r="C902"/>
      <c r="D902"/>
      <c r="E902"/>
      <c r="F902"/>
      <c r="G902" s="14"/>
      <c r="H902"/>
      <c r="I902"/>
      <c r="J902"/>
      <c r="L902"/>
    </row>
    <row r="903" spans="2:12">
      <c r="B903"/>
      <c r="C903"/>
      <c r="D903"/>
      <c r="E903"/>
      <c r="F903"/>
      <c r="G903" s="14"/>
      <c r="H903"/>
      <c r="I903"/>
      <c r="J903"/>
      <c r="L903"/>
    </row>
    <row r="904" spans="2:12">
      <c r="B904"/>
      <c r="C904"/>
      <c r="D904"/>
      <c r="E904"/>
      <c r="F904"/>
      <c r="G904" s="14"/>
      <c r="H904"/>
      <c r="I904"/>
      <c r="J904"/>
      <c r="L904"/>
    </row>
    <row r="905" spans="2:12">
      <c r="B905"/>
      <c r="C905"/>
      <c r="D905"/>
      <c r="E905"/>
      <c r="F905"/>
      <c r="G905" s="14"/>
      <c r="H905"/>
      <c r="I905"/>
      <c r="J905"/>
      <c r="L905"/>
    </row>
    <row r="906" spans="2:12">
      <c r="B906"/>
      <c r="C906"/>
      <c r="D906"/>
      <c r="E906"/>
      <c r="F906"/>
      <c r="G906" s="14"/>
      <c r="H906"/>
      <c r="I906"/>
      <c r="J906"/>
      <c r="L906"/>
    </row>
    <row r="907" spans="2:12">
      <c r="B907"/>
      <c r="C907"/>
      <c r="D907"/>
      <c r="E907"/>
      <c r="F907"/>
      <c r="G907" s="14"/>
      <c r="H907"/>
      <c r="I907"/>
      <c r="J907"/>
      <c r="L907"/>
    </row>
    <row r="908" spans="2:12">
      <c r="B908"/>
      <c r="C908"/>
      <c r="D908"/>
      <c r="E908"/>
      <c r="F908"/>
      <c r="G908" s="14"/>
      <c r="H908"/>
      <c r="I908"/>
      <c r="J908"/>
      <c r="L908"/>
    </row>
    <row r="909" spans="2:12">
      <c r="B909"/>
      <c r="C909"/>
      <c r="D909"/>
      <c r="E909"/>
      <c r="F909"/>
      <c r="G909" s="14"/>
      <c r="H909"/>
      <c r="I909"/>
      <c r="J909"/>
      <c r="L909"/>
    </row>
    <row r="910" spans="2:12">
      <c r="B910"/>
      <c r="C910"/>
      <c r="D910"/>
      <c r="E910"/>
      <c r="F910"/>
      <c r="G910" s="14"/>
      <c r="H910"/>
      <c r="I910"/>
      <c r="J910"/>
      <c r="L910"/>
    </row>
    <row r="911" spans="2:12">
      <c r="B911"/>
      <c r="C911"/>
      <c r="D911"/>
      <c r="E911"/>
      <c r="F911"/>
      <c r="G911" s="14"/>
      <c r="H911"/>
      <c r="I911"/>
      <c r="J911"/>
      <c r="L911"/>
    </row>
    <row r="912" spans="2:12">
      <c r="B912"/>
      <c r="C912"/>
      <c r="D912"/>
      <c r="E912"/>
      <c r="F912"/>
      <c r="G912" s="14"/>
      <c r="H912"/>
      <c r="I912"/>
      <c r="J912"/>
      <c r="L912"/>
    </row>
    <row r="913" spans="2:12">
      <c r="B913"/>
      <c r="C913"/>
      <c r="D913"/>
      <c r="E913"/>
      <c r="F913"/>
      <c r="G913" s="14"/>
      <c r="H913"/>
      <c r="I913"/>
      <c r="J913"/>
      <c r="L913"/>
    </row>
    <row r="914" spans="2:12">
      <c r="B914"/>
      <c r="C914"/>
      <c r="D914"/>
      <c r="E914"/>
      <c r="F914"/>
      <c r="G914" s="14"/>
      <c r="H914"/>
      <c r="I914"/>
      <c r="J914"/>
      <c r="L914"/>
    </row>
    <row r="915" spans="2:12">
      <c r="B915"/>
      <c r="C915"/>
      <c r="D915"/>
      <c r="E915"/>
      <c r="F915"/>
      <c r="G915" s="14"/>
      <c r="H915"/>
      <c r="I915"/>
      <c r="J915"/>
      <c r="L915"/>
    </row>
    <row r="916" spans="2:12">
      <c r="B916"/>
      <c r="C916"/>
      <c r="D916"/>
      <c r="E916"/>
      <c r="F916"/>
      <c r="G916" s="14"/>
      <c r="H916"/>
      <c r="I916"/>
      <c r="J916"/>
      <c r="L916"/>
    </row>
    <row r="917" spans="2:12">
      <c r="B917"/>
      <c r="C917"/>
      <c r="D917"/>
      <c r="E917"/>
      <c r="F917"/>
      <c r="G917" s="14"/>
      <c r="H917"/>
      <c r="I917"/>
      <c r="J917"/>
      <c r="L917"/>
    </row>
    <row r="918" spans="2:12">
      <c r="B918"/>
      <c r="C918"/>
      <c r="D918"/>
      <c r="E918"/>
      <c r="F918"/>
      <c r="G918" s="14"/>
      <c r="H918"/>
      <c r="I918"/>
      <c r="J918"/>
      <c r="L918"/>
    </row>
    <row r="919" spans="2:12">
      <c r="B919"/>
      <c r="C919"/>
      <c r="D919"/>
      <c r="E919"/>
      <c r="F919"/>
      <c r="G919" s="14"/>
      <c r="H919"/>
      <c r="I919"/>
      <c r="J919"/>
      <c r="L919"/>
    </row>
    <row r="920" spans="2:12">
      <c r="B920"/>
      <c r="C920"/>
      <c r="D920"/>
      <c r="E920"/>
      <c r="F920"/>
      <c r="G920" s="14"/>
      <c r="H920"/>
      <c r="I920"/>
      <c r="J920"/>
      <c r="L920"/>
    </row>
    <row r="921" spans="2:12">
      <c r="B921"/>
      <c r="C921"/>
      <c r="D921"/>
      <c r="E921"/>
      <c r="F921"/>
      <c r="G921" s="14"/>
      <c r="H921"/>
      <c r="I921"/>
      <c r="J921"/>
      <c r="L921"/>
    </row>
    <row r="922" spans="2:12">
      <c r="B922"/>
      <c r="C922"/>
      <c r="D922"/>
      <c r="E922"/>
      <c r="F922"/>
      <c r="G922" s="14"/>
      <c r="H922"/>
      <c r="I922"/>
      <c r="J922"/>
      <c r="L922"/>
    </row>
    <row r="923" spans="2:12">
      <c r="B923"/>
      <c r="C923"/>
      <c r="D923"/>
      <c r="E923"/>
      <c r="F923"/>
      <c r="G923" s="14"/>
      <c r="H923"/>
      <c r="I923"/>
      <c r="J923"/>
      <c r="L923"/>
    </row>
    <row r="924" spans="2:12">
      <c r="B924"/>
      <c r="C924"/>
      <c r="D924"/>
      <c r="E924"/>
      <c r="F924"/>
      <c r="G924" s="14"/>
      <c r="H924"/>
      <c r="I924"/>
      <c r="J924"/>
      <c r="L924"/>
    </row>
    <row r="925" spans="2:12">
      <c r="B925"/>
      <c r="C925"/>
      <c r="D925"/>
      <c r="E925"/>
      <c r="F925"/>
      <c r="G925" s="14"/>
      <c r="H925"/>
      <c r="I925"/>
      <c r="J925"/>
      <c r="L925"/>
    </row>
    <row r="926" spans="2:12">
      <c r="B926"/>
      <c r="C926"/>
      <c r="D926"/>
      <c r="E926"/>
      <c r="F926"/>
      <c r="G926" s="14"/>
      <c r="H926"/>
      <c r="I926"/>
      <c r="J926"/>
      <c r="L926"/>
    </row>
    <row r="927" spans="2:12">
      <c r="B927"/>
      <c r="C927"/>
      <c r="D927"/>
      <c r="E927"/>
      <c r="F927"/>
      <c r="G927" s="14"/>
      <c r="H927"/>
      <c r="I927"/>
      <c r="J927"/>
      <c r="L927"/>
    </row>
    <row r="928" spans="2:12">
      <c r="B928"/>
      <c r="C928"/>
      <c r="D928"/>
      <c r="E928"/>
      <c r="F928"/>
      <c r="G928" s="14"/>
      <c r="H928"/>
      <c r="I928"/>
      <c r="J928"/>
      <c r="L928"/>
    </row>
    <row r="929" spans="2:12">
      <c r="B929"/>
      <c r="C929"/>
      <c r="D929"/>
      <c r="E929"/>
      <c r="F929"/>
      <c r="G929" s="14"/>
      <c r="H929"/>
      <c r="I929"/>
      <c r="J929"/>
      <c r="L929"/>
    </row>
    <row r="930" spans="2:12">
      <c r="B930"/>
      <c r="C930"/>
      <c r="D930"/>
      <c r="E930"/>
      <c r="F930"/>
      <c r="G930" s="14"/>
      <c r="H930"/>
      <c r="I930"/>
      <c r="J930"/>
      <c r="L930"/>
    </row>
    <row r="931" spans="2:12">
      <c r="B931"/>
      <c r="C931"/>
      <c r="D931"/>
      <c r="E931"/>
      <c r="F931"/>
      <c r="G931" s="14"/>
      <c r="H931"/>
      <c r="I931"/>
      <c r="J931"/>
      <c r="L931"/>
    </row>
    <row r="932" spans="2:12">
      <c r="B932"/>
      <c r="C932"/>
      <c r="D932"/>
      <c r="E932"/>
      <c r="F932"/>
      <c r="G932" s="14"/>
      <c r="H932"/>
      <c r="I932"/>
      <c r="J932"/>
      <c r="L932"/>
    </row>
    <row r="933" spans="2:12">
      <c r="B933"/>
      <c r="C933"/>
      <c r="D933"/>
      <c r="E933"/>
      <c r="F933"/>
      <c r="G933" s="14"/>
      <c r="H933"/>
      <c r="I933"/>
      <c r="J933"/>
      <c r="L933"/>
    </row>
    <row r="934" spans="2:12">
      <c r="B934"/>
      <c r="C934"/>
      <c r="D934"/>
      <c r="E934"/>
      <c r="F934"/>
      <c r="G934" s="14"/>
      <c r="H934"/>
      <c r="I934"/>
      <c r="J934"/>
      <c r="L934"/>
    </row>
    <row r="935" spans="2:12">
      <c r="B935"/>
      <c r="C935"/>
      <c r="D935"/>
      <c r="E935"/>
      <c r="F935"/>
      <c r="G935" s="14"/>
      <c r="H935"/>
      <c r="I935"/>
      <c r="J935"/>
      <c r="L935"/>
    </row>
    <row r="936" spans="2:12">
      <c r="B936"/>
      <c r="C936"/>
      <c r="D936"/>
      <c r="E936"/>
      <c r="F936"/>
      <c r="G936" s="14"/>
      <c r="H936"/>
      <c r="I936"/>
      <c r="J936"/>
      <c r="L936"/>
    </row>
    <row r="937" spans="2:12">
      <c r="B937"/>
      <c r="C937"/>
      <c r="D937"/>
      <c r="E937"/>
      <c r="F937"/>
      <c r="G937" s="14"/>
      <c r="H937"/>
      <c r="I937"/>
      <c r="J937"/>
      <c r="L937"/>
    </row>
    <row r="938" spans="2:12">
      <c r="B938"/>
      <c r="C938"/>
      <c r="D938"/>
      <c r="E938"/>
      <c r="F938"/>
      <c r="G938" s="14"/>
      <c r="H938"/>
      <c r="I938"/>
      <c r="J938"/>
      <c r="L938"/>
    </row>
    <row r="939" spans="2:12">
      <c r="B939"/>
      <c r="C939"/>
      <c r="D939"/>
      <c r="E939"/>
      <c r="F939"/>
      <c r="G939" s="14"/>
      <c r="H939"/>
      <c r="I939"/>
      <c r="J939"/>
      <c r="L939"/>
    </row>
    <row r="940" spans="2:12">
      <c r="B940"/>
      <c r="C940"/>
      <c r="D940"/>
      <c r="E940"/>
      <c r="F940"/>
      <c r="G940" s="14"/>
      <c r="H940"/>
      <c r="I940"/>
      <c r="J940"/>
      <c r="L940"/>
    </row>
    <row r="941" spans="2:12">
      <c r="B941"/>
      <c r="C941"/>
      <c r="D941"/>
      <c r="E941"/>
      <c r="F941"/>
      <c r="G941" s="14"/>
      <c r="H941"/>
      <c r="I941"/>
      <c r="J941"/>
      <c r="L941"/>
    </row>
    <row r="942" spans="2:12">
      <c r="B942"/>
      <c r="C942"/>
      <c r="D942"/>
      <c r="E942"/>
      <c r="F942"/>
      <c r="G942" s="14"/>
      <c r="H942"/>
      <c r="I942"/>
      <c r="J942"/>
      <c r="L942"/>
    </row>
    <row r="943" spans="2:12">
      <c r="B943"/>
      <c r="C943"/>
      <c r="D943"/>
      <c r="E943"/>
      <c r="F943"/>
      <c r="G943" s="14"/>
      <c r="H943"/>
      <c r="I943"/>
      <c r="J943"/>
      <c r="L943"/>
    </row>
    <row r="944" spans="2:12">
      <c r="B944"/>
      <c r="C944"/>
      <c r="D944"/>
      <c r="E944"/>
      <c r="F944"/>
      <c r="G944" s="14"/>
      <c r="H944"/>
      <c r="I944"/>
      <c r="J944"/>
      <c r="L944"/>
    </row>
    <row r="945" spans="2:12">
      <c r="B945"/>
      <c r="C945"/>
      <c r="D945"/>
      <c r="E945"/>
      <c r="F945"/>
      <c r="G945" s="14"/>
      <c r="H945"/>
      <c r="I945"/>
      <c r="J945"/>
      <c r="L945"/>
    </row>
    <row r="946" spans="2:12">
      <c r="B946"/>
      <c r="C946"/>
      <c r="D946"/>
      <c r="E946"/>
      <c r="F946"/>
      <c r="G946" s="14"/>
      <c r="H946"/>
      <c r="I946"/>
      <c r="J946"/>
      <c r="L946"/>
    </row>
    <row r="947" spans="2:12">
      <c r="B947"/>
      <c r="C947"/>
      <c r="D947"/>
      <c r="E947"/>
      <c r="F947"/>
      <c r="G947" s="14"/>
      <c r="H947"/>
      <c r="I947"/>
      <c r="J947"/>
      <c r="L947"/>
    </row>
    <row r="948" spans="2:12">
      <c r="B948"/>
      <c r="C948"/>
      <c r="D948"/>
      <c r="E948"/>
      <c r="F948"/>
      <c r="G948" s="14"/>
      <c r="H948"/>
      <c r="I948"/>
      <c r="J948"/>
      <c r="L948"/>
    </row>
    <row r="949" spans="2:12">
      <c r="B949"/>
      <c r="C949"/>
      <c r="D949"/>
      <c r="E949"/>
      <c r="F949"/>
      <c r="G949" s="14"/>
      <c r="H949"/>
      <c r="I949"/>
      <c r="J949"/>
      <c r="L949"/>
    </row>
    <row r="950" spans="2:12">
      <c r="B950"/>
      <c r="C950"/>
      <c r="D950"/>
      <c r="E950"/>
      <c r="F950"/>
      <c r="G950" s="14"/>
      <c r="H950"/>
      <c r="I950"/>
      <c r="J950"/>
      <c r="L950"/>
    </row>
    <row r="951" spans="2:12">
      <c r="B951"/>
      <c r="C951"/>
      <c r="D951"/>
      <c r="E951"/>
      <c r="F951"/>
      <c r="G951" s="14"/>
      <c r="H951"/>
      <c r="I951"/>
      <c r="J951"/>
      <c r="L951"/>
    </row>
    <row r="952" spans="2:12">
      <c r="B952"/>
      <c r="C952"/>
      <c r="D952"/>
      <c r="E952"/>
      <c r="F952"/>
      <c r="G952" s="14"/>
      <c r="H952"/>
      <c r="I952"/>
      <c r="J952"/>
      <c r="L952"/>
    </row>
    <row r="953" spans="2:12">
      <c r="B953"/>
      <c r="C953"/>
      <c r="D953"/>
      <c r="E953"/>
      <c r="F953"/>
      <c r="G953" s="14"/>
      <c r="H953"/>
      <c r="I953"/>
      <c r="J953"/>
      <c r="L953"/>
    </row>
    <row r="954" spans="2:12">
      <c r="B954"/>
      <c r="C954"/>
      <c r="D954"/>
      <c r="E954"/>
      <c r="F954"/>
      <c r="G954" s="14"/>
      <c r="H954"/>
      <c r="I954"/>
      <c r="J954"/>
      <c r="L954"/>
    </row>
    <row r="955" spans="2:12">
      <c r="B955"/>
      <c r="C955"/>
      <c r="D955"/>
      <c r="E955"/>
      <c r="F955"/>
      <c r="G955" s="14"/>
      <c r="H955"/>
      <c r="I955"/>
      <c r="J955"/>
      <c r="L955"/>
    </row>
    <row r="956" spans="2:12">
      <c r="B956"/>
      <c r="C956"/>
      <c r="D956"/>
      <c r="E956"/>
      <c r="F956"/>
      <c r="G956" s="14"/>
      <c r="H956"/>
      <c r="I956"/>
      <c r="J956"/>
      <c r="L956"/>
    </row>
    <row r="957" spans="2:12">
      <c r="B957"/>
      <c r="C957"/>
      <c r="D957"/>
      <c r="E957"/>
      <c r="F957"/>
      <c r="G957" s="14"/>
      <c r="H957"/>
      <c r="I957"/>
      <c r="J957"/>
      <c r="L957"/>
    </row>
    <row r="958" spans="2:12">
      <c r="B958"/>
      <c r="C958"/>
      <c r="D958"/>
      <c r="E958"/>
      <c r="F958"/>
      <c r="G958" s="14"/>
      <c r="H958"/>
      <c r="I958"/>
      <c r="J958"/>
      <c r="L958"/>
    </row>
    <row r="959" spans="2:12">
      <c r="B959"/>
      <c r="C959"/>
      <c r="D959"/>
      <c r="E959"/>
      <c r="F959"/>
      <c r="G959" s="14"/>
      <c r="H959"/>
      <c r="I959"/>
      <c r="J959"/>
      <c r="L959"/>
    </row>
    <row r="960" spans="2:12">
      <c r="B960"/>
      <c r="C960"/>
      <c r="D960"/>
      <c r="E960"/>
      <c r="F960"/>
      <c r="G960" s="14"/>
      <c r="H960"/>
      <c r="I960"/>
      <c r="J960"/>
      <c r="L960"/>
    </row>
    <row r="961" spans="2:12">
      <c r="B961"/>
      <c r="C961"/>
      <c r="D961"/>
      <c r="E961"/>
      <c r="F961"/>
      <c r="G961" s="14"/>
      <c r="H961"/>
      <c r="I961"/>
      <c r="J961"/>
      <c r="L961"/>
    </row>
    <row r="962" spans="2:12">
      <c r="B962"/>
      <c r="C962"/>
      <c r="D962"/>
      <c r="E962"/>
      <c r="F962"/>
      <c r="G962" s="14"/>
      <c r="H962"/>
      <c r="I962"/>
      <c r="J962"/>
      <c r="L962"/>
    </row>
    <row r="963" spans="2:12">
      <c r="B963"/>
      <c r="C963"/>
      <c r="D963"/>
      <c r="E963"/>
      <c r="F963"/>
      <c r="G963" s="14"/>
      <c r="H963"/>
      <c r="I963"/>
      <c r="J963"/>
      <c r="L963"/>
    </row>
    <row r="964" spans="2:12">
      <c r="B964"/>
      <c r="C964"/>
      <c r="D964"/>
      <c r="E964"/>
      <c r="F964"/>
      <c r="G964" s="14"/>
      <c r="H964"/>
      <c r="I964"/>
      <c r="J964"/>
      <c r="L964"/>
    </row>
    <row r="965" spans="2:12">
      <c r="B965"/>
      <c r="C965"/>
      <c r="D965"/>
      <c r="E965"/>
      <c r="F965"/>
      <c r="G965" s="14"/>
      <c r="H965"/>
      <c r="I965"/>
      <c r="J965"/>
      <c r="L965"/>
    </row>
    <row r="966" spans="2:12">
      <c r="B966"/>
      <c r="C966"/>
      <c r="D966"/>
      <c r="E966"/>
      <c r="F966"/>
      <c r="G966" s="14"/>
      <c r="H966"/>
      <c r="I966"/>
      <c r="J966"/>
      <c r="L966"/>
    </row>
    <row r="967" spans="2:12">
      <c r="B967"/>
      <c r="C967"/>
      <c r="D967"/>
      <c r="E967"/>
      <c r="F967"/>
      <c r="G967" s="14"/>
      <c r="H967"/>
      <c r="I967"/>
      <c r="J967"/>
      <c r="L967"/>
    </row>
    <row r="968" spans="2:12">
      <c r="B968"/>
      <c r="C968"/>
      <c r="D968"/>
      <c r="E968"/>
      <c r="F968"/>
      <c r="G968" s="14"/>
      <c r="H968"/>
      <c r="I968"/>
      <c r="J968"/>
      <c r="L968"/>
    </row>
    <row r="969" spans="2:12">
      <c r="B969"/>
      <c r="C969"/>
      <c r="D969"/>
      <c r="E969"/>
      <c r="F969"/>
      <c r="G969" s="14"/>
      <c r="H969"/>
      <c r="I969"/>
      <c r="J969"/>
      <c r="L969"/>
    </row>
    <row r="970" spans="2:12">
      <c r="B970"/>
      <c r="C970"/>
      <c r="D970"/>
      <c r="E970"/>
      <c r="F970"/>
      <c r="G970" s="14"/>
      <c r="H970"/>
      <c r="I970"/>
      <c r="J970"/>
      <c r="L970"/>
    </row>
    <row r="971" spans="2:12">
      <c r="B971"/>
      <c r="C971"/>
      <c r="D971"/>
      <c r="E971"/>
      <c r="F971"/>
      <c r="G971" s="14"/>
      <c r="H971"/>
      <c r="I971"/>
      <c r="J971"/>
      <c r="L971"/>
    </row>
    <row r="972" spans="2:12">
      <c r="B972"/>
      <c r="C972"/>
      <c r="D972"/>
      <c r="E972"/>
      <c r="F972"/>
      <c r="G972" s="14"/>
      <c r="H972"/>
      <c r="I972"/>
      <c r="J972"/>
      <c r="L972"/>
    </row>
    <row r="973" spans="2:12">
      <c r="B973"/>
      <c r="C973"/>
      <c r="D973"/>
      <c r="E973"/>
      <c r="F973"/>
      <c r="G973" s="14"/>
      <c r="H973"/>
      <c r="I973"/>
      <c r="J973"/>
      <c r="L973"/>
    </row>
    <row r="974" spans="2:12">
      <c r="B974"/>
      <c r="C974"/>
      <c r="D974"/>
      <c r="E974"/>
      <c r="F974"/>
      <c r="G974" s="14"/>
      <c r="H974"/>
      <c r="I974"/>
      <c r="J974"/>
      <c r="L974"/>
    </row>
    <row r="975" spans="2:12">
      <c r="B975"/>
      <c r="C975"/>
      <c r="D975"/>
      <c r="E975"/>
      <c r="F975"/>
      <c r="G975" s="14"/>
      <c r="H975"/>
      <c r="I975"/>
      <c r="J975"/>
      <c r="L975"/>
    </row>
    <row r="976" spans="2:12">
      <c r="B976"/>
      <c r="C976"/>
      <c r="D976"/>
      <c r="E976"/>
      <c r="F976"/>
      <c r="G976" s="14"/>
      <c r="H976"/>
      <c r="I976"/>
      <c r="J976"/>
      <c r="L976"/>
    </row>
    <row r="977" spans="2:12">
      <c r="B977"/>
      <c r="C977"/>
      <c r="D977"/>
      <c r="E977"/>
      <c r="F977"/>
      <c r="G977" s="14"/>
      <c r="H977"/>
      <c r="I977"/>
      <c r="J977"/>
      <c r="L977"/>
    </row>
    <row r="978" spans="2:12">
      <c r="B978"/>
      <c r="C978"/>
      <c r="D978"/>
      <c r="E978"/>
      <c r="F978"/>
      <c r="G978" s="14"/>
      <c r="H978"/>
      <c r="I978"/>
      <c r="J978"/>
      <c r="L978"/>
    </row>
    <row r="979" spans="2:12">
      <c r="B979"/>
      <c r="C979"/>
      <c r="D979"/>
      <c r="E979"/>
      <c r="F979"/>
      <c r="G979" s="14"/>
      <c r="H979"/>
      <c r="I979"/>
      <c r="J979"/>
      <c r="L979"/>
    </row>
    <row r="980" spans="2:12">
      <c r="B980"/>
      <c r="C980"/>
      <c r="D980"/>
      <c r="E980"/>
      <c r="F980"/>
      <c r="G980" s="14"/>
      <c r="H980"/>
      <c r="I980"/>
      <c r="J980"/>
      <c r="L980"/>
    </row>
    <row r="981" spans="2:12">
      <c r="B981"/>
      <c r="C981"/>
      <c r="D981"/>
      <c r="E981"/>
      <c r="F981"/>
      <c r="G981" s="14"/>
      <c r="H981"/>
      <c r="I981"/>
      <c r="J981"/>
      <c r="L981"/>
    </row>
    <row r="982" spans="2:12">
      <c r="B982"/>
      <c r="C982"/>
      <c r="D982"/>
      <c r="E982"/>
      <c r="F982"/>
      <c r="G982" s="14"/>
      <c r="H982"/>
      <c r="I982"/>
      <c r="J982"/>
      <c r="L982"/>
    </row>
    <row r="983" spans="2:12">
      <c r="B983"/>
      <c r="C983"/>
      <c r="D983"/>
      <c r="E983"/>
      <c r="F983"/>
      <c r="G983" s="14"/>
      <c r="H983"/>
      <c r="I983"/>
      <c r="J983"/>
      <c r="L983"/>
    </row>
    <row r="984" spans="2:12">
      <c r="B984"/>
      <c r="C984"/>
      <c r="D984"/>
      <c r="E984"/>
      <c r="F984"/>
      <c r="G984" s="14"/>
      <c r="H984"/>
      <c r="I984"/>
      <c r="J984"/>
      <c r="L984"/>
    </row>
    <row r="985" spans="2:12">
      <c r="B985"/>
      <c r="C985"/>
      <c r="D985"/>
      <c r="E985"/>
      <c r="F985"/>
      <c r="G985" s="14"/>
      <c r="H985"/>
      <c r="I985"/>
      <c r="J985"/>
      <c r="L985"/>
    </row>
    <row r="986" spans="2:12">
      <c r="B986"/>
      <c r="C986"/>
      <c r="D986"/>
      <c r="E986"/>
      <c r="F986"/>
      <c r="G986" s="14"/>
      <c r="H986"/>
      <c r="I986"/>
      <c r="J986"/>
      <c r="L986"/>
    </row>
    <row r="987" spans="2:12">
      <c r="B987"/>
      <c r="C987"/>
      <c r="D987"/>
      <c r="E987"/>
      <c r="F987"/>
      <c r="G987" s="14"/>
      <c r="H987"/>
      <c r="I987"/>
      <c r="J987"/>
      <c r="L987"/>
    </row>
    <row r="988" spans="2:12">
      <c r="B988"/>
      <c r="C988"/>
      <c r="D988"/>
      <c r="E988"/>
      <c r="F988"/>
      <c r="G988" s="14"/>
      <c r="H988"/>
      <c r="I988"/>
      <c r="J988"/>
      <c r="L988"/>
    </row>
    <row r="989" spans="2:12">
      <c r="B989"/>
      <c r="C989"/>
      <c r="D989"/>
      <c r="E989"/>
      <c r="F989"/>
      <c r="G989" s="14"/>
      <c r="H989"/>
      <c r="I989"/>
      <c r="J989"/>
      <c r="L989"/>
    </row>
    <row r="990" spans="2:12">
      <c r="B990"/>
      <c r="C990"/>
      <c r="D990"/>
      <c r="E990"/>
      <c r="F990"/>
      <c r="G990" s="14"/>
      <c r="H990"/>
      <c r="I990"/>
      <c r="J990"/>
      <c r="L990"/>
    </row>
    <row r="991" spans="2:12">
      <c r="B991"/>
      <c r="C991"/>
      <c r="D991"/>
      <c r="E991"/>
      <c r="F991"/>
      <c r="G991" s="14"/>
      <c r="H991"/>
      <c r="I991"/>
      <c r="J991"/>
      <c r="L991"/>
    </row>
    <row r="992" spans="2:12">
      <c r="B992"/>
      <c r="C992"/>
      <c r="D992"/>
      <c r="E992"/>
      <c r="F992"/>
      <c r="G992" s="14"/>
      <c r="H992"/>
      <c r="I992"/>
      <c r="J992"/>
      <c r="L992"/>
    </row>
    <row r="993" spans="2:12">
      <c r="B993"/>
      <c r="C993"/>
      <c r="D993"/>
      <c r="E993"/>
      <c r="F993"/>
      <c r="G993" s="14"/>
      <c r="H993"/>
      <c r="I993"/>
      <c r="J993"/>
      <c r="L993"/>
    </row>
    <row r="994" spans="2:12">
      <c r="B994"/>
      <c r="C994"/>
      <c r="D994"/>
      <c r="E994"/>
      <c r="F994"/>
      <c r="G994" s="14"/>
      <c r="H994"/>
      <c r="I994"/>
      <c r="J994"/>
      <c r="L994"/>
    </row>
    <row r="995" spans="2:12">
      <c r="B995"/>
      <c r="C995"/>
      <c r="D995"/>
      <c r="E995"/>
      <c r="F995"/>
      <c r="G995" s="14"/>
      <c r="H995"/>
      <c r="I995"/>
      <c r="J995"/>
      <c r="L995"/>
    </row>
    <row r="996" spans="2:12">
      <c r="B996"/>
      <c r="C996"/>
      <c r="D996"/>
      <c r="E996"/>
      <c r="F996"/>
      <c r="G996" s="14"/>
      <c r="H996"/>
      <c r="I996"/>
      <c r="J996"/>
      <c r="L996"/>
    </row>
    <row r="997" spans="2:12">
      <c r="B997"/>
      <c r="C997"/>
      <c r="D997"/>
      <c r="E997"/>
      <c r="F997"/>
      <c r="G997" s="14"/>
      <c r="H997"/>
      <c r="I997"/>
      <c r="J997"/>
      <c r="L997"/>
    </row>
    <row r="998" spans="2:12">
      <c r="B998"/>
      <c r="C998"/>
      <c r="D998"/>
      <c r="E998"/>
      <c r="F998"/>
      <c r="G998" s="14"/>
      <c r="H998"/>
      <c r="I998"/>
      <c r="J998"/>
      <c r="L998"/>
    </row>
    <row r="999" spans="2:12">
      <c r="B999"/>
      <c r="C999"/>
      <c r="D999"/>
      <c r="E999"/>
      <c r="F999"/>
      <c r="G999" s="14"/>
      <c r="H999"/>
      <c r="I999"/>
      <c r="J999"/>
      <c r="L999"/>
    </row>
    <row r="1000" spans="2:12">
      <c r="B1000"/>
      <c r="C1000"/>
      <c r="D1000"/>
      <c r="E1000"/>
      <c r="F1000"/>
      <c r="G1000" s="14"/>
      <c r="H1000"/>
      <c r="I1000"/>
      <c r="J1000"/>
      <c r="L1000"/>
    </row>
    <row r="1001" spans="2:12">
      <c r="B1001"/>
      <c r="C1001"/>
      <c r="D1001"/>
      <c r="E1001"/>
      <c r="F1001"/>
      <c r="G1001" s="14"/>
      <c r="H1001"/>
      <c r="I1001"/>
      <c r="J1001"/>
      <c r="L1001"/>
    </row>
    <row r="1002" spans="2:12">
      <c r="B1002"/>
      <c r="C1002"/>
      <c r="D1002"/>
      <c r="E1002"/>
      <c r="F1002"/>
      <c r="G1002" s="14"/>
      <c r="H1002"/>
      <c r="I1002"/>
      <c r="J1002"/>
      <c r="L1002"/>
    </row>
    <row r="1003" spans="2:12">
      <c r="B1003"/>
      <c r="C1003"/>
      <c r="D1003"/>
      <c r="E1003"/>
      <c r="F1003"/>
      <c r="G1003" s="14"/>
      <c r="H1003"/>
      <c r="I1003"/>
      <c r="J1003"/>
      <c r="L1003"/>
    </row>
    <row r="1004" spans="2:12">
      <c r="B1004"/>
      <c r="C1004"/>
      <c r="D1004"/>
      <c r="E1004"/>
      <c r="F1004"/>
      <c r="G1004" s="14"/>
      <c r="H1004"/>
      <c r="I1004"/>
      <c r="J1004"/>
      <c r="L1004"/>
    </row>
    <row r="1005" spans="2:12">
      <c r="B1005"/>
      <c r="C1005"/>
      <c r="D1005"/>
      <c r="E1005"/>
      <c r="F1005"/>
      <c r="G1005" s="14"/>
      <c r="H1005"/>
      <c r="I1005"/>
      <c r="J1005"/>
      <c r="L1005"/>
    </row>
    <row r="1006" spans="2:12">
      <c r="B1006"/>
      <c r="C1006"/>
      <c r="D1006"/>
      <c r="E1006"/>
      <c r="F1006"/>
      <c r="G1006" s="14"/>
      <c r="H1006"/>
      <c r="I1006"/>
      <c r="J1006"/>
      <c r="L1006"/>
    </row>
    <row r="1007" spans="2:12">
      <c r="B1007"/>
      <c r="C1007"/>
      <c r="D1007"/>
      <c r="E1007"/>
      <c r="F1007"/>
      <c r="G1007" s="14"/>
      <c r="H1007"/>
      <c r="I1007"/>
      <c r="J1007"/>
      <c r="L1007"/>
    </row>
    <row r="1008" spans="2:12">
      <c r="B1008"/>
      <c r="C1008"/>
      <c r="D1008"/>
      <c r="E1008"/>
      <c r="F1008"/>
      <c r="G1008" s="14"/>
      <c r="H1008"/>
      <c r="I1008"/>
      <c r="J1008"/>
      <c r="L1008"/>
    </row>
    <row r="1009" spans="2:12">
      <c r="B1009"/>
      <c r="C1009"/>
      <c r="D1009"/>
      <c r="E1009"/>
      <c r="F1009"/>
      <c r="G1009" s="14"/>
      <c r="H1009"/>
      <c r="I1009"/>
      <c r="J1009"/>
      <c r="L1009"/>
    </row>
    <row r="1010" spans="2:12">
      <c r="B1010"/>
      <c r="C1010"/>
      <c r="D1010"/>
      <c r="E1010"/>
      <c r="F1010"/>
      <c r="G1010" s="14"/>
      <c r="H1010"/>
      <c r="I1010"/>
      <c r="J1010"/>
      <c r="L1010"/>
    </row>
    <row r="1011" spans="2:12">
      <c r="B1011"/>
      <c r="C1011"/>
      <c r="D1011"/>
      <c r="E1011"/>
      <c r="F1011"/>
      <c r="G1011" s="14"/>
      <c r="H1011"/>
      <c r="I1011"/>
      <c r="J1011"/>
      <c r="L1011"/>
    </row>
    <row r="1012" spans="2:12">
      <c r="B1012"/>
      <c r="C1012"/>
      <c r="D1012"/>
      <c r="E1012"/>
      <c r="F1012"/>
      <c r="G1012" s="14"/>
      <c r="H1012"/>
      <c r="I1012"/>
      <c r="J1012"/>
      <c r="L1012"/>
    </row>
    <row r="1013" spans="2:12">
      <c r="B1013"/>
      <c r="C1013"/>
      <c r="D1013"/>
      <c r="E1013"/>
      <c r="F1013"/>
      <c r="G1013" s="14"/>
      <c r="H1013"/>
      <c r="I1013"/>
      <c r="J1013"/>
      <c r="L1013"/>
    </row>
    <row r="1014" spans="2:12">
      <c r="B1014"/>
      <c r="C1014"/>
      <c r="D1014"/>
      <c r="E1014"/>
      <c r="F1014"/>
      <c r="G1014" s="14"/>
      <c r="H1014"/>
      <c r="I1014"/>
      <c r="J1014"/>
      <c r="L1014"/>
    </row>
    <row r="1015" spans="2:12">
      <c r="B1015"/>
      <c r="C1015"/>
      <c r="D1015"/>
      <c r="E1015"/>
      <c r="F1015"/>
      <c r="G1015" s="14"/>
      <c r="H1015"/>
      <c r="I1015"/>
      <c r="J1015"/>
      <c r="L1015"/>
    </row>
    <row r="1016" spans="2:12">
      <c r="B1016"/>
      <c r="C1016"/>
      <c r="D1016"/>
      <c r="E1016"/>
      <c r="F1016"/>
      <c r="G1016" s="14"/>
      <c r="H1016"/>
      <c r="I1016"/>
      <c r="J1016"/>
      <c r="L1016"/>
    </row>
    <row r="1017" spans="2:12">
      <c r="B1017"/>
      <c r="C1017"/>
      <c r="D1017"/>
      <c r="E1017"/>
      <c r="F1017"/>
      <c r="G1017" s="14"/>
      <c r="H1017"/>
      <c r="I1017"/>
      <c r="J1017"/>
      <c r="L1017"/>
    </row>
    <row r="1018" spans="2:12">
      <c r="B1018"/>
      <c r="C1018"/>
      <c r="D1018"/>
      <c r="E1018"/>
      <c r="F1018"/>
      <c r="G1018" s="14"/>
      <c r="H1018"/>
      <c r="I1018"/>
      <c r="J1018"/>
      <c r="L1018"/>
    </row>
    <row r="1019" spans="2:12">
      <c r="B1019"/>
      <c r="C1019"/>
      <c r="D1019"/>
      <c r="E1019"/>
      <c r="F1019"/>
      <c r="G1019" s="14"/>
      <c r="H1019"/>
      <c r="I1019"/>
      <c r="J1019"/>
      <c r="L1019"/>
    </row>
    <row r="1020" spans="2:12">
      <c r="B1020"/>
      <c r="C1020"/>
      <c r="D1020"/>
      <c r="E1020"/>
      <c r="F1020"/>
      <c r="G1020" s="14"/>
      <c r="H1020"/>
      <c r="I1020"/>
      <c r="J1020"/>
      <c r="L1020"/>
    </row>
    <row r="1021" spans="2:12">
      <c r="B1021"/>
      <c r="C1021"/>
      <c r="D1021"/>
      <c r="E1021"/>
      <c r="F1021"/>
      <c r="G1021" s="14"/>
      <c r="H1021"/>
      <c r="I1021"/>
      <c r="J1021"/>
      <c r="L1021"/>
    </row>
    <row r="1022" spans="2:12">
      <c r="B1022"/>
      <c r="C1022"/>
      <c r="D1022"/>
      <c r="E1022"/>
      <c r="F1022"/>
      <c r="G1022" s="14"/>
      <c r="H1022"/>
      <c r="I1022"/>
      <c r="J1022"/>
      <c r="L1022"/>
    </row>
    <row r="1023" spans="2:12">
      <c r="B1023"/>
      <c r="C1023"/>
      <c r="D1023"/>
      <c r="E1023"/>
      <c r="F1023"/>
      <c r="G1023" s="14"/>
      <c r="H1023"/>
      <c r="I1023"/>
      <c r="J1023"/>
      <c r="L1023"/>
    </row>
    <row r="1024" spans="2:12">
      <c r="B1024"/>
      <c r="C1024"/>
      <c r="D1024"/>
      <c r="E1024"/>
      <c r="F1024"/>
      <c r="G1024" s="14"/>
      <c r="H1024"/>
      <c r="I1024"/>
      <c r="J1024"/>
      <c r="L1024"/>
    </row>
    <row r="1025" spans="2:12">
      <c r="B1025"/>
      <c r="C1025"/>
      <c r="D1025"/>
      <c r="E1025"/>
      <c r="F1025"/>
      <c r="G1025" s="14"/>
      <c r="H1025"/>
      <c r="I1025"/>
      <c r="J1025"/>
      <c r="L1025"/>
    </row>
    <row r="1026" spans="2:12">
      <c r="B1026"/>
      <c r="C1026"/>
      <c r="D1026"/>
      <c r="E1026"/>
      <c r="F1026"/>
      <c r="G1026" s="14"/>
      <c r="H1026"/>
      <c r="I1026"/>
      <c r="J1026"/>
      <c r="L1026"/>
    </row>
    <row r="1027" spans="2:12">
      <c r="B1027"/>
      <c r="C1027"/>
      <c r="D1027"/>
      <c r="E1027"/>
      <c r="F1027"/>
      <c r="G1027" s="14"/>
      <c r="H1027"/>
      <c r="I1027"/>
      <c r="J1027"/>
      <c r="L1027"/>
    </row>
    <row r="1028" spans="2:12">
      <c r="B1028"/>
      <c r="C1028"/>
      <c r="D1028"/>
      <c r="E1028"/>
      <c r="F1028"/>
      <c r="G1028" s="14"/>
      <c r="H1028"/>
      <c r="I1028"/>
      <c r="J1028"/>
      <c r="L1028"/>
    </row>
    <row r="1029" spans="2:12">
      <c r="B1029"/>
      <c r="C1029"/>
      <c r="D1029"/>
      <c r="E1029"/>
      <c r="F1029"/>
      <c r="G1029" s="14"/>
      <c r="H1029"/>
      <c r="I1029"/>
      <c r="J1029"/>
      <c r="L1029"/>
    </row>
    <row r="1030" spans="2:12">
      <c r="B1030"/>
      <c r="C1030"/>
      <c r="D1030"/>
      <c r="E1030"/>
      <c r="F1030"/>
      <c r="G1030" s="14"/>
      <c r="H1030"/>
      <c r="I1030"/>
      <c r="J1030"/>
      <c r="L1030"/>
    </row>
    <row r="1031" spans="2:12">
      <c r="B1031"/>
      <c r="C1031"/>
      <c r="D1031"/>
      <c r="E1031"/>
      <c r="F1031"/>
      <c r="G1031" s="14"/>
      <c r="H1031"/>
      <c r="I1031"/>
      <c r="J1031"/>
      <c r="L1031"/>
    </row>
    <row r="1032" spans="2:12">
      <c r="B1032"/>
      <c r="C1032"/>
      <c r="D1032"/>
      <c r="E1032"/>
      <c r="F1032"/>
      <c r="G1032" s="14"/>
      <c r="H1032"/>
      <c r="I1032"/>
      <c r="J1032"/>
      <c r="L1032"/>
    </row>
    <row r="1033" spans="2:12">
      <c r="B1033"/>
      <c r="C1033"/>
      <c r="D1033"/>
      <c r="E1033"/>
      <c r="F1033"/>
      <c r="G1033" s="14"/>
      <c r="H1033"/>
      <c r="I1033"/>
      <c r="J1033"/>
      <c r="L1033"/>
    </row>
    <row r="1034" spans="2:12">
      <c r="B1034"/>
      <c r="C1034"/>
      <c r="D1034"/>
      <c r="E1034"/>
      <c r="F1034"/>
      <c r="G1034" s="14"/>
      <c r="H1034"/>
      <c r="I1034"/>
      <c r="J1034"/>
      <c r="L1034"/>
    </row>
    <row r="1035" spans="2:12">
      <c r="B1035"/>
      <c r="C1035"/>
      <c r="D1035"/>
      <c r="E1035"/>
      <c r="F1035"/>
      <c r="G1035" s="14"/>
      <c r="H1035"/>
      <c r="I1035"/>
      <c r="J1035"/>
      <c r="L1035"/>
    </row>
    <row r="1036" spans="2:12">
      <c r="B1036"/>
      <c r="C1036"/>
      <c r="D1036"/>
      <c r="E1036"/>
      <c r="F1036"/>
      <c r="G1036" s="14"/>
      <c r="H1036"/>
      <c r="I1036"/>
      <c r="J1036"/>
      <c r="L1036"/>
    </row>
    <row r="1037" spans="2:12">
      <c r="B1037"/>
      <c r="C1037"/>
      <c r="D1037"/>
      <c r="E1037"/>
      <c r="F1037"/>
      <c r="G1037" s="14"/>
      <c r="H1037"/>
      <c r="I1037"/>
      <c r="J1037"/>
      <c r="L1037"/>
    </row>
    <row r="1038" spans="2:12">
      <c r="B1038"/>
      <c r="C1038"/>
      <c r="D1038"/>
      <c r="E1038"/>
      <c r="F1038"/>
      <c r="G1038" s="14"/>
      <c r="H1038"/>
      <c r="I1038"/>
      <c r="J1038"/>
    </row>
    <row r="1039" spans="2:12">
      <c r="B1039"/>
      <c r="C1039"/>
      <c r="D1039"/>
      <c r="E1039"/>
      <c r="F1039"/>
      <c r="G1039" s="14"/>
      <c r="H1039"/>
      <c r="I1039"/>
      <c r="J1039"/>
    </row>
    <row r="1040" spans="2:12">
      <c r="B1040"/>
      <c r="C1040"/>
      <c r="D1040"/>
      <c r="E1040"/>
      <c r="F1040"/>
      <c r="G1040" s="14"/>
      <c r="H1040"/>
      <c r="I1040"/>
      <c r="J1040"/>
    </row>
    <row r="1041" spans="2:10">
      <c r="B1041"/>
      <c r="C1041"/>
      <c r="D1041"/>
      <c r="E1041"/>
      <c r="F1041"/>
      <c r="G1041" s="14"/>
      <c r="H1041"/>
      <c r="I1041"/>
      <c r="J1041"/>
    </row>
    <row r="1042" spans="2:10">
      <c r="B1042"/>
      <c r="C1042"/>
      <c r="D1042"/>
      <c r="E1042"/>
      <c r="F1042"/>
      <c r="G1042" s="14"/>
      <c r="H1042"/>
      <c r="I1042"/>
      <c r="J1042"/>
    </row>
    <row r="1043" spans="2:10">
      <c r="B1043"/>
      <c r="C1043"/>
      <c r="D1043"/>
      <c r="E1043"/>
      <c r="F1043"/>
      <c r="G1043" s="14"/>
      <c r="H1043"/>
      <c r="I1043"/>
      <c r="J1043"/>
    </row>
    <row r="1044" spans="2:10">
      <c r="B1044"/>
      <c r="C1044"/>
      <c r="D1044"/>
      <c r="E1044"/>
      <c r="F1044"/>
      <c r="G1044" s="14"/>
      <c r="H1044"/>
      <c r="I1044"/>
      <c r="J1044"/>
    </row>
    <row r="1045" spans="2:10">
      <c r="B1045"/>
      <c r="C1045"/>
      <c r="D1045"/>
      <c r="E1045"/>
      <c r="F1045"/>
      <c r="G1045" s="14"/>
      <c r="H1045"/>
      <c r="I1045"/>
      <c r="J1045"/>
    </row>
    <row r="1046" spans="2:10">
      <c r="B1046"/>
      <c r="C1046"/>
      <c r="D1046"/>
      <c r="E1046"/>
      <c r="F1046"/>
      <c r="G1046" s="14"/>
      <c r="H1046"/>
      <c r="I1046"/>
      <c r="J1046"/>
    </row>
    <row r="1047" spans="2:10">
      <c r="B1047"/>
      <c r="C1047"/>
      <c r="D1047"/>
      <c r="E1047"/>
      <c r="F1047"/>
      <c r="G1047" s="14"/>
      <c r="H1047"/>
      <c r="I1047"/>
      <c r="J1047"/>
    </row>
    <row r="1048" spans="2:10">
      <c r="B1048"/>
      <c r="C1048"/>
      <c r="D1048"/>
      <c r="E1048"/>
      <c r="F1048"/>
      <c r="G1048" s="14"/>
      <c r="H1048"/>
      <c r="I1048"/>
      <c r="J1048"/>
    </row>
    <row r="1049" spans="2:10">
      <c r="B1049"/>
      <c r="C1049"/>
      <c r="D1049"/>
      <c r="E1049"/>
      <c r="F1049"/>
      <c r="G1049" s="14"/>
      <c r="H1049"/>
      <c r="I1049"/>
      <c r="J1049"/>
    </row>
    <row r="1050" spans="2:10">
      <c r="B1050"/>
      <c r="C1050"/>
      <c r="D1050"/>
      <c r="E1050"/>
      <c r="F1050"/>
      <c r="G1050" s="14"/>
      <c r="H1050"/>
      <c r="I1050"/>
      <c r="J1050"/>
    </row>
  </sheetData>
  <phoneticPr fontId="3" type="noConversion"/>
  <conditionalFormatting sqref="K315:K316">
    <cfRule type="expression" dxfId="25" priority="2">
      <formula>LEFT(A315,2)="TU"</formula>
    </cfRule>
  </conditionalFormatting>
  <conditionalFormatting sqref="K33:K314">
    <cfRule type="expression" dxfId="24" priority="1">
      <formula>LEFT(A33,2)="TU"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7030A0"/>
  </sheetPr>
  <dimension ref="A1:S678"/>
  <sheetViews>
    <sheetView topLeftCell="A37" zoomScaleNormal="100" workbookViewId="0">
      <selection activeCell="E51" sqref="E51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12.375" style="14" customWidth="1"/>
    <col min="7" max="7" width="10" customWidth="1"/>
    <col min="8" max="8" width="18.5" style="474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319</v>
      </c>
      <c r="F1" s="2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307</v>
      </c>
      <c r="S2" s="131" t="s">
        <v>21</v>
      </c>
    </row>
    <row r="3" spans="1:19" s="102" customFormat="1">
      <c r="A3" s="690"/>
      <c r="B3" s="691"/>
      <c r="C3" s="691"/>
      <c r="D3" s="692"/>
      <c r="E3" s="693"/>
      <c r="F3" s="693"/>
      <c r="G3" s="694"/>
      <c r="H3" s="695"/>
      <c r="I3" s="696"/>
      <c r="J3" s="697"/>
      <c r="K3" s="698"/>
      <c r="L3" s="693"/>
      <c r="M3" s="93"/>
      <c r="N3" s="93"/>
      <c r="O3" s="93"/>
      <c r="P3" s="93"/>
      <c r="Q3" s="93"/>
      <c r="S3" s="103"/>
    </row>
    <row r="4" spans="1:19" s="102" customFormat="1">
      <c r="A4" s="690"/>
      <c r="B4" s="691"/>
      <c r="C4" s="691"/>
      <c r="D4" s="692"/>
      <c r="E4" s="693"/>
      <c r="F4" s="693"/>
      <c r="G4" s="694"/>
      <c r="H4" s="695"/>
      <c r="I4" s="696"/>
      <c r="J4" s="697"/>
      <c r="K4" s="698"/>
      <c r="L4" s="693"/>
      <c r="M4" s="93"/>
      <c r="N4" s="93"/>
      <c r="O4" s="93"/>
      <c r="P4" s="93"/>
      <c r="Q4" s="93"/>
      <c r="S4" s="103"/>
    </row>
    <row r="5" spans="1:19" s="102" customFormat="1">
      <c r="A5" s="690"/>
      <c r="B5" s="691"/>
      <c r="C5" s="691"/>
      <c r="D5" s="692"/>
      <c r="E5" s="693"/>
      <c r="F5" s="693"/>
      <c r="G5" s="694"/>
      <c r="H5" s="695"/>
      <c r="I5" s="696"/>
      <c r="J5" s="697"/>
      <c r="K5" s="698"/>
      <c r="L5" s="693"/>
      <c r="M5" s="93"/>
      <c r="N5" s="93"/>
      <c r="O5" s="93"/>
      <c r="P5" s="93"/>
      <c r="Q5" s="93"/>
      <c r="S5" s="103"/>
    </row>
    <row r="6" spans="1:19" s="102" customFormat="1">
      <c r="A6" s="690"/>
      <c r="B6" s="691"/>
      <c r="C6" s="691"/>
      <c r="D6" s="692"/>
      <c r="E6" s="693"/>
      <c r="F6" s="693"/>
      <c r="G6" s="694"/>
      <c r="H6" s="695"/>
      <c r="I6" s="696"/>
      <c r="J6" s="697"/>
      <c r="K6" s="698"/>
      <c r="L6" s="693"/>
      <c r="M6" s="93"/>
      <c r="N6" s="93"/>
      <c r="O6" s="93"/>
      <c r="P6" s="93"/>
      <c r="Q6" s="93"/>
      <c r="S6" s="103"/>
    </row>
    <row r="7" spans="1:19" s="116" customFormat="1">
      <c r="A7" s="690"/>
      <c r="B7" s="691"/>
      <c r="C7" s="691"/>
      <c r="D7" s="699"/>
      <c r="E7" s="693"/>
      <c r="F7" s="693"/>
      <c r="G7" s="694"/>
      <c r="H7" s="695"/>
      <c r="I7" s="696"/>
      <c r="J7" s="697"/>
      <c r="K7" s="698"/>
      <c r="L7" s="693"/>
      <c r="S7" s="320"/>
    </row>
    <row r="8" spans="1:19" s="116" customFormat="1">
      <c r="A8" s="690"/>
      <c r="B8" s="691"/>
      <c r="C8" s="691"/>
      <c r="D8" s="699"/>
      <c r="E8" s="693"/>
      <c r="F8" s="693"/>
      <c r="G8" s="694"/>
      <c r="H8" s="695"/>
      <c r="I8" s="696"/>
      <c r="J8" s="697"/>
      <c r="K8" s="698"/>
      <c r="L8" s="693"/>
      <c r="S8" s="117"/>
    </row>
    <row r="9" spans="1:19" s="116" customFormat="1">
      <c r="A9" s="690"/>
      <c r="B9" s="691"/>
      <c r="C9" s="691"/>
      <c r="D9" s="699"/>
      <c r="E9" s="693"/>
      <c r="F9" s="693"/>
      <c r="G9" s="694"/>
      <c r="H9" s="695"/>
      <c r="I9" s="696"/>
      <c r="J9" s="697"/>
      <c r="K9" s="698"/>
      <c r="L9" s="693"/>
      <c r="S9" s="117"/>
    </row>
    <row r="10" spans="1:19" s="93" customFormat="1">
      <c r="A10" s="690"/>
      <c r="B10" s="700"/>
      <c r="C10" s="691"/>
      <c r="D10" s="701"/>
      <c r="E10" s="702"/>
      <c r="F10" s="693"/>
      <c r="G10" s="694"/>
      <c r="H10" s="703"/>
      <c r="I10" s="704"/>
      <c r="J10" s="697"/>
      <c r="K10" s="698"/>
      <c r="L10" s="693"/>
    </row>
    <row r="11" spans="1:19" s="93" customFormat="1">
      <c r="A11" s="690"/>
      <c r="B11" s="700"/>
      <c r="C11" s="691"/>
      <c r="D11" s="701"/>
      <c r="E11" s="702"/>
      <c r="F11" s="693"/>
      <c r="G11" s="694"/>
      <c r="H11" s="703"/>
      <c r="I11" s="704"/>
      <c r="J11" s="697"/>
      <c r="K11" s="698"/>
      <c r="L11" s="693"/>
      <c r="S11" s="131" t="s">
        <v>21</v>
      </c>
    </row>
    <row r="12" spans="1:19" s="102" customFormat="1">
      <c r="A12" s="690"/>
      <c r="B12" s="700"/>
      <c r="C12" s="700"/>
      <c r="D12" s="701"/>
      <c r="E12" s="705"/>
      <c r="F12" s="693"/>
      <c r="G12" s="694"/>
      <c r="H12" s="706"/>
      <c r="I12" s="704"/>
      <c r="J12" s="697"/>
      <c r="K12" s="698"/>
      <c r="L12" s="693"/>
      <c r="M12" s="93"/>
      <c r="N12" s="93"/>
      <c r="O12" s="93"/>
      <c r="P12" s="93"/>
      <c r="Q12" s="93"/>
      <c r="S12" s="103"/>
    </row>
    <row r="13" spans="1:19">
      <c r="A13" s="111" t="s">
        <v>166</v>
      </c>
      <c r="B13" s="313"/>
      <c r="C13" s="313"/>
      <c r="D13" s="539"/>
      <c r="E13" s="314">
        <f>SUM(E3:E12)</f>
        <v>0</v>
      </c>
      <c r="F13" s="314"/>
      <c r="G13" s="316">
        <f>SUM(G3:G12)</f>
        <v>0</v>
      </c>
      <c r="H13" s="479"/>
      <c r="I13" s="323"/>
      <c r="J13" s="318"/>
      <c r="K13" s="316">
        <f>SUM(K3:K12)</f>
        <v>0</v>
      </c>
      <c r="L13" s="316"/>
    </row>
    <row r="14" spans="1:19">
      <c r="A14" t="s">
        <v>162</v>
      </c>
    </row>
    <row r="15" spans="1:19" s="93" customFormat="1">
      <c r="A15" s="206" t="s">
        <v>99</v>
      </c>
      <c r="B15" s="207" t="s">
        <v>176</v>
      </c>
      <c r="C15" s="207" t="s">
        <v>171</v>
      </c>
      <c r="D15" s="535" t="s">
        <v>170</v>
      </c>
      <c r="E15" s="208" t="s">
        <v>11</v>
      </c>
      <c r="F15" s="207" t="s">
        <v>205</v>
      </c>
      <c r="G15" s="209" t="s">
        <v>12</v>
      </c>
      <c r="H15" s="482" t="s">
        <v>18</v>
      </c>
      <c r="I15" s="209" t="s">
        <v>10</v>
      </c>
      <c r="J15" s="207" t="s">
        <v>211</v>
      </c>
      <c r="K15" s="260" t="s">
        <v>212</v>
      </c>
      <c r="L15" s="207" t="s">
        <v>307</v>
      </c>
      <c r="S15" s="131" t="s">
        <v>21</v>
      </c>
    </row>
    <row r="16" spans="1:19" s="102" customFormat="1">
      <c r="A16" s="659" t="s">
        <v>313</v>
      </c>
      <c r="B16" s="122">
        <v>43180</v>
      </c>
      <c r="C16" s="122"/>
      <c r="D16" s="536"/>
      <c r="E16" s="88">
        <v>0</v>
      </c>
      <c r="F16" s="88"/>
      <c r="G16" s="124"/>
      <c r="H16" s="475">
        <v>201803210003</v>
      </c>
      <c r="I16" s="396">
        <v>99.84375</v>
      </c>
      <c r="J16" s="335"/>
      <c r="K16" s="104">
        <f ca="1">(J16-I16)/100*E16+L16</f>
        <v>0</v>
      </c>
      <c r="L16" s="88">
        <f ca="1">71.33*E16/1000000*(TODAY()-B16)</f>
        <v>0</v>
      </c>
      <c r="M16" s="93"/>
      <c r="N16" s="93"/>
      <c r="O16" s="93"/>
      <c r="P16" s="93"/>
      <c r="Q16" s="93"/>
      <c r="S16" s="103"/>
    </row>
    <row r="17" spans="1:19" s="102" customFormat="1">
      <c r="A17" s="659"/>
      <c r="B17" s="675"/>
      <c r="C17" s="122"/>
      <c r="D17" s="676"/>
      <c r="E17" s="677"/>
      <c r="F17" s="88"/>
      <c r="G17" s="678"/>
      <c r="H17" s="679"/>
      <c r="I17" s="665"/>
      <c r="J17" s="665"/>
      <c r="K17" s="104"/>
      <c r="L17" s="88"/>
      <c r="M17" s="93"/>
      <c r="N17" s="93"/>
      <c r="O17" s="93"/>
      <c r="P17" s="93"/>
      <c r="Q17" s="93"/>
      <c r="S17" s="103"/>
    </row>
    <row r="18" spans="1:19" s="102" customFormat="1">
      <c r="A18" s="659"/>
      <c r="B18" s="675"/>
      <c r="C18" s="122"/>
      <c r="D18" s="676"/>
      <c r="E18" s="677"/>
      <c r="F18" s="88"/>
      <c r="G18" s="124"/>
      <c r="H18" s="679"/>
      <c r="I18" s="680"/>
      <c r="J18" s="665"/>
      <c r="K18" s="104"/>
      <c r="L18" s="88"/>
      <c r="M18" s="93"/>
      <c r="N18" s="93"/>
      <c r="O18" s="93"/>
      <c r="P18" s="93"/>
      <c r="Q18" s="93"/>
      <c r="S18" s="103"/>
    </row>
    <row r="19" spans="1:19" s="116" customFormat="1">
      <c r="A19" s="659"/>
      <c r="B19" s="122"/>
      <c r="C19" s="122"/>
      <c r="D19" s="536"/>
      <c r="E19" s="88"/>
      <c r="F19" s="88"/>
      <c r="G19" s="124"/>
      <c r="H19" s="475"/>
      <c r="I19" s="396"/>
      <c r="J19" s="665"/>
      <c r="K19" s="104"/>
      <c r="L19" s="88"/>
      <c r="S19" s="320"/>
    </row>
    <row r="20" spans="1:19" s="116" customFormat="1">
      <c r="A20" s="659"/>
      <c r="B20" s="122"/>
      <c r="C20" s="122"/>
      <c r="D20" s="536"/>
      <c r="E20" s="88"/>
      <c r="F20" s="88"/>
      <c r="G20" s="124"/>
      <c r="H20" s="475"/>
      <c r="I20" s="396"/>
      <c r="J20" s="665"/>
      <c r="K20" s="104"/>
      <c r="L20" s="88"/>
      <c r="S20" s="117"/>
    </row>
    <row r="21" spans="1:19" s="116" customFormat="1">
      <c r="A21" s="659"/>
      <c r="B21" s="675"/>
      <c r="C21" s="122"/>
      <c r="D21" s="687"/>
      <c r="E21" s="677"/>
      <c r="F21" s="88"/>
      <c r="G21" s="678"/>
      <c r="H21" s="679"/>
      <c r="I21" s="680"/>
      <c r="J21" s="665"/>
      <c r="K21" s="104"/>
      <c r="L21" s="88"/>
      <c r="S21" s="117"/>
    </row>
    <row r="22" spans="1:19" s="116" customFormat="1">
      <c r="A22" s="659"/>
      <c r="B22" s="660"/>
      <c r="C22" s="122"/>
      <c r="D22" s="661"/>
      <c r="E22" s="662"/>
      <c r="F22" s="88"/>
      <c r="G22" s="678"/>
      <c r="H22" s="663"/>
      <c r="I22" s="664"/>
      <c r="J22" s="665"/>
      <c r="K22" s="104"/>
      <c r="L22" s="88"/>
      <c r="S22" s="117"/>
    </row>
    <row r="23" spans="1:19" s="116" customFormat="1">
      <c r="A23" s="659"/>
      <c r="B23" s="675"/>
      <c r="C23" s="122"/>
      <c r="D23" s="687"/>
      <c r="E23" s="677"/>
      <c r="F23" s="88"/>
      <c r="G23" s="678"/>
      <c r="H23" s="679"/>
      <c r="I23" s="680"/>
      <c r="J23" s="665"/>
      <c r="K23" s="104"/>
      <c r="L23" s="88"/>
      <c r="S23" s="117"/>
    </row>
    <row r="24" spans="1:19" s="116" customFormat="1">
      <c r="A24" s="659"/>
      <c r="B24" s="675"/>
      <c r="C24" s="122"/>
      <c r="D24" s="687"/>
      <c r="E24" s="677"/>
      <c r="F24" s="88"/>
      <c r="G24" s="678"/>
      <c r="H24" s="679"/>
      <c r="I24" s="680"/>
      <c r="J24" s="665"/>
      <c r="K24" s="104"/>
      <c r="L24" s="88"/>
      <c r="S24" s="117"/>
    </row>
    <row r="25" spans="1:19" s="116" customFormat="1">
      <c r="A25" s="87"/>
      <c r="B25" s="670"/>
      <c r="C25" s="122"/>
      <c r="D25" s="671"/>
      <c r="E25" s="672"/>
      <c r="F25" s="88"/>
      <c r="G25" s="678"/>
      <c r="H25" s="673"/>
      <c r="I25" s="674"/>
      <c r="J25" s="665"/>
      <c r="K25" s="104"/>
      <c r="L25" s="88"/>
      <c r="S25" s="117"/>
    </row>
    <row r="26" spans="1:19" s="116" customFormat="1">
      <c r="A26" s="87"/>
      <c r="B26" s="660"/>
      <c r="C26" s="122"/>
      <c r="D26" s="661"/>
      <c r="E26" s="662"/>
      <c r="F26" s="88"/>
      <c r="G26" s="678"/>
      <c r="H26" s="663"/>
      <c r="I26" s="664"/>
      <c r="J26" s="665"/>
      <c r="K26" s="104"/>
      <c r="L26" s="88"/>
      <c r="S26" s="117"/>
    </row>
    <row r="27" spans="1:19" s="116" customFormat="1">
      <c r="A27" s="87"/>
      <c r="B27" s="675"/>
      <c r="C27" s="122"/>
      <c r="D27" s="687"/>
      <c r="E27" s="677"/>
      <c r="F27" s="88"/>
      <c r="G27" s="678"/>
      <c r="H27" s="679"/>
      <c r="I27" s="680"/>
      <c r="J27" s="665"/>
      <c r="K27" s="104"/>
      <c r="L27" s="88"/>
      <c r="S27" s="117"/>
    </row>
    <row r="28" spans="1:19" s="116" customFormat="1">
      <c r="A28" s="87"/>
      <c r="B28" s="686"/>
      <c r="C28" s="122"/>
      <c r="D28" s="687"/>
      <c r="E28" s="683"/>
      <c r="F28" s="88"/>
      <c r="G28" s="678"/>
      <c r="H28" s="688"/>
      <c r="I28" s="689"/>
      <c r="J28" s="665"/>
      <c r="K28" s="104"/>
      <c r="L28" s="88"/>
      <c r="S28" s="117"/>
    </row>
    <row r="29" spans="1:19" s="116" customFormat="1">
      <c r="A29" s="87"/>
      <c r="B29" s="681"/>
      <c r="C29" s="122"/>
      <c r="D29" s="682"/>
      <c r="E29" s="683"/>
      <c r="F29" s="88"/>
      <c r="G29" s="678"/>
      <c r="H29" s="684"/>
      <c r="I29" s="685"/>
      <c r="J29" s="665"/>
      <c r="K29" s="104"/>
      <c r="L29" s="88"/>
      <c r="S29" s="117"/>
    </row>
    <row r="30" spans="1:19" s="116" customFormat="1">
      <c r="A30" s="87"/>
      <c r="B30" s="681"/>
      <c r="C30" s="122"/>
      <c r="D30" s="682"/>
      <c r="E30" s="683"/>
      <c r="F30" s="88"/>
      <c r="G30" s="678"/>
      <c r="H30" s="684"/>
      <c r="I30" s="685"/>
      <c r="J30" s="665"/>
      <c r="K30" s="104"/>
      <c r="L30" s="88"/>
      <c r="S30" s="117"/>
    </row>
    <row r="31" spans="1:19" s="116" customFormat="1">
      <c r="A31" s="87"/>
      <c r="B31" s="681"/>
      <c r="C31" s="122"/>
      <c r="D31" s="682"/>
      <c r="E31" s="683"/>
      <c r="F31" s="88"/>
      <c r="G31" s="678"/>
      <c r="H31" s="684"/>
      <c r="I31" s="685"/>
      <c r="J31" s="665"/>
      <c r="K31" s="104"/>
      <c r="L31" s="88"/>
      <c r="S31" s="117"/>
    </row>
    <row r="32" spans="1:19" s="116" customFormat="1">
      <c r="A32" s="87"/>
      <c r="B32" s="113"/>
      <c r="C32" s="113"/>
      <c r="D32" s="538"/>
      <c r="E32" s="114"/>
      <c r="F32" s="88"/>
      <c r="G32" s="678"/>
      <c r="H32" s="478"/>
      <c r="I32" s="319"/>
      <c r="J32" s="665"/>
      <c r="K32" s="104"/>
      <c r="L32" s="88"/>
      <c r="S32" s="117"/>
    </row>
    <row r="33" spans="1:19" s="116" customFormat="1">
      <c r="A33" s="111" t="s">
        <v>166</v>
      </c>
      <c r="B33" s="313"/>
      <c r="C33" s="313"/>
      <c r="D33" s="539"/>
      <c r="E33" s="314">
        <f>SUM(E16:E32)</f>
        <v>0</v>
      </c>
      <c r="F33" s="314"/>
      <c r="G33" s="316">
        <f>SUM(G16:G32)</f>
        <v>0</v>
      </c>
      <c r="H33" s="479"/>
      <c r="I33" s="323"/>
      <c r="J33" s="318"/>
      <c r="K33" s="316">
        <f ca="1">SUM(K16:K32)</f>
        <v>0</v>
      </c>
      <c r="L33" s="316"/>
      <c r="S33" s="117"/>
    </row>
    <row r="34" spans="1:19" s="93" customFormat="1">
      <c r="A34" s="93" t="s">
        <v>163</v>
      </c>
      <c r="B34" s="97"/>
      <c r="C34" s="97"/>
      <c r="D34" s="540"/>
      <c r="E34" s="100"/>
      <c r="F34" s="97"/>
      <c r="H34" s="480"/>
      <c r="I34" s="99"/>
      <c r="J34" s="99"/>
      <c r="L34" s="377"/>
    </row>
    <row r="35" spans="1:19" s="93" customFormat="1">
      <c r="A35" s="206" t="s">
        <v>234</v>
      </c>
      <c r="B35" s="207" t="s">
        <v>7</v>
      </c>
      <c r="C35" s="207" t="s">
        <v>171</v>
      </c>
      <c r="D35" s="535" t="s">
        <v>170</v>
      </c>
      <c r="E35" s="208" t="s">
        <v>11</v>
      </c>
      <c r="F35" s="207" t="s">
        <v>2</v>
      </c>
      <c r="G35" s="209" t="s">
        <v>12</v>
      </c>
      <c r="H35" s="482" t="s">
        <v>18</v>
      </c>
      <c r="I35" s="209" t="s">
        <v>213</v>
      </c>
      <c r="J35" s="207" t="s">
        <v>214</v>
      </c>
      <c r="K35" s="260" t="s">
        <v>215</v>
      </c>
      <c r="L35" s="377"/>
      <c r="S35" s="131" t="s">
        <v>21</v>
      </c>
    </row>
    <row r="36" spans="1:19" s="102" customFormat="1">
      <c r="A36" s="87" t="s">
        <v>301</v>
      </c>
      <c r="B36" s="122">
        <v>38898</v>
      </c>
      <c r="C36" s="122"/>
      <c r="D36" s="536"/>
      <c r="E36" s="88">
        <f t="shared" ref="E36:E41" si="0">1000000*0</f>
        <v>0</v>
      </c>
      <c r="F36" s="122">
        <v>42505</v>
      </c>
      <c r="G36" s="550">
        <f>-LOOKUP(A36,'market px'!K$2:K$497,'market px'!M$2:M$497)*E36/1000000</f>
        <v>0</v>
      </c>
      <c r="H36" s="475" t="s">
        <v>23</v>
      </c>
      <c r="I36" s="129">
        <v>99.46875</v>
      </c>
      <c r="J36" s="396">
        <f>LOOKUP(A36,'market px'!K$2:K$497,'market px'!P$2:$P$497)</f>
        <v>98.219200000000001</v>
      </c>
      <c r="K36" s="104">
        <f t="shared" ref="K36:K41" si="1">(J36-I36)*E36/100</f>
        <v>0</v>
      </c>
      <c r="L36" s="378"/>
      <c r="M36" s="93"/>
      <c r="N36" s="93"/>
      <c r="O36" s="93"/>
      <c r="P36" s="93"/>
      <c r="Q36" s="93"/>
      <c r="S36" s="103"/>
    </row>
    <row r="37" spans="1:19" s="102" customFormat="1">
      <c r="A37" s="87" t="s">
        <v>301</v>
      </c>
      <c r="B37" s="122">
        <v>38853</v>
      </c>
      <c r="C37" s="122"/>
      <c r="D37" s="536"/>
      <c r="E37" s="88">
        <f t="shared" si="0"/>
        <v>0</v>
      </c>
      <c r="F37" s="122">
        <v>42505</v>
      </c>
      <c r="G37" s="550">
        <f>-LOOKUP(A37,'market px'!K$2:K$497,'market px'!M$2:M$497)*E37/1000000</f>
        <v>0</v>
      </c>
      <c r="H37" s="475" t="s">
        <v>23</v>
      </c>
      <c r="I37" s="129">
        <v>95.90234375</v>
      </c>
      <c r="J37" s="129">
        <f>LOOKUP(A37,'market px'!K$2:K$497,'market px'!P$2:$P$497)</f>
        <v>98.219200000000001</v>
      </c>
      <c r="K37" s="104">
        <f t="shared" si="1"/>
        <v>0</v>
      </c>
      <c r="L37" s="378"/>
      <c r="M37" s="93"/>
      <c r="N37" s="93"/>
      <c r="O37" s="93"/>
      <c r="P37" s="93"/>
      <c r="Q37" s="93"/>
      <c r="S37" s="103"/>
    </row>
    <row r="38" spans="1:19" s="102" customFormat="1">
      <c r="A38" s="262" t="s">
        <v>301</v>
      </c>
      <c r="B38" s="265">
        <v>38839</v>
      </c>
      <c r="C38" s="265"/>
      <c r="D38" s="537"/>
      <c r="E38" s="266">
        <f t="shared" si="0"/>
        <v>0</v>
      </c>
      <c r="F38" s="265">
        <v>39568</v>
      </c>
      <c r="G38" s="551">
        <f>-LOOKUP(A38,'market px'!K$2:K$497,'market px'!M$2:M$497)*E38/1000000</f>
        <v>0</v>
      </c>
      <c r="H38" s="476"/>
      <c r="I38" s="268">
        <v>99.875</v>
      </c>
      <c r="J38" s="268">
        <f>LOOKUP(A38,'market px'!K$2:K$497,'market px'!P$2:$P$497)</f>
        <v>98.219200000000001</v>
      </c>
      <c r="K38" s="269">
        <f t="shared" si="1"/>
        <v>0</v>
      </c>
      <c r="L38" s="378"/>
      <c r="M38" s="93"/>
      <c r="N38" s="93"/>
      <c r="O38" s="93"/>
      <c r="P38" s="93"/>
      <c r="Q38" s="93"/>
      <c r="S38" s="103"/>
    </row>
    <row r="39" spans="1:19" s="102" customFormat="1">
      <c r="A39" s="262" t="s">
        <v>301</v>
      </c>
      <c r="B39" s="265">
        <v>38839</v>
      </c>
      <c r="C39" s="265"/>
      <c r="D39" s="537"/>
      <c r="E39" s="266">
        <f t="shared" si="0"/>
        <v>0</v>
      </c>
      <c r="F39" s="265">
        <v>39568</v>
      </c>
      <c r="G39" s="551">
        <f>-LOOKUP(A39,'market px'!K$2:K$497,'market px'!M$2:M$497)*E39/1000000</f>
        <v>0</v>
      </c>
      <c r="H39" s="476" t="s">
        <v>21</v>
      </c>
      <c r="I39" s="268">
        <v>99.875</v>
      </c>
      <c r="J39" s="268">
        <f>LOOKUP(A39,'market px'!K$2:K$497,'market px'!P$2:$P$497)</f>
        <v>98.219200000000001</v>
      </c>
      <c r="K39" s="269">
        <f t="shared" si="1"/>
        <v>0</v>
      </c>
      <c r="L39" s="378"/>
      <c r="M39" s="93"/>
      <c r="N39" s="93"/>
      <c r="O39" s="93"/>
      <c r="P39" s="93"/>
      <c r="Q39" s="93"/>
      <c r="S39" s="103"/>
    </row>
    <row r="40" spans="1:19" s="116" customFormat="1">
      <c r="A40" s="110" t="s">
        <v>301</v>
      </c>
      <c r="B40" s="113">
        <v>38839</v>
      </c>
      <c r="C40" s="113"/>
      <c r="D40" s="538"/>
      <c r="E40" s="114">
        <f t="shared" si="0"/>
        <v>0</v>
      </c>
      <c r="F40" s="113">
        <v>39568</v>
      </c>
      <c r="G40" s="552">
        <f>-LOOKUP(A40,'market px'!K$2:K$497,'market px'!M$2:M$497)*E40/1000000</f>
        <v>0</v>
      </c>
      <c r="H40" s="477" t="s">
        <v>23</v>
      </c>
      <c r="I40" s="319">
        <v>99.875</v>
      </c>
      <c r="J40" s="319">
        <f>LOOKUP(A40,'market px'!K$2:K$497,'market px'!P$2:$P$497)</f>
        <v>98.219200000000001</v>
      </c>
      <c r="K40" s="261">
        <f t="shared" si="1"/>
        <v>0</v>
      </c>
      <c r="L40" s="379"/>
      <c r="S40" s="320"/>
    </row>
    <row r="41" spans="1:19" s="116" customFormat="1">
      <c r="A41" s="110" t="s">
        <v>301</v>
      </c>
      <c r="B41" s="113">
        <v>38839</v>
      </c>
      <c r="C41" s="113"/>
      <c r="D41" s="538"/>
      <c r="E41" s="114">
        <f t="shared" si="0"/>
        <v>0</v>
      </c>
      <c r="F41" s="113">
        <v>42019</v>
      </c>
      <c r="G41" s="552">
        <f>-LOOKUP(A41,'market px'!K$2:K$497,'market px'!M$2:M$497)*E41/1000000</f>
        <v>0</v>
      </c>
      <c r="H41" s="478" t="s">
        <v>23</v>
      </c>
      <c r="I41" s="319">
        <v>99.875</v>
      </c>
      <c r="J41" s="319">
        <f>LOOKUP(A41,'market px'!K$2:K$497,'market px'!P$2:$P$497)</f>
        <v>98.219200000000001</v>
      </c>
      <c r="K41" s="261">
        <f t="shared" si="1"/>
        <v>0</v>
      </c>
      <c r="L41" s="380"/>
      <c r="S41" s="117"/>
    </row>
    <row r="42" spans="1:19" s="532" customFormat="1" ht="17.25" thickBot="1">
      <c r="A42" s="361" t="s">
        <v>166</v>
      </c>
      <c r="B42" s="363"/>
      <c r="C42" s="363"/>
      <c r="D42" s="541"/>
      <c r="E42" s="364">
        <f>SUM(E36:E41)</f>
        <v>0</v>
      </c>
      <c r="F42" s="363"/>
      <c r="G42" s="365">
        <f>SUM(G36:G41)</f>
        <v>0</v>
      </c>
      <c r="H42" s="481"/>
      <c r="I42" s="367"/>
      <c r="J42" s="366"/>
      <c r="K42" s="365">
        <f>SUM(K36:K41)</f>
        <v>0</v>
      </c>
      <c r="L42" s="531"/>
      <c r="S42" s="533"/>
    </row>
    <row r="43" spans="1:19" s="116" customFormat="1" ht="17.25" thickTop="1">
      <c r="A43" s="324" t="s">
        <v>164</v>
      </c>
      <c r="B43" s="313"/>
      <c r="C43" s="313"/>
      <c r="D43" s="539"/>
      <c r="E43" s="314"/>
      <c r="F43" s="313"/>
      <c r="G43" s="316"/>
      <c r="H43" s="479"/>
      <c r="I43" s="323"/>
      <c r="J43" s="318"/>
      <c r="K43" s="316"/>
      <c r="L43" s="380"/>
      <c r="S43" s="117"/>
    </row>
    <row r="44" spans="1:19" s="93" customFormat="1">
      <c r="A44" s="206" t="s">
        <v>99</v>
      </c>
      <c r="B44" s="207" t="s">
        <v>7</v>
      </c>
      <c r="C44" s="207" t="s">
        <v>171</v>
      </c>
      <c r="D44" s="535" t="s">
        <v>170</v>
      </c>
      <c r="E44" s="208" t="s">
        <v>11</v>
      </c>
      <c r="F44" s="207" t="s">
        <v>2</v>
      </c>
      <c r="G44" s="209" t="s">
        <v>12</v>
      </c>
      <c r="H44" s="482" t="s">
        <v>18</v>
      </c>
      <c r="I44" s="209" t="s">
        <v>213</v>
      </c>
      <c r="J44" s="207" t="s">
        <v>214</v>
      </c>
      <c r="K44" s="260" t="s">
        <v>215</v>
      </c>
      <c r="L44" s="377"/>
      <c r="M44"/>
      <c r="N44"/>
      <c r="O44"/>
      <c r="P44"/>
      <c r="Q44"/>
      <c r="S44" s="131" t="s">
        <v>21</v>
      </c>
    </row>
    <row r="45" spans="1:19" s="93" customFormat="1">
      <c r="A45" s="325" t="s">
        <v>629</v>
      </c>
      <c r="B45" s="328" t="s">
        <v>670</v>
      </c>
      <c r="C45" s="328" t="s">
        <v>339</v>
      </c>
      <c r="D45" s="542" t="s">
        <v>339</v>
      </c>
      <c r="E45" s="872">
        <v>0</v>
      </c>
      <c r="F45" s="330" t="s">
        <v>304</v>
      </c>
      <c r="G45" s="332">
        <f t="shared" ref="G45:G54" si="2">-77*E45</f>
        <v>0</v>
      </c>
      <c r="H45" s="846" t="s">
        <v>671</v>
      </c>
      <c r="I45" s="335">
        <v>112.515625</v>
      </c>
      <c r="J45" s="335">
        <f>_xlfn.IFNA(VLOOKUP(A45,'market px'!$B$2:$F$20,5,FALSE),0)</f>
        <v>111.28125</v>
      </c>
      <c r="K45" s="845">
        <f>IF(LEFT(A45,2)="TU",(J45-I45)*E45/100*100000*2,(J45-I45)*E45/100*100000)</f>
        <v>0</v>
      </c>
      <c r="L45" s="377"/>
    </row>
    <row r="46" spans="1:19" s="93" customFormat="1">
      <c r="A46" s="325" t="s">
        <v>629</v>
      </c>
      <c r="B46" s="328" t="s">
        <v>664</v>
      </c>
      <c r="C46" s="328" t="s">
        <v>339</v>
      </c>
      <c r="D46" s="542" t="s">
        <v>339</v>
      </c>
      <c r="E46" s="872">
        <v>0</v>
      </c>
      <c r="F46" s="330" t="s">
        <v>304</v>
      </c>
      <c r="G46" s="332">
        <f t="shared" si="2"/>
        <v>0</v>
      </c>
      <c r="H46" s="325" t="s">
        <v>665</v>
      </c>
      <c r="I46" s="335">
        <v>113.625</v>
      </c>
      <c r="J46" s="335">
        <f>_xlfn.IFNA(VLOOKUP(A46,'market px'!$B$2:$F$20,5,FALSE),0)</f>
        <v>111.28125</v>
      </c>
      <c r="K46" s="845">
        <f t="shared" ref="K46:K60" si="3">IF(LEFT(A46,2)="TU",(J46-I46)*E46/100*100000*2,(J46-I46)*E46/100*100000)</f>
        <v>0</v>
      </c>
      <c r="L46" s="377"/>
    </row>
    <row r="47" spans="1:19" s="93" customFormat="1">
      <c r="A47" s="325" t="s">
        <v>643</v>
      </c>
      <c r="B47" s="328" t="s">
        <v>1174</v>
      </c>
      <c r="C47" s="328" t="s">
        <v>339</v>
      </c>
      <c r="D47" s="542" t="s">
        <v>339</v>
      </c>
      <c r="E47" s="872">
        <v>0</v>
      </c>
      <c r="F47" s="330" t="s">
        <v>304</v>
      </c>
      <c r="G47" s="332">
        <f t="shared" si="2"/>
        <v>0</v>
      </c>
      <c r="H47" s="325" t="s">
        <v>1201</v>
      </c>
      <c r="I47" s="335">
        <v>113.046875</v>
      </c>
      <c r="J47" s="335">
        <f>_xlfn.IFNA(VLOOKUP(A47,'market px'!$B$2:$F$20,5,FALSE),0)</f>
        <v>116.65625</v>
      </c>
      <c r="K47" s="845">
        <f t="shared" si="3"/>
        <v>0</v>
      </c>
      <c r="L47" s="377"/>
    </row>
    <row r="48" spans="1:19" s="93" customFormat="1">
      <c r="A48" s="325" t="s">
        <v>643</v>
      </c>
      <c r="B48" s="328" t="s">
        <v>1115</v>
      </c>
      <c r="C48" s="328" t="s">
        <v>339</v>
      </c>
      <c r="D48" s="542" t="s">
        <v>339</v>
      </c>
      <c r="E48" s="872">
        <v>0</v>
      </c>
      <c r="F48" s="330" t="s">
        <v>304</v>
      </c>
      <c r="G48" s="332">
        <f t="shared" si="2"/>
        <v>0</v>
      </c>
      <c r="H48" s="325" t="s">
        <v>1120</v>
      </c>
      <c r="I48" s="335">
        <v>110.671875</v>
      </c>
      <c r="J48" s="335">
        <f>_xlfn.IFNA(VLOOKUP(A48,'market px'!$B$2:$F$20,5,FALSE),0)</f>
        <v>116.65625</v>
      </c>
      <c r="K48" s="845">
        <f t="shared" si="3"/>
        <v>0</v>
      </c>
      <c r="L48" s="377"/>
    </row>
    <row r="49" spans="1:19" s="93" customFormat="1">
      <c r="A49" s="325" t="s">
        <v>643</v>
      </c>
      <c r="B49" s="328" t="s">
        <v>1382</v>
      </c>
      <c r="C49" s="328" t="s">
        <v>339</v>
      </c>
      <c r="D49" s="542" t="s">
        <v>339</v>
      </c>
      <c r="E49" s="872">
        <v>0</v>
      </c>
      <c r="F49" s="330" t="s">
        <v>304</v>
      </c>
      <c r="G49" s="332">
        <f t="shared" si="2"/>
        <v>0</v>
      </c>
      <c r="H49" s="325" t="s">
        <v>1384</v>
      </c>
      <c r="I49" s="335">
        <v>114.296875</v>
      </c>
      <c r="J49" s="335">
        <f>_xlfn.IFNA(VLOOKUP(A49,'market px'!$B$2:$F$20,5,FALSE),0)</f>
        <v>116.65625</v>
      </c>
      <c r="K49" s="845">
        <f t="shared" ref="K49:K53" si="4">IF(LEFT(A49,2)="TU",(J49-I49)*E49/100*100000*2,(J49-I49)*E49/100*100000)</f>
        <v>0</v>
      </c>
      <c r="L49" s="377"/>
    </row>
    <row r="50" spans="1:19" s="93" customFormat="1">
      <c r="A50" s="325" t="s">
        <v>643</v>
      </c>
      <c r="B50" s="328" t="s">
        <v>1472</v>
      </c>
      <c r="C50" s="328" t="s">
        <v>339</v>
      </c>
      <c r="D50" s="542" t="s">
        <v>339</v>
      </c>
      <c r="E50" s="872">
        <v>0</v>
      </c>
      <c r="F50" s="330" t="s">
        <v>304</v>
      </c>
      <c r="G50" s="332">
        <f t="shared" si="2"/>
        <v>0</v>
      </c>
      <c r="H50" s="325" t="s">
        <v>1479</v>
      </c>
      <c r="I50" s="335">
        <v>114.9375</v>
      </c>
      <c r="J50" s="335">
        <f>_xlfn.IFNA(VLOOKUP(A50,'market px'!$B$2:$F$20,5,FALSE),0)</f>
        <v>116.65625</v>
      </c>
      <c r="K50" s="845">
        <f t="shared" si="4"/>
        <v>0</v>
      </c>
      <c r="L50" s="377"/>
    </row>
    <row r="51" spans="1:19" s="93" customFormat="1">
      <c r="A51" s="325" t="s">
        <v>643</v>
      </c>
      <c r="B51" s="328"/>
      <c r="C51" s="328"/>
      <c r="D51" s="542"/>
      <c r="E51" s="872">
        <v>0</v>
      </c>
      <c r="F51" s="330"/>
      <c r="G51" s="332">
        <f t="shared" si="2"/>
        <v>0</v>
      </c>
      <c r="H51" s="325"/>
      <c r="I51" s="335"/>
      <c r="J51" s="335">
        <f>_xlfn.IFNA(VLOOKUP(A51,'market px'!$B$2:$F$20,5,FALSE),0)</f>
        <v>116.65625</v>
      </c>
      <c r="K51" s="845">
        <f t="shared" si="4"/>
        <v>0</v>
      </c>
      <c r="L51" s="377"/>
    </row>
    <row r="52" spans="1:19" s="93" customFormat="1">
      <c r="A52" s="325" t="s">
        <v>643</v>
      </c>
      <c r="B52" s="328"/>
      <c r="C52" s="328"/>
      <c r="D52" s="542"/>
      <c r="E52" s="872">
        <v>0</v>
      </c>
      <c r="F52" s="330"/>
      <c r="G52" s="332">
        <f t="shared" si="2"/>
        <v>0</v>
      </c>
      <c r="H52" s="325"/>
      <c r="I52" s="335"/>
      <c r="J52" s="335">
        <f>_xlfn.IFNA(VLOOKUP(A52,'market px'!$B$2:$F$20,5,FALSE),0)</f>
        <v>116.65625</v>
      </c>
      <c r="K52" s="845">
        <f t="shared" si="4"/>
        <v>0</v>
      </c>
      <c r="L52" s="377"/>
    </row>
    <row r="53" spans="1:19" s="93" customFormat="1">
      <c r="A53" s="325" t="s">
        <v>643</v>
      </c>
      <c r="B53" s="328"/>
      <c r="C53" s="328"/>
      <c r="D53" s="542"/>
      <c r="E53" s="872">
        <v>0</v>
      </c>
      <c r="F53" s="330"/>
      <c r="G53" s="332">
        <f t="shared" si="2"/>
        <v>0</v>
      </c>
      <c r="H53" s="325"/>
      <c r="I53" s="335"/>
      <c r="J53" s="335">
        <f>_xlfn.IFNA(VLOOKUP(A53,'market px'!$B$2:$F$20,5,FALSE),0)</f>
        <v>116.65625</v>
      </c>
      <c r="K53" s="845">
        <f t="shared" si="4"/>
        <v>0</v>
      </c>
      <c r="L53" s="377"/>
    </row>
    <row r="54" spans="1:19" s="93" customFormat="1">
      <c r="A54" s="325" t="s">
        <v>643</v>
      </c>
      <c r="B54" s="328" t="s">
        <v>1132</v>
      </c>
      <c r="C54" s="328" t="s">
        <v>339</v>
      </c>
      <c r="D54" s="542" t="s">
        <v>339</v>
      </c>
      <c r="E54" s="872">
        <v>0</v>
      </c>
      <c r="F54" s="330" t="s">
        <v>304</v>
      </c>
      <c r="G54" s="332">
        <f t="shared" si="2"/>
        <v>0</v>
      </c>
      <c r="H54" s="325" t="s">
        <v>1139</v>
      </c>
      <c r="I54" s="335">
        <v>111.09375</v>
      </c>
      <c r="J54" s="335">
        <f>_xlfn.IFNA(VLOOKUP(A54,'market px'!$B$2:$F$20,5,FALSE),0)</f>
        <v>116.65625</v>
      </c>
      <c r="K54" s="845">
        <f t="shared" si="3"/>
        <v>0</v>
      </c>
      <c r="L54" s="377"/>
    </row>
    <row r="55" spans="1:19" s="93" customFormat="1">
      <c r="A55" s="325" t="s">
        <v>602</v>
      </c>
      <c r="B55" s="328" t="s">
        <v>610</v>
      </c>
      <c r="C55" s="328" t="s">
        <v>339</v>
      </c>
      <c r="D55" s="542" t="s">
        <v>339</v>
      </c>
      <c r="E55" s="872">
        <v>0</v>
      </c>
      <c r="F55" s="330" t="s">
        <v>304</v>
      </c>
      <c r="G55" s="332">
        <f t="shared" ref="G55:G58" si="5">-77*E55</f>
        <v>0</v>
      </c>
      <c r="H55" s="325" t="s">
        <v>611</v>
      </c>
      <c r="I55" s="335">
        <v>112</v>
      </c>
      <c r="J55" s="335">
        <f>_xlfn.IFNA(VLOOKUP(A55,'market px'!$B$2:$F$20,5,FALSE),0)</f>
        <v>0</v>
      </c>
      <c r="K55" s="845">
        <f t="shared" si="3"/>
        <v>0</v>
      </c>
      <c r="L55" s="377"/>
    </row>
    <row r="56" spans="1:19" s="93" customFormat="1">
      <c r="A56" s="325" t="s">
        <v>647</v>
      </c>
      <c r="B56" s="328" t="s">
        <v>1049</v>
      </c>
      <c r="C56" s="328" t="s">
        <v>339</v>
      </c>
      <c r="D56" s="542" t="s">
        <v>339</v>
      </c>
      <c r="E56" s="872">
        <v>0</v>
      </c>
      <c r="F56" s="330" t="s">
        <v>304</v>
      </c>
      <c r="G56" s="332">
        <f t="shared" si="5"/>
        <v>0</v>
      </c>
      <c r="H56" s="325" t="s">
        <v>1057</v>
      </c>
      <c r="I56" s="335">
        <v>107.2109375</v>
      </c>
      <c r="J56" s="335">
        <f>_xlfn.IFNA(VLOOKUP(A56,'market px'!$B$2:$F$20,5,FALSE),0)</f>
        <v>110.8515625</v>
      </c>
      <c r="K56" s="845">
        <f t="shared" si="3"/>
        <v>0</v>
      </c>
      <c r="L56" s="377"/>
    </row>
    <row r="57" spans="1:19" s="93" customFormat="1">
      <c r="A57" s="325" t="s">
        <v>586</v>
      </c>
      <c r="B57" s="328" t="s">
        <v>603</v>
      </c>
      <c r="C57" s="328" t="s">
        <v>339</v>
      </c>
      <c r="D57" s="328" t="s">
        <v>339</v>
      </c>
      <c r="E57" s="872">
        <v>0</v>
      </c>
      <c r="F57" s="328" t="s">
        <v>304</v>
      </c>
      <c r="G57" s="332">
        <f t="shared" si="5"/>
        <v>0</v>
      </c>
      <c r="H57" s="328" t="s">
        <v>606</v>
      </c>
      <c r="I57" s="335">
        <v>118.75</v>
      </c>
      <c r="J57" s="335">
        <f>_xlfn.IFNA(VLOOKUP(A57,'market px'!$B$2:$F$20,5,FALSE),0)</f>
        <v>0</v>
      </c>
      <c r="K57" s="845">
        <f t="shared" si="3"/>
        <v>0</v>
      </c>
      <c r="L57" s="377"/>
    </row>
    <row r="58" spans="1:19" s="93" customFormat="1">
      <c r="A58" s="325" t="s">
        <v>586</v>
      </c>
      <c r="B58" s="328" t="s">
        <v>599</v>
      </c>
      <c r="C58" s="328" t="s">
        <v>339</v>
      </c>
      <c r="D58" s="328" t="s">
        <v>339</v>
      </c>
      <c r="E58" s="872">
        <v>0</v>
      </c>
      <c r="F58" s="328" t="s">
        <v>304</v>
      </c>
      <c r="G58" s="332">
        <f t="shared" si="5"/>
        <v>0</v>
      </c>
      <c r="H58" s="328" t="s">
        <v>601</v>
      </c>
      <c r="I58" s="335">
        <v>119.78125</v>
      </c>
      <c r="J58" s="335">
        <f>_xlfn.IFNA(VLOOKUP(A58,'market px'!$B$2:$F$20,5,FALSE),0)</f>
        <v>0</v>
      </c>
      <c r="K58" s="845">
        <f t="shared" si="3"/>
        <v>0</v>
      </c>
      <c r="L58" s="377"/>
    </row>
    <row r="59" spans="1:19" s="270" customFormat="1">
      <c r="A59" s="325" t="s">
        <v>604</v>
      </c>
      <c r="B59" s="325" t="s">
        <v>614</v>
      </c>
      <c r="C59" s="325" t="s">
        <v>339</v>
      </c>
      <c r="D59" s="325" t="s">
        <v>339</v>
      </c>
      <c r="E59" s="872">
        <v>0</v>
      </c>
      <c r="F59" s="325" t="s">
        <v>304</v>
      </c>
      <c r="G59" s="332">
        <f>-18.6*2*E59</f>
        <v>0</v>
      </c>
      <c r="H59" s="325" t="s">
        <v>615</v>
      </c>
      <c r="I59" s="325">
        <v>102.5390625</v>
      </c>
      <c r="J59" s="335">
        <f>_xlfn.IFNA(VLOOKUP(A59,'market px'!$B$2:$F$20,5,FALSE),0)</f>
        <v>0</v>
      </c>
      <c r="K59" s="845">
        <f t="shared" si="3"/>
        <v>0</v>
      </c>
      <c r="L59" s="381"/>
    </row>
    <row r="60" spans="1:19" s="270" customFormat="1">
      <c r="A60" s="325" t="s">
        <v>589</v>
      </c>
      <c r="B60" s="325" t="s">
        <v>591</v>
      </c>
      <c r="C60" s="325" t="s">
        <v>339</v>
      </c>
      <c r="D60" s="325" t="s">
        <v>339</v>
      </c>
      <c r="E60" s="872">
        <v>0</v>
      </c>
      <c r="F60" s="325" t="s">
        <v>304</v>
      </c>
      <c r="G60" s="332">
        <f t="shared" ref="G60" si="6">-18.6*2*E60</f>
        <v>0</v>
      </c>
      <c r="H60" s="325" t="s">
        <v>592</v>
      </c>
      <c r="I60" s="325">
        <v>104.1015625</v>
      </c>
      <c r="J60" s="335">
        <f>_xlfn.IFNA(VLOOKUP(A60,'market px'!$B$2:$F$20,5,FALSE),0)</f>
        <v>0</v>
      </c>
      <c r="K60" s="845">
        <f t="shared" si="3"/>
        <v>0</v>
      </c>
      <c r="L60" s="381"/>
    </row>
    <row r="61" spans="1:19" s="270" customFormat="1">
      <c r="A61" s="349" t="s">
        <v>166</v>
      </c>
      <c r="B61" s="350"/>
      <c r="C61" s="351"/>
      <c r="D61" s="545"/>
      <c r="E61" s="875">
        <f>SUM(E45:E60)</f>
        <v>0</v>
      </c>
      <c r="F61" s="353"/>
      <c r="G61" s="354">
        <f>SUM(G45:G60)</f>
        <v>0</v>
      </c>
      <c r="H61" s="486"/>
      <c r="I61" s="356"/>
      <c r="J61" s="356"/>
      <c r="K61" s="358">
        <f>SUM(K45:K60)</f>
        <v>0</v>
      </c>
      <c r="L61" s="381"/>
    </row>
    <row r="62" spans="1:19" s="270" customFormat="1">
      <c r="A62" s="359" t="s">
        <v>169</v>
      </c>
      <c r="B62" s="113"/>
      <c r="C62" s="274"/>
      <c r="D62" s="538"/>
      <c r="E62" s="114"/>
      <c r="F62" s="192"/>
      <c r="G62" s="118"/>
      <c r="H62" s="478"/>
      <c r="I62" s="125"/>
      <c r="J62" s="360"/>
      <c r="K62" s="261"/>
      <c r="L62" s="381"/>
    </row>
    <row r="63" spans="1:19" s="93" customFormat="1">
      <c r="A63" s="206" t="s">
        <v>99</v>
      </c>
      <c r="B63" s="207" t="s">
        <v>7</v>
      </c>
      <c r="C63" s="207" t="s">
        <v>171</v>
      </c>
      <c r="D63" s="535" t="s">
        <v>170</v>
      </c>
      <c r="E63" s="208" t="s">
        <v>11</v>
      </c>
      <c r="F63" s="207" t="s">
        <v>2</v>
      </c>
      <c r="G63" s="209" t="s">
        <v>12</v>
      </c>
      <c r="H63" s="482" t="s">
        <v>18</v>
      </c>
      <c r="I63" s="209" t="s">
        <v>213</v>
      </c>
      <c r="J63" s="207" t="s">
        <v>214</v>
      </c>
      <c r="K63" s="260" t="s">
        <v>215</v>
      </c>
      <c r="L63" s="377"/>
      <c r="S63" s="131" t="s">
        <v>21</v>
      </c>
    </row>
    <row r="64" spans="1:19" s="93" customFormat="1">
      <c r="A64" s="325" t="s">
        <v>1301</v>
      </c>
      <c r="B64" s="328">
        <v>43118</v>
      </c>
      <c r="C64" s="329"/>
      <c r="D64" s="542"/>
      <c r="E64" s="330">
        <v>0</v>
      </c>
      <c r="F64" s="331" t="s">
        <v>304</v>
      </c>
      <c r="G64" s="332">
        <f>-190*E64</f>
        <v>0</v>
      </c>
      <c r="H64" s="483"/>
      <c r="I64" s="335">
        <v>134.1</v>
      </c>
      <c r="J64" s="335">
        <f>VLOOKUP(A64,'market px'!$G$2:$I$20,3,FALSE)</f>
        <v>144.84</v>
      </c>
      <c r="K64" s="336">
        <f t="shared" ref="K64:K69" si="7">(J64-I64)*E64/100</f>
        <v>0</v>
      </c>
      <c r="L64" s="377"/>
    </row>
    <row r="65" spans="1:17" s="93" customFormat="1">
      <c r="A65" s="325" t="s">
        <v>1300</v>
      </c>
      <c r="B65" s="328">
        <v>41547</v>
      </c>
      <c r="C65" s="329"/>
      <c r="D65" s="542"/>
      <c r="E65" s="330">
        <f>100000*0</f>
        <v>0</v>
      </c>
      <c r="F65" s="331" t="s">
        <v>1307</v>
      </c>
      <c r="G65" s="332">
        <f>-83*E65</f>
        <v>0</v>
      </c>
      <c r="H65" s="483"/>
      <c r="I65" s="335">
        <v>135.12</v>
      </c>
      <c r="J65" s="335">
        <f>VLOOKUP(A65,'market px'!$G$2:$I$20,3,FALSE)</f>
        <v>137.80000000000001</v>
      </c>
      <c r="K65" s="336">
        <f t="shared" si="7"/>
        <v>0</v>
      </c>
      <c r="L65" s="377"/>
    </row>
    <row r="66" spans="1:17" s="93" customFormat="1">
      <c r="A66" s="325" t="s">
        <v>1296</v>
      </c>
      <c r="B66" s="328">
        <v>41416</v>
      </c>
      <c r="C66" s="329"/>
      <c r="D66" s="542"/>
      <c r="E66" s="330">
        <f>100000*0</f>
        <v>0</v>
      </c>
      <c r="F66" s="331" t="s">
        <v>1307</v>
      </c>
      <c r="G66" s="332">
        <f>-19*E66</f>
        <v>0</v>
      </c>
      <c r="H66" s="483" t="s">
        <v>21</v>
      </c>
      <c r="I66" s="335">
        <v>108.77</v>
      </c>
      <c r="J66" s="335">
        <f>VLOOKUP(A66,'market px'!$G$2:$I$20,3,FALSE)</f>
        <v>106.14</v>
      </c>
      <c r="K66" s="336">
        <f t="shared" si="7"/>
        <v>0</v>
      </c>
      <c r="L66" s="377"/>
    </row>
    <row r="67" spans="1:17" s="270" customFormat="1">
      <c r="A67" s="325" t="s">
        <v>1298</v>
      </c>
      <c r="B67" s="328">
        <v>40995</v>
      </c>
      <c r="C67" s="329"/>
      <c r="D67" s="542"/>
      <c r="E67" s="330">
        <f>100000*0</f>
        <v>0</v>
      </c>
      <c r="F67" s="331" t="s">
        <v>1307</v>
      </c>
      <c r="G67" s="332">
        <f>-44*E67</f>
        <v>0</v>
      </c>
      <c r="H67" s="483"/>
      <c r="I67" s="335">
        <v>109.88</v>
      </c>
      <c r="J67" s="335">
        <f>VLOOKUP(A67,'market px'!$G$2:$I$20,3,FALSE)</f>
        <v>119.06</v>
      </c>
      <c r="K67" s="336">
        <f t="shared" si="7"/>
        <v>0</v>
      </c>
      <c r="L67" s="381"/>
    </row>
    <row r="68" spans="1:17" s="270" customFormat="1">
      <c r="A68" s="325" t="str">
        <f>A69</f>
        <v>DUH4</v>
      </c>
      <c r="B68" s="328">
        <v>39220</v>
      </c>
      <c r="C68" s="329" t="s">
        <v>21</v>
      </c>
      <c r="D68" s="542"/>
      <c r="E68" s="330">
        <f>100000*0</f>
        <v>0</v>
      </c>
      <c r="F68" s="331" t="s">
        <v>135</v>
      </c>
      <c r="G68" s="332">
        <f>-VLOOKUP(A68,'market px'!G$2:H$20,2,FALSE)*E68/1000000</f>
        <v>0</v>
      </c>
      <c r="H68" s="483" t="s">
        <v>23</v>
      </c>
      <c r="I68" s="335">
        <v>102.55500000000001</v>
      </c>
      <c r="J68" s="335">
        <f>VLOOKUP(A68,'market px'!$G$2:$I$20,3,FALSE)</f>
        <v>108.84</v>
      </c>
      <c r="K68" s="336">
        <f t="shared" si="7"/>
        <v>0</v>
      </c>
      <c r="L68" s="381"/>
    </row>
    <row r="69" spans="1:17" s="270" customFormat="1">
      <c r="A69" s="325" t="str">
        <f>'Mark1-UR'!A75</f>
        <v>DUH4</v>
      </c>
      <c r="B69" s="328">
        <v>39224</v>
      </c>
      <c r="C69" s="329" t="s">
        <v>21</v>
      </c>
      <c r="D69" s="542"/>
      <c r="E69" s="330">
        <f>100000*0</f>
        <v>0</v>
      </c>
      <c r="F69" s="331" t="s">
        <v>135</v>
      </c>
      <c r="G69" s="332">
        <f>-VLOOKUP(A69,'market px'!G$2:H$20,2,FALSE)*E69/1000000</f>
        <v>0</v>
      </c>
      <c r="H69" s="483"/>
      <c r="I69" s="335">
        <v>102.89</v>
      </c>
      <c r="J69" s="335">
        <f>VLOOKUP(A69,'market px'!$G$2:$I$20,3,FALSE)</f>
        <v>108.84</v>
      </c>
      <c r="K69" s="336">
        <f t="shared" si="7"/>
        <v>0</v>
      </c>
      <c r="L69" s="381"/>
    </row>
    <row r="70" spans="1:17" s="270" customFormat="1">
      <c r="A70" s="349" t="s">
        <v>166</v>
      </c>
      <c r="B70" s="350"/>
      <c r="C70" s="351"/>
      <c r="D70" s="545"/>
      <c r="E70" s="352">
        <f>SUM(E64:E69)</f>
        <v>0</v>
      </c>
      <c r="F70" s="353"/>
      <c r="G70" s="354">
        <f>SUM(G64:G69)</f>
        <v>0</v>
      </c>
      <c r="H70" s="486"/>
      <c r="I70" s="356"/>
      <c r="J70" s="357"/>
      <c r="K70" s="358">
        <f>SUM(K64:K69)</f>
        <v>0</v>
      </c>
      <c r="L70" s="381"/>
    </row>
    <row r="71" spans="1:17" s="93" customFormat="1">
      <c r="A71" s="65"/>
      <c r="B71" s="108"/>
      <c r="C71" s="275"/>
      <c r="D71" s="546"/>
      <c r="E71" s="70"/>
      <c r="F71" s="203"/>
      <c r="G71" s="105"/>
      <c r="H71" s="487"/>
      <c r="I71" s="204"/>
      <c r="J71" s="205"/>
      <c r="K71" s="106"/>
      <c r="L71" s="377"/>
      <c r="M71"/>
      <c r="N71"/>
      <c r="O71"/>
      <c r="P71"/>
      <c r="Q71"/>
    </row>
    <row r="72" spans="1:17">
      <c r="G72" s="14"/>
      <c r="H72" s="488"/>
    </row>
    <row r="73" spans="1:17">
      <c r="G73" s="14"/>
    </row>
    <row r="74" spans="1:17">
      <c r="G74" s="14"/>
      <c r="H74" s="488"/>
    </row>
    <row r="75" spans="1:17">
      <c r="G75" s="14"/>
      <c r="H75" s="488"/>
    </row>
    <row r="76" spans="1:17">
      <c r="G76" s="14"/>
      <c r="H76" s="488"/>
    </row>
    <row r="77" spans="1:17">
      <c r="G77" s="14"/>
      <c r="H77" s="488"/>
    </row>
    <row r="78" spans="1:17">
      <c r="G78" s="14"/>
      <c r="H78" s="488"/>
    </row>
    <row r="79" spans="1:17">
      <c r="G79" s="14"/>
      <c r="H79" s="488"/>
    </row>
    <row r="80" spans="1:17">
      <c r="G80" s="14"/>
      <c r="H80" s="488"/>
    </row>
    <row r="81" spans="7:8">
      <c r="G81" s="14"/>
      <c r="H81" s="488"/>
    </row>
    <row r="82" spans="7:8">
      <c r="G82" s="14"/>
      <c r="H82" s="488"/>
    </row>
    <row r="83" spans="7:8">
      <c r="G83" s="14"/>
      <c r="H83" s="488"/>
    </row>
    <row r="84" spans="7:8">
      <c r="G84" s="14"/>
      <c r="H84" s="488"/>
    </row>
    <row r="85" spans="7:8">
      <c r="G85" s="14"/>
      <c r="H85" s="488"/>
    </row>
    <row r="86" spans="7:8">
      <c r="G86" s="14"/>
      <c r="H86" s="488"/>
    </row>
    <row r="87" spans="7:8">
      <c r="G87" s="14"/>
      <c r="H87" s="488"/>
    </row>
    <row r="88" spans="7:8">
      <c r="G88" s="14"/>
      <c r="H88" s="488"/>
    </row>
    <row r="89" spans="7:8">
      <c r="G89" s="14"/>
      <c r="H89" s="488"/>
    </row>
    <row r="90" spans="7:8">
      <c r="G90" s="14"/>
      <c r="H90" s="488"/>
    </row>
    <row r="91" spans="7:8">
      <c r="G91" s="14"/>
      <c r="H91" s="488"/>
    </row>
    <row r="92" spans="7:8">
      <c r="G92" s="14"/>
      <c r="H92" s="488"/>
    </row>
    <row r="93" spans="7:8">
      <c r="G93" s="14"/>
      <c r="H93" s="488"/>
    </row>
    <row r="94" spans="7:8">
      <c r="G94" s="14"/>
      <c r="H94" s="488"/>
    </row>
    <row r="95" spans="7:8">
      <c r="G95" s="14"/>
      <c r="H95" s="488"/>
    </row>
    <row r="96" spans="7:8">
      <c r="G96" s="14"/>
      <c r="H96" s="488"/>
    </row>
    <row r="97" spans="7:8">
      <c r="G97" s="14"/>
      <c r="H97" s="488"/>
    </row>
    <row r="98" spans="7:8">
      <c r="G98" s="14"/>
      <c r="H98" s="489"/>
    </row>
    <row r="99" spans="7:8">
      <c r="G99" s="14"/>
      <c r="H99" s="489"/>
    </row>
    <row r="100" spans="7:8">
      <c r="G100" s="14"/>
      <c r="H100" s="489"/>
    </row>
    <row r="101" spans="7:8">
      <c r="G101" s="14"/>
      <c r="H101" s="489"/>
    </row>
    <row r="102" spans="7:8">
      <c r="G102" s="14"/>
      <c r="H102" s="489"/>
    </row>
    <row r="103" spans="7:8">
      <c r="G103" s="14"/>
      <c r="H103" s="489"/>
    </row>
    <row r="104" spans="7:8">
      <c r="G104" s="14"/>
      <c r="H104" s="489"/>
    </row>
    <row r="105" spans="7:8">
      <c r="G105" s="14"/>
      <c r="H105" s="489"/>
    </row>
    <row r="106" spans="7:8">
      <c r="G106" s="14"/>
      <c r="H106" s="489"/>
    </row>
    <row r="107" spans="7:8">
      <c r="G107" s="14"/>
      <c r="H107" s="489"/>
    </row>
    <row r="108" spans="7:8">
      <c r="G108" s="14"/>
      <c r="H108" s="489"/>
    </row>
    <row r="109" spans="7:8">
      <c r="G109" s="14"/>
      <c r="H109" s="489"/>
    </row>
    <row r="110" spans="7:8">
      <c r="G110" s="14"/>
      <c r="H110" s="489"/>
    </row>
    <row r="111" spans="7:8">
      <c r="G111" s="14"/>
      <c r="H111" s="489"/>
    </row>
    <row r="112" spans="7:8">
      <c r="G112" s="14"/>
      <c r="H112" s="489"/>
    </row>
    <row r="113" spans="7:8">
      <c r="G113" s="14"/>
      <c r="H113" s="489"/>
    </row>
    <row r="114" spans="7:8">
      <c r="G114" s="14"/>
      <c r="H114" s="489"/>
    </row>
    <row r="115" spans="7:8">
      <c r="G115" s="14"/>
      <c r="H115" s="489"/>
    </row>
    <row r="116" spans="7:8">
      <c r="G116" s="14"/>
      <c r="H116" s="489"/>
    </row>
    <row r="117" spans="7:8">
      <c r="G117" s="14"/>
      <c r="H117" s="489"/>
    </row>
    <row r="118" spans="7:8">
      <c r="G118" s="14"/>
      <c r="H118" s="489"/>
    </row>
    <row r="119" spans="7:8">
      <c r="G119" s="14"/>
      <c r="H119" s="489"/>
    </row>
    <row r="120" spans="7:8">
      <c r="G120" s="14"/>
      <c r="H120" s="489"/>
    </row>
    <row r="121" spans="7:8">
      <c r="G121" s="14"/>
      <c r="H121" s="489"/>
    </row>
    <row r="122" spans="7:8">
      <c r="G122" s="14"/>
      <c r="H122" s="489"/>
    </row>
    <row r="123" spans="7:8">
      <c r="G123" s="14"/>
      <c r="H123" s="489"/>
    </row>
    <row r="124" spans="7:8">
      <c r="G124" s="14"/>
      <c r="H124" s="489"/>
    </row>
    <row r="125" spans="7:8">
      <c r="G125" s="14"/>
      <c r="H125" s="489"/>
    </row>
    <row r="126" spans="7:8">
      <c r="G126" s="14"/>
      <c r="H126" s="489"/>
    </row>
    <row r="127" spans="7:8">
      <c r="G127" s="14"/>
      <c r="H127" s="489"/>
    </row>
    <row r="128" spans="7:8">
      <c r="G128" s="14"/>
      <c r="H128" s="489"/>
    </row>
    <row r="129" spans="7:8">
      <c r="G129" s="14"/>
      <c r="H129" s="489"/>
    </row>
    <row r="130" spans="7:8">
      <c r="G130" s="14"/>
      <c r="H130" s="489"/>
    </row>
    <row r="131" spans="7:8">
      <c r="G131" s="14"/>
      <c r="H131" s="489"/>
    </row>
    <row r="132" spans="7:8">
      <c r="G132" s="14"/>
      <c r="H132" s="489"/>
    </row>
    <row r="133" spans="7:8">
      <c r="G133" s="14"/>
      <c r="H133" s="489"/>
    </row>
    <row r="134" spans="7:8">
      <c r="G134" s="14"/>
      <c r="H134" s="489"/>
    </row>
    <row r="135" spans="7:8">
      <c r="G135" s="14"/>
      <c r="H135" s="489"/>
    </row>
    <row r="136" spans="7:8">
      <c r="G136" s="14"/>
      <c r="H136" s="489"/>
    </row>
    <row r="137" spans="7:8">
      <c r="G137" s="14"/>
      <c r="H137" s="489"/>
    </row>
    <row r="138" spans="7:8">
      <c r="G138" s="14"/>
      <c r="H138" s="489"/>
    </row>
    <row r="139" spans="7:8">
      <c r="G139" s="14"/>
      <c r="H139" s="489"/>
    </row>
    <row r="140" spans="7:8">
      <c r="G140" s="14"/>
      <c r="H140" s="489"/>
    </row>
    <row r="141" spans="7:8">
      <c r="G141" s="14"/>
      <c r="H141" s="489"/>
    </row>
    <row r="142" spans="7:8">
      <c r="G142" s="14"/>
      <c r="H142" s="489"/>
    </row>
    <row r="143" spans="7:8">
      <c r="G143" s="14"/>
      <c r="H143" s="489"/>
    </row>
    <row r="144" spans="7:8">
      <c r="G144" s="14"/>
      <c r="H144" s="489"/>
    </row>
    <row r="145" spans="7:8">
      <c r="G145" s="14"/>
      <c r="H145" s="489"/>
    </row>
    <row r="146" spans="7:8">
      <c r="G146" s="14"/>
      <c r="H146" s="489"/>
    </row>
    <row r="147" spans="7:8">
      <c r="G147" s="14"/>
      <c r="H147" s="489"/>
    </row>
    <row r="148" spans="7:8">
      <c r="G148" s="14"/>
      <c r="H148" s="489"/>
    </row>
    <row r="149" spans="7:8">
      <c r="G149" s="14"/>
      <c r="H149" s="489"/>
    </row>
    <row r="150" spans="7:8">
      <c r="G150" s="14"/>
      <c r="H150" s="489"/>
    </row>
    <row r="151" spans="7:8">
      <c r="G151" s="14"/>
      <c r="H151" s="489"/>
    </row>
    <row r="152" spans="7:8">
      <c r="G152" s="14"/>
      <c r="H152" s="489"/>
    </row>
    <row r="153" spans="7:8">
      <c r="G153" s="14"/>
      <c r="H153" s="489"/>
    </row>
    <row r="154" spans="7:8">
      <c r="G154" s="14"/>
      <c r="H154" s="489"/>
    </row>
    <row r="155" spans="7:8">
      <c r="G155" s="14"/>
      <c r="H155" s="489"/>
    </row>
    <row r="156" spans="7:8">
      <c r="G156" s="14"/>
      <c r="H156" s="489"/>
    </row>
    <row r="157" spans="7:8">
      <c r="G157" s="14"/>
      <c r="H157" s="489"/>
    </row>
    <row r="158" spans="7:8">
      <c r="G158" s="14"/>
      <c r="H158" s="489"/>
    </row>
    <row r="159" spans="7:8">
      <c r="G159" s="14"/>
      <c r="H159" s="489"/>
    </row>
    <row r="160" spans="7:8">
      <c r="G160" s="14"/>
      <c r="H160" s="489"/>
    </row>
    <row r="161" spans="7:8">
      <c r="G161" s="14"/>
      <c r="H161" s="489"/>
    </row>
    <row r="162" spans="7:8">
      <c r="G162" s="14"/>
      <c r="H162" s="489"/>
    </row>
    <row r="163" spans="7:8">
      <c r="G163" s="14"/>
      <c r="H163" s="489"/>
    </row>
    <row r="164" spans="7:8">
      <c r="G164" s="14"/>
      <c r="H164" s="489"/>
    </row>
    <row r="165" spans="7:8">
      <c r="G165" s="14"/>
      <c r="H165" s="489"/>
    </row>
    <row r="166" spans="7:8">
      <c r="G166" s="14"/>
      <c r="H166" s="489"/>
    </row>
    <row r="167" spans="7:8">
      <c r="G167" s="14"/>
      <c r="H167" s="489"/>
    </row>
    <row r="168" spans="7:8">
      <c r="G168" s="14"/>
      <c r="H168" s="489"/>
    </row>
    <row r="169" spans="7:8">
      <c r="G169" s="14"/>
      <c r="H169" s="489"/>
    </row>
    <row r="170" spans="7:8">
      <c r="G170" s="14"/>
      <c r="H170" s="489"/>
    </row>
    <row r="171" spans="7:8">
      <c r="G171" s="14"/>
      <c r="H171" s="489"/>
    </row>
    <row r="172" spans="7:8">
      <c r="G172" s="14"/>
      <c r="H172" s="489"/>
    </row>
    <row r="173" spans="7:8">
      <c r="G173" s="14"/>
      <c r="H173" s="489"/>
    </row>
    <row r="174" spans="7:8">
      <c r="G174" s="14"/>
      <c r="H174" s="489"/>
    </row>
    <row r="175" spans="7:8">
      <c r="G175" s="14"/>
      <c r="H175" s="489"/>
    </row>
    <row r="176" spans="7:8">
      <c r="G176" s="14"/>
      <c r="H176" s="489"/>
    </row>
    <row r="177" spans="7:8">
      <c r="G177" s="14"/>
      <c r="H177" s="489"/>
    </row>
    <row r="178" spans="7:8">
      <c r="G178" s="14"/>
      <c r="H178" s="489"/>
    </row>
    <row r="179" spans="7:8">
      <c r="G179" s="14"/>
      <c r="H179" s="489"/>
    </row>
    <row r="180" spans="7:8">
      <c r="G180" s="14"/>
      <c r="H180" s="489"/>
    </row>
    <row r="181" spans="7:8">
      <c r="G181" s="14"/>
      <c r="H181" s="489"/>
    </row>
    <row r="182" spans="7:8">
      <c r="G182" s="14"/>
      <c r="H182" s="489"/>
    </row>
    <row r="183" spans="7:8">
      <c r="G183" s="14"/>
      <c r="H183" s="489"/>
    </row>
    <row r="184" spans="7:8">
      <c r="G184" s="14"/>
      <c r="H184" s="489"/>
    </row>
    <row r="185" spans="7:8">
      <c r="G185" s="14"/>
      <c r="H185" s="489"/>
    </row>
    <row r="186" spans="7:8">
      <c r="G186" s="14"/>
      <c r="H186" s="489"/>
    </row>
    <row r="187" spans="7:8">
      <c r="G187" s="14"/>
      <c r="H187" s="489"/>
    </row>
    <row r="188" spans="7:8">
      <c r="G188" s="14"/>
      <c r="H188" s="489"/>
    </row>
    <row r="189" spans="7:8">
      <c r="G189" s="14"/>
      <c r="H189" s="489"/>
    </row>
    <row r="190" spans="7:8">
      <c r="G190" s="14"/>
      <c r="H190" s="489"/>
    </row>
    <row r="191" spans="7:8">
      <c r="G191" s="14"/>
      <c r="H191" s="489"/>
    </row>
    <row r="192" spans="7:8">
      <c r="G192" s="14"/>
      <c r="H192" s="489"/>
    </row>
    <row r="193" spans="7:8">
      <c r="G193" s="14"/>
      <c r="H193" s="489"/>
    </row>
    <row r="194" spans="7:8">
      <c r="G194" s="14"/>
      <c r="H194" s="489"/>
    </row>
    <row r="195" spans="7:8">
      <c r="G195" s="14"/>
      <c r="H195" s="489"/>
    </row>
    <row r="196" spans="7:8">
      <c r="G196" s="14"/>
      <c r="H196" s="489"/>
    </row>
    <row r="197" spans="7:8">
      <c r="G197" s="14"/>
      <c r="H197" s="489"/>
    </row>
    <row r="198" spans="7:8">
      <c r="G198" s="14"/>
      <c r="H198" s="489"/>
    </row>
    <row r="199" spans="7:8">
      <c r="G199" s="14"/>
      <c r="H199" s="489"/>
    </row>
    <row r="200" spans="7:8">
      <c r="G200" s="14"/>
      <c r="H200" s="489"/>
    </row>
    <row r="201" spans="7:8">
      <c r="G201" s="14"/>
      <c r="H201" s="489"/>
    </row>
    <row r="202" spans="7:8">
      <c r="G202" s="14"/>
      <c r="H202" s="489"/>
    </row>
    <row r="203" spans="7:8">
      <c r="G203" s="14"/>
      <c r="H203" s="489"/>
    </row>
    <row r="204" spans="7:8">
      <c r="G204" s="14"/>
      <c r="H204" s="489"/>
    </row>
    <row r="205" spans="7:8">
      <c r="G205" s="14"/>
      <c r="H205" s="489"/>
    </row>
    <row r="206" spans="7:8">
      <c r="G206" s="14"/>
      <c r="H206" s="489"/>
    </row>
    <row r="207" spans="7:8">
      <c r="G207" s="14"/>
      <c r="H207" s="489"/>
    </row>
    <row r="208" spans="7:8">
      <c r="G208" s="14"/>
      <c r="H208" s="489"/>
    </row>
    <row r="209" spans="7:8">
      <c r="G209" s="14"/>
      <c r="H209" s="489"/>
    </row>
    <row r="210" spans="7:8">
      <c r="G210" s="14"/>
      <c r="H210" s="489"/>
    </row>
    <row r="211" spans="7:8">
      <c r="G211" s="14"/>
      <c r="H211" s="489"/>
    </row>
    <row r="212" spans="7:8">
      <c r="G212" s="14"/>
      <c r="H212" s="489"/>
    </row>
    <row r="213" spans="7:8">
      <c r="G213" s="14"/>
      <c r="H213" s="489"/>
    </row>
    <row r="214" spans="7:8">
      <c r="G214" s="14"/>
      <c r="H214" s="489"/>
    </row>
    <row r="215" spans="7:8">
      <c r="G215" s="14"/>
      <c r="H215" s="489"/>
    </row>
    <row r="216" spans="7:8">
      <c r="G216" s="14"/>
      <c r="H216" s="489"/>
    </row>
    <row r="217" spans="7:8">
      <c r="G217" s="14"/>
      <c r="H217" s="489"/>
    </row>
    <row r="218" spans="7:8">
      <c r="G218" s="14"/>
      <c r="H218" s="489"/>
    </row>
    <row r="219" spans="7:8">
      <c r="G219" s="14"/>
      <c r="H219" s="489"/>
    </row>
    <row r="220" spans="7:8">
      <c r="G220" s="14"/>
      <c r="H220" s="489"/>
    </row>
    <row r="221" spans="7:8">
      <c r="G221" s="14"/>
      <c r="H221" s="489"/>
    </row>
    <row r="222" spans="7:8">
      <c r="G222" s="14"/>
      <c r="H222" s="489"/>
    </row>
    <row r="223" spans="7:8">
      <c r="G223" s="14"/>
      <c r="H223" s="489"/>
    </row>
    <row r="224" spans="7:8">
      <c r="G224" s="14"/>
      <c r="H224" s="489"/>
    </row>
    <row r="225" spans="7:8">
      <c r="G225" s="14"/>
      <c r="H225" s="489"/>
    </row>
    <row r="226" spans="7:8">
      <c r="G226" s="14"/>
      <c r="H226" s="489"/>
    </row>
    <row r="227" spans="7:8">
      <c r="G227" s="14"/>
      <c r="H227" s="489"/>
    </row>
    <row r="228" spans="7:8">
      <c r="G228" s="14"/>
      <c r="H228" s="489"/>
    </row>
    <row r="229" spans="7:8">
      <c r="G229" s="14"/>
      <c r="H229" s="489"/>
    </row>
    <row r="230" spans="7:8">
      <c r="G230" s="14"/>
      <c r="H230" s="489"/>
    </row>
    <row r="231" spans="7:8">
      <c r="G231" s="14"/>
      <c r="H231" s="489"/>
    </row>
    <row r="232" spans="7:8">
      <c r="G232" s="14"/>
      <c r="H232" s="489"/>
    </row>
    <row r="233" spans="7:8">
      <c r="G233" s="14"/>
      <c r="H233" s="489"/>
    </row>
    <row r="234" spans="7:8">
      <c r="G234" s="14"/>
      <c r="H234" s="489"/>
    </row>
    <row r="235" spans="7:8">
      <c r="G235" s="14"/>
      <c r="H235" s="489"/>
    </row>
    <row r="236" spans="7:8">
      <c r="G236" s="14"/>
      <c r="H236" s="489"/>
    </row>
    <row r="237" spans="7:8">
      <c r="G237" s="14"/>
      <c r="H237" s="489"/>
    </row>
    <row r="238" spans="7:8">
      <c r="G238" s="14"/>
      <c r="H238" s="489"/>
    </row>
    <row r="239" spans="7:8">
      <c r="G239" s="14"/>
      <c r="H239" s="489"/>
    </row>
    <row r="240" spans="7:8">
      <c r="G240" s="14"/>
      <c r="H240" s="489"/>
    </row>
    <row r="241" spans="7:8">
      <c r="G241" s="14"/>
      <c r="H241" s="489"/>
    </row>
    <row r="242" spans="7:8">
      <c r="G242" s="14"/>
      <c r="H242" s="489"/>
    </row>
    <row r="243" spans="7:8">
      <c r="G243" s="14"/>
      <c r="H243" s="489"/>
    </row>
    <row r="244" spans="7:8">
      <c r="G244" s="14"/>
      <c r="H244" s="489"/>
    </row>
    <row r="245" spans="7:8">
      <c r="G245" s="14"/>
      <c r="H245" s="489"/>
    </row>
    <row r="246" spans="7:8">
      <c r="G246" s="14"/>
      <c r="H246" s="489"/>
    </row>
    <row r="247" spans="7:8">
      <c r="G247" s="14"/>
      <c r="H247" s="489"/>
    </row>
    <row r="248" spans="7:8">
      <c r="G248" s="14"/>
      <c r="H248" s="489"/>
    </row>
    <row r="249" spans="7:8">
      <c r="G249" s="14"/>
      <c r="H249" s="489"/>
    </row>
    <row r="250" spans="7:8">
      <c r="G250" s="14"/>
      <c r="H250" s="489"/>
    </row>
    <row r="251" spans="7:8">
      <c r="G251" s="14"/>
      <c r="H251" s="489"/>
    </row>
    <row r="252" spans="7:8">
      <c r="G252" s="14"/>
      <c r="H252" s="489"/>
    </row>
    <row r="253" spans="7:8">
      <c r="G253" s="14"/>
      <c r="H253" s="489"/>
    </row>
    <row r="254" spans="7:8">
      <c r="G254" s="14"/>
      <c r="H254" s="489"/>
    </row>
    <row r="255" spans="7:8">
      <c r="G255" s="14"/>
      <c r="H255" s="489"/>
    </row>
    <row r="256" spans="7:8">
      <c r="G256" s="14"/>
      <c r="H256" s="489"/>
    </row>
    <row r="257" spans="7:8">
      <c r="G257" s="14"/>
      <c r="H257" s="489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</row>
    <row r="432" spans="7:8">
      <c r="G432" s="14"/>
    </row>
    <row r="433" spans="7:7">
      <c r="G433" s="14"/>
    </row>
    <row r="434" spans="7:7">
      <c r="G434" s="14"/>
    </row>
    <row r="435" spans="7:7">
      <c r="G435" s="14"/>
    </row>
    <row r="436" spans="7:7">
      <c r="G436" s="14"/>
    </row>
    <row r="437" spans="7:7">
      <c r="G437" s="14"/>
    </row>
    <row r="438" spans="7:7">
      <c r="G438" s="14"/>
    </row>
    <row r="439" spans="7:7">
      <c r="G439" s="14"/>
    </row>
    <row r="440" spans="7:7">
      <c r="G440" s="14"/>
    </row>
    <row r="441" spans="7:7">
      <c r="G441" s="14"/>
    </row>
    <row r="442" spans="7:7">
      <c r="G442" s="14"/>
    </row>
    <row r="443" spans="7:7">
      <c r="G443" s="14"/>
    </row>
    <row r="444" spans="7:7">
      <c r="G444" s="14"/>
    </row>
    <row r="445" spans="7:7">
      <c r="G445" s="14"/>
    </row>
    <row r="446" spans="7:7">
      <c r="G446" s="14"/>
    </row>
    <row r="447" spans="7:7">
      <c r="G447" s="14"/>
    </row>
    <row r="448" spans="7:7">
      <c r="G448" s="14"/>
    </row>
    <row r="449" spans="7:7">
      <c r="G449" s="14"/>
    </row>
    <row r="450" spans="7:7">
      <c r="G450" s="14"/>
    </row>
    <row r="451" spans="7:7">
      <c r="G451" s="14"/>
    </row>
    <row r="452" spans="7:7">
      <c r="G452" s="14"/>
    </row>
    <row r="453" spans="7:7">
      <c r="G453" s="14"/>
    </row>
    <row r="454" spans="7:7">
      <c r="G454" s="14"/>
    </row>
    <row r="455" spans="7:7">
      <c r="G455" s="14"/>
    </row>
    <row r="456" spans="7:7">
      <c r="G456" s="14"/>
    </row>
    <row r="457" spans="7:7">
      <c r="G457" s="14"/>
    </row>
    <row r="458" spans="7:7">
      <c r="G458" s="14"/>
    </row>
    <row r="459" spans="7:7">
      <c r="G459" s="14"/>
    </row>
    <row r="460" spans="7:7">
      <c r="G460" s="14"/>
    </row>
    <row r="461" spans="7:7">
      <c r="G461" s="14"/>
    </row>
    <row r="462" spans="7:7">
      <c r="G462" s="14"/>
    </row>
    <row r="463" spans="7:7">
      <c r="G463" s="14"/>
    </row>
    <row r="464" spans="7:7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</sheetData>
  <phoneticPr fontId="3" type="noConversion"/>
  <conditionalFormatting sqref="G45:G58">
    <cfRule type="expression" dxfId="23" priority="5">
      <formula>AND(IF(E45&lt;&gt;0,1),IF(G45=0,1))</formula>
    </cfRule>
  </conditionalFormatting>
  <conditionalFormatting sqref="K45:K60">
    <cfRule type="expression" dxfId="22" priority="3">
      <formula>LEFT(A45,2)="TU"</formula>
    </cfRule>
  </conditionalFormatting>
  <conditionalFormatting sqref="G59:G60">
    <cfRule type="expression" dxfId="21" priority="2">
      <formula>AND(IF(E59&lt;&gt;0,1),IF(G59=0,1))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7030A0"/>
  </sheetPr>
  <dimension ref="A1:S966"/>
  <sheetViews>
    <sheetView zoomScaleNormal="100" workbookViewId="0">
      <pane ySplit="660" topLeftCell="A107" activePane="bottomLeft"/>
      <selection activeCell="A20" sqref="A20:XFD20"/>
      <selection pane="bottomLeft" activeCell="K128" sqref="K128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4.6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157</v>
      </c>
      <c r="B3" s="122">
        <v>38853</v>
      </c>
      <c r="C3" s="122"/>
      <c r="D3" s="536"/>
      <c r="E3" s="88">
        <v>0</v>
      </c>
      <c r="F3" s="122">
        <v>42505</v>
      </c>
      <c r="G3" s="550">
        <v>0</v>
      </c>
      <c r="H3" s="475" t="s">
        <v>23</v>
      </c>
      <c r="I3" s="129">
        <v>95.90234375</v>
      </c>
      <c r="J3" s="129">
        <v>0</v>
      </c>
      <c r="K3" s="104">
        <f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262" t="s">
        <v>158</v>
      </c>
      <c r="B4" s="265">
        <v>38839</v>
      </c>
      <c r="C4" s="265"/>
      <c r="D4" s="537"/>
      <c r="E4" s="266">
        <v>0</v>
      </c>
      <c r="F4" s="265">
        <v>39568</v>
      </c>
      <c r="G4" s="551">
        <v>0</v>
      </c>
      <c r="H4" s="476"/>
      <c r="I4" s="268">
        <v>99.875</v>
      </c>
      <c r="J4" s="268">
        <v>0</v>
      </c>
      <c r="K4" s="269">
        <f>(J4-I4)*E4/100</f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 t="s">
        <v>159</v>
      </c>
      <c r="B5" s="265">
        <v>38839</v>
      </c>
      <c r="C5" s="265"/>
      <c r="D5" s="537"/>
      <c r="E5" s="266">
        <v>0</v>
      </c>
      <c r="F5" s="265">
        <v>39568</v>
      </c>
      <c r="G5" s="551">
        <v>0</v>
      </c>
      <c r="H5" s="476" t="s">
        <v>21</v>
      </c>
      <c r="I5" s="268">
        <v>99.875</v>
      </c>
      <c r="J5" s="268">
        <v>0</v>
      </c>
      <c r="K5" s="269">
        <f>(J5-I5)*E5/100</f>
        <v>0</v>
      </c>
      <c r="L5" s="382"/>
      <c r="M5" s="93"/>
      <c r="N5" s="93"/>
      <c r="O5" s="93"/>
      <c r="P5" s="93"/>
      <c r="Q5" s="93"/>
      <c r="S5" s="103"/>
    </row>
    <row r="6" spans="1:19" s="116" customFormat="1">
      <c r="A6" s="110" t="s">
        <v>160</v>
      </c>
      <c r="B6" s="113">
        <v>38839</v>
      </c>
      <c r="C6" s="113"/>
      <c r="D6" s="538"/>
      <c r="E6" s="114">
        <v>0</v>
      </c>
      <c r="F6" s="113">
        <v>39568</v>
      </c>
      <c r="G6" s="552">
        <v>0</v>
      </c>
      <c r="H6" s="477" t="s">
        <v>23</v>
      </c>
      <c r="I6" s="319">
        <v>99.875</v>
      </c>
      <c r="J6" s="319">
        <v>0</v>
      </c>
      <c r="K6" s="261">
        <f>(J6-I6)*E6/100</f>
        <v>0</v>
      </c>
      <c r="L6" s="382"/>
      <c r="S6" s="320"/>
    </row>
    <row r="7" spans="1:19" s="116" customFormat="1">
      <c r="A7" s="110" t="s">
        <v>160</v>
      </c>
      <c r="B7" s="113">
        <v>38839</v>
      </c>
      <c r="C7" s="113"/>
      <c r="D7" s="538"/>
      <c r="E7" s="114">
        <v>0</v>
      </c>
      <c r="F7" s="113">
        <v>42019</v>
      </c>
      <c r="G7" s="552">
        <v>0</v>
      </c>
      <c r="H7" s="478" t="s">
        <v>23</v>
      </c>
      <c r="I7" s="319">
        <v>99.875</v>
      </c>
      <c r="J7" s="319">
        <v>0</v>
      </c>
      <c r="K7" s="261">
        <f>(J7-I7)*E7/100</f>
        <v>0</v>
      </c>
      <c r="L7" s="382"/>
      <c r="S7" s="117"/>
    </row>
    <row r="8" spans="1:19" s="116" customFormat="1">
      <c r="A8" s="111" t="s">
        <v>166</v>
      </c>
      <c r="B8" s="313"/>
      <c r="C8" s="313"/>
      <c r="D8" s="539"/>
      <c r="E8" s="314">
        <f>SUM(E3:E7)</f>
        <v>0</v>
      </c>
      <c r="F8" s="313"/>
      <c r="G8" s="316">
        <f>SUM(G3:G7)</f>
        <v>0</v>
      </c>
      <c r="H8" s="479"/>
      <c r="I8" s="323"/>
      <c r="J8" s="318"/>
      <c r="K8" s="316">
        <f>SUM(K3:K7)</f>
        <v>0</v>
      </c>
      <c r="L8" s="383"/>
      <c r="S8" s="117"/>
    </row>
    <row r="9" spans="1:19" s="93" customFormat="1">
      <c r="A9" s="93" t="s">
        <v>163</v>
      </c>
      <c r="B9" s="97"/>
      <c r="C9" s="97"/>
      <c r="D9" s="540"/>
      <c r="E9" s="100"/>
      <c r="F9" s="97"/>
      <c r="H9" s="480"/>
      <c r="I9" s="99"/>
      <c r="J9" s="99"/>
      <c r="L9" s="377"/>
    </row>
    <row r="10" spans="1:19" s="93" customFormat="1">
      <c r="A10" s="206" t="s">
        <v>234</v>
      </c>
      <c r="B10" s="207" t="s">
        <v>7</v>
      </c>
      <c r="C10" s="207" t="s">
        <v>171</v>
      </c>
      <c r="D10" s="535" t="s">
        <v>170</v>
      </c>
      <c r="E10" s="208" t="s">
        <v>11</v>
      </c>
      <c r="F10" s="207" t="s">
        <v>2</v>
      </c>
      <c r="G10" s="209" t="s">
        <v>12</v>
      </c>
      <c r="H10" s="482" t="s">
        <v>18</v>
      </c>
      <c r="I10" s="209" t="s">
        <v>210</v>
      </c>
      <c r="J10" s="207" t="s">
        <v>216</v>
      </c>
      <c r="K10" s="260" t="s">
        <v>212</v>
      </c>
      <c r="L10" s="377"/>
      <c r="S10" s="131" t="s">
        <v>21</v>
      </c>
    </row>
    <row r="11" spans="1:19" s="102" customFormat="1">
      <c r="A11" s="87" t="s">
        <v>154</v>
      </c>
      <c r="B11" s="122">
        <v>38898</v>
      </c>
      <c r="C11" s="122"/>
      <c r="D11" s="536"/>
      <c r="E11" s="88">
        <v>0</v>
      </c>
      <c r="F11" s="122">
        <v>42505</v>
      </c>
      <c r="G11" s="124">
        <v>0</v>
      </c>
      <c r="H11" s="475" t="s">
        <v>23</v>
      </c>
      <c r="I11" s="129">
        <v>99.46875</v>
      </c>
      <c r="J11" s="129">
        <v>0</v>
      </c>
      <c r="K11" s="104">
        <f t="shared" ref="K11:K16" si="0">(J11-I11)*E11/100</f>
        <v>0</v>
      </c>
      <c r="L11" s="378"/>
      <c r="M11" s="93"/>
      <c r="N11" s="93"/>
      <c r="O11" s="93"/>
      <c r="P11" s="93"/>
      <c r="Q11" s="93"/>
      <c r="S11" s="103"/>
    </row>
    <row r="12" spans="1:19" s="102" customFormat="1">
      <c r="A12" s="87" t="s">
        <v>154</v>
      </c>
      <c r="B12" s="122">
        <v>38853</v>
      </c>
      <c r="C12" s="122"/>
      <c r="D12" s="536"/>
      <c r="E12" s="88">
        <v>0</v>
      </c>
      <c r="F12" s="122">
        <v>42505</v>
      </c>
      <c r="G12" s="124">
        <v>0</v>
      </c>
      <c r="H12" s="475" t="s">
        <v>23</v>
      </c>
      <c r="I12" s="129">
        <v>95.90234375</v>
      </c>
      <c r="J12" s="129">
        <v>0</v>
      </c>
      <c r="K12" s="104">
        <f t="shared" si="0"/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262" t="s">
        <v>156</v>
      </c>
      <c r="B13" s="265">
        <v>38839</v>
      </c>
      <c r="C13" s="265"/>
      <c r="D13" s="537"/>
      <c r="E13" s="266">
        <v>0</v>
      </c>
      <c r="F13" s="265">
        <v>39568</v>
      </c>
      <c r="G13" s="151">
        <v>0</v>
      </c>
      <c r="H13" s="476"/>
      <c r="I13" s="268">
        <v>99.875</v>
      </c>
      <c r="J13" s="268">
        <v>0</v>
      </c>
      <c r="K13" s="269">
        <f t="shared" si="0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 t="s">
        <v>156</v>
      </c>
      <c r="B14" s="265">
        <v>38839</v>
      </c>
      <c r="C14" s="265"/>
      <c r="D14" s="537"/>
      <c r="E14" s="266">
        <v>0</v>
      </c>
      <c r="F14" s="265">
        <v>39568</v>
      </c>
      <c r="G14" s="151">
        <v>0</v>
      </c>
      <c r="H14" s="476" t="s">
        <v>21</v>
      </c>
      <c r="I14" s="268">
        <v>99.875</v>
      </c>
      <c r="J14" s="268">
        <v>0</v>
      </c>
      <c r="K14" s="269">
        <f t="shared" si="0"/>
        <v>0</v>
      </c>
      <c r="L14" s="378"/>
      <c r="M14" s="93"/>
      <c r="N14" s="93"/>
      <c r="O14" s="93"/>
      <c r="P14" s="93"/>
      <c r="Q14" s="93"/>
      <c r="S14" s="103"/>
    </row>
    <row r="15" spans="1:19" s="116" customFormat="1">
      <c r="A15" s="110" t="s">
        <v>155</v>
      </c>
      <c r="B15" s="113">
        <v>38839</v>
      </c>
      <c r="C15" s="113"/>
      <c r="D15" s="538"/>
      <c r="E15" s="114">
        <v>0</v>
      </c>
      <c r="F15" s="113">
        <v>39568</v>
      </c>
      <c r="G15" s="118">
        <v>0</v>
      </c>
      <c r="H15" s="477" t="s">
        <v>23</v>
      </c>
      <c r="I15" s="319">
        <v>99.875</v>
      </c>
      <c r="J15" s="319">
        <v>0</v>
      </c>
      <c r="K15" s="261">
        <f t="shared" si="0"/>
        <v>0</v>
      </c>
      <c r="L15" s="379"/>
      <c r="S15" s="320"/>
    </row>
    <row r="16" spans="1:19" s="116" customFormat="1">
      <c r="A16" s="110" t="s">
        <v>155</v>
      </c>
      <c r="B16" s="113">
        <v>38839</v>
      </c>
      <c r="C16" s="113"/>
      <c r="D16" s="538"/>
      <c r="E16" s="114">
        <v>0</v>
      </c>
      <c r="F16" s="113">
        <v>42019</v>
      </c>
      <c r="G16" s="118">
        <v>0</v>
      </c>
      <c r="H16" s="478" t="s">
        <v>23</v>
      </c>
      <c r="I16" s="319">
        <v>99.875</v>
      </c>
      <c r="J16" s="319">
        <v>0</v>
      </c>
      <c r="K16" s="261">
        <f t="shared" si="0"/>
        <v>0</v>
      </c>
      <c r="L16" s="380"/>
      <c r="S16" s="117"/>
    </row>
    <row r="17" spans="1:19" s="532" customFormat="1" ht="17.25" thickBot="1">
      <c r="A17" s="361" t="s">
        <v>166</v>
      </c>
      <c r="B17" s="363"/>
      <c r="C17" s="363"/>
      <c r="D17" s="541"/>
      <c r="E17" s="364">
        <f>SUM(E11:E16)</f>
        <v>0</v>
      </c>
      <c r="F17" s="363"/>
      <c r="G17" s="365">
        <f>SUM(G11:G16)</f>
        <v>0</v>
      </c>
      <c r="H17" s="481"/>
      <c r="I17" s="367"/>
      <c r="J17" s="366"/>
      <c r="K17" s="365">
        <f>SUM(K11:K16)</f>
        <v>0</v>
      </c>
      <c r="L17" s="531"/>
      <c r="S17" s="533"/>
    </row>
    <row r="18" spans="1:19" s="116" customFormat="1" ht="17.25" thickTop="1">
      <c r="A18" s="324" t="s">
        <v>164</v>
      </c>
      <c r="B18" s="313"/>
      <c r="C18" s="313"/>
      <c r="D18" s="539"/>
      <c r="E18" s="314"/>
      <c r="F18" s="313"/>
      <c r="G18" s="316"/>
      <c r="H18" s="479"/>
      <c r="I18" s="323"/>
      <c r="J18" s="318"/>
      <c r="K18" s="316"/>
      <c r="L18" s="380"/>
      <c r="S18" s="117"/>
    </row>
    <row r="19" spans="1:19" s="93" customFormat="1">
      <c r="A19" s="206" t="s">
        <v>99</v>
      </c>
      <c r="B19" s="207" t="s">
        <v>7</v>
      </c>
      <c r="C19" s="207" t="s">
        <v>171</v>
      </c>
      <c r="D19" s="535" t="s">
        <v>170</v>
      </c>
      <c r="E19" s="208" t="s">
        <v>11</v>
      </c>
      <c r="F19" s="207" t="s">
        <v>2</v>
      </c>
      <c r="G19" s="209" t="s">
        <v>12</v>
      </c>
      <c r="H19" s="482" t="s">
        <v>18</v>
      </c>
      <c r="I19" s="209" t="s">
        <v>210</v>
      </c>
      <c r="J19" s="207" t="s">
        <v>216</v>
      </c>
      <c r="K19" s="260" t="s">
        <v>212</v>
      </c>
      <c r="L19" s="377"/>
      <c r="M19"/>
      <c r="N19"/>
      <c r="O19"/>
      <c r="P19"/>
      <c r="Q19"/>
      <c r="S19" s="131" t="s">
        <v>21</v>
      </c>
    </row>
    <row r="20" spans="1:19" s="270" customFormat="1">
      <c r="A20" s="325" t="s">
        <v>629</v>
      </c>
      <c r="B20" s="328" t="s">
        <v>680</v>
      </c>
      <c r="C20" s="328" t="s">
        <v>339</v>
      </c>
      <c r="D20" s="542" t="s">
        <v>339</v>
      </c>
      <c r="E20" s="330">
        <v>-30</v>
      </c>
      <c r="F20" s="330" t="s">
        <v>304</v>
      </c>
      <c r="G20" s="332">
        <v>0</v>
      </c>
      <c r="H20" s="328" t="s">
        <v>685</v>
      </c>
      <c r="I20" s="335">
        <v>113</v>
      </c>
      <c r="J20" s="295">
        <v>112.875</v>
      </c>
      <c r="K20" s="296">
        <f t="shared" ref="K20:K83" si="1">IF(LEFT(A20,2)="TU",(J20-I20)*E20/100*100000*2,(J20-I20)*E20/100*100000)</f>
        <v>3750</v>
      </c>
      <c r="L20" s="381"/>
    </row>
    <row r="21" spans="1:19" s="270" customFormat="1">
      <c r="A21" s="325" t="s">
        <v>629</v>
      </c>
      <c r="B21" s="328" t="s">
        <v>680</v>
      </c>
      <c r="C21" s="328" t="s">
        <v>339</v>
      </c>
      <c r="D21" s="542" t="s">
        <v>339</v>
      </c>
      <c r="E21" s="330">
        <v>-30</v>
      </c>
      <c r="F21" s="330" t="s">
        <v>304</v>
      </c>
      <c r="G21" s="332">
        <v>0</v>
      </c>
      <c r="H21" s="483" t="s">
        <v>686</v>
      </c>
      <c r="I21" s="335">
        <v>113</v>
      </c>
      <c r="J21" s="295">
        <v>112.96875</v>
      </c>
      <c r="K21" s="296">
        <f t="shared" si="1"/>
        <v>937.5</v>
      </c>
      <c r="L21" s="381"/>
    </row>
    <row r="22" spans="1:19" s="270" customFormat="1">
      <c r="A22" s="325" t="s">
        <v>629</v>
      </c>
      <c r="B22" s="328" t="s">
        <v>687</v>
      </c>
      <c r="C22" s="328" t="s">
        <v>339</v>
      </c>
      <c r="D22" s="542" t="s">
        <v>339</v>
      </c>
      <c r="E22" s="330">
        <v>-30</v>
      </c>
      <c r="F22" s="330" t="s">
        <v>304</v>
      </c>
      <c r="G22" s="332">
        <v>0</v>
      </c>
      <c r="H22" s="483" t="s">
        <v>688</v>
      </c>
      <c r="I22" s="335">
        <v>113.03125</v>
      </c>
      <c r="J22" s="295">
        <v>113.171875</v>
      </c>
      <c r="K22" s="296">
        <f t="shared" si="1"/>
        <v>-4218.75</v>
      </c>
      <c r="L22" s="381"/>
    </row>
    <row r="23" spans="1:19" s="270" customFormat="1">
      <c r="A23" s="325" t="s">
        <v>629</v>
      </c>
      <c r="B23" s="328" t="s">
        <v>687</v>
      </c>
      <c r="C23" s="328" t="s">
        <v>339</v>
      </c>
      <c r="D23" s="542" t="s">
        <v>339</v>
      </c>
      <c r="E23" s="330">
        <v>30</v>
      </c>
      <c r="F23" s="330" t="s">
        <v>304</v>
      </c>
      <c r="G23" s="332">
        <v>0</v>
      </c>
      <c r="H23" s="483" t="s">
        <v>695</v>
      </c>
      <c r="I23" s="335">
        <v>113.28125</v>
      </c>
      <c r="J23" s="295">
        <v>113.234375</v>
      </c>
      <c r="K23" s="296">
        <f t="shared" si="1"/>
        <v>-1406.25</v>
      </c>
      <c r="L23" s="381"/>
    </row>
    <row r="24" spans="1:19" s="270" customFormat="1">
      <c r="A24" s="325" t="s">
        <v>629</v>
      </c>
      <c r="B24" s="328" t="s">
        <v>687</v>
      </c>
      <c r="C24" s="328" t="s">
        <v>339</v>
      </c>
      <c r="D24" s="542" t="s">
        <v>339</v>
      </c>
      <c r="E24" s="330">
        <v>30</v>
      </c>
      <c r="F24" s="330" t="s">
        <v>304</v>
      </c>
      <c r="G24" s="332">
        <v>0</v>
      </c>
      <c r="H24" s="483" t="s">
        <v>696</v>
      </c>
      <c r="I24" s="335">
        <v>113.1875</v>
      </c>
      <c r="J24" s="295">
        <v>113.328125</v>
      </c>
      <c r="K24" s="296">
        <f t="shared" si="1"/>
        <v>4218.75</v>
      </c>
      <c r="L24" s="381"/>
    </row>
    <row r="25" spans="1:19" s="270" customFormat="1">
      <c r="A25" s="325" t="s">
        <v>629</v>
      </c>
      <c r="B25" s="328" t="s">
        <v>705</v>
      </c>
      <c r="C25" s="328" t="s">
        <v>339</v>
      </c>
      <c r="D25" s="542" t="s">
        <v>339</v>
      </c>
      <c r="E25" s="330">
        <v>-30</v>
      </c>
      <c r="F25" s="330" t="s">
        <v>304</v>
      </c>
      <c r="G25" s="332">
        <v>0</v>
      </c>
      <c r="H25" s="483" t="s">
        <v>715</v>
      </c>
      <c r="I25" s="335">
        <v>113.0625</v>
      </c>
      <c r="J25" s="295">
        <v>113.296875</v>
      </c>
      <c r="K25" s="296">
        <f t="shared" si="1"/>
        <v>-7031.25</v>
      </c>
      <c r="L25" s="381"/>
    </row>
    <row r="26" spans="1:19" s="270" customFormat="1">
      <c r="A26" s="325" t="s">
        <v>629</v>
      </c>
      <c r="B26" s="328" t="s">
        <v>705</v>
      </c>
      <c r="C26" s="328" t="s">
        <v>339</v>
      </c>
      <c r="D26" s="542" t="s">
        <v>339</v>
      </c>
      <c r="E26" s="330">
        <v>-30</v>
      </c>
      <c r="F26" s="330" t="s">
        <v>304</v>
      </c>
      <c r="G26" s="332">
        <v>0</v>
      </c>
      <c r="H26" s="483" t="s">
        <v>716</v>
      </c>
      <c r="I26" s="335">
        <v>113.03125</v>
      </c>
      <c r="J26" s="295">
        <v>113.03125</v>
      </c>
      <c r="K26" s="296">
        <f t="shared" si="1"/>
        <v>0</v>
      </c>
      <c r="L26" s="381"/>
    </row>
    <row r="27" spans="1:19" s="270" customFormat="1">
      <c r="A27" s="325" t="s">
        <v>629</v>
      </c>
      <c r="B27" s="328" t="s">
        <v>705</v>
      </c>
      <c r="C27" s="328" t="s">
        <v>339</v>
      </c>
      <c r="D27" s="542" t="s">
        <v>339</v>
      </c>
      <c r="E27" s="330">
        <v>-30</v>
      </c>
      <c r="F27" s="330" t="s">
        <v>304</v>
      </c>
      <c r="G27" s="332">
        <v>0</v>
      </c>
      <c r="H27" s="483" t="s">
        <v>717</v>
      </c>
      <c r="I27" s="335">
        <v>112.9375</v>
      </c>
      <c r="J27" s="295">
        <v>112.734375</v>
      </c>
      <c r="K27" s="296">
        <f t="shared" si="1"/>
        <v>6093.75</v>
      </c>
      <c r="L27" s="381"/>
    </row>
    <row r="28" spans="1:19" s="270" customFormat="1">
      <c r="A28" s="325" t="s">
        <v>629</v>
      </c>
      <c r="B28" s="328" t="s">
        <v>705</v>
      </c>
      <c r="C28" s="328" t="s">
        <v>339</v>
      </c>
      <c r="D28" s="542" t="s">
        <v>339</v>
      </c>
      <c r="E28" s="330">
        <v>-30</v>
      </c>
      <c r="F28" s="330" t="s">
        <v>304</v>
      </c>
      <c r="G28" s="332">
        <v>0</v>
      </c>
      <c r="H28" s="483" t="s">
        <v>718</v>
      </c>
      <c r="I28" s="335">
        <v>113.03125</v>
      </c>
      <c r="J28" s="295">
        <v>112.984375</v>
      </c>
      <c r="K28" s="296">
        <f t="shared" si="1"/>
        <v>1406.25</v>
      </c>
      <c r="L28" s="381"/>
    </row>
    <row r="29" spans="1:19" s="270" customFormat="1">
      <c r="A29" s="325" t="s">
        <v>629</v>
      </c>
      <c r="B29" s="328" t="s">
        <v>723</v>
      </c>
      <c r="C29" s="328" t="s">
        <v>339</v>
      </c>
      <c r="D29" s="542" t="s">
        <v>339</v>
      </c>
      <c r="E29" s="330">
        <v>-30</v>
      </c>
      <c r="F29" s="330" t="s">
        <v>304</v>
      </c>
      <c r="G29" s="332">
        <v>0</v>
      </c>
      <c r="H29" s="483" t="s">
        <v>728</v>
      </c>
      <c r="I29" s="335">
        <v>112.90625</v>
      </c>
      <c r="J29" s="295">
        <v>114</v>
      </c>
      <c r="K29" s="296">
        <f t="shared" si="1"/>
        <v>-32812.5</v>
      </c>
      <c r="L29" s="381"/>
    </row>
    <row r="30" spans="1:19" s="270" customFormat="1">
      <c r="A30" s="325" t="s">
        <v>629</v>
      </c>
      <c r="B30" s="328" t="s">
        <v>723</v>
      </c>
      <c r="C30" s="328" t="s">
        <v>339</v>
      </c>
      <c r="D30" s="542" t="s">
        <v>339</v>
      </c>
      <c r="E30" s="330">
        <v>-30</v>
      </c>
      <c r="F30" s="330" t="s">
        <v>304</v>
      </c>
      <c r="G30" s="332">
        <v>0</v>
      </c>
      <c r="H30" s="483" t="s">
        <v>729</v>
      </c>
      <c r="I30" s="335">
        <v>113.15625</v>
      </c>
      <c r="J30" s="295">
        <v>114</v>
      </c>
      <c r="K30" s="296">
        <f t="shared" si="1"/>
        <v>-25312.5</v>
      </c>
      <c r="L30" s="381"/>
    </row>
    <row r="31" spans="1:19" s="270" customFormat="1">
      <c r="A31" s="325" t="s">
        <v>629</v>
      </c>
      <c r="B31" s="328" t="s">
        <v>723</v>
      </c>
      <c r="C31" s="328" t="s">
        <v>339</v>
      </c>
      <c r="D31" s="542" t="s">
        <v>339</v>
      </c>
      <c r="E31" s="330">
        <v>-20</v>
      </c>
      <c r="F31" s="330" t="s">
        <v>304</v>
      </c>
      <c r="G31" s="332">
        <v>2310</v>
      </c>
      <c r="H31" s="483" t="s">
        <v>730</v>
      </c>
      <c r="I31" s="335">
        <v>113.4375</v>
      </c>
      <c r="J31" s="295">
        <v>114.453125</v>
      </c>
      <c r="K31" s="296">
        <f t="shared" si="1"/>
        <v>-20312.5</v>
      </c>
      <c r="L31" s="381"/>
    </row>
    <row r="32" spans="1:19" s="270" customFormat="1">
      <c r="A32" s="325" t="s">
        <v>629</v>
      </c>
      <c r="B32" s="328" t="s">
        <v>723</v>
      </c>
      <c r="C32" s="328" t="s">
        <v>339</v>
      </c>
      <c r="D32" s="542" t="s">
        <v>339</v>
      </c>
      <c r="E32" s="330">
        <v>-10</v>
      </c>
      <c r="F32" s="330" t="s">
        <v>304</v>
      </c>
      <c r="G32" s="332">
        <v>770</v>
      </c>
      <c r="H32" s="483" t="s">
        <v>730</v>
      </c>
      <c r="I32" s="335">
        <v>113.4375</v>
      </c>
      <c r="J32" s="295">
        <v>114.28125</v>
      </c>
      <c r="K32" s="296">
        <f t="shared" si="1"/>
        <v>-8437.5</v>
      </c>
      <c r="L32" s="381"/>
    </row>
    <row r="33" spans="1:12" s="270" customFormat="1">
      <c r="A33" s="325" t="s">
        <v>629</v>
      </c>
      <c r="B33" s="328" t="s">
        <v>741</v>
      </c>
      <c r="C33" s="328" t="s">
        <v>339</v>
      </c>
      <c r="D33" s="542" t="s">
        <v>339</v>
      </c>
      <c r="E33" s="330">
        <v>10</v>
      </c>
      <c r="F33" s="330" t="s">
        <v>304</v>
      </c>
      <c r="G33" s="332">
        <v>-770</v>
      </c>
      <c r="H33" s="483" t="s">
        <v>742</v>
      </c>
      <c r="I33" s="335">
        <v>114.28125</v>
      </c>
      <c r="J33" s="295">
        <v>114.390625</v>
      </c>
      <c r="K33" s="296">
        <f t="shared" si="1"/>
        <v>1093.75</v>
      </c>
      <c r="L33" s="381"/>
    </row>
    <row r="34" spans="1:12" s="270" customFormat="1">
      <c r="A34" s="325" t="s">
        <v>629</v>
      </c>
      <c r="B34" s="328" t="s">
        <v>744</v>
      </c>
      <c r="C34" s="328" t="s">
        <v>339</v>
      </c>
      <c r="D34" s="542" t="s">
        <v>339</v>
      </c>
      <c r="E34" s="330">
        <v>20</v>
      </c>
      <c r="F34" s="330" t="s">
        <v>304</v>
      </c>
      <c r="G34" s="332">
        <v>0</v>
      </c>
      <c r="H34" s="483" t="s">
        <v>748</v>
      </c>
      <c r="I34" s="335">
        <v>114.390625</v>
      </c>
      <c r="J34" s="295">
        <v>114.625</v>
      </c>
      <c r="K34" s="296">
        <f t="shared" si="1"/>
        <v>4687.5</v>
      </c>
      <c r="L34" s="381"/>
    </row>
    <row r="35" spans="1:12" s="270" customFormat="1">
      <c r="A35" s="325" t="s">
        <v>629</v>
      </c>
      <c r="B35" s="328" t="s">
        <v>744</v>
      </c>
      <c r="C35" s="328" t="s">
        <v>339</v>
      </c>
      <c r="D35" s="542" t="s">
        <v>339</v>
      </c>
      <c r="E35" s="330">
        <v>10</v>
      </c>
      <c r="F35" s="330" t="s">
        <v>304</v>
      </c>
      <c r="G35" s="332">
        <v>0</v>
      </c>
      <c r="H35" s="483" t="s">
        <v>766</v>
      </c>
      <c r="I35" s="335">
        <v>114.703125</v>
      </c>
      <c r="J35" s="295">
        <v>115.03125</v>
      </c>
      <c r="K35" s="296">
        <f t="shared" si="1"/>
        <v>3281.25</v>
      </c>
      <c r="L35" s="381"/>
    </row>
    <row r="36" spans="1:12" s="270" customFormat="1">
      <c r="A36" s="325" t="s">
        <v>629</v>
      </c>
      <c r="B36" s="328" t="s">
        <v>744</v>
      </c>
      <c r="C36" s="328" t="s">
        <v>339</v>
      </c>
      <c r="D36" s="542" t="s">
        <v>339</v>
      </c>
      <c r="E36" s="330">
        <v>10</v>
      </c>
      <c r="F36" s="330" t="s">
        <v>304</v>
      </c>
      <c r="G36" s="332">
        <v>0</v>
      </c>
      <c r="H36" s="483" t="s">
        <v>767</v>
      </c>
      <c r="I36" s="335">
        <v>114.78125</v>
      </c>
      <c r="J36" s="295">
        <v>114.59375</v>
      </c>
      <c r="K36" s="296">
        <f t="shared" si="1"/>
        <v>-1875</v>
      </c>
      <c r="L36" s="381"/>
    </row>
    <row r="37" spans="1:12" s="270" customFormat="1">
      <c r="A37" s="325" t="s">
        <v>629</v>
      </c>
      <c r="B37" s="328" t="s">
        <v>776</v>
      </c>
      <c r="C37" s="328" t="s">
        <v>339</v>
      </c>
      <c r="D37" s="542" t="s">
        <v>339</v>
      </c>
      <c r="E37" s="330">
        <v>20</v>
      </c>
      <c r="F37" s="330" t="s">
        <v>304</v>
      </c>
      <c r="G37" s="332">
        <v>0</v>
      </c>
      <c r="H37" s="483" t="s">
        <v>777</v>
      </c>
      <c r="I37" s="335">
        <v>114.90625</v>
      </c>
      <c r="J37" s="295">
        <v>114.765625</v>
      </c>
      <c r="K37" s="296">
        <f t="shared" si="1"/>
        <v>-2812.5</v>
      </c>
      <c r="L37" s="381"/>
    </row>
    <row r="38" spans="1:12" s="270" customFormat="1">
      <c r="A38" s="325" t="s">
        <v>629</v>
      </c>
      <c r="B38" s="328" t="s">
        <v>776</v>
      </c>
      <c r="C38" s="328" t="s">
        <v>339</v>
      </c>
      <c r="D38" s="542" t="s">
        <v>339</v>
      </c>
      <c r="E38" s="330">
        <v>20</v>
      </c>
      <c r="F38" s="330" t="s">
        <v>304</v>
      </c>
      <c r="G38" s="332">
        <v>0</v>
      </c>
      <c r="H38" s="483" t="s">
        <v>779</v>
      </c>
      <c r="I38" s="335">
        <v>114.625</v>
      </c>
      <c r="J38" s="295">
        <v>114.5</v>
      </c>
      <c r="K38" s="296">
        <f t="shared" si="1"/>
        <v>-2500</v>
      </c>
      <c r="L38" s="381"/>
    </row>
    <row r="39" spans="1:12" s="270" customFormat="1">
      <c r="A39" s="325" t="s">
        <v>629</v>
      </c>
      <c r="B39" s="328" t="s">
        <v>781</v>
      </c>
      <c r="C39" s="328" t="s">
        <v>339</v>
      </c>
      <c r="D39" s="542" t="s">
        <v>339</v>
      </c>
      <c r="E39" s="330">
        <v>-20</v>
      </c>
      <c r="F39" s="330" t="s">
        <v>304</v>
      </c>
      <c r="G39" s="332">
        <v>0</v>
      </c>
      <c r="H39" s="483" t="s">
        <v>788</v>
      </c>
      <c r="I39" s="335">
        <v>114.4375</v>
      </c>
      <c r="J39" s="295">
        <v>114.5</v>
      </c>
      <c r="K39" s="296">
        <f t="shared" si="1"/>
        <v>-1250</v>
      </c>
      <c r="L39" s="381"/>
    </row>
    <row r="40" spans="1:12" s="270" customFormat="1">
      <c r="A40" s="325" t="s">
        <v>629</v>
      </c>
      <c r="B40" s="328" t="s">
        <v>786</v>
      </c>
      <c r="C40" s="328" t="s">
        <v>339</v>
      </c>
      <c r="D40" s="542" t="s">
        <v>339</v>
      </c>
      <c r="E40" s="330">
        <v>-10</v>
      </c>
      <c r="F40" s="330" t="s">
        <v>304</v>
      </c>
      <c r="G40" s="332">
        <v>0</v>
      </c>
      <c r="H40" s="483" t="s">
        <v>789</v>
      </c>
      <c r="I40" s="335">
        <v>114.671875</v>
      </c>
      <c r="J40" s="295">
        <v>114.5</v>
      </c>
      <c r="K40" s="296">
        <f t="shared" si="1"/>
        <v>1718.7500000000002</v>
      </c>
      <c r="L40" s="381"/>
    </row>
    <row r="41" spans="1:12" s="270" customFormat="1">
      <c r="A41" s="325" t="s">
        <v>629</v>
      </c>
      <c r="B41" s="328" t="s">
        <v>786</v>
      </c>
      <c r="C41" s="328" t="s">
        <v>339</v>
      </c>
      <c r="D41" s="542" t="s">
        <v>339</v>
      </c>
      <c r="E41" s="330">
        <v>20</v>
      </c>
      <c r="F41" s="330" t="s">
        <v>304</v>
      </c>
      <c r="G41" s="332">
        <v>0</v>
      </c>
      <c r="H41" s="483" t="s">
        <v>790</v>
      </c>
      <c r="I41" s="335">
        <v>115</v>
      </c>
      <c r="J41" s="295">
        <v>114.9375</v>
      </c>
      <c r="K41" s="296">
        <f t="shared" si="1"/>
        <v>-1250</v>
      </c>
      <c r="L41" s="381"/>
    </row>
    <row r="42" spans="1:12" s="270" customFormat="1">
      <c r="A42" s="325" t="s">
        <v>629</v>
      </c>
      <c r="B42" s="328" t="s">
        <v>786</v>
      </c>
      <c r="C42" s="328" t="s">
        <v>339</v>
      </c>
      <c r="D42" s="542" t="s">
        <v>339</v>
      </c>
      <c r="E42" s="330">
        <v>-20</v>
      </c>
      <c r="F42" s="330" t="s">
        <v>304</v>
      </c>
      <c r="G42" s="332">
        <v>0</v>
      </c>
      <c r="H42" s="483" t="s">
        <v>810</v>
      </c>
      <c r="I42" s="335">
        <v>114.953125</v>
      </c>
      <c r="J42" s="295">
        <v>115.34375</v>
      </c>
      <c r="K42" s="296">
        <f t="shared" si="1"/>
        <v>-7812.5</v>
      </c>
      <c r="L42" s="381"/>
    </row>
    <row r="43" spans="1:12" s="270" customFormat="1">
      <c r="A43" s="325" t="s">
        <v>629</v>
      </c>
      <c r="B43" s="328" t="s">
        <v>786</v>
      </c>
      <c r="C43" s="328" t="s">
        <v>339</v>
      </c>
      <c r="D43" s="542" t="s">
        <v>339</v>
      </c>
      <c r="E43" s="330">
        <v>-20</v>
      </c>
      <c r="F43" s="330" t="s">
        <v>304</v>
      </c>
      <c r="G43" s="332">
        <v>0</v>
      </c>
      <c r="H43" s="483" t="s">
        <v>811</v>
      </c>
      <c r="I43" s="335">
        <v>115.71875</v>
      </c>
      <c r="J43" s="295">
        <v>115.90625</v>
      </c>
      <c r="K43" s="296">
        <f t="shared" si="1"/>
        <v>-3750</v>
      </c>
      <c r="L43" s="381"/>
    </row>
    <row r="44" spans="1:12" s="270" customFormat="1">
      <c r="A44" s="325" t="s">
        <v>629</v>
      </c>
      <c r="B44" s="328" t="s">
        <v>797</v>
      </c>
      <c r="C44" s="328" t="s">
        <v>339</v>
      </c>
      <c r="D44" s="542" t="s">
        <v>339</v>
      </c>
      <c r="E44" s="330">
        <v>-20</v>
      </c>
      <c r="F44" s="330" t="s">
        <v>304</v>
      </c>
      <c r="G44" s="332">
        <v>0</v>
      </c>
      <c r="H44" s="483" t="s">
        <v>812</v>
      </c>
      <c r="I44" s="335">
        <v>116.0625</v>
      </c>
      <c r="J44" s="295">
        <v>116.171875</v>
      </c>
      <c r="K44" s="296">
        <f t="shared" si="1"/>
        <v>-2187.5</v>
      </c>
      <c r="L44" s="381"/>
    </row>
    <row r="45" spans="1:12" s="270" customFormat="1">
      <c r="A45" s="325" t="s">
        <v>629</v>
      </c>
      <c r="B45" s="328" t="s">
        <v>797</v>
      </c>
      <c r="C45" s="328" t="s">
        <v>339</v>
      </c>
      <c r="D45" s="542" t="s">
        <v>339</v>
      </c>
      <c r="E45" s="330">
        <v>-20</v>
      </c>
      <c r="F45" s="330" t="s">
        <v>304</v>
      </c>
      <c r="G45" s="332">
        <v>0</v>
      </c>
      <c r="H45" s="483" t="s">
        <v>813</v>
      </c>
      <c r="I45" s="335">
        <v>116.109375</v>
      </c>
      <c r="J45" s="295">
        <v>116.03125</v>
      </c>
      <c r="K45" s="296">
        <f t="shared" si="1"/>
        <v>1562.5</v>
      </c>
      <c r="L45" s="381"/>
    </row>
    <row r="46" spans="1:12" s="270" customFormat="1">
      <c r="A46" s="325" t="s">
        <v>629</v>
      </c>
      <c r="B46" s="328" t="s">
        <v>786</v>
      </c>
      <c r="C46" s="328" t="s">
        <v>339</v>
      </c>
      <c r="D46" s="542" t="s">
        <v>339</v>
      </c>
      <c r="E46" s="330">
        <v>20</v>
      </c>
      <c r="F46" s="330" t="s">
        <v>304</v>
      </c>
      <c r="G46" s="332">
        <v>-1540</v>
      </c>
      <c r="H46" s="483" t="s">
        <v>791</v>
      </c>
      <c r="I46" s="335">
        <v>114.921875</v>
      </c>
      <c r="J46" s="295">
        <v>115.90625</v>
      </c>
      <c r="K46" s="296">
        <f t="shared" si="1"/>
        <v>19687.5</v>
      </c>
      <c r="L46" s="381"/>
    </row>
    <row r="47" spans="1:12" s="270" customFormat="1">
      <c r="A47" s="325" t="s">
        <v>629</v>
      </c>
      <c r="B47" s="328" t="s">
        <v>797</v>
      </c>
      <c r="C47" s="328" t="s">
        <v>339</v>
      </c>
      <c r="D47" s="542" t="s">
        <v>339</v>
      </c>
      <c r="E47" s="330">
        <v>20</v>
      </c>
      <c r="F47" s="330" t="s">
        <v>304</v>
      </c>
      <c r="G47" s="332">
        <v>0</v>
      </c>
      <c r="H47" s="483" t="s">
        <v>832</v>
      </c>
      <c r="I47" s="335">
        <v>115.828125</v>
      </c>
      <c r="J47" s="295">
        <v>115.546875</v>
      </c>
      <c r="K47" s="296">
        <f t="shared" si="1"/>
        <v>-5625</v>
      </c>
      <c r="L47" s="381"/>
    </row>
    <row r="48" spans="1:12" s="270" customFormat="1">
      <c r="A48" s="325" t="s">
        <v>629</v>
      </c>
      <c r="B48" s="328" t="s">
        <v>833</v>
      </c>
      <c r="C48" s="328" t="s">
        <v>339</v>
      </c>
      <c r="D48" s="542" t="s">
        <v>339</v>
      </c>
      <c r="E48" s="330">
        <v>-20</v>
      </c>
      <c r="F48" s="330" t="s">
        <v>304</v>
      </c>
      <c r="G48" s="332">
        <v>0</v>
      </c>
      <c r="H48" s="483" t="s">
        <v>834</v>
      </c>
      <c r="I48" s="335">
        <v>114.75</v>
      </c>
      <c r="J48" s="295">
        <v>114.6875</v>
      </c>
      <c r="K48" s="296">
        <f t="shared" si="1"/>
        <v>1250</v>
      </c>
      <c r="L48" s="381"/>
    </row>
    <row r="49" spans="1:12" s="270" customFormat="1">
      <c r="A49" s="325" t="s">
        <v>629</v>
      </c>
      <c r="B49" s="328" t="s">
        <v>835</v>
      </c>
      <c r="C49" s="328" t="s">
        <v>339</v>
      </c>
      <c r="D49" s="542" t="s">
        <v>339</v>
      </c>
      <c r="E49" s="330">
        <v>20</v>
      </c>
      <c r="F49" s="330" t="s">
        <v>304</v>
      </c>
      <c r="G49" s="332">
        <v>0</v>
      </c>
      <c r="H49" s="483" t="s">
        <v>836</v>
      </c>
      <c r="I49" s="335">
        <v>114.828125</v>
      </c>
      <c r="J49" s="295">
        <v>114.578125</v>
      </c>
      <c r="K49" s="296">
        <f t="shared" si="1"/>
        <v>-5000</v>
      </c>
      <c r="L49" s="381"/>
    </row>
    <row r="50" spans="1:12" s="270" customFormat="1">
      <c r="A50" s="325" t="s">
        <v>629</v>
      </c>
      <c r="B50" s="328" t="s">
        <v>827</v>
      </c>
      <c r="C50" s="328" t="s">
        <v>339</v>
      </c>
      <c r="D50" s="542" t="s">
        <v>339</v>
      </c>
      <c r="E50" s="330">
        <v>20</v>
      </c>
      <c r="F50" s="330" t="s">
        <v>304</v>
      </c>
      <c r="G50" s="332">
        <v>0</v>
      </c>
      <c r="H50" s="483" t="s">
        <v>837</v>
      </c>
      <c r="I50" s="335">
        <v>115.15625</v>
      </c>
      <c r="J50" s="295">
        <v>115.25</v>
      </c>
      <c r="K50" s="296">
        <f t="shared" si="1"/>
        <v>1875</v>
      </c>
      <c r="L50" s="381"/>
    </row>
    <row r="51" spans="1:12" s="270" customFormat="1">
      <c r="A51" s="325" t="s">
        <v>629</v>
      </c>
      <c r="B51" s="328" t="s">
        <v>819</v>
      </c>
      <c r="C51" s="328" t="s">
        <v>339</v>
      </c>
      <c r="D51" s="542" t="s">
        <v>339</v>
      </c>
      <c r="E51" s="330">
        <v>-20</v>
      </c>
      <c r="F51" s="330" t="s">
        <v>304</v>
      </c>
      <c r="G51" s="332">
        <v>0</v>
      </c>
      <c r="H51" s="483" t="s">
        <v>838</v>
      </c>
      <c r="I51" s="335">
        <v>114.625</v>
      </c>
      <c r="J51" s="295">
        <v>114.75</v>
      </c>
      <c r="K51" s="296">
        <f t="shared" si="1"/>
        <v>-2500</v>
      </c>
      <c r="L51" s="381"/>
    </row>
    <row r="52" spans="1:12" s="270" customFormat="1">
      <c r="A52" s="325" t="s">
        <v>629</v>
      </c>
      <c r="B52" s="328" t="s">
        <v>858</v>
      </c>
      <c r="C52" s="328" t="s">
        <v>339</v>
      </c>
      <c r="D52" s="542" t="s">
        <v>339</v>
      </c>
      <c r="E52" s="330">
        <v>-20</v>
      </c>
      <c r="F52" s="330" t="s">
        <v>304</v>
      </c>
      <c r="G52" s="332">
        <v>0</v>
      </c>
      <c r="H52" s="483" t="s">
        <v>864</v>
      </c>
      <c r="I52" s="335">
        <v>114.46875</v>
      </c>
      <c r="J52" s="295">
        <v>114.390625</v>
      </c>
      <c r="K52" s="296">
        <f t="shared" si="1"/>
        <v>1562.5</v>
      </c>
      <c r="L52" s="381"/>
    </row>
    <row r="53" spans="1:12" s="270" customFormat="1">
      <c r="A53" s="325" t="s">
        <v>629</v>
      </c>
      <c r="B53" s="328" t="s">
        <v>862</v>
      </c>
      <c r="C53" s="328" t="s">
        <v>339</v>
      </c>
      <c r="D53" s="542" t="s">
        <v>339</v>
      </c>
      <c r="E53" s="330">
        <v>-30</v>
      </c>
      <c r="F53" s="330" t="s">
        <v>304</v>
      </c>
      <c r="G53" s="332">
        <v>0</v>
      </c>
      <c r="H53" s="483" t="s">
        <v>865</v>
      </c>
      <c r="I53" s="335">
        <v>114.78125</v>
      </c>
      <c r="J53" s="295">
        <v>114.9375</v>
      </c>
      <c r="K53" s="296">
        <f t="shared" si="1"/>
        <v>-4687.5</v>
      </c>
      <c r="L53" s="381"/>
    </row>
    <row r="54" spans="1:12" s="270" customFormat="1">
      <c r="A54" s="325" t="s">
        <v>629</v>
      </c>
      <c r="B54" s="328" t="s">
        <v>862</v>
      </c>
      <c r="C54" s="328" t="s">
        <v>339</v>
      </c>
      <c r="D54" s="542" t="s">
        <v>339</v>
      </c>
      <c r="E54" s="330">
        <v>-20</v>
      </c>
      <c r="F54" s="330" t="s">
        <v>304</v>
      </c>
      <c r="G54" s="332">
        <v>0</v>
      </c>
      <c r="H54" s="483" t="s">
        <v>873</v>
      </c>
      <c r="I54" s="335">
        <v>114.8125</v>
      </c>
      <c r="J54" s="295">
        <v>114.78125</v>
      </c>
      <c r="K54" s="296">
        <f t="shared" si="1"/>
        <v>625</v>
      </c>
      <c r="L54" s="381"/>
    </row>
    <row r="55" spans="1:12" s="270" customFormat="1">
      <c r="A55" s="325" t="s">
        <v>629</v>
      </c>
      <c r="B55" s="328" t="s">
        <v>862</v>
      </c>
      <c r="C55" s="328" t="s">
        <v>339</v>
      </c>
      <c r="D55" s="542" t="s">
        <v>339</v>
      </c>
      <c r="E55" s="330">
        <v>-20</v>
      </c>
      <c r="F55" s="330" t="s">
        <v>304</v>
      </c>
      <c r="G55" s="332">
        <v>0</v>
      </c>
      <c r="H55" s="483" t="s">
        <v>874</v>
      </c>
      <c r="I55" s="335">
        <v>114.75</v>
      </c>
      <c r="J55" s="295">
        <v>115.34375</v>
      </c>
      <c r="K55" s="296">
        <f t="shared" si="1"/>
        <v>-11875</v>
      </c>
      <c r="L55" s="381"/>
    </row>
    <row r="56" spans="1:12" s="270" customFormat="1">
      <c r="A56" s="325" t="s">
        <v>629</v>
      </c>
      <c r="B56" s="328" t="s">
        <v>862</v>
      </c>
      <c r="C56" s="328" t="s">
        <v>339</v>
      </c>
      <c r="D56" s="542" t="s">
        <v>339</v>
      </c>
      <c r="E56" s="330">
        <v>-30</v>
      </c>
      <c r="F56" s="330" t="s">
        <v>304</v>
      </c>
      <c r="G56" s="332">
        <v>2310</v>
      </c>
      <c r="H56" s="483" t="s">
        <v>866</v>
      </c>
      <c r="I56" s="335">
        <v>114.90625</v>
      </c>
      <c r="J56" s="295">
        <v>114.859375</v>
      </c>
      <c r="K56" s="296">
        <f t="shared" si="1"/>
        <v>1406.25</v>
      </c>
      <c r="L56" s="381"/>
    </row>
    <row r="57" spans="1:12" s="270" customFormat="1">
      <c r="A57" s="325" t="s">
        <v>629</v>
      </c>
      <c r="B57" s="328" t="s">
        <v>876</v>
      </c>
      <c r="C57" s="328" t="s">
        <v>339</v>
      </c>
      <c r="D57" s="542" t="s">
        <v>339</v>
      </c>
      <c r="E57" s="330">
        <v>20</v>
      </c>
      <c r="F57" s="330" t="s">
        <v>304</v>
      </c>
      <c r="G57" s="332">
        <v>0</v>
      </c>
      <c r="H57" s="483" t="s">
        <v>878</v>
      </c>
      <c r="I57" s="335">
        <v>115.625</v>
      </c>
      <c r="J57" s="295">
        <v>115.796875</v>
      </c>
      <c r="K57" s="296">
        <f t="shared" si="1"/>
        <v>3437.5000000000005</v>
      </c>
      <c r="L57" s="381"/>
    </row>
    <row r="58" spans="1:12" s="270" customFormat="1">
      <c r="A58" s="325" t="s">
        <v>629</v>
      </c>
      <c r="B58" s="328" t="s">
        <v>876</v>
      </c>
      <c r="C58" s="328" t="s">
        <v>339</v>
      </c>
      <c r="D58" s="542" t="s">
        <v>339</v>
      </c>
      <c r="E58" s="330">
        <v>20</v>
      </c>
      <c r="F58" s="330" t="s">
        <v>304</v>
      </c>
      <c r="G58" s="332">
        <v>0</v>
      </c>
      <c r="H58" s="483" t="s">
        <v>879</v>
      </c>
      <c r="I58" s="335">
        <v>115.6875</v>
      </c>
      <c r="J58" s="295">
        <v>115.78125</v>
      </c>
      <c r="K58" s="296">
        <f t="shared" si="1"/>
        <v>1875</v>
      </c>
      <c r="L58" s="381"/>
    </row>
    <row r="59" spans="1:12" s="270" customFormat="1">
      <c r="A59" s="325" t="s">
        <v>629</v>
      </c>
      <c r="B59" s="328" t="s">
        <v>876</v>
      </c>
      <c r="C59" s="328" t="s">
        <v>339</v>
      </c>
      <c r="D59" s="542" t="s">
        <v>339</v>
      </c>
      <c r="E59" s="330">
        <v>20</v>
      </c>
      <c r="F59" s="330" t="s">
        <v>304</v>
      </c>
      <c r="G59" s="332">
        <v>0</v>
      </c>
      <c r="H59" s="483" t="s">
        <v>880</v>
      </c>
      <c r="I59" s="335">
        <v>115.9375</v>
      </c>
      <c r="J59" s="295">
        <v>115.890625</v>
      </c>
      <c r="K59" s="296">
        <f t="shared" si="1"/>
        <v>-937.5</v>
      </c>
      <c r="L59" s="381"/>
    </row>
    <row r="60" spans="1:12" s="270" customFormat="1">
      <c r="A60" s="325" t="s">
        <v>629</v>
      </c>
      <c r="B60" s="328" t="s">
        <v>876</v>
      </c>
      <c r="C60" s="328" t="s">
        <v>339</v>
      </c>
      <c r="D60" s="542" t="s">
        <v>339</v>
      </c>
      <c r="E60" s="330">
        <v>20</v>
      </c>
      <c r="F60" s="330" t="s">
        <v>304</v>
      </c>
      <c r="G60" s="332">
        <v>0</v>
      </c>
      <c r="H60" s="483" t="s">
        <v>881</v>
      </c>
      <c r="I60" s="335">
        <v>115.625</v>
      </c>
      <c r="J60" s="295">
        <v>115.546875</v>
      </c>
      <c r="K60" s="296">
        <f t="shared" si="1"/>
        <v>-1562.5</v>
      </c>
      <c r="L60" s="381"/>
    </row>
    <row r="61" spans="1:12" s="270" customFormat="1">
      <c r="A61" s="325" t="s">
        <v>629</v>
      </c>
      <c r="B61" s="328" t="s">
        <v>876</v>
      </c>
      <c r="C61" s="328" t="s">
        <v>339</v>
      </c>
      <c r="D61" s="542" t="s">
        <v>339</v>
      </c>
      <c r="E61" s="330">
        <v>20</v>
      </c>
      <c r="F61" s="330" t="s">
        <v>304</v>
      </c>
      <c r="G61" s="332">
        <v>0</v>
      </c>
      <c r="H61" s="483" t="s">
        <v>882</v>
      </c>
      <c r="I61" s="335">
        <v>115.578125</v>
      </c>
      <c r="J61" s="295">
        <v>115.546875</v>
      </c>
      <c r="K61" s="296">
        <f t="shared" si="1"/>
        <v>-625</v>
      </c>
      <c r="L61" s="381"/>
    </row>
    <row r="62" spans="1:12" s="270" customFormat="1">
      <c r="A62" s="325" t="s">
        <v>629</v>
      </c>
      <c r="B62" s="328" t="s">
        <v>876</v>
      </c>
      <c r="C62" s="328" t="s">
        <v>339</v>
      </c>
      <c r="D62" s="542" t="s">
        <v>339</v>
      </c>
      <c r="E62" s="330">
        <v>20</v>
      </c>
      <c r="F62" s="330" t="s">
        <v>304</v>
      </c>
      <c r="G62" s="332">
        <v>0</v>
      </c>
      <c r="H62" s="483" t="s">
        <v>883</v>
      </c>
      <c r="I62" s="335">
        <v>115.609375</v>
      </c>
      <c r="J62" s="295">
        <v>115.640625</v>
      </c>
      <c r="K62" s="296">
        <f t="shared" si="1"/>
        <v>625</v>
      </c>
      <c r="L62" s="381"/>
    </row>
    <row r="63" spans="1:12" s="270" customFormat="1">
      <c r="A63" s="325" t="s">
        <v>629</v>
      </c>
      <c r="B63" s="328" t="s">
        <v>916</v>
      </c>
      <c r="C63" s="328" t="s">
        <v>339</v>
      </c>
      <c r="D63" s="542" t="s">
        <v>339</v>
      </c>
      <c r="E63" s="330">
        <v>-20</v>
      </c>
      <c r="F63" s="330" t="s">
        <v>304</v>
      </c>
      <c r="G63" s="332">
        <v>0</v>
      </c>
      <c r="H63" s="483" t="s">
        <v>928</v>
      </c>
      <c r="I63" s="335">
        <v>114.75</v>
      </c>
      <c r="J63" s="295">
        <v>114.625</v>
      </c>
      <c r="K63" s="296">
        <f t="shared" si="1"/>
        <v>2500</v>
      </c>
      <c r="L63" s="381"/>
    </row>
    <row r="64" spans="1:12" s="270" customFormat="1">
      <c r="A64" s="325" t="s">
        <v>629</v>
      </c>
      <c r="B64" s="328" t="s">
        <v>935</v>
      </c>
      <c r="C64" s="328" t="s">
        <v>339</v>
      </c>
      <c r="D64" s="542" t="s">
        <v>339</v>
      </c>
      <c r="E64" s="330">
        <v>-20</v>
      </c>
      <c r="F64" s="330" t="s">
        <v>304</v>
      </c>
      <c r="G64" s="332">
        <v>0</v>
      </c>
      <c r="H64" s="483" t="s">
        <v>943</v>
      </c>
      <c r="I64" s="335">
        <v>113.4375</v>
      </c>
      <c r="J64" s="295">
        <v>113.59375</v>
      </c>
      <c r="K64" s="296">
        <f t="shared" si="1"/>
        <v>-3125</v>
      </c>
      <c r="L64" s="381"/>
    </row>
    <row r="65" spans="1:12" s="270" customFormat="1">
      <c r="A65" s="325" t="s">
        <v>629</v>
      </c>
      <c r="B65" s="328" t="s">
        <v>939</v>
      </c>
      <c r="C65" s="328" t="s">
        <v>339</v>
      </c>
      <c r="D65" s="542" t="s">
        <v>339</v>
      </c>
      <c r="E65" s="330">
        <v>-20</v>
      </c>
      <c r="F65" s="330" t="s">
        <v>304</v>
      </c>
      <c r="G65" s="332">
        <v>0</v>
      </c>
      <c r="H65" s="483" t="s">
        <v>944</v>
      </c>
      <c r="I65" s="335">
        <v>113.625</v>
      </c>
      <c r="J65" s="295">
        <v>113.671875</v>
      </c>
      <c r="K65" s="296">
        <f t="shared" si="1"/>
        <v>-937.5</v>
      </c>
      <c r="L65" s="381"/>
    </row>
    <row r="66" spans="1:12" s="270" customFormat="1">
      <c r="A66" s="325" t="s">
        <v>629</v>
      </c>
      <c r="B66" s="333" t="s">
        <v>952</v>
      </c>
      <c r="C66" s="333" t="s">
        <v>339</v>
      </c>
      <c r="D66" s="819" t="s">
        <v>339</v>
      </c>
      <c r="E66" s="325">
        <v>20</v>
      </c>
      <c r="F66" s="325" t="s">
        <v>304</v>
      </c>
      <c r="G66" s="333">
        <v>0</v>
      </c>
      <c r="H66" s="334" t="s">
        <v>958</v>
      </c>
      <c r="I66" s="820">
        <v>113.265625</v>
      </c>
      <c r="J66" s="818">
        <v>113.46875</v>
      </c>
      <c r="K66" s="296">
        <f t="shared" si="1"/>
        <v>4062.5</v>
      </c>
      <c r="L66" s="381"/>
    </row>
    <row r="67" spans="1:12" s="270" customFormat="1">
      <c r="A67" s="325" t="s">
        <v>629</v>
      </c>
      <c r="B67" s="328" t="s">
        <v>939</v>
      </c>
      <c r="C67" s="328" t="s">
        <v>339</v>
      </c>
      <c r="D67" s="542" t="s">
        <v>339</v>
      </c>
      <c r="E67" s="330">
        <v>-20</v>
      </c>
      <c r="F67" s="330" t="s">
        <v>304</v>
      </c>
      <c r="G67" s="332">
        <v>1540</v>
      </c>
      <c r="H67" s="483" t="s">
        <v>945</v>
      </c>
      <c r="I67" s="335">
        <v>113.53125</v>
      </c>
      <c r="J67" s="295">
        <v>113.4375</v>
      </c>
      <c r="K67" s="296">
        <f t="shared" si="1"/>
        <v>1875</v>
      </c>
      <c r="L67" s="381"/>
    </row>
    <row r="68" spans="1:12" s="270" customFormat="1">
      <c r="A68" s="325" t="s">
        <v>629</v>
      </c>
      <c r="B68" s="328" t="s">
        <v>961</v>
      </c>
      <c r="C68" s="328" t="s">
        <v>339</v>
      </c>
      <c r="D68" s="542" t="s">
        <v>339</v>
      </c>
      <c r="E68" s="330">
        <v>-20</v>
      </c>
      <c r="F68" s="330" t="s">
        <v>304</v>
      </c>
      <c r="G68" s="332">
        <v>0</v>
      </c>
      <c r="H68" s="483" t="s">
        <v>964</v>
      </c>
      <c r="I68" s="335">
        <v>113.5625</v>
      </c>
      <c r="J68" s="295">
        <v>113.46875</v>
      </c>
      <c r="K68" s="296">
        <f t="shared" si="1"/>
        <v>1875</v>
      </c>
      <c r="L68" s="381"/>
    </row>
    <row r="69" spans="1:12" s="270" customFormat="1">
      <c r="A69" s="325" t="s">
        <v>629</v>
      </c>
      <c r="B69" s="328" t="s">
        <v>961</v>
      </c>
      <c r="C69" s="328" t="s">
        <v>339</v>
      </c>
      <c r="D69" s="542" t="s">
        <v>339</v>
      </c>
      <c r="E69" s="330">
        <v>-20</v>
      </c>
      <c r="F69" s="330" t="s">
        <v>304</v>
      </c>
      <c r="G69" s="332">
        <v>0</v>
      </c>
      <c r="H69" s="483" t="s">
        <v>965</v>
      </c>
      <c r="I69" s="335">
        <v>113.53125</v>
      </c>
      <c r="J69" s="295">
        <v>113.59375</v>
      </c>
      <c r="K69" s="296">
        <f t="shared" si="1"/>
        <v>-1250</v>
      </c>
      <c r="L69" s="381"/>
    </row>
    <row r="70" spans="1:12" s="270" customFormat="1">
      <c r="A70" s="325" t="s">
        <v>629</v>
      </c>
      <c r="B70" s="328" t="s">
        <v>961</v>
      </c>
      <c r="C70" s="328" t="s">
        <v>339</v>
      </c>
      <c r="D70" s="542" t="s">
        <v>339</v>
      </c>
      <c r="E70" s="330">
        <v>-20</v>
      </c>
      <c r="F70" s="330" t="s">
        <v>304</v>
      </c>
      <c r="G70" s="332">
        <v>0</v>
      </c>
      <c r="H70" s="483" t="s">
        <v>980</v>
      </c>
      <c r="I70" s="335">
        <v>113.59375</v>
      </c>
      <c r="J70" s="295">
        <v>113.71875</v>
      </c>
      <c r="K70" s="296">
        <f t="shared" si="1"/>
        <v>-2500</v>
      </c>
      <c r="L70" s="381"/>
    </row>
    <row r="71" spans="1:12" s="270" customFormat="1">
      <c r="A71" s="325" t="s">
        <v>629</v>
      </c>
      <c r="B71" s="328" t="s">
        <v>961</v>
      </c>
      <c r="C71" s="328" t="s">
        <v>339</v>
      </c>
      <c r="D71" s="542" t="s">
        <v>339</v>
      </c>
      <c r="E71" s="330">
        <v>-20</v>
      </c>
      <c r="F71" s="330" t="s">
        <v>304</v>
      </c>
      <c r="G71" s="332">
        <v>0</v>
      </c>
      <c r="H71" s="483" t="s">
        <v>981</v>
      </c>
      <c r="I71" s="335">
        <v>113.203125</v>
      </c>
      <c r="J71" s="295">
        <v>113.0625</v>
      </c>
      <c r="K71" s="296">
        <f t="shared" si="1"/>
        <v>2812.5</v>
      </c>
      <c r="L71" s="381"/>
    </row>
    <row r="72" spans="1:12" s="270" customFormat="1">
      <c r="A72" s="325" t="s">
        <v>629</v>
      </c>
      <c r="B72" s="328" t="s">
        <v>975</v>
      </c>
      <c r="C72" s="328" t="s">
        <v>339</v>
      </c>
      <c r="D72" s="542" t="s">
        <v>339</v>
      </c>
      <c r="E72" s="330">
        <v>-20</v>
      </c>
      <c r="F72" s="330" t="s">
        <v>304</v>
      </c>
      <c r="G72" s="332">
        <v>0</v>
      </c>
      <c r="H72" s="483" t="s">
        <v>982</v>
      </c>
      <c r="I72" s="335">
        <v>113.1875</v>
      </c>
      <c r="J72" s="295">
        <v>113.03125</v>
      </c>
      <c r="K72" s="296">
        <f t="shared" si="1"/>
        <v>3125</v>
      </c>
      <c r="L72" s="381"/>
    </row>
    <row r="73" spans="1:12" s="270" customFormat="1">
      <c r="A73" s="325" t="s">
        <v>629</v>
      </c>
      <c r="B73" s="328" t="s">
        <v>975</v>
      </c>
      <c r="C73" s="328" t="s">
        <v>339</v>
      </c>
      <c r="D73" s="542" t="s">
        <v>339</v>
      </c>
      <c r="E73" s="330">
        <v>-20</v>
      </c>
      <c r="F73" s="330" t="s">
        <v>304</v>
      </c>
      <c r="G73" s="332">
        <v>0</v>
      </c>
      <c r="H73" s="483" t="s">
        <v>992</v>
      </c>
      <c r="I73" s="335">
        <v>112.9375</v>
      </c>
      <c r="J73" s="295">
        <v>113</v>
      </c>
      <c r="K73" s="296">
        <f t="shared" si="1"/>
        <v>-1250</v>
      </c>
      <c r="L73" s="381"/>
    </row>
    <row r="74" spans="1:12" s="270" customFormat="1">
      <c r="A74" s="325" t="s">
        <v>629</v>
      </c>
      <c r="B74" s="328" t="s">
        <v>975</v>
      </c>
      <c r="C74" s="328" t="s">
        <v>339</v>
      </c>
      <c r="D74" s="542" t="s">
        <v>339</v>
      </c>
      <c r="E74" s="330">
        <v>-20</v>
      </c>
      <c r="F74" s="330" t="s">
        <v>304</v>
      </c>
      <c r="G74" s="332">
        <v>0</v>
      </c>
      <c r="H74" s="483" t="s">
        <v>993</v>
      </c>
      <c r="I74" s="335">
        <v>112.84375</v>
      </c>
      <c r="J74" s="295">
        <v>112.671875</v>
      </c>
      <c r="K74" s="296">
        <f t="shared" si="1"/>
        <v>3437.5000000000005</v>
      </c>
      <c r="L74" s="381"/>
    </row>
    <row r="75" spans="1:12" s="270" customFormat="1">
      <c r="A75" s="325" t="s">
        <v>629</v>
      </c>
      <c r="B75" s="328" t="s">
        <v>994</v>
      </c>
      <c r="C75" s="328" t="s">
        <v>339</v>
      </c>
      <c r="D75" s="542" t="s">
        <v>339</v>
      </c>
      <c r="E75" s="330">
        <v>20</v>
      </c>
      <c r="F75" s="330" t="s">
        <v>304</v>
      </c>
      <c r="G75" s="332">
        <v>0</v>
      </c>
      <c r="H75" s="483" t="s">
        <v>995</v>
      </c>
      <c r="I75" s="335">
        <v>112.9375</v>
      </c>
      <c r="J75" s="295">
        <v>113.03125</v>
      </c>
      <c r="K75" s="296">
        <f t="shared" si="1"/>
        <v>1875</v>
      </c>
      <c r="L75" s="381"/>
    </row>
    <row r="76" spans="1:12" s="270" customFormat="1">
      <c r="A76" s="325" t="s">
        <v>629</v>
      </c>
      <c r="B76" s="328" t="s">
        <v>994</v>
      </c>
      <c r="C76" s="328" t="s">
        <v>339</v>
      </c>
      <c r="D76" s="542" t="s">
        <v>339</v>
      </c>
      <c r="E76" s="330">
        <v>20</v>
      </c>
      <c r="F76" s="330" t="s">
        <v>304</v>
      </c>
      <c r="G76" s="332">
        <v>0</v>
      </c>
      <c r="H76" s="483" t="s">
        <v>1007</v>
      </c>
      <c r="I76" s="335">
        <v>112.96875</v>
      </c>
      <c r="J76" s="295">
        <v>112.875</v>
      </c>
      <c r="K76" s="296">
        <f t="shared" si="1"/>
        <v>-1875</v>
      </c>
      <c r="L76" s="381"/>
    </row>
    <row r="77" spans="1:12" s="270" customFormat="1">
      <c r="A77" s="325" t="s">
        <v>629</v>
      </c>
      <c r="B77" s="328" t="s">
        <v>994</v>
      </c>
      <c r="C77" s="328" t="s">
        <v>339</v>
      </c>
      <c r="D77" s="542" t="s">
        <v>339</v>
      </c>
      <c r="E77" s="330">
        <v>20</v>
      </c>
      <c r="F77" s="330" t="s">
        <v>304</v>
      </c>
      <c r="G77" s="332">
        <v>0</v>
      </c>
      <c r="H77" s="483" t="s">
        <v>1008</v>
      </c>
      <c r="I77" s="335">
        <v>112.59375</v>
      </c>
      <c r="J77" s="295">
        <v>112.875</v>
      </c>
      <c r="K77" s="296">
        <f t="shared" si="1"/>
        <v>5625</v>
      </c>
      <c r="L77" s="381"/>
    </row>
    <row r="78" spans="1:12" s="270" customFormat="1">
      <c r="A78" s="325" t="s">
        <v>629</v>
      </c>
      <c r="B78" s="328" t="s">
        <v>1005</v>
      </c>
      <c r="C78" s="328" t="s">
        <v>339</v>
      </c>
      <c r="D78" s="542" t="s">
        <v>339</v>
      </c>
      <c r="E78" s="330">
        <v>20</v>
      </c>
      <c r="F78" s="330" t="s">
        <v>304</v>
      </c>
      <c r="G78" s="332">
        <v>0</v>
      </c>
      <c r="H78" s="483" t="s">
        <v>1018</v>
      </c>
      <c r="I78" s="335">
        <v>112.53125</v>
      </c>
      <c r="J78" s="295">
        <v>112.09375</v>
      </c>
      <c r="K78" s="296">
        <f t="shared" si="1"/>
        <v>-8750</v>
      </c>
      <c r="L78" s="381"/>
    </row>
    <row r="79" spans="1:12" s="270" customFormat="1">
      <c r="A79" s="325" t="s">
        <v>629</v>
      </c>
      <c r="B79" s="328" t="s">
        <v>1005</v>
      </c>
      <c r="C79" s="328" t="s">
        <v>339</v>
      </c>
      <c r="D79" s="542" t="s">
        <v>339</v>
      </c>
      <c r="E79" s="330">
        <v>-20</v>
      </c>
      <c r="F79" s="330" t="s">
        <v>304</v>
      </c>
      <c r="G79" s="332">
        <v>1540</v>
      </c>
      <c r="H79" s="483" t="s">
        <v>1009</v>
      </c>
      <c r="I79" s="335">
        <v>112.40625</v>
      </c>
      <c r="J79" s="295">
        <v>112.28125</v>
      </c>
      <c r="K79" s="296">
        <f t="shared" si="1"/>
        <v>2500</v>
      </c>
      <c r="L79" s="381"/>
    </row>
    <row r="80" spans="1:12" s="270" customFormat="1">
      <c r="A80" s="325" t="s">
        <v>629</v>
      </c>
      <c r="B80" s="328" t="s">
        <v>1020</v>
      </c>
      <c r="C80" s="328" t="s">
        <v>339</v>
      </c>
      <c r="D80" s="542" t="s">
        <v>339</v>
      </c>
      <c r="E80" s="330">
        <v>20</v>
      </c>
      <c r="F80" s="330" t="s">
        <v>304</v>
      </c>
      <c r="G80" s="332">
        <v>0</v>
      </c>
      <c r="H80" s="483" t="s">
        <v>1031</v>
      </c>
      <c r="I80" s="335">
        <v>111.8125</v>
      </c>
      <c r="J80" s="295">
        <v>111.53125</v>
      </c>
      <c r="K80" s="296">
        <f t="shared" si="1"/>
        <v>-5625</v>
      </c>
      <c r="L80" s="381"/>
    </row>
    <row r="81" spans="1:12" s="270" customFormat="1">
      <c r="A81" s="325" t="s">
        <v>631</v>
      </c>
      <c r="B81" s="328" t="s">
        <v>1042</v>
      </c>
      <c r="C81" s="328" t="s">
        <v>339</v>
      </c>
      <c r="D81" s="542" t="s">
        <v>339</v>
      </c>
      <c r="E81" s="330">
        <v>-20</v>
      </c>
      <c r="F81" s="330" t="s">
        <v>304</v>
      </c>
      <c r="G81" s="332">
        <v>854</v>
      </c>
      <c r="H81" s="483" t="s">
        <v>1043</v>
      </c>
      <c r="I81" s="335">
        <v>107.140625</v>
      </c>
      <c r="J81" s="295">
        <v>106.921875</v>
      </c>
      <c r="K81" s="296">
        <f t="shared" si="1"/>
        <v>4375</v>
      </c>
      <c r="L81" s="381"/>
    </row>
    <row r="82" spans="1:12" s="270" customFormat="1">
      <c r="A82" s="325" t="s">
        <v>647</v>
      </c>
      <c r="B82" s="328" t="s">
        <v>1049</v>
      </c>
      <c r="C82" s="328" t="s">
        <v>339</v>
      </c>
      <c r="D82" s="542" t="s">
        <v>339</v>
      </c>
      <c r="E82" s="330">
        <v>-20</v>
      </c>
      <c r="F82" s="330" t="s">
        <v>304</v>
      </c>
      <c r="G82" s="332">
        <v>1540</v>
      </c>
      <c r="H82" s="483" t="s">
        <v>1057</v>
      </c>
      <c r="I82" s="335">
        <v>107.2109375</v>
      </c>
      <c r="J82" s="295">
        <v>107.34375</v>
      </c>
      <c r="K82" s="296">
        <f t="shared" si="1"/>
        <v>-2656.25</v>
      </c>
      <c r="L82" s="381"/>
    </row>
    <row r="83" spans="1:12" s="270" customFormat="1">
      <c r="A83" s="325" t="s">
        <v>643</v>
      </c>
      <c r="B83" s="328" t="s">
        <v>1060</v>
      </c>
      <c r="C83" s="328" t="s">
        <v>339</v>
      </c>
      <c r="D83" s="542" t="s">
        <v>339</v>
      </c>
      <c r="E83" s="330">
        <v>-20</v>
      </c>
      <c r="F83" s="330" t="s">
        <v>304</v>
      </c>
      <c r="G83" s="332">
        <v>0</v>
      </c>
      <c r="H83" s="483" t="s">
        <v>1069</v>
      </c>
      <c r="I83" s="335">
        <v>111.34375</v>
      </c>
      <c r="J83" s="295">
        <v>111.6875</v>
      </c>
      <c r="K83" s="296">
        <f t="shared" si="1"/>
        <v>-6875.0000000000009</v>
      </c>
      <c r="L83" s="381"/>
    </row>
    <row r="84" spans="1:12" s="270" customFormat="1">
      <c r="A84" s="325" t="s">
        <v>643</v>
      </c>
      <c r="B84" s="328" t="s">
        <v>1060</v>
      </c>
      <c r="C84" s="328" t="s">
        <v>339</v>
      </c>
      <c r="D84" s="542" t="s">
        <v>339</v>
      </c>
      <c r="E84" s="330">
        <v>-20</v>
      </c>
      <c r="F84" s="330" t="s">
        <v>304</v>
      </c>
      <c r="G84" s="332">
        <v>0</v>
      </c>
      <c r="H84" s="483" t="s">
        <v>1070</v>
      </c>
      <c r="I84" s="335">
        <v>111.59375</v>
      </c>
      <c r="J84" s="295">
        <v>112.03125</v>
      </c>
      <c r="K84" s="296">
        <f t="shared" ref="K84:K147" si="2">IF(LEFT(A84,2)="TU",(J84-I84)*E84/100*100000*2,(J84-I84)*E84/100*100000)</f>
        <v>-8750</v>
      </c>
      <c r="L84" s="381"/>
    </row>
    <row r="85" spans="1:12" s="270" customFormat="1">
      <c r="A85" s="325" t="s">
        <v>643</v>
      </c>
      <c r="B85" s="328" t="s">
        <v>1071</v>
      </c>
      <c r="C85" s="328" t="s">
        <v>339</v>
      </c>
      <c r="D85" s="542" t="s">
        <v>339</v>
      </c>
      <c r="E85" s="330">
        <v>20</v>
      </c>
      <c r="F85" s="330" t="s">
        <v>304</v>
      </c>
      <c r="G85" s="332">
        <v>0</v>
      </c>
      <c r="H85" s="483" t="s">
        <v>1072</v>
      </c>
      <c r="I85" s="335">
        <v>111.96875</v>
      </c>
      <c r="J85" s="295">
        <v>112.015625</v>
      </c>
      <c r="K85" s="296">
        <f t="shared" si="2"/>
        <v>937.5</v>
      </c>
      <c r="L85" s="381"/>
    </row>
    <row r="86" spans="1:12" s="270" customFormat="1">
      <c r="A86" s="325" t="s">
        <v>643</v>
      </c>
      <c r="B86" s="328" t="s">
        <v>1071</v>
      </c>
      <c r="C86" s="328" t="s">
        <v>339</v>
      </c>
      <c r="D86" s="542" t="s">
        <v>339</v>
      </c>
      <c r="E86" s="330">
        <v>20</v>
      </c>
      <c r="F86" s="330" t="s">
        <v>304</v>
      </c>
      <c r="G86" s="332">
        <v>0</v>
      </c>
      <c r="H86" s="483" t="s">
        <v>1073</v>
      </c>
      <c r="I86" s="335">
        <v>111.984375</v>
      </c>
      <c r="J86" s="295">
        <v>112</v>
      </c>
      <c r="K86" s="296">
        <f t="shared" si="2"/>
        <v>312.5</v>
      </c>
      <c r="L86" s="381"/>
    </row>
    <row r="87" spans="1:12" s="270" customFormat="1">
      <c r="A87" s="325" t="s">
        <v>643</v>
      </c>
      <c r="B87" s="328" t="s">
        <v>1071</v>
      </c>
      <c r="C87" s="328" t="s">
        <v>339</v>
      </c>
      <c r="D87" s="542" t="s">
        <v>339</v>
      </c>
      <c r="E87" s="330">
        <v>-20</v>
      </c>
      <c r="F87" s="330" t="s">
        <v>304</v>
      </c>
      <c r="G87" s="332">
        <v>0</v>
      </c>
      <c r="H87" s="483" t="s">
        <v>1085</v>
      </c>
      <c r="I87" s="335">
        <v>111.4375</v>
      </c>
      <c r="J87" s="295">
        <v>111.234375</v>
      </c>
      <c r="K87" s="296">
        <f t="shared" si="2"/>
        <v>4062.5</v>
      </c>
      <c r="L87" s="381"/>
    </row>
    <row r="88" spans="1:12" s="270" customFormat="1">
      <c r="A88" s="325" t="s">
        <v>643</v>
      </c>
      <c r="B88" s="328" t="s">
        <v>1086</v>
      </c>
      <c r="C88" s="328" t="s">
        <v>339</v>
      </c>
      <c r="D88" s="542" t="s">
        <v>339</v>
      </c>
      <c r="E88" s="330">
        <v>-20</v>
      </c>
      <c r="F88" s="330" t="s">
        <v>304</v>
      </c>
      <c r="G88" s="332">
        <v>0</v>
      </c>
      <c r="H88" s="483" t="s">
        <v>1087</v>
      </c>
      <c r="I88" s="335">
        <v>111.65625</v>
      </c>
      <c r="J88" s="295">
        <v>111.4375</v>
      </c>
      <c r="K88" s="296">
        <f t="shared" si="2"/>
        <v>4375</v>
      </c>
      <c r="L88" s="381"/>
    </row>
    <row r="89" spans="1:12" s="270" customFormat="1">
      <c r="A89" s="325" t="s">
        <v>643</v>
      </c>
      <c r="B89" s="328" t="s">
        <v>1115</v>
      </c>
      <c r="C89" s="328" t="s">
        <v>339</v>
      </c>
      <c r="D89" s="542" t="s">
        <v>339</v>
      </c>
      <c r="E89" s="330">
        <v>-20</v>
      </c>
      <c r="F89" s="330" t="s">
        <v>304</v>
      </c>
      <c r="G89" s="332">
        <v>0</v>
      </c>
      <c r="H89" s="483" t="s">
        <v>1118</v>
      </c>
      <c r="I89" s="335">
        <v>110.59375</v>
      </c>
      <c r="J89" s="295">
        <v>110.59375</v>
      </c>
      <c r="K89" s="296">
        <f t="shared" si="2"/>
        <v>0</v>
      </c>
      <c r="L89" s="381"/>
    </row>
    <row r="90" spans="1:12" s="270" customFormat="1">
      <c r="A90" s="325" t="s">
        <v>643</v>
      </c>
      <c r="B90" s="328" t="s">
        <v>1115</v>
      </c>
      <c r="C90" s="328" t="s">
        <v>339</v>
      </c>
      <c r="D90" s="542" t="s">
        <v>339</v>
      </c>
      <c r="E90" s="330">
        <v>-20</v>
      </c>
      <c r="F90" s="330" t="s">
        <v>304</v>
      </c>
      <c r="G90" s="332">
        <v>0</v>
      </c>
      <c r="H90" s="483" t="s">
        <v>1119</v>
      </c>
      <c r="I90" s="335">
        <v>110.625</v>
      </c>
      <c r="J90" s="295">
        <v>110.75</v>
      </c>
      <c r="K90" s="296">
        <f t="shared" si="2"/>
        <v>-2500</v>
      </c>
      <c r="L90" s="381"/>
    </row>
    <row r="91" spans="1:12" s="270" customFormat="1">
      <c r="A91" s="325" t="s">
        <v>643</v>
      </c>
      <c r="B91" s="328" t="s">
        <v>1115</v>
      </c>
      <c r="C91" s="328" t="s">
        <v>339</v>
      </c>
      <c r="D91" s="542" t="s">
        <v>339</v>
      </c>
      <c r="E91" s="330">
        <v>-20</v>
      </c>
      <c r="F91" s="330" t="s">
        <v>304</v>
      </c>
      <c r="G91" s="332">
        <v>1540</v>
      </c>
      <c r="H91" s="483" t="s">
        <v>1120</v>
      </c>
      <c r="I91" s="335">
        <v>110.671875</v>
      </c>
      <c r="J91" s="295">
        <v>110.921875</v>
      </c>
      <c r="K91" s="296">
        <f t="shared" si="2"/>
        <v>-5000</v>
      </c>
      <c r="L91" s="381"/>
    </row>
    <row r="92" spans="1:12" s="270" customFormat="1">
      <c r="A92" s="325" t="s">
        <v>643</v>
      </c>
      <c r="B92" s="328" t="s">
        <v>1140</v>
      </c>
      <c r="C92" s="328" t="s">
        <v>339</v>
      </c>
      <c r="D92" s="542" t="s">
        <v>339</v>
      </c>
      <c r="E92" s="330">
        <v>20</v>
      </c>
      <c r="F92" s="330" t="s">
        <v>304</v>
      </c>
      <c r="G92" s="332">
        <v>0</v>
      </c>
      <c r="H92" s="483" t="s">
        <v>1153</v>
      </c>
      <c r="I92" s="335">
        <v>111.34375</v>
      </c>
      <c r="J92" s="295">
        <v>110.859375</v>
      </c>
      <c r="K92" s="296">
        <f t="shared" si="2"/>
        <v>-9687.5</v>
      </c>
      <c r="L92" s="381"/>
    </row>
    <row r="93" spans="1:12" s="270" customFormat="1">
      <c r="A93" s="325" t="s">
        <v>643</v>
      </c>
      <c r="B93" s="328" t="s">
        <v>1140</v>
      </c>
      <c r="C93" s="328" t="s">
        <v>339</v>
      </c>
      <c r="D93" s="542" t="s">
        <v>339</v>
      </c>
      <c r="E93" s="330">
        <v>-10</v>
      </c>
      <c r="F93" s="330" t="s">
        <v>304</v>
      </c>
      <c r="G93" s="332">
        <v>0</v>
      </c>
      <c r="H93" s="483" t="s">
        <v>1154</v>
      </c>
      <c r="I93" s="335">
        <v>110.90625</v>
      </c>
      <c r="J93" s="295">
        <v>110.78125</v>
      </c>
      <c r="K93" s="296">
        <f t="shared" si="2"/>
        <v>1250</v>
      </c>
      <c r="L93" s="381"/>
    </row>
    <row r="94" spans="1:12" s="270" customFormat="1">
      <c r="A94" s="325" t="s">
        <v>643</v>
      </c>
      <c r="B94" s="328" t="s">
        <v>1132</v>
      </c>
      <c r="C94" s="328" t="s">
        <v>339</v>
      </c>
      <c r="D94" s="542" t="s">
        <v>339</v>
      </c>
      <c r="E94" s="330">
        <v>-20</v>
      </c>
      <c r="F94" s="330" t="s">
        <v>304</v>
      </c>
      <c r="G94" s="332">
        <v>1540</v>
      </c>
      <c r="H94" s="483" t="s">
        <v>1139</v>
      </c>
      <c r="I94" s="335">
        <v>111.09375</v>
      </c>
      <c r="J94" s="295">
        <v>110.796875</v>
      </c>
      <c r="K94" s="296">
        <f t="shared" si="2"/>
        <v>5937.5</v>
      </c>
      <c r="L94" s="381"/>
    </row>
    <row r="95" spans="1:12" s="270" customFormat="1">
      <c r="A95" s="325" t="s">
        <v>643</v>
      </c>
      <c r="B95" s="328" t="s">
        <v>1164</v>
      </c>
      <c r="C95" s="328" t="s">
        <v>339</v>
      </c>
      <c r="D95" s="542" t="s">
        <v>339</v>
      </c>
      <c r="E95" s="330">
        <v>-20</v>
      </c>
      <c r="F95" s="330" t="s">
        <v>304</v>
      </c>
      <c r="G95" s="332">
        <v>0</v>
      </c>
      <c r="H95" s="483" t="s">
        <v>1177</v>
      </c>
      <c r="I95" s="335">
        <v>111.21875</v>
      </c>
      <c r="J95" s="295">
        <v>111.765625</v>
      </c>
      <c r="K95" s="296">
        <f t="shared" si="2"/>
        <v>-10937.5</v>
      </c>
      <c r="L95" s="381"/>
    </row>
    <row r="96" spans="1:12" s="270" customFormat="1">
      <c r="A96" s="325" t="s">
        <v>643</v>
      </c>
      <c r="B96" s="328" t="s">
        <v>1164</v>
      </c>
      <c r="C96" s="328" t="s">
        <v>339</v>
      </c>
      <c r="D96" s="542" t="s">
        <v>339</v>
      </c>
      <c r="E96" s="330">
        <v>-20</v>
      </c>
      <c r="F96" s="330" t="s">
        <v>304</v>
      </c>
      <c r="G96" s="332">
        <v>0</v>
      </c>
      <c r="H96" s="483" t="s">
        <v>1178</v>
      </c>
      <c r="I96" s="335">
        <v>111.375</v>
      </c>
      <c r="J96" s="295">
        <v>111.828125</v>
      </c>
      <c r="K96" s="296">
        <f t="shared" si="2"/>
        <v>-9062.5</v>
      </c>
      <c r="L96" s="381"/>
    </row>
    <row r="97" spans="1:12" s="270" customFormat="1">
      <c r="A97" s="325" t="s">
        <v>643</v>
      </c>
      <c r="B97" s="328" t="s">
        <v>1174</v>
      </c>
      <c r="C97" s="328" t="s">
        <v>339</v>
      </c>
      <c r="D97" s="542" t="s">
        <v>339</v>
      </c>
      <c r="E97" s="330">
        <v>10</v>
      </c>
      <c r="F97" s="330" t="s">
        <v>304</v>
      </c>
      <c r="G97" s="332">
        <v>0</v>
      </c>
      <c r="H97" s="483" t="s">
        <v>1202</v>
      </c>
      <c r="I97" s="335">
        <v>112.703125</v>
      </c>
      <c r="J97" s="295">
        <v>112.75</v>
      </c>
      <c r="K97" s="296">
        <f t="shared" si="2"/>
        <v>468.75</v>
      </c>
      <c r="L97" s="381"/>
    </row>
    <row r="98" spans="1:12" s="270" customFormat="1">
      <c r="A98" s="325" t="s">
        <v>643</v>
      </c>
      <c r="B98" s="328" t="s">
        <v>1174</v>
      </c>
      <c r="C98" s="328" t="s">
        <v>339</v>
      </c>
      <c r="D98" s="542" t="s">
        <v>339</v>
      </c>
      <c r="E98" s="330">
        <v>10</v>
      </c>
      <c r="F98" s="330" t="s">
        <v>304</v>
      </c>
      <c r="G98" s="332">
        <v>-770</v>
      </c>
      <c r="H98" s="483" t="s">
        <v>1201</v>
      </c>
      <c r="I98" s="335">
        <v>113.046875</v>
      </c>
      <c r="J98" s="295">
        <v>113.390625</v>
      </c>
      <c r="K98" s="296">
        <f t="shared" si="2"/>
        <v>3437.5000000000005</v>
      </c>
      <c r="L98" s="381"/>
    </row>
    <row r="99" spans="1:12" s="270" customFormat="1">
      <c r="A99" s="325" t="s">
        <v>643</v>
      </c>
      <c r="B99" s="328" t="s">
        <v>1213</v>
      </c>
      <c r="C99" s="328" t="s">
        <v>339</v>
      </c>
      <c r="D99" s="542" t="s">
        <v>339</v>
      </c>
      <c r="E99" s="330">
        <v>10</v>
      </c>
      <c r="F99" s="330" t="s">
        <v>304</v>
      </c>
      <c r="G99" s="332">
        <v>0</v>
      </c>
      <c r="H99" s="483" t="s">
        <v>1251</v>
      </c>
      <c r="I99" s="335">
        <v>114.78125</v>
      </c>
      <c r="J99" s="295">
        <v>114.4375</v>
      </c>
      <c r="K99" s="296">
        <f t="shared" si="2"/>
        <v>-3437.5000000000005</v>
      </c>
      <c r="L99" s="381"/>
    </row>
    <row r="100" spans="1:12" s="270" customFormat="1">
      <c r="A100" s="325" t="s">
        <v>643</v>
      </c>
      <c r="B100" s="328" t="s">
        <v>1213</v>
      </c>
      <c r="C100" s="328" t="s">
        <v>339</v>
      </c>
      <c r="D100" s="542" t="s">
        <v>339</v>
      </c>
      <c r="E100" s="330">
        <v>10</v>
      </c>
      <c r="F100" s="330" t="s">
        <v>304</v>
      </c>
      <c r="G100" s="332">
        <v>0</v>
      </c>
      <c r="H100" s="483" t="s">
        <v>1252</v>
      </c>
      <c r="I100" s="335">
        <v>114.3125</v>
      </c>
      <c r="J100" s="295">
        <v>115</v>
      </c>
      <c r="K100" s="296">
        <f t="shared" si="2"/>
        <v>6875.0000000000009</v>
      </c>
      <c r="L100" s="381"/>
    </row>
    <row r="101" spans="1:12" s="270" customFormat="1">
      <c r="A101" s="325" t="s">
        <v>643</v>
      </c>
      <c r="B101" s="328" t="s">
        <v>1239</v>
      </c>
      <c r="C101" s="328" t="s">
        <v>339</v>
      </c>
      <c r="D101" s="542" t="s">
        <v>339</v>
      </c>
      <c r="E101" s="330">
        <v>10</v>
      </c>
      <c r="F101" s="330" t="s">
        <v>304</v>
      </c>
      <c r="G101" s="332">
        <v>0</v>
      </c>
      <c r="H101" s="483" t="s">
        <v>1253</v>
      </c>
      <c r="I101" s="335">
        <v>114.375</v>
      </c>
      <c r="J101" s="295">
        <v>114.140625</v>
      </c>
      <c r="K101" s="296">
        <f t="shared" si="2"/>
        <v>-2343.75</v>
      </c>
      <c r="L101" s="381"/>
    </row>
    <row r="102" spans="1:12" s="270" customFormat="1">
      <c r="A102" s="325" t="s">
        <v>643</v>
      </c>
      <c r="B102" s="328" t="s">
        <v>1239</v>
      </c>
      <c r="C102" s="328" t="s">
        <v>339</v>
      </c>
      <c r="D102" s="542" t="s">
        <v>339</v>
      </c>
      <c r="E102" s="330">
        <v>10</v>
      </c>
      <c r="F102" s="330" t="s">
        <v>304</v>
      </c>
      <c r="G102" s="332">
        <v>0</v>
      </c>
      <c r="H102" s="483" t="s">
        <v>1254</v>
      </c>
      <c r="I102" s="335">
        <v>114.5625</v>
      </c>
      <c r="J102" s="295">
        <v>114.109375</v>
      </c>
      <c r="K102" s="296">
        <f t="shared" si="2"/>
        <v>-4531.25</v>
      </c>
      <c r="L102" s="381"/>
    </row>
    <row r="103" spans="1:12" s="270" customFormat="1">
      <c r="A103" s="325" t="s">
        <v>643</v>
      </c>
      <c r="B103" s="328" t="s">
        <v>1239</v>
      </c>
      <c r="C103" s="328" t="s">
        <v>339</v>
      </c>
      <c r="D103" s="542" t="s">
        <v>339</v>
      </c>
      <c r="E103" s="330">
        <v>10</v>
      </c>
      <c r="F103" s="330" t="s">
        <v>304</v>
      </c>
      <c r="G103" s="332">
        <v>0</v>
      </c>
      <c r="H103" s="483" t="s">
        <v>1275</v>
      </c>
      <c r="I103" s="335">
        <v>113.96875</v>
      </c>
      <c r="J103" s="295">
        <v>114.09375</v>
      </c>
      <c r="K103" s="296">
        <f t="shared" si="2"/>
        <v>1250</v>
      </c>
      <c r="L103" s="381"/>
    </row>
    <row r="104" spans="1:12" s="270" customFormat="1">
      <c r="A104" s="325" t="s">
        <v>643</v>
      </c>
      <c r="B104" s="328" t="s">
        <v>1239</v>
      </c>
      <c r="C104" s="328" t="s">
        <v>339</v>
      </c>
      <c r="D104" s="542" t="s">
        <v>339</v>
      </c>
      <c r="E104" s="330">
        <v>10</v>
      </c>
      <c r="F104" s="330" t="s">
        <v>304</v>
      </c>
      <c r="G104" s="332">
        <v>0</v>
      </c>
      <c r="H104" s="483" t="s">
        <v>1276</v>
      </c>
      <c r="I104" s="335">
        <v>113.75</v>
      </c>
      <c r="J104" s="295">
        <v>113.296875</v>
      </c>
      <c r="K104" s="296">
        <f t="shared" si="2"/>
        <v>-4531.25</v>
      </c>
      <c r="L104" s="381"/>
    </row>
    <row r="105" spans="1:12" s="270" customFormat="1">
      <c r="A105" s="325" t="s">
        <v>643</v>
      </c>
      <c r="B105" s="328" t="s">
        <v>1337</v>
      </c>
      <c r="C105" s="328" t="s">
        <v>339</v>
      </c>
      <c r="D105" s="542" t="s">
        <v>339</v>
      </c>
      <c r="E105" s="330">
        <v>-10</v>
      </c>
      <c r="F105" s="330" t="s">
        <v>304</v>
      </c>
      <c r="G105" s="332">
        <v>0</v>
      </c>
      <c r="H105" s="483" t="s">
        <v>1339</v>
      </c>
      <c r="I105" s="335">
        <v>115.0625</v>
      </c>
      <c r="J105" s="295">
        <v>114.90625</v>
      </c>
      <c r="K105" s="296">
        <f t="shared" si="2"/>
        <v>1562.5</v>
      </c>
      <c r="L105" s="381"/>
    </row>
    <row r="106" spans="1:12" s="270" customFormat="1">
      <c r="A106" s="325" t="s">
        <v>643</v>
      </c>
      <c r="B106" s="328" t="s">
        <v>1337</v>
      </c>
      <c r="C106" s="328" t="s">
        <v>339</v>
      </c>
      <c r="D106" s="542" t="s">
        <v>339</v>
      </c>
      <c r="E106" s="330">
        <v>-10</v>
      </c>
      <c r="F106" s="330" t="s">
        <v>304</v>
      </c>
      <c r="G106" s="332">
        <v>0</v>
      </c>
      <c r="H106" s="483" t="s">
        <v>1340</v>
      </c>
      <c r="I106" s="335">
        <v>114.890625</v>
      </c>
      <c r="J106" s="295">
        <v>114.90625</v>
      </c>
      <c r="K106" s="296">
        <f t="shared" si="2"/>
        <v>-156.25</v>
      </c>
      <c r="L106" s="381"/>
    </row>
    <row r="107" spans="1:12" s="270" customFormat="1">
      <c r="A107" s="325" t="s">
        <v>643</v>
      </c>
      <c r="B107" s="328" t="s">
        <v>1344</v>
      </c>
      <c r="C107" s="328" t="s">
        <v>339</v>
      </c>
      <c r="D107" s="542" t="s">
        <v>339</v>
      </c>
      <c r="E107" s="330">
        <v>10</v>
      </c>
      <c r="F107" s="330" t="s">
        <v>304</v>
      </c>
      <c r="G107" s="332">
        <v>0</v>
      </c>
      <c r="H107" s="483" t="s">
        <v>1346</v>
      </c>
      <c r="I107" s="335">
        <v>114.375</v>
      </c>
      <c r="J107" s="295">
        <v>114.453125</v>
      </c>
      <c r="K107" s="296">
        <f t="shared" si="2"/>
        <v>781.25</v>
      </c>
      <c r="L107" s="381"/>
    </row>
    <row r="108" spans="1:12" s="270" customFormat="1">
      <c r="A108" s="325" t="s">
        <v>643</v>
      </c>
      <c r="B108" s="328" t="s">
        <v>1344</v>
      </c>
      <c r="C108" s="328" t="s">
        <v>339</v>
      </c>
      <c r="D108" s="542" t="s">
        <v>339</v>
      </c>
      <c r="E108" s="330">
        <v>10</v>
      </c>
      <c r="F108" s="330" t="s">
        <v>304</v>
      </c>
      <c r="G108" s="332">
        <v>0</v>
      </c>
      <c r="H108" s="483" t="s">
        <v>1347</v>
      </c>
      <c r="I108" s="335">
        <v>114.21875</v>
      </c>
      <c r="J108" s="295">
        <v>114.453125</v>
      </c>
      <c r="K108" s="296">
        <f t="shared" si="2"/>
        <v>2343.75</v>
      </c>
      <c r="L108" s="381"/>
    </row>
    <row r="109" spans="1:12" s="270" customFormat="1">
      <c r="A109" s="325" t="s">
        <v>643</v>
      </c>
      <c r="B109" s="328" t="s">
        <v>1352</v>
      </c>
      <c r="C109" s="328" t="s">
        <v>339</v>
      </c>
      <c r="D109" s="542" t="s">
        <v>339</v>
      </c>
      <c r="E109" s="330">
        <v>-20</v>
      </c>
      <c r="F109" s="330" t="s">
        <v>304</v>
      </c>
      <c r="G109" s="332">
        <v>0</v>
      </c>
      <c r="H109" s="483" t="s">
        <v>1354</v>
      </c>
      <c r="I109" s="335">
        <v>114.96875</v>
      </c>
      <c r="J109" s="295">
        <v>115.46875</v>
      </c>
      <c r="K109" s="296">
        <f t="shared" si="2"/>
        <v>-10000</v>
      </c>
      <c r="L109" s="381"/>
    </row>
    <row r="110" spans="1:12" s="270" customFormat="1">
      <c r="A110" s="325" t="s">
        <v>643</v>
      </c>
      <c r="B110" s="328" t="s">
        <v>1352</v>
      </c>
      <c r="C110" s="328" t="s">
        <v>339</v>
      </c>
      <c r="D110" s="542" t="s">
        <v>339</v>
      </c>
      <c r="E110" s="330">
        <v>10</v>
      </c>
      <c r="F110" s="330" t="s">
        <v>304</v>
      </c>
      <c r="G110" s="332">
        <v>0</v>
      </c>
      <c r="H110" s="483" t="s">
        <v>1379</v>
      </c>
      <c r="I110" s="335">
        <v>115.53125</v>
      </c>
      <c r="J110" s="295">
        <v>115.65625</v>
      </c>
      <c r="K110" s="296">
        <v>1250</v>
      </c>
      <c r="L110" s="381"/>
    </row>
    <row r="111" spans="1:12" s="270" customFormat="1">
      <c r="A111" s="325" t="s">
        <v>643</v>
      </c>
      <c r="B111" s="328" t="s">
        <v>1352</v>
      </c>
      <c r="C111" s="328" t="s">
        <v>339</v>
      </c>
      <c r="D111" s="542" t="s">
        <v>339</v>
      </c>
      <c r="E111" s="330">
        <v>10</v>
      </c>
      <c r="F111" s="330" t="s">
        <v>304</v>
      </c>
      <c r="G111" s="332">
        <v>0</v>
      </c>
      <c r="H111" s="483" t="s">
        <v>1380</v>
      </c>
      <c r="I111" s="335">
        <v>115.40625</v>
      </c>
      <c r="J111" s="295">
        <v>115.65625</v>
      </c>
      <c r="K111" s="296">
        <v>2500</v>
      </c>
      <c r="L111" s="381"/>
    </row>
    <row r="112" spans="1:12" s="270" customFormat="1">
      <c r="A112" s="325" t="s">
        <v>643</v>
      </c>
      <c r="B112" s="328" t="s">
        <v>1382</v>
      </c>
      <c r="C112" s="328" t="s">
        <v>339</v>
      </c>
      <c r="D112" s="542" t="s">
        <v>339</v>
      </c>
      <c r="E112" s="330">
        <v>20</v>
      </c>
      <c r="F112" s="330" t="s">
        <v>304</v>
      </c>
      <c r="G112" s="332">
        <v>0</v>
      </c>
      <c r="H112" s="483" t="s">
        <v>1383</v>
      </c>
      <c r="I112" s="335">
        <v>114.25</v>
      </c>
      <c r="J112" s="295">
        <v>114.3125</v>
      </c>
      <c r="K112" s="296">
        <f t="shared" si="2"/>
        <v>1250</v>
      </c>
      <c r="L112" s="381"/>
    </row>
    <row r="113" spans="1:12" s="270" customFormat="1">
      <c r="A113" s="325" t="s">
        <v>643</v>
      </c>
      <c r="B113" s="328" t="s">
        <v>1382</v>
      </c>
      <c r="C113" s="328" t="s">
        <v>339</v>
      </c>
      <c r="D113" s="542" t="s">
        <v>339</v>
      </c>
      <c r="E113" s="330">
        <v>20</v>
      </c>
      <c r="F113" s="330" t="s">
        <v>304</v>
      </c>
      <c r="G113" s="332">
        <v>-1540</v>
      </c>
      <c r="H113" s="483" t="s">
        <v>1384</v>
      </c>
      <c r="I113" s="335">
        <v>114.296875</v>
      </c>
      <c r="J113" s="295">
        <v>114.171875</v>
      </c>
      <c r="K113" s="296">
        <f t="shared" si="2"/>
        <v>-2500</v>
      </c>
      <c r="L113" s="381"/>
    </row>
    <row r="114" spans="1:12" s="270" customFormat="1">
      <c r="A114" s="325" t="s">
        <v>643</v>
      </c>
      <c r="B114" s="328" t="s">
        <v>1388</v>
      </c>
      <c r="C114" s="328" t="s">
        <v>339</v>
      </c>
      <c r="D114" s="542" t="s">
        <v>339</v>
      </c>
      <c r="E114" s="330">
        <v>10</v>
      </c>
      <c r="F114" s="330" t="s">
        <v>304</v>
      </c>
      <c r="G114" s="332">
        <v>0</v>
      </c>
      <c r="H114" s="483" t="s">
        <v>1397</v>
      </c>
      <c r="I114" s="335">
        <v>115.375</v>
      </c>
      <c r="J114" s="295">
        <v>115.515625</v>
      </c>
      <c r="K114" s="296">
        <f t="shared" si="2"/>
        <v>1406.25</v>
      </c>
      <c r="L114" s="381"/>
    </row>
    <row r="115" spans="1:12" s="270" customFormat="1">
      <c r="A115" s="325" t="s">
        <v>643</v>
      </c>
      <c r="B115" s="328" t="s">
        <v>1388</v>
      </c>
      <c r="C115" s="328" t="s">
        <v>339</v>
      </c>
      <c r="D115" s="542" t="s">
        <v>339</v>
      </c>
      <c r="E115" s="330">
        <v>10</v>
      </c>
      <c r="F115" s="330" t="s">
        <v>304</v>
      </c>
      <c r="G115" s="332">
        <v>0</v>
      </c>
      <c r="H115" s="483" t="s">
        <v>1414</v>
      </c>
      <c r="I115" s="335">
        <v>115.15625</v>
      </c>
      <c r="J115" s="295">
        <v>115.28125</v>
      </c>
      <c r="K115" s="296">
        <f t="shared" si="2"/>
        <v>1250</v>
      </c>
      <c r="L115" s="381"/>
    </row>
    <row r="116" spans="1:12" s="270" customFormat="1">
      <c r="A116" s="325" t="s">
        <v>643</v>
      </c>
      <c r="B116" s="328" t="s">
        <v>1388</v>
      </c>
      <c r="C116" s="328" t="s">
        <v>339</v>
      </c>
      <c r="D116" s="542" t="s">
        <v>339</v>
      </c>
      <c r="E116" s="330">
        <v>10</v>
      </c>
      <c r="F116" s="330" t="s">
        <v>304</v>
      </c>
      <c r="G116" s="332">
        <v>0</v>
      </c>
      <c r="H116" s="483" t="s">
        <v>1415</v>
      </c>
      <c r="I116" s="335">
        <v>115.0625</v>
      </c>
      <c r="J116" s="295">
        <v>115.28125</v>
      </c>
      <c r="K116" s="296">
        <f t="shared" si="2"/>
        <v>2187.5</v>
      </c>
      <c r="L116" s="381"/>
    </row>
    <row r="117" spans="1:12" s="270" customFormat="1">
      <c r="A117" s="325" t="s">
        <v>643</v>
      </c>
      <c r="B117" s="328" t="s">
        <v>1388</v>
      </c>
      <c r="C117" s="328" t="s">
        <v>339</v>
      </c>
      <c r="D117" s="542" t="s">
        <v>339</v>
      </c>
      <c r="E117" s="330">
        <v>10</v>
      </c>
      <c r="F117" s="330" t="s">
        <v>304</v>
      </c>
      <c r="G117" s="332">
        <v>0</v>
      </c>
      <c r="H117" s="483" t="s">
        <v>1416</v>
      </c>
      <c r="I117" s="335">
        <v>115.375</v>
      </c>
      <c r="J117" s="295">
        <v>115.15625</v>
      </c>
      <c r="K117" s="296">
        <f t="shared" si="2"/>
        <v>-2187.5</v>
      </c>
      <c r="L117" s="381"/>
    </row>
    <row r="118" spans="1:12" s="270" customFormat="1">
      <c r="A118" s="325" t="s">
        <v>643</v>
      </c>
      <c r="B118" s="328" t="s">
        <v>1406</v>
      </c>
      <c r="C118" s="328" t="s">
        <v>339</v>
      </c>
      <c r="D118" s="542" t="s">
        <v>339</v>
      </c>
      <c r="E118" s="330">
        <v>-10</v>
      </c>
      <c r="F118" s="330" t="s">
        <v>304</v>
      </c>
      <c r="G118" s="332">
        <v>0</v>
      </c>
      <c r="H118" s="483" t="s">
        <v>1432</v>
      </c>
      <c r="I118" s="335">
        <v>116.859375</v>
      </c>
      <c r="J118" s="295">
        <v>116.71875</v>
      </c>
      <c r="K118" s="296">
        <f t="shared" si="2"/>
        <v>1406.25</v>
      </c>
      <c r="L118" s="381"/>
    </row>
    <row r="119" spans="1:12" s="270" customFormat="1">
      <c r="A119" s="325" t="s">
        <v>643</v>
      </c>
      <c r="B119" s="328" t="s">
        <v>1406</v>
      </c>
      <c r="C119" s="328" t="s">
        <v>339</v>
      </c>
      <c r="D119" s="542" t="s">
        <v>339</v>
      </c>
      <c r="E119" s="330">
        <v>-10</v>
      </c>
      <c r="F119" s="330" t="s">
        <v>304</v>
      </c>
      <c r="G119" s="332">
        <v>0</v>
      </c>
      <c r="H119" s="483" t="s">
        <v>1433</v>
      </c>
      <c r="I119" s="335">
        <v>116.1875</v>
      </c>
      <c r="J119" s="295">
        <v>116.28125</v>
      </c>
      <c r="K119" s="296">
        <f t="shared" si="2"/>
        <v>-937.5</v>
      </c>
      <c r="L119" s="381"/>
    </row>
    <row r="120" spans="1:12" s="270" customFormat="1">
      <c r="A120" s="325" t="s">
        <v>643</v>
      </c>
      <c r="B120" s="328" t="s">
        <v>1450</v>
      </c>
      <c r="C120" s="328" t="s">
        <v>339</v>
      </c>
      <c r="D120" s="542" t="s">
        <v>339</v>
      </c>
      <c r="E120" s="330">
        <v>10</v>
      </c>
      <c r="F120" s="330" t="s">
        <v>304</v>
      </c>
      <c r="G120" s="332">
        <v>0</v>
      </c>
      <c r="H120" s="483" t="s">
        <v>1462</v>
      </c>
      <c r="I120" s="335">
        <v>115.953125</v>
      </c>
      <c r="J120" s="295">
        <v>116</v>
      </c>
      <c r="K120" s="296">
        <f t="shared" si="2"/>
        <v>468.75</v>
      </c>
      <c r="L120" s="381"/>
    </row>
    <row r="121" spans="1:12" s="270" customFormat="1">
      <c r="A121" s="325" t="s">
        <v>643</v>
      </c>
      <c r="B121" s="328" t="s">
        <v>1450</v>
      </c>
      <c r="C121" s="328" t="s">
        <v>339</v>
      </c>
      <c r="D121" s="542" t="s">
        <v>339</v>
      </c>
      <c r="E121" s="330">
        <v>10</v>
      </c>
      <c r="F121" s="330" t="s">
        <v>304</v>
      </c>
      <c r="G121" s="332">
        <v>0</v>
      </c>
      <c r="H121" s="483" t="s">
        <v>1463</v>
      </c>
      <c r="I121" s="335">
        <v>115.921875</v>
      </c>
      <c r="J121" s="295">
        <v>116</v>
      </c>
      <c r="K121" s="296">
        <f t="shared" si="2"/>
        <v>781.25</v>
      </c>
      <c r="L121" s="381"/>
    </row>
    <row r="122" spans="1:12" s="270" customFormat="1">
      <c r="A122" s="325" t="s">
        <v>643</v>
      </c>
      <c r="B122" s="328" t="s">
        <v>1450</v>
      </c>
      <c r="C122" s="328" t="s">
        <v>339</v>
      </c>
      <c r="D122" s="542" t="s">
        <v>339</v>
      </c>
      <c r="E122" s="330">
        <v>10</v>
      </c>
      <c r="F122" s="330" t="s">
        <v>304</v>
      </c>
      <c r="G122" s="332">
        <v>0</v>
      </c>
      <c r="H122" s="483" t="s">
        <v>1464</v>
      </c>
      <c r="I122" s="335">
        <v>115.875</v>
      </c>
      <c r="J122" s="295">
        <v>115.875</v>
      </c>
      <c r="K122" s="296">
        <f t="shared" si="2"/>
        <v>0</v>
      </c>
      <c r="L122" s="381"/>
    </row>
    <row r="123" spans="1:12" s="270" customFormat="1">
      <c r="A123" s="325" t="s">
        <v>643</v>
      </c>
      <c r="B123" s="328" t="s">
        <v>1491</v>
      </c>
      <c r="C123" s="328" t="s">
        <v>339</v>
      </c>
      <c r="D123" s="542" t="s">
        <v>339</v>
      </c>
      <c r="E123" s="330">
        <v>-10</v>
      </c>
      <c r="F123" s="330" t="s">
        <v>304</v>
      </c>
      <c r="G123" s="332">
        <v>0</v>
      </c>
      <c r="H123" s="483" t="s">
        <v>1523</v>
      </c>
      <c r="I123" s="335">
        <v>114.265625</v>
      </c>
      <c r="J123" s="295">
        <v>114.6875</v>
      </c>
      <c r="K123" s="296">
        <f t="shared" si="2"/>
        <v>-4218.75</v>
      </c>
      <c r="L123" s="381"/>
    </row>
    <row r="124" spans="1:12" s="270" customFormat="1">
      <c r="A124" s="325" t="s">
        <v>643</v>
      </c>
      <c r="B124" s="328" t="s">
        <v>1491</v>
      </c>
      <c r="C124" s="328" t="s">
        <v>339</v>
      </c>
      <c r="D124" s="542" t="s">
        <v>339</v>
      </c>
      <c r="E124" s="330">
        <v>-10</v>
      </c>
      <c r="F124" s="330" t="s">
        <v>304</v>
      </c>
      <c r="G124" s="332">
        <v>0</v>
      </c>
      <c r="H124" s="483" t="s">
        <v>1524</v>
      </c>
      <c r="I124" s="335">
        <v>114.3125</v>
      </c>
      <c r="J124" s="295">
        <v>114.84375</v>
      </c>
      <c r="K124" s="296">
        <f t="shared" si="2"/>
        <v>-5312.5</v>
      </c>
      <c r="L124" s="381"/>
    </row>
    <row r="125" spans="1:12" s="270" customFormat="1">
      <c r="A125" s="325" t="s">
        <v>643</v>
      </c>
      <c r="B125" s="328" t="s">
        <v>1491</v>
      </c>
      <c r="C125" s="328" t="s">
        <v>339</v>
      </c>
      <c r="D125" s="542" t="s">
        <v>339</v>
      </c>
      <c r="E125" s="330">
        <v>-10</v>
      </c>
      <c r="F125" s="330" t="s">
        <v>304</v>
      </c>
      <c r="G125" s="332">
        <v>0</v>
      </c>
      <c r="H125" s="483" t="s">
        <v>1525</v>
      </c>
      <c r="I125" s="335">
        <v>114.421875</v>
      </c>
      <c r="J125" s="295">
        <v>114.625</v>
      </c>
      <c r="K125" s="296">
        <f t="shared" si="2"/>
        <v>-2031.25</v>
      </c>
      <c r="L125" s="381"/>
    </row>
    <row r="126" spans="1:12" s="270" customFormat="1">
      <c r="A126" s="325" t="s">
        <v>643</v>
      </c>
      <c r="B126" s="328" t="s">
        <v>1515</v>
      </c>
      <c r="C126" s="328" t="s">
        <v>339</v>
      </c>
      <c r="D126" s="542" t="s">
        <v>339</v>
      </c>
      <c r="E126" s="330">
        <v>10</v>
      </c>
      <c r="F126" s="330" t="s">
        <v>304</v>
      </c>
      <c r="G126" s="332">
        <v>0</v>
      </c>
      <c r="H126" s="483" t="s">
        <v>1526</v>
      </c>
      <c r="I126" s="335">
        <v>114.40625</v>
      </c>
      <c r="J126" s="295">
        <v>114.53125</v>
      </c>
      <c r="K126" s="296">
        <f t="shared" si="2"/>
        <v>1250</v>
      </c>
      <c r="L126" s="381"/>
    </row>
    <row r="127" spans="1:12" s="270" customFormat="1">
      <c r="A127" s="325" t="s">
        <v>643</v>
      </c>
      <c r="B127" s="328" t="s">
        <v>1472</v>
      </c>
      <c r="C127" s="328" t="s">
        <v>339</v>
      </c>
      <c r="D127" s="542" t="s">
        <v>339</v>
      </c>
      <c r="E127" s="330">
        <v>-10</v>
      </c>
      <c r="F127" s="330" t="s">
        <v>304</v>
      </c>
      <c r="G127" s="332">
        <v>770</v>
      </c>
      <c r="H127" s="483" t="s">
        <v>1479</v>
      </c>
      <c r="I127" s="335">
        <v>114.9375</v>
      </c>
      <c r="J127" s="295">
        <v>114.421875</v>
      </c>
      <c r="K127" s="296">
        <f t="shared" si="2"/>
        <v>5156.25</v>
      </c>
      <c r="L127" s="381"/>
    </row>
    <row r="128" spans="1:12" s="270" customFormat="1">
      <c r="A128" s="325" t="s">
        <v>643</v>
      </c>
      <c r="B128" s="328" t="s">
        <v>1537</v>
      </c>
      <c r="C128" s="328" t="s">
        <v>339</v>
      </c>
      <c r="D128" s="542" t="s">
        <v>339</v>
      </c>
      <c r="E128" s="330">
        <v>10</v>
      </c>
      <c r="F128" s="330" t="s">
        <v>304</v>
      </c>
      <c r="G128" s="332">
        <v>0</v>
      </c>
      <c r="H128" s="483" t="s">
        <v>1544</v>
      </c>
      <c r="I128" s="335">
        <v>115.015625</v>
      </c>
      <c r="J128" s="295">
        <v>116.0625</v>
      </c>
      <c r="K128" s="296">
        <f t="shared" si="2"/>
        <v>10468.75</v>
      </c>
      <c r="L128" s="381"/>
    </row>
    <row r="129" spans="1:12" s="270" customFormat="1">
      <c r="A129" s="325" t="s">
        <v>564</v>
      </c>
      <c r="B129" s="328"/>
      <c r="C129" s="328"/>
      <c r="D129" s="542"/>
      <c r="E129" s="330"/>
      <c r="F129" s="330"/>
      <c r="G129" s="332"/>
      <c r="H129" s="483"/>
      <c r="I129" s="335"/>
      <c r="J129" s="295"/>
      <c r="K129" s="296">
        <f t="shared" si="2"/>
        <v>0</v>
      </c>
      <c r="L129" s="381"/>
    </row>
    <row r="130" spans="1:12" s="270" customFormat="1">
      <c r="A130" s="325" t="s">
        <v>564</v>
      </c>
      <c r="B130" s="328"/>
      <c r="C130" s="328"/>
      <c r="D130" s="542"/>
      <c r="E130" s="330"/>
      <c r="F130" s="330"/>
      <c r="G130" s="332"/>
      <c r="H130" s="483"/>
      <c r="I130" s="335"/>
      <c r="J130" s="295"/>
      <c r="K130" s="296">
        <f t="shared" si="2"/>
        <v>0</v>
      </c>
      <c r="L130" s="381"/>
    </row>
    <row r="131" spans="1:12" s="270" customFormat="1">
      <c r="A131" s="325" t="s">
        <v>564</v>
      </c>
      <c r="B131" s="328"/>
      <c r="C131" s="328"/>
      <c r="D131" s="542"/>
      <c r="E131" s="330"/>
      <c r="F131" s="330"/>
      <c r="G131" s="332"/>
      <c r="H131" s="483"/>
      <c r="I131" s="335"/>
      <c r="J131" s="295"/>
      <c r="K131" s="296">
        <f t="shared" si="2"/>
        <v>0</v>
      </c>
      <c r="L131" s="381"/>
    </row>
    <row r="132" spans="1:12" s="270" customFormat="1">
      <c r="A132" s="325" t="s">
        <v>564</v>
      </c>
      <c r="B132" s="328"/>
      <c r="C132" s="328"/>
      <c r="D132" s="542"/>
      <c r="E132" s="330"/>
      <c r="F132" s="330"/>
      <c r="G132" s="332"/>
      <c r="H132" s="483"/>
      <c r="I132" s="335"/>
      <c r="J132" s="295"/>
      <c r="K132" s="296">
        <f t="shared" si="2"/>
        <v>0</v>
      </c>
      <c r="L132" s="381"/>
    </row>
    <row r="133" spans="1:12" s="270" customFormat="1">
      <c r="A133" s="325" t="s">
        <v>586</v>
      </c>
      <c r="B133" s="328"/>
      <c r="C133" s="328"/>
      <c r="D133" s="542"/>
      <c r="E133" s="330"/>
      <c r="F133" s="330"/>
      <c r="G133" s="332"/>
      <c r="H133" s="483"/>
      <c r="I133" s="335"/>
      <c r="J133" s="295"/>
      <c r="K133" s="296">
        <f t="shared" si="2"/>
        <v>0</v>
      </c>
      <c r="L133" s="381"/>
    </row>
    <row r="134" spans="1:12" s="270" customFormat="1">
      <c r="A134" s="325" t="s">
        <v>586</v>
      </c>
      <c r="B134" s="328"/>
      <c r="C134" s="328"/>
      <c r="D134" s="542"/>
      <c r="E134" s="330"/>
      <c r="F134" s="330"/>
      <c r="G134" s="332"/>
      <c r="H134" s="483"/>
      <c r="I134" s="335"/>
      <c r="J134" s="295"/>
      <c r="K134" s="296">
        <f t="shared" si="2"/>
        <v>0</v>
      </c>
      <c r="L134" s="381"/>
    </row>
    <row r="135" spans="1:12" s="270" customFormat="1">
      <c r="A135" s="325" t="s">
        <v>586</v>
      </c>
      <c r="B135" s="328"/>
      <c r="C135" s="328"/>
      <c r="D135" s="542"/>
      <c r="E135" s="330"/>
      <c r="F135" s="330"/>
      <c r="G135" s="332"/>
      <c r="H135" s="483"/>
      <c r="I135" s="335"/>
      <c r="J135" s="295"/>
      <c r="K135" s="296">
        <f t="shared" si="2"/>
        <v>0</v>
      </c>
      <c r="L135" s="381"/>
    </row>
    <row r="136" spans="1:12" s="270" customFormat="1">
      <c r="A136" s="325" t="s">
        <v>586</v>
      </c>
      <c r="B136" s="328"/>
      <c r="C136" s="328"/>
      <c r="D136" s="542"/>
      <c r="E136" s="330"/>
      <c r="F136" s="330"/>
      <c r="G136" s="332"/>
      <c r="H136" s="483"/>
      <c r="I136" s="335"/>
      <c r="J136" s="295"/>
      <c r="K136" s="296">
        <f t="shared" si="2"/>
        <v>0</v>
      </c>
      <c r="L136" s="381"/>
    </row>
    <row r="137" spans="1:12" s="270" customFormat="1">
      <c r="A137" s="325" t="s">
        <v>586</v>
      </c>
      <c r="B137" s="328"/>
      <c r="C137" s="328"/>
      <c r="D137" s="542"/>
      <c r="E137" s="330"/>
      <c r="F137" s="330"/>
      <c r="G137" s="332"/>
      <c r="H137" s="483"/>
      <c r="I137" s="335"/>
      <c r="J137" s="295"/>
      <c r="K137" s="296">
        <f t="shared" si="2"/>
        <v>0</v>
      </c>
      <c r="L137" s="381"/>
    </row>
    <row r="138" spans="1:12" s="270" customFormat="1">
      <c r="A138" s="325" t="s">
        <v>586</v>
      </c>
      <c r="B138" s="328"/>
      <c r="C138" s="328"/>
      <c r="D138" s="542"/>
      <c r="E138" s="330"/>
      <c r="F138" s="330"/>
      <c r="G138" s="332"/>
      <c r="H138" s="483"/>
      <c r="I138" s="335"/>
      <c r="J138" s="295"/>
      <c r="K138" s="296">
        <f t="shared" si="2"/>
        <v>0</v>
      </c>
      <c r="L138" s="381"/>
    </row>
    <row r="139" spans="1:12" s="270" customFormat="1">
      <c r="A139" s="325" t="s">
        <v>586</v>
      </c>
      <c r="B139" s="328"/>
      <c r="C139" s="328"/>
      <c r="D139" s="542"/>
      <c r="E139" s="330"/>
      <c r="F139" s="330"/>
      <c r="G139" s="332"/>
      <c r="H139" s="483"/>
      <c r="I139" s="335"/>
      <c r="J139" s="295"/>
      <c r="K139" s="296">
        <f t="shared" si="2"/>
        <v>0</v>
      </c>
      <c r="L139" s="381"/>
    </row>
    <row r="140" spans="1:12" s="270" customFormat="1">
      <c r="A140" s="325" t="s">
        <v>586</v>
      </c>
      <c r="B140" s="328"/>
      <c r="C140" s="328"/>
      <c r="D140" s="542"/>
      <c r="E140" s="330"/>
      <c r="F140" s="330"/>
      <c r="G140" s="332"/>
      <c r="H140" s="483"/>
      <c r="I140" s="335"/>
      <c r="J140" s="295"/>
      <c r="K140" s="296">
        <f t="shared" si="2"/>
        <v>0</v>
      </c>
      <c r="L140" s="381"/>
    </row>
    <row r="141" spans="1:12" s="270" customFormat="1">
      <c r="A141" s="325" t="s">
        <v>586</v>
      </c>
      <c r="B141" s="328"/>
      <c r="C141" s="328"/>
      <c r="D141" s="542"/>
      <c r="E141" s="330"/>
      <c r="F141" s="330"/>
      <c r="G141" s="332"/>
      <c r="H141" s="483"/>
      <c r="I141" s="335"/>
      <c r="J141" s="295"/>
      <c r="K141" s="296">
        <f t="shared" si="2"/>
        <v>0</v>
      </c>
      <c r="L141" s="381"/>
    </row>
    <row r="142" spans="1:12" s="270" customFormat="1">
      <c r="A142" s="325" t="s">
        <v>586</v>
      </c>
      <c r="B142" s="328"/>
      <c r="C142" s="328"/>
      <c r="D142" s="542"/>
      <c r="E142" s="330"/>
      <c r="F142" s="330"/>
      <c r="G142" s="332"/>
      <c r="H142" s="483"/>
      <c r="I142" s="335"/>
      <c r="J142" s="295"/>
      <c r="K142" s="296">
        <f t="shared" si="2"/>
        <v>0</v>
      </c>
      <c r="L142" s="381"/>
    </row>
    <row r="143" spans="1:12" s="270" customFormat="1">
      <c r="A143" s="325" t="s">
        <v>586</v>
      </c>
      <c r="B143" s="328"/>
      <c r="C143" s="328"/>
      <c r="D143" s="542"/>
      <c r="E143" s="330"/>
      <c r="F143" s="330"/>
      <c r="G143" s="332"/>
      <c r="H143" s="483"/>
      <c r="I143" s="335"/>
      <c r="J143" s="295"/>
      <c r="K143" s="296">
        <f t="shared" si="2"/>
        <v>0</v>
      </c>
      <c r="L143" s="381"/>
    </row>
    <row r="144" spans="1:12" s="270" customFormat="1">
      <c r="A144" s="325" t="s">
        <v>586</v>
      </c>
      <c r="B144" s="328"/>
      <c r="C144" s="328"/>
      <c r="D144" s="542"/>
      <c r="E144" s="330"/>
      <c r="F144" s="330"/>
      <c r="G144" s="332"/>
      <c r="H144" s="483"/>
      <c r="I144" s="335"/>
      <c r="J144" s="295"/>
      <c r="K144" s="296">
        <f t="shared" si="2"/>
        <v>0</v>
      </c>
      <c r="L144" s="381"/>
    </row>
    <row r="145" spans="1:12" s="270" customFormat="1">
      <c r="A145" s="325" t="s">
        <v>586</v>
      </c>
      <c r="B145" s="328"/>
      <c r="C145" s="328"/>
      <c r="D145" s="542"/>
      <c r="E145" s="330"/>
      <c r="F145" s="330"/>
      <c r="G145" s="332"/>
      <c r="H145" s="483"/>
      <c r="I145" s="335"/>
      <c r="J145" s="295"/>
      <c r="K145" s="296">
        <f t="shared" si="2"/>
        <v>0</v>
      </c>
      <c r="L145" s="381"/>
    </row>
    <row r="146" spans="1:12" s="270" customFormat="1">
      <c r="A146" s="325" t="s">
        <v>586</v>
      </c>
      <c r="B146" s="328"/>
      <c r="C146" s="328"/>
      <c r="D146" s="542"/>
      <c r="E146" s="330"/>
      <c r="F146" s="330"/>
      <c r="G146" s="332"/>
      <c r="H146" s="483"/>
      <c r="I146" s="335"/>
      <c r="J146" s="295"/>
      <c r="K146" s="296">
        <f t="shared" si="2"/>
        <v>0</v>
      </c>
      <c r="L146" s="381"/>
    </row>
    <row r="147" spans="1:12" s="270" customFormat="1">
      <c r="A147" s="325" t="s">
        <v>586</v>
      </c>
      <c r="B147" s="328"/>
      <c r="C147" s="328"/>
      <c r="D147" s="542"/>
      <c r="E147" s="330"/>
      <c r="F147" s="330"/>
      <c r="G147" s="332"/>
      <c r="H147" s="483"/>
      <c r="I147" s="335"/>
      <c r="J147" s="295"/>
      <c r="K147" s="296">
        <f t="shared" si="2"/>
        <v>0</v>
      </c>
      <c r="L147" s="381"/>
    </row>
    <row r="148" spans="1:12" s="270" customFormat="1">
      <c r="A148" s="325" t="s">
        <v>586</v>
      </c>
      <c r="B148" s="328"/>
      <c r="C148" s="328"/>
      <c r="D148" s="542"/>
      <c r="E148" s="330"/>
      <c r="F148" s="330"/>
      <c r="G148" s="332"/>
      <c r="H148" s="483"/>
      <c r="I148" s="335"/>
      <c r="J148" s="295"/>
      <c r="K148" s="296">
        <f t="shared" ref="K148:K348" si="3">IF(LEFT(A148,2)="TU",(J148-I148)*E148/100*100000*2,(J148-I148)*E148/100*100000)</f>
        <v>0</v>
      </c>
      <c r="L148" s="381"/>
    </row>
    <row r="149" spans="1:12" s="270" customFormat="1">
      <c r="A149" s="325" t="s">
        <v>586</v>
      </c>
      <c r="B149" s="328"/>
      <c r="C149" s="328"/>
      <c r="D149" s="542"/>
      <c r="E149" s="330"/>
      <c r="F149" s="330"/>
      <c r="G149" s="332"/>
      <c r="H149" s="483"/>
      <c r="I149" s="335"/>
      <c r="J149" s="295"/>
      <c r="K149" s="296">
        <f t="shared" si="3"/>
        <v>0</v>
      </c>
      <c r="L149" s="381"/>
    </row>
    <row r="150" spans="1:12" s="270" customFormat="1">
      <c r="A150" s="325" t="s">
        <v>586</v>
      </c>
      <c r="B150" s="328"/>
      <c r="C150" s="328"/>
      <c r="D150" s="542"/>
      <c r="E150" s="330"/>
      <c r="F150" s="330"/>
      <c r="G150" s="332"/>
      <c r="H150" s="483"/>
      <c r="I150" s="335"/>
      <c r="J150" s="295"/>
      <c r="K150" s="296">
        <f t="shared" si="3"/>
        <v>0</v>
      </c>
      <c r="L150" s="381"/>
    </row>
    <row r="151" spans="1:12" s="270" customFormat="1">
      <c r="A151" s="325" t="s">
        <v>586</v>
      </c>
      <c r="B151" s="328"/>
      <c r="C151" s="328"/>
      <c r="D151" s="542"/>
      <c r="E151" s="330"/>
      <c r="F151" s="330"/>
      <c r="G151" s="332"/>
      <c r="H151" s="483"/>
      <c r="I151" s="335"/>
      <c r="J151" s="295"/>
      <c r="K151" s="296">
        <f t="shared" si="3"/>
        <v>0</v>
      </c>
      <c r="L151" s="381"/>
    </row>
    <row r="152" spans="1:12" s="270" customFormat="1">
      <c r="A152" s="325" t="s">
        <v>586</v>
      </c>
      <c r="B152" s="328"/>
      <c r="C152" s="328"/>
      <c r="D152" s="542"/>
      <c r="E152" s="330"/>
      <c r="F152" s="330"/>
      <c r="G152" s="332"/>
      <c r="H152" s="483"/>
      <c r="I152" s="335"/>
      <c r="J152" s="295"/>
      <c r="K152" s="296">
        <f t="shared" si="3"/>
        <v>0</v>
      </c>
      <c r="L152" s="381"/>
    </row>
    <row r="153" spans="1:12" s="270" customFormat="1">
      <c r="A153" s="325" t="s">
        <v>586</v>
      </c>
      <c r="B153" s="328"/>
      <c r="C153" s="328"/>
      <c r="D153" s="542"/>
      <c r="E153" s="330"/>
      <c r="F153" s="330"/>
      <c r="G153" s="332"/>
      <c r="H153" s="483"/>
      <c r="I153" s="335"/>
      <c r="J153" s="295"/>
      <c r="K153" s="296">
        <f t="shared" si="3"/>
        <v>0</v>
      </c>
      <c r="L153" s="381"/>
    </row>
    <row r="154" spans="1:12" s="270" customFormat="1">
      <c r="A154" s="325" t="s">
        <v>586</v>
      </c>
      <c r="B154" s="328"/>
      <c r="C154" s="328"/>
      <c r="D154" s="542"/>
      <c r="E154" s="330"/>
      <c r="F154" s="330"/>
      <c r="G154" s="332"/>
      <c r="H154" s="483"/>
      <c r="I154" s="335"/>
      <c r="J154" s="295"/>
      <c r="K154" s="296">
        <f t="shared" si="3"/>
        <v>0</v>
      </c>
      <c r="L154" s="381"/>
    </row>
    <row r="155" spans="1:12" s="270" customFormat="1">
      <c r="A155" s="325" t="s">
        <v>586</v>
      </c>
      <c r="B155" s="328"/>
      <c r="C155" s="328"/>
      <c r="D155" s="542"/>
      <c r="E155" s="330"/>
      <c r="F155" s="330"/>
      <c r="G155" s="332"/>
      <c r="H155" s="483"/>
      <c r="I155" s="335"/>
      <c r="J155" s="295"/>
      <c r="K155" s="296">
        <f t="shared" si="3"/>
        <v>0</v>
      </c>
      <c r="L155" s="381"/>
    </row>
    <row r="156" spans="1:12" s="270" customFormat="1">
      <c r="A156" s="325" t="s">
        <v>586</v>
      </c>
      <c r="B156" s="328"/>
      <c r="C156" s="328"/>
      <c r="D156" s="542"/>
      <c r="E156" s="330"/>
      <c r="F156" s="330"/>
      <c r="G156" s="332"/>
      <c r="H156" s="483"/>
      <c r="I156" s="335"/>
      <c r="J156" s="295"/>
      <c r="K156" s="296">
        <f t="shared" si="3"/>
        <v>0</v>
      </c>
      <c r="L156" s="381"/>
    </row>
    <row r="157" spans="1:12" s="270" customFormat="1">
      <c r="A157" s="325" t="s">
        <v>586</v>
      </c>
      <c r="B157" s="328"/>
      <c r="C157" s="328"/>
      <c r="D157" s="542"/>
      <c r="E157" s="330"/>
      <c r="F157" s="330"/>
      <c r="G157" s="332"/>
      <c r="H157" s="483"/>
      <c r="I157" s="335"/>
      <c r="J157" s="295"/>
      <c r="K157" s="296">
        <f t="shared" si="3"/>
        <v>0</v>
      </c>
      <c r="L157" s="381"/>
    </row>
    <row r="158" spans="1:12" s="270" customFormat="1">
      <c r="A158" s="325" t="s">
        <v>586</v>
      </c>
      <c r="B158" s="328"/>
      <c r="C158" s="328"/>
      <c r="D158" s="542"/>
      <c r="E158" s="330"/>
      <c r="F158" s="330"/>
      <c r="G158" s="332"/>
      <c r="H158" s="483"/>
      <c r="I158" s="335"/>
      <c r="J158" s="295"/>
      <c r="K158" s="296">
        <f t="shared" si="3"/>
        <v>0</v>
      </c>
      <c r="L158" s="381"/>
    </row>
    <row r="159" spans="1:12" s="270" customFormat="1">
      <c r="A159" s="325" t="s">
        <v>586</v>
      </c>
      <c r="B159" s="328"/>
      <c r="C159" s="328"/>
      <c r="D159" s="542"/>
      <c r="E159" s="330"/>
      <c r="F159" s="330"/>
      <c r="G159" s="332"/>
      <c r="H159" s="483"/>
      <c r="I159" s="335"/>
      <c r="J159" s="295"/>
      <c r="K159" s="296">
        <f t="shared" si="3"/>
        <v>0</v>
      </c>
      <c r="L159" s="381"/>
    </row>
    <row r="160" spans="1:12" s="270" customFormat="1">
      <c r="A160" s="325" t="s">
        <v>586</v>
      </c>
      <c r="B160" s="328"/>
      <c r="C160" s="328"/>
      <c r="D160" s="542"/>
      <c r="E160" s="330"/>
      <c r="F160" s="330"/>
      <c r="G160" s="332"/>
      <c r="H160" s="483"/>
      <c r="I160" s="335"/>
      <c r="J160" s="295"/>
      <c r="K160" s="296">
        <f t="shared" si="3"/>
        <v>0</v>
      </c>
      <c r="L160" s="381"/>
    </row>
    <row r="161" spans="1:12" s="270" customFormat="1">
      <c r="A161" s="325" t="s">
        <v>586</v>
      </c>
      <c r="B161" s="328"/>
      <c r="C161" s="328"/>
      <c r="D161" s="542"/>
      <c r="E161" s="330"/>
      <c r="F161" s="330"/>
      <c r="G161" s="332"/>
      <c r="H161" s="483"/>
      <c r="I161" s="335"/>
      <c r="J161" s="295"/>
      <c r="K161" s="296">
        <f t="shared" si="3"/>
        <v>0</v>
      </c>
      <c r="L161" s="381"/>
    </row>
    <row r="162" spans="1:12" s="270" customFormat="1">
      <c r="A162" s="325" t="s">
        <v>586</v>
      </c>
      <c r="B162" s="328"/>
      <c r="C162" s="328"/>
      <c r="D162" s="542"/>
      <c r="E162" s="330"/>
      <c r="F162" s="330"/>
      <c r="G162" s="332"/>
      <c r="H162" s="483"/>
      <c r="I162" s="335"/>
      <c r="J162" s="295"/>
      <c r="K162" s="296">
        <f t="shared" si="3"/>
        <v>0</v>
      </c>
      <c r="L162" s="381"/>
    </row>
    <row r="163" spans="1:12" s="270" customFormat="1">
      <c r="A163" s="325" t="s">
        <v>586</v>
      </c>
      <c r="B163" s="328"/>
      <c r="C163" s="328"/>
      <c r="D163" s="542"/>
      <c r="E163" s="330"/>
      <c r="F163" s="330"/>
      <c r="G163" s="332"/>
      <c r="H163" s="483"/>
      <c r="I163" s="335"/>
      <c r="J163" s="295"/>
      <c r="K163" s="296">
        <f t="shared" si="3"/>
        <v>0</v>
      </c>
      <c r="L163" s="381"/>
    </row>
    <row r="164" spans="1:12" s="270" customFormat="1">
      <c r="A164" s="325" t="s">
        <v>586</v>
      </c>
      <c r="B164" s="328"/>
      <c r="C164" s="328"/>
      <c r="D164" s="542"/>
      <c r="E164" s="330"/>
      <c r="F164" s="330"/>
      <c r="G164" s="332"/>
      <c r="H164" s="483"/>
      <c r="I164" s="335"/>
      <c r="J164" s="295"/>
      <c r="K164" s="296">
        <f t="shared" si="3"/>
        <v>0</v>
      </c>
      <c r="L164" s="381"/>
    </row>
    <row r="165" spans="1:12" s="270" customFormat="1">
      <c r="A165" s="325" t="s">
        <v>586</v>
      </c>
      <c r="B165" s="328"/>
      <c r="C165" s="328"/>
      <c r="D165" s="542"/>
      <c r="E165" s="330"/>
      <c r="F165" s="330"/>
      <c r="G165" s="332"/>
      <c r="H165" s="483"/>
      <c r="I165" s="335"/>
      <c r="J165" s="295"/>
      <c r="K165" s="296">
        <f t="shared" si="3"/>
        <v>0</v>
      </c>
      <c r="L165" s="381"/>
    </row>
    <row r="166" spans="1:12" s="270" customFormat="1">
      <c r="A166" s="325" t="s">
        <v>586</v>
      </c>
      <c r="B166" s="328"/>
      <c r="C166" s="328"/>
      <c r="D166" s="542"/>
      <c r="E166" s="330"/>
      <c r="F166" s="330"/>
      <c r="G166" s="332"/>
      <c r="H166" s="483"/>
      <c r="I166" s="335"/>
      <c r="J166" s="295"/>
      <c r="K166" s="296">
        <f t="shared" si="3"/>
        <v>0</v>
      </c>
      <c r="L166" s="381"/>
    </row>
    <row r="167" spans="1:12" s="270" customFormat="1">
      <c r="A167" s="325" t="s">
        <v>586</v>
      </c>
      <c r="B167" s="328"/>
      <c r="C167" s="328"/>
      <c r="D167" s="542"/>
      <c r="E167" s="330"/>
      <c r="F167" s="330"/>
      <c r="G167" s="332"/>
      <c r="H167" s="483"/>
      <c r="I167" s="335"/>
      <c r="J167" s="295"/>
      <c r="K167" s="296">
        <f t="shared" si="3"/>
        <v>0</v>
      </c>
      <c r="L167" s="381"/>
    </row>
    <row r="168" spans="1:12" s="270" customFormat="1">
      <c r="A168" s="325" t="s">
        <v>586</v>
      </c>
      <c r="B168" s="328"/>
      <c r="C168" s="328"/>
      <c r="D168" s="542"/>
      <c r="E168" s="330"/>
      <c r="F168" s="330"/>
      <c r="G168" s="332"/>
      <c r="H168" s="483"/>
      <c r="I168" s="335"/>
      <c r="J168" s="295"/>
      <c r="K168" s="296">
        <f t="shared" si="3"/>
        <v>0</v>
      </c>
      <c r="L168" s="381"/>
    </row>
    <row r="169" spans="1:12" s="270" customFormat="1">
      <c r="A169" s="325" t="s">
        <v>586</v>
      </c>
      <c r="B169" s="328"/>
      <c r="C169" s="328"/>
      <c r="D169" s="542"/>
      <c r="E169" s="330"/>
      <c r="F169" s="330"/>
      <c r="G169" s="332"/>
      <c r="H169" s="483"/>
      <c r="I169" s="335"/>
      <c r="J169" s="295"/>
      <c r="K169" s="296">
        <f t="shared" si="3"/>
        <v>0</v>
      </c>
      <c r="L169" s="381"/>
    </row>
    <row r="170" spans="1:12" s="270" customFormat="1">
      <c r="A170" s="325" t="s">
        <v>586</v>
      </c>
      <c r="B170" s="328"/>
      <c r="C170" s="328"/>
      <c r="D170" s="542"/>
      <c r="E170" s="330"/>
      <c r="F170" s="330"/>
      <c r="G170" s="332"/>
      <c r="H170" s="483"/>
      <c r="I170" s="335"/>
      <c r="J170" s="295"/>
      <c r="K170" s="296">
        <f t="shared" si="3"/>
        <v>0</v>
      </c>
      <c r="L170" s="381"/>
    </row>
    <row r="171" spans="1:12" s="270" customFormat="1">
      <c r="A171" s="325" t="s">
        <v>586</v>
      </c>
      <c r="B171" s="328"/>
      <c r="C171" s="328"/>
      <c r="D171" s="542"/>
      <c r="E171" s="330"/>
      <c r="F171" s="330"/>
      <c r="G171" s="332"/>
      <c r="H171" s="483"/>
      <c r="I171" s="335"/>
      <c r="J171" s="295"/>
      <c r="K171" s="296">
        <f t="shared" si="3"/>
        <v>0</v>
      </c>
      <c r="L171" s="381"/>
    </row>
    <row r="172" spans="1:12" s="270" customFormat="1">
      <c r="A172" s="325" t="s">
        <v>586</v>
      </c>
      <c r="B172" s="328"/>
      <c r="C172" s="328"/>
      <c r="D172" s="542"/>
      <c r="E172" s="330"/>
      <c r="F172" s="330"/>
      <c r="G172" s="332"/>
      <c r="H172" s="483"/>
      <c r="I172" s="335"/>
      <c r="J172" s="295"/>
      <c r="K172" s="296">
        <f t="shared" si="3"/>
        <v>0</v>
      </c>
      <c r="L172" s="381"/>
    </row>
    <row r="173" spans="1:12" s="270" customFormat="1">
      <c r="A173" s="325" t="s">
        <v>586</v>
      </c>
      <c r="B173" s="328"/>
      <c r="C173" s="328"/>
      <c r="D173" s="542"/>
      <c r="E173" s="330"/>
      <c r="F173" s="330"/>
      <c r="G173" s="332"/>
      <c r="H173" s="483"/>
      <c r="I173" s="335"/>
      <c r="J173" s="295"/>
      <c r="K173" s="296">
        <f t="shared" si="3"/>
        <v>0</v>
      </c>
      <c r="L173" s="381"/>
    </row>
    <row r="174" spans="1:12" s="270" customFormat="1">
      <c r="A174" s="325" t="s">
        <v>589</v>
      </c>
      <c r="B174" s="328"/>
      <c r="C174" s="328"/>
      <c r="D174" s="542"/>
      <c r="E174" s="330"/>
      <c r="F174" s="330"/>
      <c r="G174" s="332"/>
      <c r="H174" s="483"/>
      <c r="I174" s="335"/>
      <c r="J174" s="295"/>
      <c r="K174" s="296">
        <f t="shared" si="3"/>
        <v>0</v>
      </c>
      <c r="L174" s="381"/>
    </row>
    <row r="175" spans="1:12" s="270" customFormat="1">
      <c r="A175" s="325" t="s">
        <v>589</v>
      </c>
      <c r="B175" s="328"/>
      <c r="C175" s="328"/>
      <c r="D175" s="542"/>
      <c r="E175" s="330"/>
      <c r="F175" s="330"/>
      <c r="G175" s="332"/>
      <c r="H175" s="483"/>
      <c r="I175" s="335"/>
      <c r="J175" s="295"/>
      <c r="K175" s="296">
        <f t="shared" si="3"/>
        <v>0</v>
      </c>
      <c r="L175" s="381"/>
    </row>
    <row r="176" spans="1:12" s="270" customFormat="1">
      <c r="A176" s="325" t="s">
        <v>589</v>
      </c>
      <c r="B176" s="328"/>
      <c r="C176" s="328"/>
      <c r="D176" s="542"/>
      <c r="E176" s="330"/>
      <c r="F176" s="330"/>
      <c r="G176" s="332"/>
      <c r="H176" s="483"/>
      <c r="I176" s="335"/>
      <c r="J176" s="295"/>
      <c r="K176" s="296">
        <f t="shared" si="3"/>
        <v>0</v>
      </c>
      <c r="L176" s="381"/>
    </row>
    <row r="177" spans="1:12" s="270" customFormat="1">
      <c r="A177" s="325" t="s">
        <v>589</v>
      </c>
      <c r="B177" s="328"/>
      <c r="C177" s="328"/>
      <c r="D177" s="542"/>
      <c r="E177" s="330"/>
      <c r="F177" s="330"/>
      <c r="G177" s="332"/>
      <c r="H177" s="483"/>
      <c r="I177" s="335"/>
      <c r="J177" s="295"/>
      <c r="K177" s="296">
        <f t="shared" si="3"/>
        <v>0</v>
      </c>
      <c r="L177" s="381"/>
    </row>
    <row r="178" spans="1:12" s="270" customFormat="1">
      <c r="A178" s="325" t="s">
        <v>589</v>
      </c>
      <c r="B178" s="328"/>
      <c r="C178" s="328"/>
      <c r="D178" s="542"/>
      <c r="E178" s="330"/>
      <c r="F178" s="330"/>
      <c r="G178" s="332"/>
      <c r="H178" s="483"/>
      <c r="I178" s="335"/>
      <c r="J178" s="295"/>
      <c r="K178" s="296">
        <f t="shared" si="3"/>
        <v>0</v>
      </c>
      <c r="L178" s="381"/>
    </row>
    <row r="179" spans="1:12" s="270" customFormat="1">
      <c r="A179" s="325" t="s">
        <v>589</v>
      </c>
      <c r="B179" s="328"/>
      <c r="C179" s="328"/>
      <c r="D179" s="542"/>
      <c r="E179" s="330"/>
      <c r="F179" s="330"/>
      <c r="G179" s="332"/>
      <c r="H179" s="483"/>
      <c r="I179" s="335"/>
      <c r="J179" s="295"/>
      <c r="K179" s="296">
        <f t="shared" si="3"/>
        <v>0</v>
      </c>
      <c r="L179" s="381"/>
    </row>
    <row r="180" spans="1:12" s="270" customFormat="1">
      <c r="A180" s="325" t="s">
        <v>586</v>
      </c>
      <c r="B180" s="328"/>
      <c r="C180" s="328"/>
      <c r="D180" s="542"/>
      <c r="E180" s="330"/>
      <c r="F180" s="330"/>
      <c r="G180" s="332"/>
      <c r="H180" s="483"/>
      <c r="I180" s="335"/>
      <c r="J180" s="295"/>
      <c r="K180" s="296">
        <f t="shared" si="3"/>
        <v>0</v>
      </c>
      <c r="L180" s="381"/>
    </row>
    <row r="181" spans="1:12" s="270" customFormat="1">
      <c r="A181" s="325" t="s">
        <v>586</v>
      </c>
      <c r="B181" s="328"/>
      <c r="C181" s="328"/>
      <c r="D181" s="542"/>
      <c r="E181" s="330"/>
      <c r="F181" s="330"/>
      <c r="G181" s="332"/>
      <c r="H181" s="483"/>
      <c r="I181" s="335"/>
      <c r="J181" s="295"/>
      <c r="K181" s="296">
        <f t="shared" si="3"/>
        <v>0</v>
      </c>
      <c r="L181" s="381"/>
    </row>
    <row r="182" spans="1:12" s="270" customFormat="1">
      <c r="A182" s="325" t="s">
        <v>586</v>
      </c>
      <c r="B182" s="328"/>
      <c r="C182" s="328"/>
      <c r="D182" s="542"/>
      <c r="E182" s="330"/>
      <c r="F182" s="330"/>
      <c r="G182" s="332"/>
      <c r="H182" s="483"/>
      <c r="I182" s="335"/>
      <c r="J182" s="295"/>
      <c r="K182" s="296">
        <f t="shared" si="3"/>
        <v>0</v>
      </c>
      <c r="L182" s="381"/>
    </row>
    <row r="183" spans="1:12" s="270" customFormat="1">
      <c r="A183" s="325" t="s">
        <v>586</v>
      </c>
      <c r="B183" s="328"/>
      <c r="C183" s="328"/>
      <c r="D183" s="542"/>
      <c r="E183" s="330"/>
      <c r="F183" s="330"/>
      <c r="G183" s="332"/>
      <c r="H183" s="483"/>
      <c r="I183" s="335"/>
      <c r="J183" s="295"/>
      <c r="K183" s="296">
        <f t="shared" si="3"/>
        <v>0</v>
      </c>
      <c r="L183" s="381"/>
    </row>
    <row r="184" spans="1:12" s="270" customFormat="1">
      <c r="A184" s="325" t="s">
        <v>586</v>
      </c>
      <c r="B184" s="328"/>
      <c r="C184" s="328"/>
      <c r="D184" s="542"/>
      <c r="E184" s="330"/>
      <c r="F184" s="330"/>
      <c r="G184" s="332"/>
      <c r="H184" s="483"/>
      <c r="I184" s="335"/>
      <c r="J184" s="295"/>
      <c r="K184" s="296">
        <f t="shared" si="3"/>
        <v>0</v>
      </c>
      <c r="L184" s="381"/>
    </row>
    <row r="185" spans="1:12" s="270" customFormat="1">
      <c r="A185" s="325" t="s">
        <v>586</v>
      </c>
      <c r="B185" s="328"/>
      <c r="C185" s="328"/>
      <c r="D185" s="542"/>
      <c r="E185" s="330"/>
      <c r="F185" s="330"/>
      <c r="G185" s="332"/>
      <c r="H185" s="483"/>
      <c r="I185" s="335"/>
      <c r="J185" s="295"/>
      <c r="K185" s="296">
        <f t="shared" si="3"/>
        <v>0</v>
      </c>
      <c r="L185" s="381"/>
    </row>
    <row r="186" spans="1:12" s="270" customFormat="1">
      <c r="A186" s="325" t="s">
        <v>586</v>
      </c>
      <c r="B186" s="328"/>
      <c r="C186" s="328"/>
      <c r="D186" s="542"/>
      <c r="E186" s="330"/>
      <c r="F186" s="330"/>
      <c r="G186" s="332"/>
      <c r="H186" s="483"/>
      <c r="I186" s="335"/>
      <c r="J186" s="295"/>
      <c r="K186" s="296">
        <f t="shared" si="3"/>
        <v>0</v>
      </c>
      <c r="L186" s="381"/>
    </row>
    <row r="187" spans="1:12" s="270" customFormat="1">
      <c r="A187" s="325" t="s">
        <v>586</v>
      </c>
      <c r="B187" s="328"/>
      <c r="C187" s="328"/>
      <c r="D187" s="542"/>
      <c r="E187" s="330"/>
      <c r="F187" s="330"/>
      <c r="G187" s="332"/>
      <c r="H187" s="483"/>
      <c r="I187" s="335"/>
      <c r="J187" s="295"/>
      <c r="K187" s="296">
        <f t="shared" si="3"/>
        <v>0</v>
      </c>
      <c r="L187" s="381"/>
    </row>
    <row r="188" spans="1:12" s="270" customFormat="1">
      <c r="A188" s="325" t="s">
        <v>586</v>
      </c>
      <c r="B188" s="328"/>
      <c r="C188" s="328"/>
      <c r="D188" s="542"/>
      <c r="E188" s="330"/>
      <c r="F188" s="330"/>
      <c r="G188" s="332"/>
      <c r="H188" s="483"/>
      <c r="I188" s="335"/>
      <c r="J188" s="295"/>
      <c r="K188" s="296">
        <f t="shared" si="3"/>
        <v>0</v>
      </c>
      <c r="L188" s="381"/>
    </row>
    <row r="189" spans="1:12" s="270" customFormat="1">
      <c r="A189" s="325" t="s">
        <v>586</v>
      </c>
      <c r="B189" s="328"/>
      <c r="C189" s="328"/>
      <c r="D189" s="542"/>
      <c r="E189" s="330"/>
      <c r="F189" s="330"/>
      <c r="G189" s="332"/>
      <c r="H189" s="483"/>
      <c r="I189" s="335"/>
      <c r="J189" s="295"/>
      <c r="K189" s="296">
        <f t="shared" si="3"/>
        <v>0</v>
      </c>
      <c r="L189" s="381"/>
    </row>
    <row r="190" spans="1:12" s="270" customFormat="1">
      <c r="A190" s="325" t="s">
        <v>586</v>
      </c>
      <c r="B190" s="328"/>
      <c r="C190" s="328"/>
      <c r="D190" s="542"/>
      <c r="E190" s="330"/>
      <c r="F190" s="330"/>
      <c r="G190" s="332"/>
      <c r="H190" s="483"/>
      <c r="I190" s="335"/>
      <c r="J190" s="295"/>
      <c r="K190" s="296">
        <f t="shared" si="3"/>
        <v>0</v>
      </c>
      <c r="L190" s="381"/>
    </row>
    <row r="191" spans="1:12" s="270" customFormat="1">
      <c r="A191" s="325" t="s">
        <v>586</v>
      </c>
      <c r="B191" s="328"/>
      <c r="C191" s="328"/>
      <c r="D191" s="542"/>
      <c r="E191" s="330"/>
      <c r="F191" s="330"/>
      <c r="G191" s="332"/>
      <c r="H191" s="483"/>
      <c r="I191" s="335"/>
      <c r="J191" s="295"/>
      <c r="K191" s="296">
        <f t="shared" si="3"/>
        <v>0</v>
      </c>
      <c r="L191" s="381"/>
    </row>
    <row r="192" spans="1:12" s="270" customFormat="1">
      <c r="A192" s="325" t="s">
        <v>586</v>
      </c>
      <c r="B192" s="328"/>
      <c r="C192" s="328"/>
      <c r="D192" s="542"/>
      <c r="E192" s="330"/>
      <c r="F192" s="330"/>
      <c r="G192" s="332"/>
      <c r="H192" s="483"/>
      <c r="I192" s="335"/>
      <c r="J192" s="295"/>
      <c r="K192" s="296">
        <f t="shared" si="3"/>
        <v>0</v>
      </c>
      <c r="L192" s="381"/>
    </row>
    <row r="193" spans="1:12" s="270" customFormat="1">
      <c r="A193" s="325" t="s">
        <v>586</v>
      </c>
      <c r="B193" s="328"/>
      <c r="C193" s="328"/>
      <c r="D193" s="542"/>
      <c r="E193" s="330"/>
      <c r="F193" s="330"/>
      <c r="G193" s="332"/>
      <c r="H193" s="483"/>
      <c r="I193" s="335"/>
      <c r="J193" s="295"/>
      <c r="K193" s="296">
        <f t="shared" si="3"/>
        <v>0</v>
      </c>
      <c r="L193" s="381"/>
    </row>
    <row r="194" spans="1:12" s="270" customFormat="1">
      <c r="A194" s="325" t="s">
        <v>586</v>
      </c>
      <c r="B194" s="328"/>
      <c r="C194" s="328"/>
      <c r="D194" s="542"/>
      <c r="E194" s="330"/>
      <c r="F194" s="330"/>
      <c r="G194" s="332"/>
      <c r="H194" s="483"/>
      <c r="I194" s="335"/>
      <c r="J194" s="295"/>
      <c r="K194" s="296">
        <f t="shared" si="3"/>
        <v>0</v>
      </c>
      <c r="L194" s="381"/>
    </row>
    <row r="195" spans="1:12" s="270" customFormat="1">
      <c r="A195" s="325" t="s">
        <v>586</v>
      </c>
      <c r="B195" s="328"/>
      <c r="C195" s="328"/>
      <c r="D195" s="542"/>
      <c r="E195" s="330"/>
      <c r="F195" s="330"/>
      <c r="G195" s="332"/>
      <c r="H195" s="483"/>
      <c r="I195" s="335"/>
      <c r="J195" s="295"/>
      <c r="K195" s="296">
        <f t="shared" si="3"/>
        <v>0</v>
      </c>
      <c r="L195" s="381"/>
    </row>
    <row r="196" spans="1:12" s="270" customFormat="1">
      <c r="A196" s="325" t="s">
        <v>586</v>
      </c>
      <c r="B196" s="328"/>
      <c r="C196" s="328"/>
      <c r="D196" s="542"/>
      <c r="E196" s="330"/>
      <c r="F196" s="330"/>
      <c r="G196" s="332"/>
      <c r="H196" s="483"/>
      <c r="I196" s="335"/>
      <c r="J196" s="295"/>
      <c r="K196" s="296">
        <f t="shared" si="3"/>
        <v>0</v>
      </c>
      <c r="L196" s="381"/>
    </row>
    <row r="197" spans="1:12" s="270" customFormat="1">
      <c r="A197" s="325" t="s">
        <v>586</v>
      </c>
      <c r="B197" s="328"/>
      <c r="C197" s="328"/>
      <c r="D197" s="542"/>
      <c r="E197" s="330"/>
      <c r="F197" s="330"/>
      <c r="G197" s="332"/>
      <c r="H197" s="483"/>
      <c r="I197" s="335"/>
      <c r="J197" s="295"/>
      <c r="K197" s="296">
        <f t="shared" si="3"/>
        <v>0</v>
      </c>
      <c r="L197" s="381"/>
    </row>
    <row r="198" spans="1:12" s="270" customFormat="1">
      <c r="A198" s="325" t="s">
        <v>586</v>
      </c>
      <c r="B198" s="328"/>
      <c r="C198" s="328"/>
      <c r="D198" s="542"/>
      <c r="E198" s="330"/>
      <c r="F198" s="330"/>
      <c r="G198" s="332"/>
      <c r="H198" s="483"/>
      <c r="I198" s="335"/>
      <c r="J198" s="295"/>
      <c r="K198" s="296">
        <f t="shared" si="3"/>
        <v>0</v>
      </c>
      <c r="L198" s="381"/>
    </row>
    <row r="199" spans="1:12" s="270" customFormat="1">
      <c r="A199" s="325" t="s">
        <v>586</v>
      </c>
      <c r="B199" s="328"/>
      <c r="C199" s="328"/>
      <c r="D199" s="542"/>
      <c r="E199" s="330"/>
      <c r="F199" s="330"/>
      <c r="G199" s="332"/>
      <c r="H199" s="483"/>
      <c r="I199" s="335"/>
      <c r="J199" s="295"/>
      <c r="K199" s="296">
        <f t="shared" si="3"/>
        <v>0</v>
      </c>
      <c r="L199" s="381"/>
    </row>
    <row r="200" spans="1:12" s="270" customFormat="1">
      <c r="A200" s="325" t="s">
        <v>586</v>
      </c>
      <c r="B200" s="328"/>
      <c r="C200" s="328"/>
      <c r="D200" s="542"/>
      <c r="E200" s="330"/>
      <c r="F200" s="330"/>
      <c r="G200" s="332"/>
      <c r="H200" s="483"/>
      <c r="I200" s="335"/>
      <c r="J200" s="295"/>
      <c r="K200" s="296">
        <f t="shared" si="3"/>
        <v>0</v>
      </c>
      <c r="L200" s="381"/>
    </row>
    <row r="201" spans="1:12" s="270" customFormat="1">
      <c r="A201" s="325" t="s">
        <v>586</v>
      </c>
      <c r="B201" s="328"/>
      <c r="C201" s="328"/>
      <c r="D201" s="542"/>
      <c r="E201" s="330"/>
      <c r="F201" s="330"/>
      <c r="G201" s="332"/>
      <c r="H201" s="483"/>
      <c r="I201" s="335"/>
      <c r="J201" s="295"/>
      <c r="K201" s="296">
        <f t="shared" si="3"/>
        <v>0</v>
      </c>
      <c r="L201" s="381"/>
    </row>
    <row r="202" spans="1:12" s="270" customFormat="1">
      <c r="A202" s="325" t="s">
        <v>586</v>
      </c>
      <c r="B202" s="328"/>
      <c r="C202" s="328"/>
      <c r="D202" s="542"/>
      <c r="E202" s="330"/>
      <c r="F202" s="330"/>
      <c r="G202" s="332"/>
      <c r="H202" s="483"/>
      <c r="I202" s="335"/>
      <c r="J202" s="295"/>
      <c r="K202" s="296">
        <f t="shared" si="3"/>
        <v>0</v>
      </c>
      <c r="L202" s="381"/>
    </row>
    <row r="203" spans="1:12" s="270" customFormat="1">
      <c r="A203" s="325" t="s">
        <v>586</v>
      </c>
      <c r="B203" s="328"/>
      <c r="C203" s="328"/>
      <c r="D203" s="542"/>
      <c r="E203" s="330"/>
      <c r="F203" s="330"/>
      <c r="G203" s="332"/>
      <c r="H203" s="483"/>
      <c r="I203" s="335"/>
      <c r="J203" s="295"/>
      <c r="K203" s="296">
        <f t="shared" si="3"/>
        <v>0</v>
      </c>
      <c r="L203" s="381"/>
    </row>
    <row r="204" spans="1:12" s="270" customFormat="1">
      <c r="A204" s="325" t="s">
        <v>586</v>
      </c>
      <c r="B204" s="328"/>
      <c r="C204" s="328"/>
      <c r="D204" s="542"/>
      <c r="E204" s="330"/>
      <c r="F204" s="330"/>
      <c r="G204" s="332"/>
      <c r="H204" s="483"/>
      <c r="I204" s="335"/>
      <c r="J204" s="295"/>
      <c r="K204" s="296">
        <f t="shared" si="3"/>
        <v>0</v>
      </c>
      <c r="L204" s="381"/>
    </row>
    <row r="205" spans="1:12" s="270" customFormat="1">
      <c r="A205" s="325" t="s">
        <v>586</v>
      </c>
      <c r="B205" s="328"/>
      <c r="C205" s="328"/>
      <c r="D205" s="542"/>
      <c r="E205" s="330"/>
      <c r="F205" s="330"/>
      <c r="G205" s="332"/>
      <c r="H205" s="483"/>
      <c r="I205" s="335"/>
      <c r="J205" s="295"/>
      <c r="K205" s="296">
        <f t="shared" si="3"/>
        <v>0</v>
      </c>
      <c r="L205" s="381"/>
    </row>
    <row r="206" spans="1:12" s="270" customFormat="1">
      <c r="A206" s="325" t="s">
        <v>586</v>
      </c>
      <c r="B206" s="328"/>
      <c r="C206" s="328"/>
      <c r="D206" s="542"/>
      <c r="E206" s="330"/>
      <c r="F206" s="330"/>
      <c r="G206" s="332"/>
      <c r="H206" s="483"/>
      <c r="I206" s="335"/>
      <c r="J206" s="295"/>
      <c r="K206" s="296">
        <f t="shared" si="3"/>
        <v>0</v>
      </c>
      <c r="L206" s="381"/>
    </row>
    <row r="207" spans="1:12" s="270" customFormat="1">
      <c r="A207" s="325" t="s">
        <v>586</v>
      </c>
      <c r="B207" s="328"/>
      <c r="C207" s="328"/>
      <c r="D207" s="542"/>
      <c r="E207" s="330"/>
      <c r="F207" s="330"/>
      <c r="G207" s="332"/>
      <c r="H207" s="483"/>
      <c r="I207" s="335"/>
      <c r="J207" s="295"/>
      <c r="K207" s="296">
        <f t="shared" si="3"/>
        <v>0</v>
      </c>
      <c r="L207" s="381"/>
    </row>
    <row r="208" spans="1:12" s="270" customFormat="1">
      <c r="A208" s="325" t="s">
        <v>586</v>
      </c>
      <c r="B208" s="328"/>
      <c r="C208" s="328"/>
      <c r="D208" s="542"/>
      <c r="E208" s="330"/>
      <c r="F208" s="330"/>
      <c r="G208" s="332"/>
      <c r="H208" s="483"/>
      <c r="I208" s="335"/>
      <c r="J208" s="295"/>
      <c r="K208" s="296">
        <f t="shared" si="3"/>
        <v>0</v>
      </c>
      <c r="L208" s="381"/>
    </row>
    <row r="209" spans="1:12" s="270" customFormat="1">
      <c r="A209" s="325" t="s">
        <v>586</v>
      </c>
      <c r="B209" s="328"/>
      <c r="C209" s="328"/>
      <c r="D209" s="542"/>
      <c r="E209" s="330"/>
      <c r="F209" s="330"/>
      <c r="G209" s="332"/>
      <c r="H209" s="483"/>
      <c r="I209" s="335"/>
      <c r="J209" s="295"/>
      <c r="K209" s="296">
        <f t="shared" si="3"/>
        <v>0</v>
      </c>
      <c r="L209" s="381"/>
    </row>
    <row r="210" spans="1:12" s="270" customFormat="1">
      <c r="A210" s="325" t="s">
        <v>586</v>
      </c>
      <c r="B210" s="328"/>
      <c r="C210" s="328"/>
      <c r="D210" s="542"/>
      <c r="E210" s="330"/>
      <c r="F210" s="330"/>
      <c r="G210" s="332"/>
      <c r="H210" s="483"/>
      <c r="I210" s="335"/>
      <c r="J210" s="295"/>
      <c r="K210" s="296">
        <f t="shared" si="3"/>
        <v>0</v>
      </c>
      <c r="L210" s="381"/>
    </row>
    <row r="211" spans="1:12" s="270" customFormat="1">
      <c r="A211" s="325" t="s">
        <v>586</v>
      </c>
      <c r="B211" s="328"/>
      <c r="C211" s="328"/>
      <c r="D211" s="542"/>
      <c r="E211" s="330"/>
      <c r="F211" s="330"/>
      <c r="G211" s="332"/>
      <c r="H211" s="483"/>
      <c r="I211" s="335"/>
      <c r="J211" s="295"/>
      <c r="K211" s="296">
        <f t="shared" si="3"/>
        <v>0</v>
      </c>
      <c r="L211" s="381"/>
    </row>
    <row r="212" spans="1:12" s="270" customFormat="1">
      <c r="A212" s="325" t="s">
        <v>586</v>
      </c>
      <c r="B212" s="328"/>
      <c r="C212" s="328"/>
      <c r="D212" s="542"/>
      <c r="E212" s="330"/>
      <c r="F212" s="330"/>
      <c r="G212" s="332"/>
      <c r="H212" s="483"/>
      <c r="I212" s="335"/>
      <c r="J212" s="295"/>
      <c r="K212" s="296">
        <f t="shared" si="3"/>
        <v>0</v>
      </c>
      <c r="L212" s="381"/>
    </row>
    <row r="213" spans="1:12" s="270" customFormat="1">
      <c r="A213" s="325" t="s">
        <v>586</v>
      </c>
      <c r="B213" s="328"/>
      <c r="C213" s="328"/>
      <c r="D213" s="542"/>
      <c r="E213" s="330"/>
      <c r="F213" s="330"/>
      <c r="G213" s="332"/>
      <c r="H213" s="483"/>
      <c r="I213" s="335"/>
      <c r="J213" s="295"/>
      <c r="K213" s="296">
        <f t="shared" si="3"/>
        <v>0</v>
      </c>
      <c r="L213" s="381"/>
    </row>
    <row r="214" spans="1:12" s="270" customFormat="1">
      <c r="A214" s="325" t="s">
        <v>586</v>
      </c>
      <c r="B214" s="328"/>
      <c r="C214" s="328"/>
      <c r="D214" s="542"/>
      <c r="E214" s="330"/>
      <c r="F214" s="330"/>
      <c r="G214" s="332"/>
      <c r="H214" s="483"/>
      <c r="I214" s="335"/>
      <c r="J214" s="295"/>
      <c r="K214" s="296">
        <f t="shared" si="3"/>
        <v>0</v>
      </c>
      <c r="L214" s="381"/>
    </row>
    <row r="215" spans="1:12" s="270" customFormat="1">
      <c r="A215" s="325" t="s">
        <v>586</v>
      </c>
      <c r="B215" s="328"/>
      <c r="C215" s="328"/>
      <c r="D215" s="542"/>
      <c r="E215" s="330"/>
      <c r="F215" s="330"/>
      <c r="G215" s="332"/>
      <c r="H215" s="483"/>
      <c r="I215" s="335"/>
      <c r="J215" s="295"/>
      <c r="K215" s="296">
        <f t="shared" si="3"/>
        <v>0</v>
      </c>
      <c r="L215" s="381"/>
    </row>
    <row r="216" spans="1:12" s="270" customFormat="1">
      <c r="A216" s="325" t="s">
        <v>586</v>
      </c>
      <c r="B216" s="328"/>
      <c r="C216" s="328"/>
      <c r="D216" s="542"/>
      <c r="E216" s="330"/>
      <c r="F216" s="330"/>
      <c r="G216" s="332"/>
      <c r="H216" s="483"/>
      <c r="I216" s="335"/>
      <c r="J216" s="295"/>
      <c r="K216" s="296">
        <f t="shared" si="3"/>
        <v>0</v>
      </c>
      <c r="L216" s="381"/>
    </row>
    <row r="217" spans="1:12" s="270" customFormat="1">
      <c r="A217" s="325" t="s">
        <v>586</v>
      </c>
      <c r="B217" s="328"/>
      <c r="C217" s="328"/>
      <c r="D217" s="542"/>
      <c r="E217" s="330"/>
      <c r="F217" s="330"/>
      <c r="G217" s="332"/>
      <c r="H217" s="483"/>
      <c r="I217" s="335"/>
      <c r="J217" s="295"/>
      <c r="K217" s="296">
        <f t="shared" si="3"/>
        <v>0</v>
      </c>
      <c r="L217" s="381"/>
    </row>
    <row r="218" spans="1:12" s="270" customFormat="1">
      <c r="A218" s="325" t="s">
        <v>586</v>
      </c>
      <c r="B218" s="328"/>
      <c r="C218" s="328"/>
      <c r="D218" s="542"/>
      <c r="E218" s="330"/>
      <c r="F218" s="330"/>
      <c r="G218" s="332"/>
      <c r="H218" s="483"/>
      <c r="I218" s="335"/>
      <c r="J218" s="295"/>
      <c r="K218" s="296">
        <f t="shared" si="3"/>
        <v>0</v>
      </c>
      <c r="L218" s="381"/>
    </row>
    <row r="219" spans="1:12" s="270" customFormat="1">
      <c r="A219" s="325" t="s">
        <v>586</v>
      </c>
      <c r="B219" s="328"/>
      <c r="C219" s="328"/>
      <c r="D219" s="542"/>
      <c r="E219" s="330"/>
      <c r="F219" s="330"/>
      <c r="G219" s="332"/>
      <c r="H219" s="483"/>
      <c r="I219" s="335"/>
      <c r="J219" s="295"/>
      <c r="K219" s="296">
        <f t="shared" si="3"/>
        <v>0</v>
      </c>
      <c r="L219" s="381"/>
    </row>
    <row r="220" spans="1:12" s="270" customFormat="1">
      <c r="A220" s="325" t="s">
        <v>586</v>
      </c>
      <c r="B220" s="328"/>
      <c r="C220" s="328"/>
      <c r="D220" s="542"/>
      <c r="E220" s="330"/>
      <c r="F220" s="330"/>
      <c r="G220" s="332"/>
      <c r="H220" s="483"/>
      <c r="I220" s="335"/>
      <c r="J220" s="295"/>
      <c r="K220" s="296">
        <f t="shared" si="3"/>
        <v>0</v>
      </c>
      <c r="L220" s="381"/>
    </row>
    <row r="221" spans="1:12" s="270" customFormat="1">
      <c r="A221" s="325" t="s">
        <v>586</v>
      </c>
      <c r="B221" s="328"/>
      <c r="C221" s="328"/>
      <c r="D221" s="542"/>
      <c r="E221" s="330"/>
      <c r="F221" s="330"/>
      <c r="G221" s="332"/>
      <c r="H221" s="483"/>
      <c r="I221" s="335"/>
      <c r="J221" s="295"/>
      <c r="K221" s="296">
        <f t="shared" si="3"/>
        <v>0</v>
      </c>
      <c r="L221" s="381"/>
    </row>
    <row r="222" spans="1:12" s="270" customFormat="1">
      <c r="A222" s="325" t="s">
        <v>586</v>
      </c>
      <c r="B222" s="328"/>
      <c r="C222" s="328"/>
      <c r="D222" s="542"/>
      <c r="E222" s="330"/>
      <c r="F222" s="330"/>
      <c r="G222" s="332"/>
      <c r="H222" s="483"/>
      <c r="I222" s="335"/>
      <c r="J222" s="295"/>
      <c r="K222" s="296">
        <f t="shared" si="3"/>
        <v>0</v>
      </c>
      <c r="L222" s="381"/>
    </row>
    <row r="223" spans="1:12" s="270" customFormat="1">
      <c r="A223" s="325" t="s">
        <v>586</v>
      </c>
      <c r="B223" s="328"/>
      <c r="C223" s="328"/>
      <c r="D223" s="542"/>
      <c r="E223" s="330"/>
      <c r="F223" s="330"/>
      <c r="G223" s="332"/>
      <c r="H223" s="483"/>
      <c r="I223" s="335"/>
      <c r="J223" s="295"/>
      <c r="K223" s="296">
        <f t="shared" si="3"/>
        <v>0</v>
      </c>
      <c r="L223" s="381"/>
    </row>
    <row r="224" spans="1:12" s="270" customFormat="1">
      <c r="A224" s="325" t="s">
        <v>586</v>
      </c>
      <c r="B224" s="328"/>
      <c r="C224" s="328"/>
      <c r="D224" s="542"/>
      <c r="E224" s="330"/>
      <c r="F224" s="330"/>
      <c r="G224" s="332"/>
      <c r="H224" s="483"/>
      <c r="I224" s="335"/>
      <c r="J224" s="295"/>
      <c r="K224" s="296">
        <f t="shared" si="3"/>
        <v>0</v>
      </c>
      <c r="L224" s="381"/>
    </row>
    <row r="225" spans="1:12" s="270" customFormat="1">
      <c r="A225" s="325" t="s">
        <v>586</v>
      </c>
      <c r="B225" s="328"/>
      <c r="C225" s="328"/>
      <c r="D225" s="542"/>
      <c r="E225" s="330"/>
      <c r="F225" s="330"/>
      <c r="G225" s="332"/>
      <c r="H225" s="483"/>
      <c r="I225" s="335"/>
      <c r="J225" s="295"/>
      <c r="K225" s="296">
        <f t="shared" si="3"/>
        <v>0</v>
      </c>
      <c r="L225" s="381"/>
    </row>
    <row r="226" spans="1:12" s="270" customFormat="1">
      <c r="A226" s="325" t="s">
        <v>586</v>
      </c>
      <c r="B226" s="328"/>
      <c r="C226" s="328"/>
      <c r="D226" s="542"/>
      <c r="E226" s="330"/>
      <c r="F226" s="330"/>
      <c r="G226" s="332"/>
      <c r="H226" s="483"/>
      <c r="I226" s="335"/>
      <c r="J226" s="295"/>
      <c r="K226" s="296">
        <f t="shared" si="3"/>
        <v>0</v>
      </c>
      <c r="L226" s="381"/>
    </row>
    <row r="227" spans="1:12" s="270" customFormat="1">
      <c r="A227" s="325" t="s">
        <v>586</v>
      </c>
      <c r="B227" s="328"/>
      <c r="C227" s="328"/>
      <c r="D227" s="542"/>
      <c r="E227" s="330"/>
      <c r="F227" s="330"/>
      <c r="G227" s="332"/>
      <c r="H227" s="483"/>
      <c r="I227" s="335"/>
      <c r="J227" s="295"/>
      <c r="K227" s="296">
        <f t="shared" si="3"/>
        <v>0</v>
      </c>
      <c r="L227" s="381"/>
    </row>
    <row r="228" spans="1:12" s="270" customFormat="1">
      <c r="A228" s="325" t="s">
        <v>602</v>
      </c>
      <c r="B228" s="328"/>
      <c r="C228" s="328"/>
      <c r="D228" s="542"/>
      <c r="E228" s="330"/>
      <c r="F228" s="330"/>
      <c r="G228" s="332"/>
      <c r="H228" s="483"/>
      <c r="I228" s="335"/>
      <c r="J228" s="295"/>
      <c r="K228" s="296">
        <f t="shared" si="3"/>
        <v>0</v>
      </c>
      <c r="L228" s="381"/>
    </row>
    <row r="229" spans="1:12" s="270" customFormat="1">
      <c r="A229" s="325" t="s">
        <v>602</v>
      </c>
      <c r="B229" s="328"/>
      <c r="C229" s="328"/>
      <c r="D229" s="542"/>
      <c r="E229" s="330"/>
      <c r="F229" s="330"/>
      <c r="G229" s="332"/>
      <c r="H229" s="483"/>
      <c r="I229" s="335"/>
      <c r="J229" s="295"/>
      <c r="K229" s="296">
        <f t="shared" si="3"/>
        <v>0</v>
      </c>
      <c r="L229" s="381"/>
    </row>
    <row r="230" spans="1:12" s="270" customFormat="1">
      <c r="A230" s="325" t="s">
        <v>602</v>
      </c>
      <c r="B230" s="328"/>
      <c r="C230" s="328"/>
      <c r="D230" s="542"/>
      <c r="E230" s="330"/>
      <c r="F230" s="330"/>
      <c r="G230" s="332"/>
      <c r="H230" s="483"/>
      <c r="I230" s="335"/>
      <c r="J230" s="295"/>
      <c r="K230" s="296">
        <f t="shared" si="3"/>
        <v>0</v>
      </c>
      <c r="L230" s="381"/>
    </row>
    <row r="231" spans="1:12" s="270" customFormat="1">
      <c r="A231" s="325" t="s">
        <v>602</v>
      </c>
      <c r="B231" s="328"/>
      <c r="C231" s="328"/>
      <c r="D231" s="542"/>
      <c r="E231" s="330"/>
      <c r="F231" s="330"/>
      <c r="G231" s="332"/>
      <c r="H231" s="483"/>
      <c r="I231" s="335"/>
      <c r="J231" s="295"/>
      <c r="K231" s="296">
        <f t="shared" si="3"/>
        <v>0</v>
      </c>
      <c r="L231" s="381"/>
    </row>
    <row r="232" spans="1:12" s="270" customFormat="1">
      <c r="A232" s="325" t="s">
        <v>602</v>
      </c>
      <c r="B232" s="328"/>
      <c r="C232" s="328"/>
      <c r="D232" s="542"/>
      <c r="E232" s="330"/>
      <c r="F232" s="330"/>
      <c r="G232" s="332"/>
      <c r="H232" s="483"/>
      <c r="I232" s="335"/>
      <c r="J232" s="295"/>
      <c r="K232" s="296">
        <f t="shared" si="3"/>
        <v>0</v>
      </c>
      <c r="L232" s="381"/>
    </row>
    <row r="233" spans="1:12" s="270" customFormat="1">
      <c r="A233" s="325" t="s">
        <v>602</v>
      </c>
      <c r="B233" s="328"/>
      <c r="C233" s="328"/>
      <c r="D233" s="542"/>
      <c r="E233" s="330"/>
      <c r="F233" s="330"/>
      <c r="G233" s="332"/>
      <c r="H233" s="483"/>
      <c r="I233" s="335"/>
      <c r="J233" s="295"/>
      <c r="K233" s="296">
        <f t="shared" si="3"/>
        <v>0</v>
      </c>
      <c r="L233" s="381"/>
    </row>
    <row r="234" spans="1:12" s="270" customFormat="1">
      <c r="A234" s="325" t="s">
        <v>602</v>
      </c>
      <c r="B234" s="328"/>
      <c r="C234" s="328"/>
      <c r="D234" s="542"/>
      <c r="E234" s="330"/>
      <c r="F234" s="330"/>
      <c r="G234" s="332"/>
      <c r="H234" s="483"/>
      <c r="I234" s="335"/>
      <c r="J234" s="295"/>
      <c r="K234" s="296">
        <f t="shared" si="3"/>
        <v>0</v>
      </c>
      <c r="L234" s="381"/>
    </row>
    <row r="235" spans="1:12" s="270" customFormat="1">
      <c r="A235" s="325" t="s">
        <v>602</v>
      </c>
      <c r="B235" s="328"/>
      <c r="C235" s="328"/>
      <c r="D235" s="542"/>
      <c r="E235" s="330"/>
      <c r="F235" s="330"/>
      <c r="G235" s="332"/>
      <c r="H235" s="483"/>
      <c r="I235" s="335"/>
      <c r="J235" s="295"/>
      <c r="K235" s="296">
        <f t="shared" si="3"/>
        <v>0</v>
      </c>
      <c r="L235" s="381"/>
    </row>
    <row r="236" spans="1:12" s="270" customFormat="1">
      <c r="A236" s="325" t="s">
        <v>602</v>
      </c>
      <c r="B236" s="328"/>
      <c r="C236" s="328"/>
      <c r="D236" s="542"/>
      <c r="E236" s="330"/>
      <c r="F236" s="330"/>
      <c r="G236" s="332"/>
      <c r="H236" s="483"/>
      <c r="I236" s="335"/>
      <c r="J236" s="295"/>
      <c r="K236" s="296">
        <f t="shared" si="3"/>
        <v>0</v>
      </c>
      <c r="L236" s="381"/>
    </row>
    <row r="237" spans="1:12" s="270" customFormat="1">
      <c r="A237" s="325" t="s">
        <v>602</v>
      </c>
      <c r="B237" s="328"/>
      <c r="C237" s="328"/>
      <c r="D237" s="542"/>
      <c r="E237" s="330"/>
      <c r="F237" s="330"/>
      <c r="G237" s="332"/>
      <c r="H237" s="483"/>
      <c r="I237" s="335"/>
      <c r="J237" s="295"/>
      <c r="K237" s="296">
        <f t="shared" si="3"/>
        <v>0</v>
      </c>
      <c r="L237" s="381"/>
    </row>
    <row r="238" spans="1:12" s="270" customFormat="1">
      <c r="A238" s="325" t="s">
        <v>602</v>
      </c>
      <c r="B238" s="328"/>
      <c r="C238" s="328"/>
      <c r="D238" s="542"/>
      <c r="E238" s="330"/>
      <c r="F238" s="330"/>
      <c r="G238" s="332"/>
      <c r="H238" s="483"/>
      <c r="I238" s="335"/>
      <c r="J238" s="295"/>
      <c r="K238" s="296">
        <f t="shared" si="3"/>
        <v>0</v>
      </c>
      <c r="L238" s="381"/>
    </row>
    <row r="239" spans="1:12" s="270" customFormat="1">
      <c r="A239" s="325" t="s">
        <v>602</v>
      </c>
      <c r="B239" s="328"/>
      <c r="C239" s="328"/>
      <c r="D239" s="542"/>
      <c r="E239" s="330"/>
      <c r="F239" s="330"/>
      <c r="G239" s="332"/>
      <c r="H239" s="483"/>
      <c r="I239" s="335"/>
      <c r="J239" s="295"/>
      <c r="K239" s="296">
        <f t="shared" si="3"/>
        <v>0</v>
      </c>
      <c r="L239" s="381"/>
    </row>
    <row r="240" spans="1:12" s="270" customFormat="1">
      <c r="A240" s="325" t="s">
        <v>602</v>
      </c>
      <c r="B240" s="328"/>
      <c r="C240" s="328"/>
      <c r="D240" s="542"/>
      <c r="E240" s="330"/>
      <c r="F240" s="330"/>
      <c r="G240" s="332"/>
      <c r="H240" s="483"/>
      <c r="I240" s="335"/>
      <c r="J240" s="295"/>
      <c r="K240" s="296">
        <f t="shared" si="3"/>
        <v>0</v>
      </c>
      <c r="L240" s="381"/>
    </row>
    <row r="241" spans="1:12" s="270" customFormat="1">
      <c r="A241" s="325" t="s">
        <v>602</v>
      </c>
      <c r="B241" s="328"/>
      <c r="C241" s="328"/>
      <c r="D241" s="542"/>
      <c r="E241" s="330"/>
      <c r="F241" s="330"/>
      <c r="G241" s="332"/>
      <c r="H241" s="483"/>
      <c r="I241" s="335"/>
      <c r="J241" s="295"/>
      <c r="K241" s="296">
        <f t="shared" si="3"/>
        <v>0</v>
      </c>
      <c r="L241" s="381"/>
    </row>
    <row r="242" spans="1:12" s="270" customFormat="1">
      <c r="A242" s="325" t="s">
        <v>602</v>
      </c>
      <c r="B242" s="328"/>
      <c r="C242" s="328"/>
      <c r="D242" s="542"/>
      <c r="E242" s="330"/>
      <c r="F242" s="330"/>
      <c r="G242" s="332"/>
      <c r="H242" s="483"/>
      <c r="I242" s="335"/>
      <c r="J242" s="295"/>
      <c r="K242" s="296">
        <f t="shared" si="3"/>
        <v>0</v>
      </c>
      <c r="L242" s="381"/>
    </row>
    <row r="243" spans="1:12" s="270" customFormat="1">
      <c r="A243" s="325" t="s">
        <v>602</v>
      </c>
      <c r="B243" s="328"/>
      <c r="C243" s="328"/>
      <c r="D243" s="542"/>
      <c r="E243" s="330"/>
      <c r="F243" s="330"/>
      <c r="G243" s="332"/>
      <c r="H243" s="483"/>
      <c r="I243" s="335"/>
      <c r="J243" s="295"/>
      <c r="K243" s="296">
        <f t="shared" si="3"/>
        <v>0</v>
      </c>
      <c r="L243" s="381"/>
    </row>
    <row r="244" spans="1:12" s="270" customFormat="1">
      <c r="A244" s="325" t="s">
        <v>602</v>
      </c>
      <c r="B244" s="328"/>
      <c r="C244" s="328"/>
      <c r="D244" s="542"/>
      <c r="E244" s="330"/>
      <c r="F244" s="330"/>
      <c r="G244" s="332"/>
      <c r="H244" s="483"/>
      <c r="I244" s="335"/>
      <c r="J244" s="295"/>
      <c r="K244" s="296">
        <f t="shared" si="3"/>
        <v>0</v>
      </c>
      <c r="L244" s="381"/>
    </row>
    <row r="245" spans="1:12" s="270" customFormat="1">
      <c r="A245" s="325" t="s">
        <v>602</v>
      </c>
      <c r="B245" s="328"/>
      <c r="C245" s="328"/>
      <c r="D245" s="542"/>
      <c r="E245" s="330"/>
      <c r="F245" s="330"/>
      <c r="G245" s="332"/>
      <c r="H245" s="483"/>
      <c r="I245" s="335"/>
      <c r="J245" s="295"/>
      <c r="K245" s="296">
        <f t="shared" si="3"/>
        <v>0</v>
      </c>
      <c r="L245" s="381"/>
    </row>
    <row r="246" spans="1:12" s="270" customFormat="1">
      <c r="A246" s="325" t="s">
        <v>604</v>
      </c>
      <c r="B246" s="328"/>
      <c r="C246" s="328"/>
      <c r="D246" s="542"/>
      <c r="E246" s="330"/>
      <c r="F246" s="330"/>
      <c r="G246" s="332"/>
      <c r="H246" s="483"/>
      <c r="I246" s="335"/>
      <c r="J246" s="295"/>
      <c r="K246" s="847">
        <f t="shared" si="3"/>
        <v>0</v>
      </c>
      <c r="L246" s="381"/>
    </row>
    <row r="247" spans="1:12" s="270" customFormat="1">
      <c r="A247" s="325" t="s">
        <v>602</v>
      </c>
      <c r="B247" s="328"/>
      <c r="C247" s="328"/>
      <c r="D247" s="542"/>
      <c r="E247" s="330"/>
      <c r="F247" s="330"/>
      <c r="G247" s="332"/>
      <c r="H247" s="483"/>
      <c r="I247" s="335"/>
      <c r="J247" s="295"/>
      <c r="K247" s="847">
        <f t="shared" si="3"/>
        <v>0</v>
      </c>
      <c r="L247" s="381"/>
    </row>
    <row r="248" spans="1:12" s="270" customFormat="1">
      <c r="A248" s="325" t="s">
        <v>604</v>
      </c>
      <c r="B248" s="328"/>
      <c r="C248" s="328"/>
      <c r="D248" s="542"/>
      <c r="E248" s="330"/>
      <c r="F248" s="330"/>
      <c r="G248" s="332"/>
      <c r="H248" s="483"/>
      <c r="I248" s="335"/>
      <c r="J248" s="295"/>
      <c r="K248" s="847">
        <f t="shared" si="3"/>
        <v>0</v>
      </c>
      <c r="L248" s="381"/>
    </row>
    <row r="249" spans="1:12" s="270" customFormat="1">
      <c r="A249" s="325" t="s">
        <v>604</v>
      </c>
      <c r="B249" s="328"/>
      <c r="C249" s="328"/>
      <c r="D249" s="542"/>
      <c r="E249" s="330"/>
      <c r="F249" s="330"/>
      <c r="G249" s="332"/>
      <c r="H249" s="483"/>
      <c r="I249" s="335"/>
      <c r="J249" s="295"/>
      <c r="K249" s="847">
        <f t="shared" si="3"/>
        <v>0</v>
      </c>
      <c r="L249" s="381"/>
    </row>
    <row r="250" spans="1:12" s="270" customFormat="1">
      <c r="A250" s="325" t="s">
        <v>604</v>
      </c>
      <c r="B250" s="328"/>
      <c r="C250" s="328"/>
      <c r="D250" s="542"/>
      <c r="E250" s="330"/>
      <c r="F250" s="330"/>
      <c r="G250" s="332"/>
      <c r="H250" s="483"/>
      <c r="I250" s="335"/>
      <c r="J250" s="295"/>
      <c r="K250" s="847">
        <f t="shared" si="3"/>
        <v>0</v>
      </c>
      <c r="L250" s="381"/>
    </row>
    <row r="251" spans="1:12" s="270" customFormat="1">
      <c r="A251" s="325" t="s">
        <v>602</v>
      </c>
      <c r="B251" s="328"/>
      <c r="C251" s="328"/>
      <c r="D251" s="542"/>
      <c r="E251" s="330"/>
      <c r="F251" s="330"/>
      <c r="G251" s="332"/>
      <c r="H251" s="483"/>
      <c r="I251" s="335"/>
      <c r="J251" s="295"/>
      <c r="K251" s="847">
        <f t="shared" si="3"/>
        <v>0</v>
      </c>
      <c r="L251" s="381"/>
    </row>
    <row r="252" spans="1:12" s="270" customFormat="1">
      <c r="A252" s="325" t="s">
        <v>602</v>
      </c>
      <c r="B252" s="328"/>
      <c r="C252" s="328"/>
      <c r="D252" s="542"/>
      <c r="E252" s="330"/>
      <c r="F252" s="330"/>
      <c r="G252" s="332"/>
      <c r="H252" s="483"/>
      <c r="I252" s="335"/>
      <c r="J252" s="295"/>
      <c r="K252" s="847">
        <f t="shared" si="3"/>
        <v>0</v>
      </c>
      <c r="L252" s="381"/>
    </row>
    <row r="253" spans="1:12" s="270" customFormat="1">
      <c r="A253" s="325" t="s">
        <v>604</v>
      </c>
      <c r="B253" s="328"/>
      <c r="C253" s="328"/>
      <c r="D253" s="542"/>
      <c r="E253" s="330"/>
      <c r="F253" s="330"/>
      <c r="G253" s="332"/>
      <c r="H253" s="483"/>
      <c r="I253" s="335"/>
      <c r="J253" s="295"/>
      <c r="K253" s="847">
        <f t="shared" si="3"/>
        <v>0</v>
      </c>
      <c r="L253" s="381"/>
    </row>
    <row r="254" spans="1:12" s="270" customFormat="1">
      <c r="A254" s="325" t="s">
        <v>602</v>
      </c>
      <c r="B254" s="328"/>
      <c r="C254" s="328"/>
      <c r="D254" s="542"/>
      <c r="E254" s="330"/>
      <c r="F254" s="330"/>
      <c r="G254" s="332"/>
      <c r="H254" s="483"/>
      <c r="I254" s="335"/>
      <c r="J254" s="295"/>
      <c r="K254" s="847">
        <f t="shared" si="3"/>
        <v>0</v>
      </c>
      <c r="L254" s="381"/>
    </row>
    <row r="255" spans="1:12" s="270" customFormat="1">
      <c r="A255" s="325" t="s">
        <v>602</v>
      </c>
      <c r="B255" s="328"/>
      <c r="C255" s="328"/>
      <c r="D255" s="542"/>
      <c r="E255" s="330"/>
      <c r="F255" s="330"/>
      <c r="G255" s="332"/>
      <c r="H255" s="483"/>
      <c r="I255" s="335"/>
      <c r="J255" s="295"/>
      <c r="K255" s="847">
        <f t="shared" si="3"/>
        <v>0</v>
      </c>
      <c r="L255" s="381"/>
    </row>
    <row r="256" spans="1:12" s="270" customFormat="1">
      <c r="A256" s="325" t="s">
        <v>602</v>
      </c>
      <c r="B256" s="328"/>
      <c r="C256" s="328"/>
      <c r="D256" s="542"/>
      <c r="E256" s="330"/>
      <c r="F256" s="330"/>
      <c r="G256" s="332"/>
      <c r="H256" s="483"/>
      <c r="I256" s="335"/>
      <c r="J256" s="295"/>
      <c r="K256" s="847">
        <f t="shared" si="3"/>
        <v>0</v>
      </c>
      <c r="L256" s="381"/>
    </row>
    <row r="257" spans="1:12" s="270" customFormat="1">
      <c r="A257" s="325" t="s">
        <v>602</v>
      </c>
      <c r="B257" s="328"/>
      <c r="C257" s="328"/>
      <c r="D257" s="542"/>
      <c r="E257" s="330"/>
      <c r="F257" s="330"/>
      <c r="G257" s="332"/>
      <c r="H257" s="483"/>
      <c r="I257" s="335"/>
      <c r="J257" s="295"/>
      <c r="K257" s="847">
        <f t="shared" si="3"/>
        <v>0</v>
      </c>
      <c r="L257" s="381"/>
    </row>
    <row r="258" spans="1:12" s="270" customFormat="1">
      <c r="A258" s="325" t="s">
        <v>602</v>
      </c>
      <c r="B258" s="328"/>
      <c r="C258" s="328"/>
      <c r="D258" s="542"/>
      <c r="E258" s="330"/>
      <c r="F258" s="330"/>
      <c r="G258" s="332"/>
      <c r="H258" s="483"/>
      <c r="I258" s="335"/>
      <c r="J258" s="295"/>
      <c r="K258" s="847">
        <f t="shared" si="3"/>
        <v>0</v>
      </c>
      <c r="L258" s="381"/>
    </row>
    <row r="259" spans="1:12" s="270" customFormat="1">
      <c r="A259" s="325" t="s">
        <v>602</v>
      </c>
      <c r="B259" s="328"/>
      <c r="C259" s="328"/>
      <c r="D259" s="542"/>
      <c r="E259" s="330"/>
      <c r="F259" s="330"/>
      <c r="G259" s="332"/>
      <c r="H259" s="483"/>
      <c r="I259" s="335"/>
      <c r="J259" s="295"/>
      <c r="K259" s="847">
        <f t="shared" si="3"/>
        <v>0</v>
      </c>
      <c r="L259" s="381"/>
    </row>
    <row r="260" spans="1:12" s="270" customFormat="1">
      <c r="A260" s="325" t="s">
        <v>602</v>
      </c>
      <c r="B260" s="328"/>
      <c r="C260" s="328"/>
      <c r="D260" s="542"/>
      <c r="E260" s="330"/>
      <c r="F260" s="330"/>
      <c r="G260" s="332"/>
      <c r="H260" s="483"/>
      <c r="I260" s="335"/>
      <c r="J260" s="295"/>
      <c r="K260" s="847">
        <f t="shared" si="3"/>
        <v>0</v>
      </c>
      <c r="L260" s="381"/>
    </row>
    <row r="261" spans="1:12" s="270" customFormat="1">
      <c r="A261" s="325" t="s">
        <v>602</v>
      </c>
      <c r="B261" s="328"/>
      <c r="C261" s="328"/>
      <c r="D261" s="542"/>
      <c r="E261" s="330"/>
      <c r="F261" s="330"/>
      <c r="G261" s="332"/>
      <c r="H261" s="483"/>
      <c r="I261" s="335"/>
      <c r="J261" s="295"/>
      <c r="K261" s="847">
        <f t="shared" si="3"/>
        <v>0</v>
      </c>
      <c r="L261" s="381"/>
    </row>
    <row r="262" spans="1:12" s="270" customFormat="1">
      <c r="A262" s="325" t="s">
        <v>604</v>
      </c>
      <c r="B262" s="328"/>
      <c r="C262" s="328"/>
      <c r="D262" s="542"/>
      <c r="E262" s="330"/>
      <c r="F262" s="330"/>
      <c r="G262" s="332"/>
      <c r="H262" s="483"/>
      <c r="I262" s="335"/>
      <c r="J262" s="295"/>
      <c r="K262" s="847">
        <f t="shared" si="3"/>
        <v>0</v>
      </c>
      <c r="L262" s="381"/>
    </row>
    <row r="263" spans="1:12" s="270" customFormat="1">
      <c r="A263" s="325" t="s">
        <v>604</v>
      </c>
      <c r="B263" s="328"/>
      <c r="C263" s="328"/>
      <c r="D263" s="542"/>
      <c r="E263" s="330"/>
      <c r="F263" s="330"/>
      <c r="G263" s="332"/>
      <c r="H263" s="483"/>
      <c r="I263" s="335"/>
      <c r="J263" s="295"/>
      <c r="K263" s="847">
        <f t="shared" si="3"/>
        <v>0</v>
      </c>
      <c r="L263" s="381"/>
    </row>
    <row r="264" spans="1:12" s="270" customFormat="1">
      <c r="A264" s="325" t="s">
        <v>602</v>
      </c>
      <c r="B264" s="328"/>
      <c r="C264" s="328"/>
      <c r="D264" s="542"/>
      <c r="E264" s="330"/>
      <c r="F264" s="330"/>
      <c r="G264" s="332"/>
      <c r="H264" s="483"/>
      <c r="I264" s="335"/>
      <c r="J264" s="295"/>
      <c r="K264" s="847">
        <f t="shared" si="3"/>
        <v>0</v>
      </c>
      <c r="L264" s="381"/>
    </row>
    <row r="265" spans="1:12" s="270" customFormat="1">
      <c r="A265" s="325" t="s">
        <v>602</v>
      </c>
      <c r="B265" s="328"/>
      <c r="C265" s="328"/>
      <c r="D265" s="542"/>
      <c r="E265" s="330"/>
      <c r="F265" s="330"/>
      <c r="G265" s="332"/>
      <c r="H265" s="483"/>
      <c r="I265" s="335"/>
      <c r="J265" s="295"/>
      <c r="K265" s="847">
        <f t="shared" si="3"/>
        <v>0</v>
      </c>
      <c r="L265" s="381"/>
    </row>
    <row r="266" spans="1:12" s="270" customFormat="1">
      <c r="A266" s="325" t="s">
        <v>602</v>
      </c>
      <c r="B266" s="328"/>
      <c r="C266" s="328"/>
      <c r="D266" s="542"/>
      <c r="E266" s="330"/>
      <c r="F266" s="330"/>
      <c r="G266" s="332"/>
      <c r="H266" s="483"/>
      <c r="I266" s="335"/>
      <c r="J266" s="295"/>
      <c r="K266" s="847">
        <f t="shared" si="3"/>
        <v>0</v>
      </c>
      <c r="L266" s="381"/>
    </row>
    <row r="267" spans="1:12" s="270" customFormat="1">
      <c r="A267" s="325" t="s">
        <v>602</v>
      </c>
      <c r="B267" s="328"/>
      <c r="C267" s="328"/>
      <c r="D267" s="542"/>
      <c r="E267" s="330"/>
      <c r="F267" s="330"/>
      <c r="G267" s="332"/>
      <c r="H267" s="483"/>
      <c r="I267" s="335"/>
      <c r="J267" s="295"/>
      <c r="K267" s="847">
        <f t="shared" si="3"/>
        <v>0</v>
      </c>
      <c r="L267" s="381"/>
    </row>
    <row r="268" spans="1:12" s="270" customFormat="1">
      <c r="A268" s="325" t="s">
        <v>602</v>
      </c>
      <c r="B268" s="328"/>
      <c r="C268" s="328"/>
      <c r="D268" s="542"/>
      <c r="E268" s="330"/>
      <c r="F268" s="330"/>
      <c r="G268" s="332"/>
      <c r="H268" s="483"/>
      <c r="I268" s="335"/>
      <c r="J268" s="295"/>
      <c r="K268" s="847">
        <f t="shared" si="3"/>
        <v>0</v>
      </c>
      <c r="L268" s="381"/>
    </row>
    <row r="269" spans="1:12" s="270" customFormat="1">
      <c r="A269" s="325" t="s">
        <v>602</v>
      </c>
      <c r="B269" s="328"/>
      <c r="C269" s="328"/>
      <c r="D269" s="542"/>
      <c r="E269" s="330"/>
      <c r="F269" s="330"/>
      <c r="G269" s="332"/>
      <c r="H269" s="483"/>
      <c r="I269" s="335"/>
      <c r="J269" s="295"/>
      <c r="K269" s="847">
        <f t="shared" si="3"/>
        <v>0</v>
      </c>
      <c r="L269" s="381"/>
    </row>
    <row r="270" spans="1:12" s="270" customFormat="1">
      <c r="A270" s="325" t="s">
        <v>602</v>
      </c>
      <c r="B270" s="328"/>
      <c r="C270" s="328"/>
      <c r="D270" s="542"/>
      <c r="E270" s="330"/>
      <c r="F270" s="330"/>
      <c r="G270" s="332"/>
      <c r="H270" s="483"/>
      <c r="I270" s="335"/>
      <c r="J270" s="295"/>
      <c r="K270" s="847">
        <f t="shared" si="3"/>
        <v>0</v>
      </c>
      <c r="L270" s="381"/>
    </row>
    <row r="271" spans="1:12" s="270" customFormat="1">
      <c r="A271" s="325" t="s">
        <v>602</v>
      </c>
      <c r="B271" s="328"/>
      <c r="C271" s="328"/>
      <c r="D271" s="542"/>
      <c r="E271" s="330"/>
      <c r="F271" s="330"/>
      <c r="G271" s="332"/>
      <c r="H271" s="483"/>
      <c r="I271" s="335"/>
      <c r="J271" s="295"/>
      <c r="K271" s="847">
        <f t="shared" si="3"/>
        <v>0</v>
      </c>
      <c r="L271" s="381"/>
    </row>
    <row r="272" spans="1:12" s="270" customFormat="1">
      <c r="A272" s="325" t="s">
        <v>602</v>
      </c>
      <c r="B272" s="328"/>
      <c r="C272" s="328"/>
      <c r="D272" s="542"/>
      <c r="E272" s="330"/>
      <c r="F272" s="330"/>
      <c r="G272" s="332"/>
      <c r="H272" s="483"/>
      <c r="I272" s="335"/>
      <c r="J272" s="295"/>
      <c r="K272" s="847">
        <f>IF(LEFT(A272,2)="TU",(J272-I272)*E272/100*100000*2,(J272-I272)*E272/100*100000)</f>
        <v>0</v>
      </c>
      <c r="L272" s="381"/>
    </row>
    <row r="273" spans="1:12" s="270" customFormat="1">
      <c r="A273" s="325" t="s">
        <v>602</v>
      </c>
      <c r="B273" s="328"/>
      <c r="C273" s="328"/>
      <c r="D273" s="542"/>
      <c r="E273" s="330"/>
      <c r="F273" s="330"/>
      <c r="G273" s="332"/>
      <c r="H273" s="483"/>
      <c r="I273" s="335"/>
      <c r="J273" s="295"/>
      <c r="K273" s="847">
        <f t="shared" si="3"/>
        <v>0</v>
      </c>
      <c r="L273" s="381"/>
    </row>
    <row r="274" spans="1:12" s="270" customFormat="1">
      <c r="A274" s="325" t="s">
        <v>602</v>
      </c>
      <c r="B274" s="328"/>
      <c r="C274" s="328"/>
      <c r="D274" s="542"/>
      <c r="E274" s="330"/>
      <c r="F274" s="330"/>
      <c r="G274" s="332"/>
      <c r="H274" s="483"/>
      <c r="I274" s="335"/>
      <c r="J274" s="295"/>
      <c r="K274" s="847">
        <f t="shared" si="3"/>
        <v>0</v>
      </c>
      <c r="L274" s="381"/>
    </row>
    <row r="275" spans="1:12" s="270" customFormat="1">
      <c r="A275" s="325" t="s">
        <v>602</v>
      </c>
      <c r="B275" s="328"/>
      <c r="C275" s="328"/>
      <c r="D275" s="542"/>
      <c r="E275" s="330"/>
      <c r="F275" s="330"/>
      <c r="G275" s="332"/>
      <c r="H275" s="483"/>
      <c r="I275" s="335"/>
      <c r="J275" s="295"/>
      <c r="K275" s="847">
        <f t="shared" si="3"/>
        <v>0</v>
      </c>
      <c r="L275" s="381"/>
    </row>
    <row r="276" spans="1:12" s="270" customFormat="1">
      <c r="A276" s="325" t="s">
        <v>602</v>
      </c>
      <c r="B276" s="328"/>
      <c r="C276" s="328"/>
      <c r="D276" s="542"/>
      <c r="E276" s="330"/>
      <c r="F276" s="330"/>
      <c r="G276" s="332"/>
      <c r="H276" s="483"/>
      <c r="I276" s="335"/>
      <c r="J276" s="295"/>
      <c r="K276" s="847">
        <f t="shared" si="3"/>
        <v>0</v>
      </c>
      <c r="L276" s="381"/>
    </row>
    <row r="277" spans="1:12" s="270" customFormat="1">
      <c r="A277" s="325" t="s">
        <v>602</v>
      </c>
      <c r="B277" s="328"/>
      <c r="C277" s="328"/>
      <c r="D277" s="542"/>
      <c r="E277" s="330"/>
      <c r="F277" s="330"/>
      <c r="G277" s="332"/>
      <c r="H277" s="483"/>
      <c r="I277" s="335"/>
      <c r="J277" s="295"/>
      <c r="K277" s="847">
        <f t="shared" si="3"/>
        <v>0</v>
      </c>
      <c r="L277" s="381"/>
    </row>
    <row r="278" spans="1:12" s="270" customFormat="1">
      <c r="A278" s="325" t="s">
        <v>602</v>
      </c>
      <c r="B278" s="328"/>
      <c r="C278" s="328"/>
      <c r="D278" s="542"/>
      <c r="E278" s="330"/>
      <c r="F278" s="330"/>
      <c r="G278" s="332"/>
      <c r="H278" s="483"/>
      <c r="I278" s="335"/>
      <c r="J278" s="295"/>
      <c r="K278" s="847">
        <f t="shared" si="3"/>
        <v>0</v>
      </c>
      <c r="L278" s="381"/>
    </row>
    <row r="279" spans="1:12" s="270" customFormat="1">
      <c r="A279" s="325" t="s">
        <v>602</v>
      </c>
      <c r="B279" s="328"/>
      <c r="C279" s="328"/>
      <c r="D279" s="542"/>
      <c r="E279" s="330"/>
      <c r="F279" s="330"/>
      <c r="G279" s="332"/>
      <c r="H279" s="483"/>
      <c r="I279" s="335"/>
      <c r="J279" s="295"/>
      <c r="K279" s="847">
        <f t="shared" si="3"/>
        <v>0</v>
      </c>
      <c r="L279" s="381"/>
    </row>
    <row r="280" spans="1:12" s="270" customFormat="1">
      <c r="A280" s="325" t="s">
        <v>602</v>
      </c>
      <c r="B280" s="328"/>
      <c r="C280" s="328"/>
      <c r="D280" s="542"/>
      <c r="E280" s="330"/>
      <c r="F280" s="330"/>
      <c r="G280" s="332"/>
      <c r="H280" s="483"/>
      <c r="I280" s="335"/>
      <c r="J280" s="295"/>
      <c r="K280" s="847">
        <f t="shared" si="3"/>
        <v>0</v>
      </c>
      <c r="L280" s="381"/>
    </row>
    <row r="281" spans="1:12" s="270" customFormat="1">
      <c r="A281" s="325" t="s">
        <v>602</v>
      </c>
      <c r="B281" s="328"/>
      <c r="C281" s="328"/>
      <c r="D281" s="542"/>
      <c r="E281" s="330"/>
      <c r="F281" s="330"/>
      <c r="G281" s="332"/>
      <c r="H281" s="483"/>
      <c r="I281" s="335"/>
      <c r="J281" s="295"/>
      <c r="K281" s="847">
        <f t="shared" si="3"/>
        <v>0</v>
      </c>
      <c r="L281" s="381"/>
    </row>
    <row r="282" spans="1:12" s="270" customFormat="1">
      <c r="A282" s="325" t="s">
        <v>602</v>
      </c>
      <c r="B282" s="328"/>
      <c r="C282" s="328"/>
      <c r="D282" s="542"/>
      <c r="E282" s="330"/>
      <c r="F282" s="330"/>
      <c r="G282" s="332"/>
      <c r="H282" s="483"/>
      <c r="I282" s="335"/>
      <c r="J282" s="295"/>
      <c r="K282" s="847">
        <f t="shared" si="3"/>
        <v>0</v>
      </c>
      <c r="L282" s="381"/>
    </row>
    <row r="283" spans="1:12" s="270" customFormat="1">
      <c r="A283" s="325" t="s">
        <v>602</v>
      </c>
      <c r="B283" s="328"/>
      <c r="C283" s="328"/>
      <c r="D283" s="542"/>
      <c r="E283" s="330"/>
      <c r="F283" s="330"/>
      <c r="G283" s="332"/>
      <c r="H283" s="483"/>
      <c r="I283" s="335"/>
      <c r="J283" s="295"/>
      <c r="K283" s="847">
        <f t="shared" si="3"/>
        <v>0</v>
      </c>
      <c r="L283" s="381"/>
    </row>
    <row r="284" spans="1:12" s="270" customFormat="1">
      <c r="A284" s="325" t="s">
        <v>602</v>
      </c>
      <c r="B284" s="328"/>
      <c r="C284" s="328"/>
      <c r="D284" s="542"/>
      <c r="E284" s="330"/>
      <c r="F284" s="330"/>
      <c r="G284" s="332"/>
      <c r="H284" s="483"/>
      <c r="I284" s="335"/>
      <c r="J284" s="295"/>
      <c r="K284" s="847">
        <f t="shared" si="3"/>
        <v>0</v>
      </c>
      <c r="L284" s="381"/>
    </row>
    <row r="285" spans="1:12" s="270" customFormat="1">
      <c r="A285" s="325" t="s">
        <v>629</v>
      </c>
      <c r="B285" s="328"/>
      <c r="C285" s="328"/>
      <c r="D285" s="542"/>
      <c r="E285" s="330"/>
      <c r="F285" s="330"/>
      <c r="G285" s="332"/>
      <c r="H285" s="483"/>
      <c r="I285" s="335"/>
      <c r="J285" s="295"/>
      <c r="K285" s="847">
        <f t="shared" si="3"/>
        <v>0</v>
      </c>
      <c r="L285" s="381"/>
    </row>
    <row r="286" spans="1:12" s="270" customFormat="1">
      <c r="A286" s="325" t="s">
        <v>629</v>
      </c>
      <c r="B286" s="328"/>
      <c r="C286" s="328"/>
      <c r="D286" s="542"/>
      <c r="E286" s="330"/>
      <c r="F286" s="330"/>
      <c r="G286" s="332"/>
      <c r="H286" s="483"/>
      <c r="I286" s="335"/>
      <c r="J286" s="295"/>
      <c r="K286" s="847">
        <f t="shared" si="3"/>
        <v>0</v>
      </c>
      <c r="L286" s="381"/>
    </row>
    <row r="287" spans="1:12" s="270" customFormat="1">
      <c r="A287" s="325" t="s">
        <v>629</v>
      </c>
      <c r="B287" s="328"/>
      <c r="C287" s="328"/>
      <c r="D287" s="542"/>
      <c r="E287" s="330"/>
      <c r="F287" s="330"/>
      <c r="G287" s="332"/>
      <c r="H287" s="483"/>
      <c r="I287" s="335"/>
      <c r="J287" s="295"/>
      <c r="K287" s="847">
        <f t="shared" si="3"/>
        <v>0</v>
      </c>
      <c r="L287" s="381"/>
    </row>
    <row r="288" spans="1:12" s="270" customFormat="1">
      <c r="A288" s="325" t="s">
        <v>629</v>
      </c>
      <c r="B288" s="328"/>
      <c r="C288" s="328"/>
      <c r="D288" s="542"/>
      <c r="E288" s="330"/>
      <c r="F288" s="330"/>
      <c r="G288" s="332"/>
      <c r="H288" s="483"/>
      <c r="I288" s="335"/>
      <c r="J288" s="295"/>
      <c r="K288" s="847">
        <f t="shared" si="3"/>
        <v>0</v>
      </c>
      <c r="L288" s="381"/>
    </row>
    <row r="289" spans="1:12" s="270" customFormat="1">
      <c r="A289" s="325" t="s">
        <v>629</v>
      </c>
      <c r="B289" s="328"/>
      <c r="C289" s="328"/>
      <c r="D289" s="542"/>
      <c r="E289" s="330"/>
      <c r="F289" s="330"/>
      <c r="G289" s="332"/>
      <c r="H289" s="483"/>
      <c r="I289" s="335"/>
      <c r="J289" s="295"/>
      <c r="K289" s="847">
        <f t="shared" si="3"/>
        <v>0</v>
      </c>
      <c r="L289" s="381"/>
    </row>
    <row r="290" spans="1:12" s="270" customFormat="1">
      <c r="A290" s="325" t="s">
        <v>629</v>
      </c>
      <c r="B290" s="328"/>
      <c r="C290" s="328"/>
      <c r="D290" s="542"/>
      <c r="E290" s="330"/>
      <c r="F290" s="330"/>
      <c r="G290" s="332"/>
      <c r="H290" s="483"/>
      <c r="I290" s="335"/>
      <c r="J290" s="295"/>
      <c r="K290" s="847">
        <f t="shared" si="3"/>
        <v>0</v>
      </c>
      <c r="L290" s="381"/>
    </row>
    <row r="291" spans="1:12" s="270" customFormat="1">
      <c r="A291" s="325" t="s">
        <v>629</v>
      </c>
      <c r="B291" s="328"/>
      <c r="C291" s="328"/>
      <c r="D291" s="542"/>
      <c r="E291" s="330"/>
      <c r="F291" s="330"/>
      <c r="G291" s="332"/>
      <c r="H291" s="483"/>
      <c r="I291" s="335"/>
      <c r="J291" s="295"/>
      <c r="K291" s="847">
        <f t="shared" si="3"/>
        <v>0</v>
      </c>
      <c r="L291" s="381"/>
    </row>
    <row r="292" spans="1:12" s="270" customFormat="1">
      <c r="A292" s="325" t="s">
        <v>629</v>
      </c>
      <c r="B292" s="328"/>
      <c r="C292" s="328"/>
      <c r="D292" s="542"/>
      <c r="E292" s="330"/>
      <c r="F292" s="330"/>
      <c r="G292" s="332"/>
      <c r="H292" s="483"/>
      <c r="I292" s="335"/>
      <c r="J292" s="295"/>
      <c r="K292" s="847">
        <f t="shared" si="3"/>
        <v>0</v>
      </c>
      <c r="L292" s="381"/>
    </row>
    <row r="293" spans="1:12" s="270" customFormat="1">
      <c r="A293" s="325" t="s">
        <v>629</v>
      </c>
      <c r="B293" s="328"/>
      <c r="C293" s="328"/>
      <c r="D293" s="542"/>
      <c r="E293" s="330"/>
      <c r="F293" s="330"/>
      <c r="G293" s="332"/>
      <c r="H293" s="483"/>
      <c r="I293" s="335"/>
      <c r="J293" s="295"/>
      <c r="K293" s="847">
        <f t="shared" si="3"/>
        <v>0</v>
      </c>
      <c r="L293" s="381"/>
    </row>
    <row r="294" spans="1:12" s="270" customFormat="1">
      <c r="A294" s="325" t="s">
        <v>629</v>
      </c>
      <c r="B294" s="328"/>
      <c r="C294" s="328"/>
      <c r="D294" s="542"/>
      <c r="E294" s="330"/>
      <c r="F294" s="330"/>
      <c r="G294" s="332"/>
      <c r="H294" s="483"/>
      <c r="I294" s="335"/>
      <c r="J294" s="295"/>
      <c r="K294" s="847">
        <f t="shared" si="3"/>
        <v>0</v>
      </c>
      <c r="L294" s="381"/>
    </row>
    <row r="295" spans="1:12" s="270" customFormat="1">
      <c r="A295" s="325" t="s">
        <v>629</v>
      </c>
      <c r="B295" s="328"/>
      <c r="C295" s="328"/>
      <c r="D295" s="542"/>
      <c r="E295" s="330"/>
      <c r="F295" s="330"/>
      <c r="G295" s="332"/>
      <c r="H295" s="483"/>
      <c r="I295" s="335"/>
      <c r="J295" s="295"/>
      <c r="K295" s="847">
        <f t="shared" si="3"/>
        <v>0</v>
      </c>
      <c r="L295" s="381"/>
    </row>
    <row r="296" spans="1:12" s="270" customFormat="1">
      <c r="A296" s="325" t="s">
        <v>629</v>
      </c>
      <c r="B296" s="328"/>
      <c r="C296" s="328"/>
      <c r="D296" s="542"/>
      <c r="E296" s="330"/>
      <c r="F296" s="330"/>
      <c r="G296" s="332"/>
      <c r="H296" s="483"/>
      <c r="I296" s="335"/>
      <c r="J296" s="295"/>
      <c r="K296" s="847">
        <f t="shared" si="3"/>
        <v>0</v>
      </c>
      <c r="L296" s="381"/>
    </row>
    <row r="297" spans="1:12" s="270" customFormat="1">
      <c r="A297" s="325" t="s">
        <v>629</v>
      </c>
      <c r="B297" s="328"/>
      <c r="C297" s="328"/>
      <c r="D297" s="542"/>
      <c r="E297" s="330"/>
      <c r="F297" s="330"/>
      <c r="G297" s="332"/>
      <c r="H297" s="483"/>
      <c r="I297" s="335"/>
      <c r="J297" s="295"/>
      <c r="K297" s="847">
        <f t="shared" si="3"/>
        <v>0</v>
      </c>
      <c r="L297" s="381"/>
    </row>
    <row r="298" spans="1:12" s="270" customFormat="1">
      <c r="A298" s="325" t="s">
        <v>629</v>
      </c>
      <c r="B298" s="328"/>
      <c r="C298" s="328"/>
      <c r="D298" s="542"/>
      <c r="E298" s="330"/>
      <c r="F298" s="330"/>
      <c r="G298" s="332"/>
      <c r="H298" s="483"/>
      <c r="I298" s="335"/>
      <c r="J298" s="295"/>
      <c r="K298" s="847">
        <f t="shared" si="3"/>
        <v>0</v>
      </c>
      <c r="L298" s="381"/>
    </row>
    <row r="299" spans="1:12" s="270" customFormat="1">
      <c r="A299" s="325" t="s">
        <v>629</v>
      </c>
      <c r="B299" s="328"/>
      <c r="C299" s="328"/>
      <c r="D299" s="542"/>
      <c r="E299" s="330"/>
      <c r="F299" s="330"/>
      <c r="G299" s="332"/>
      <c r="H299" s="483"/>
      <c r="I299" s="335"/>
      <c r="J299" s="295"/>
      <c r="K299" s="847">
        <f t="shared" si="3"/>
        <v>0</v>
      </c>
      <c r="L299" s="381"/>
    </row>
    <row r="300" spans="1:12" s="270" customFormat="1">
      <c r="A300" s="325" t="s">
        <v>629</v>
      </c>
      <c r="B300" s="328"/>
      <c r="C300" s="328"/>
      <c r="D300" s="542"/>
      <c r="E300" s="330"/>
      <c r="F300" s="330"/>
      <c r="G300" s="332"/>
      <c r="H300" s="483"/>
      <c r="I300" s="335"/>
      <c r="J300" s="295"/>
      <c r="K300" s="847">
        <f t="shared" si="3"/>
        <v>0</v>
      </c>
      <c r="L300" s="381"/>
    </row>
    <row r="301" spans="1:12" s="270" customFormat="1">
      <c r="A301" s="325" t="s">
        <v>629</v>
      </c>
      <c r="B301" s="328"/>
      <c r="C301" s="328"/>
      <c r="D301" s="542"/>
      <c r="E301" s="330"/>
      <c r="F301" s="330"/>
      <c r="G301" s="332"/>
      <c r="H301" s="483"/>
      <c r="I301" s="335"/>
      <c r="J301" s="295"/>
      <c r="K301" s="847">
        <f t="shared" si="3"/>
        <v>0</v>
      </c>
      <c r="L301" s="381"/>
    </row>
    <row r="302" spans="1:12" s="270" customFormat="1">
      <c r="A302" s="325" t="s">
        <v>629</v>
      </c>
      <c r="B302" s="328"/>
      <c r="C302" s="328"/>
      <c r="D302" s="542"/>
      <c r="E302" s="330"/>
      <c r="F302" s="330"/>
      <c r="G302" s="332"/>
      <c r="H302" s="483"/>
      <c r="I302" s="335"/>
      <c r="J302" s="295"/>
      <c r="K302" s="847">
        <f t="shared" si="3"/>
        <v>0</v>
      </c>
      <c r="L302" s="381"/>
    </row>
    <row r="303" spans="1:12" s="270" customFormat="1">
      <c r="A303" s="325" t="s">
        <v>629</v>
      </c>
      <c r="B303" s="328"/>
      <c r="C303" s="328"/>
      <c r="D303" s="542"/>
      <c r="E303" s="330"/>
      <c r="F303" s="330"/>
      <c r="G303" s="332"/>
      <c r="H303" s="483"/>
      <c r="I303" s="335"/>
      <c r="J303" s="295"/>
      <c r="K303" s="847">
        <f t="shared" si="3"/>
        <v>0</v>
      </c>
      <c r="L303" s="381"/>
    </row>
    <row r="304" spans="1:12" s="270" customFormat="1">
      <c r="A304" s="325" t="s">
        <v>629</v>
      </c>
      <c r="B304" s="328"/>
      <c r="C304" s="328"/>
      <c r="D304" s="542"/>
      <c r="E304" s="330"/>
      <c r="F304" s="330"/>
      <c r="G304" s="332"/>
      <c r="H304" s="483"/>
      <c r="I304" s="335"/>
      <c r="J304" s="295"/>
      <c r="K304" s="847">
        <f t="shared" si="3"/>
        <v>0</v>
      </c>
      <c r="L304" s="381"/>
    </row>
    <row r="305" spans="1:12" s="270" customFormat="1">
      <c r="A305" s="325" t="s">
        <v>629</v>
      </c>
      <c r="B305" s="328"/>
      <c r="C305" s="328"/>
      <c r="D305" s="542"/>
      <c r="E305" s="330"/>
      <c r="F305" s="330"/>
      <c r="G305" s="332"/>
      <c r="H305" s="483"/>
      <c r="I305" s="335"/>
      <c r="J305" s="295"/>
      <c r="K305" s="847">
        <f t="shared" si="3"/>
        <v>0</v>
      </c>
      <c r="L305" s="381"/>
    </row>
    <row r="306" spans="1:12" s="270" customFormat="1">
      <c r="A306" s="325" t="s">
        <v>629</v>
      </c>
      <c r="B306" s="328"/>
      <c r="C306" s="328"/>
      <c r="D306" s="542"/>
      <c r="E306" s="330"/>
      <c r="F306" s="330"/>
      <c r="G306" s="332"/>
      <c r="H306" s="483"/>
      <c r="I306" s="335"/>
      <c r="J306" s="295"/>
      <c r="K306" s="847">
        <f t="shared" si="3"/>
        <v>0</v>
      </c>
      <c r="L306" s="381"/>
    </row>
    <row r="307" spans="1:12" s="270" customFormat="1">
      <c r="A307" s="325" t="s">
        <v>629</v>
      </c>
      <c r="B307" s="328"/>
      <c r="C307" s="328"/>
      <c r="D307" s="542"/>
      <c r="E307" s="330"/>
      <c r="F307" s="330"/>
      <c r="G307" s="332"/>
      <c r="H307" s="483"/>
      <c r="I307" s="335"/>
      <c r="J307" s="295"/>
      <c r="K307" s="847">
        <f t="shared" si="3"/>
        <v>0</v>
      </c>
      <c r="L307" s="381"/>
    </row>
    <row r="308" spans="1:12" s="270" customFormat="1">
      <c r="A308" s="325" t="s">
        <v>629</v>
      </c>
      <c r="B308" s="328"/>
      <c r="C308" s="328"/>
      <c r="D308" s="542"/>
      <c r="E308" s="330"/>
      <c r="F308" s="330"/>
      <c r="G308" s="332"/>
      <c r="H308" s="483"/>
      <c r="I308" s="335"/>
      <c r="J308" s="295"/>
      <c r="K308" s="847">
        <f t="shared" si="3"/>
        <v>0</v>
      </c>
      <c r="L308" s="381"/>
    </row>
    <row r="309" spans="1:12" s="270" customFormat="1">
      <c r="A309" s="325" t="s">
        <v>629</v>
      </c>
      <c r="B309" s="328"/>
      <c r="C309" s="328"/>
      <c r="D309" s="542"/>
      <c r="E309" s="330"/>
      <c r="F309" s="330"/>
      <c r="G309" s="332"/>
      <c r="H309" s="483"/>
      <c r="I309" s="335"/>
      <c r="J309" s="295"/>
      <c r="K309" s="847">
        <f t="shared" si="3"/>
        <v>0</v>
      </c>
      <c r="L309" s="381"/>
    </row>
    <row r="310" spans="1:12" s="270" customFormat="1">
      <c r="A310" s="325" t="s">
        <v>629</v>
      </c>
      <c r="B310" s="328"/>
      <c r="C310" s="328"/>
      <c r="D310" s="542"/>
      <c r="E310" s="330"/>
      <c r="F310" s="330"/>
      <c r="G310" s="332"/>
      <c r="H310" s="483"/>
      <c r="I310" s="335"/>
      <c r="J310" s="295"/>
      <c r="K310" s="847">
        <f t="shared" si="3"/>
        <v>0</v>
      </c>
      <c r="L310" s="381"/>
    </row>
    <row r="311" spans="1:12" s="270" customFormat="1">
      <c r="A311" s="325" t="s">
        <v>629</v>
      </c>
      <c r="B311" s="328"/>
      <c r="C311" s="328"/>
      <c r="D311" s="542"/>
      <c r="E311" s="330"/>
      <c r="F311" s="330"/>
      <c r="G311" s="332"/>
      <c r="H311" s="483"/>
      <c r="I311" s="335"/>
      <c r="J311" s="295"/>
      <c r="K311" s="847">
        <f t="shared" si="3"/>
        <v>0</v>
      </c>
      <c r="L311" s="381"/>
    </row>
    <row r="312" spans="1:12" s="270" customFormat="1">
      <c r="A312" s="325" t="s">
        <v>629</v>
      </c>
      <c r="B312" s="328"/>
      <c r="C312" s="328"/>
      <c r="D312" s="542"/>
      <c r="E312" s="330"/>
      <c r="F312" s="330"/>
      <c r="G312" s="332"/>
      <c r="H312" s="483"/>
      <c r="I312" s="335"/>
      <c r="J312" s="295"/>
      <c r="K312" s="847">
        <f t="shared" si="3"/>
        <v>0</v>
      </c>
      <c r="L312" s="381"/>
    </row>
    <row r="313" spans="1:12" s="270" customFormat="1">
      <c r="A313" s="325" t="s">
        <v>629</v>
      </c>
      <c r="B313" s="328"/>
      <c r="C313" s="328"/>
      <c r="D313" s="542"/>
      <c r="E313" s="330"/>
      <c r="F313" s="330"/>
      <c r="G313" s="332"/>
      <c r="H313" s="483"/>
      <c r="I313" s="335"/>
      <c r="J313" s="295"/>
      <c r="K313" s="847">
        <f t="shared" si="3"/>
        <v>0</v>
      </c>
      <c r="L313" s="381"/>
    </row>
    <row r="314" spans="1:12" s="270" customFormat="1">
      <c r="A314" s="325" t="s">
        <v>629</v>
      </c>
      <c r="B314" s="328"/>
      <c r="C314" s="328"/>
      <c r="D314" s="542"/>
      <c r="E314" s="330"/>
      <c r="F314" s="330"/>
      <c r="G314" s="332"/>
      <c r="H314" s="483"/>
      <c r="I314" s="335"/>
      <c r="J314" s="295"/>
      <c r="K314" s="847">
        <f t="shared" si="3"/>
        <v>0</v>
      </c>
      <c r="L314" s="381"/>
    </row>
    <row r="315" spans="1:12" s="270" customFormat="1">
      <c r="A315" s="325" t="s">
        <v>629</v>
      </c>
      <c r="B315" s="328"/>
      <c r="C315" s="328"/>
      <c r="D315" s="542"/>
      <c r="E315" s="330"/>
      <c r="F315" s="330"/>
      <c r="G315" s="332"/>
      <c r="H315" s="483"/>
      <c r="I315" s="335"/>
      <c r="J315" s="295"/>
      <c r="K315" s="847">
        <f t="shared" si="3"/>
        <v>0</v>
      </c>
      <c r="L315" s="381"/>
    </row>
    <row r="316" spans="1:12" s="270" customFormat="1">
      <c r="A316" s="325" t="s">
        <v>629</v>
      </c>
      <c r="B316" s="328"/>
      <c r="C316" s="328"/>
      <c r="D316" s="542"/>
      <c r="E316" s="330"/>
      <c r="F316" s="330"/>
      <c r="G316" s="332"/>
      <c r="H316" s="483"/>
      <c r="I316" s="335"/>
      <c r="J316" s="295"/>
      <c r="K316" s="847">
        <f t="shared" si="3"/>
        <v>0</v>
      </c>
      <c r="L316" s="381"/>
    </row>
    <row r="317" spans="1:12" s="270" customFormat="1">
      <c r="A317" s="325"/>
      <c r="B317" s="328"/>
      <c r="C317" s="328"/>
      <c r="D317" s="542"/>
      <c r="E317" s="330"/>
      <c r="F317" s="330"/>
      <c r="G317" s="332"/>
      <c r="H317" s="483"/>
      <c r="I317" s="335"/>
      <c r="J317" s="295"/>
      <c r="K317" s="847">
        <f t="shared" si="3"/>
        <v>0</v>
      </c>
      <c r="L317" s="381"/>
    </row>
    <row r="318" spans="1:12" s="270" customFormat="1">
      <c r="A318" s="325"/>
      <c r="B318" s="328"/>
      <c r="C318" s="328"/>
      <c r="D318" s="542"/>
      <c r="E318" s="330"/>
      <c r="F318" s="330"/>
      <c r="G318" s="332"/>
      <c r="H318" s="483"/>
      <c r="I318" s="335"/>
      <c r="J318" s="295"/>
      <c r="K318" s="847">
        <f t="shared" si="3"/>
        <v>0</v>
      </c>
      <c r="L318" s="381"/>
    </row>
    <row r="319" spans="1:12" s="270" customFormat="1">
      <c r="A319" s="325"/>
      <c r="B319" s="328"/>
      <c r="C319" s="328"/>
      <c r="D319" s="542"/>
      <c r="E319" s="330"/>
      <c r="F319" s="330"/>
      <c r="G319" s="332"/>
      <c r="H319" s="483"/>
      <c r="I319" s="335"/>
      <c r="J319" s="295"/>
      <c r="K319" s="847">
        <f t="shared" si="3"/>
        <v>0</v>
      </c>
      <c r="L319" s="381"/>
    </row>
    <row r="320" spans="1:12" s="270" customFormat="1">
      <c r="A320" s="325"/>
      <c r="B320" s="328"/>
      <c r="C320" s="328"/>
      <c r="D320" s="542"/>
      <c r="E320" s="330"/>
      <c r="F320" s="330"/>
      <c r="G320" s="332"/>
      <c r="H320" s="483"/>
      <c r="I320" s="335"/>
      <c r="J320" s="295"/>
      <c r="K320" s="847">
        <f t="shared" si="3"/>
        <v>0</v>
      </c>
      <c r="L320" s="381"/>
    </row>
    <row r="321" spans="1:12" s="270" customFormat="1">
      <c r="A321" s="325"/>
      <c r="B321" s="328"/>
      <c r="C321" s="328"/>
      <c r="D321" s="542"/>
      <c r="E321" s="330"/>
      <c r="F321" s="330"/>
      <c r="G321" s="332"/>
      <c r="H321" s="483"/>
      <c r="I321" s="335"/>
      <c r="J321" s="295"/>
      <c r="K321" s="847">
        <f t="shared" si="3"/>
        <v>0</v>
      </c>
      <c r="L321" s="381"/>
    </row>
    <row r="322" spans="1:12" s="270" customFormat="1">
      <c r="A322" s="325"/>
      <c r="B322" s="328"/>
      <c r="C322" s="328"/>
      <c r="D322" s="542"/>
      <c r="E322" s="330"/>
      <c r="F322" s="330"/>
      <c r="G322" s="332"/>
      <c r="H322" s="483"/>
      <c r="I322" s="335"/>
      <c r="J322" s="295"/>
      <c r="K322" s="847">
        <f t="shared" si="3"/>
        <v>0</v>
      </c>
      <c r="L322" s="381"/>
    </row>
    <row r="323" spans="1:12" s="270" customFormat="1">
      <c r="A323" s="325"/>
      <c r="B323" s="328"/>
      <c r="C323" s="328"/>
      <c r="D323" s="542"/>
      <c r="E323" s="330"/>
      <c r="F323" s="330"/>
      <c r="G323" s="332"/>
      <c r="H323" s="483"/>
      <c r="I323" s="335"/>
      <c r="J323" s="295"/>
      <c r="K323" s="847">
        <f t="shared" si="3"/>
        <v>0</v>
      </c>
      <c r="L323" s="381"/>
    </row>
    <row r="324" spans="1:12" s="270" customFormat="1">
      <c r="A324" s="325"/>
      <c r="B324" s="328"/>
      <c r="C324" s="328"/>
      <c r="D324" s="542"/>
      <c r="E324" s="330"/>
      <c r="F324" s="330"/>
      <c r="G324" s="332"/>
      <c r="H324" s="483"/>
      <c r="I324" s="335"/>
      <c r="J324" s="295"/>
      <c r="K324" s="847">
        <f t="shared" si="3"/>
        <v>0</v>
      </c>
      <c r="L324" s="381"/>
    </row>
    <row r="325" spans="1:12" s="270" customFormat="1">
      <c r="A325" s="325"/>
      <c r="B325" s="328"/>
      <c r="C325" s="328"/>
      <c r="D325" s="542"/>
      <c r="E325" s="330"/>
      <c r="F325" s="330"/>
      <c r="G325" s="332"/>
      <c r="H325" s="483"/>
      <c r="I325" s="335"/>
      <c r="J325" s="295"/>
      <c r="K325" s="847">
        <f t="shared" si="3"/>
        <v>0</v>
      </c>
      <c r="L325" s="381"/>
    </row>
    <row r="326" spans="1:12" s="270" customFormat="1">
      <c r="A326" s="325"/>
      <c r="B326" s="328"/>
      <c r="C326" s="328"/>
      <c r="D326" s="542"/>
      <c r="E326" s="330"/>
      <c r="F326" s="330"/>
      <c r="G326" s="332"/>
      <c r="H326" s="483"/>
      <c r="I326" s="335"/>
      <c r="J326" s="295"/>
      <c r="K326" s="847">
        <f t="shared" si="3"/>
        <v>0</v>
      </c>
      <c r="L326" s="381"/>
    </row>
    <row r="327" spans="1:12" s="270" customFormat="1">
      <c r="A327" s="325"/>
      <c r="B327" s="328"/>
      <c r="C327" s="328"/>
      <c r="D327" s="542"/>
      <c r="E327" s="330"/>
      <c r="F327" s="330"/>
      <c r="G327" s="332"/>
      <c r="H327" s="483"/>
      <c r="I327" s="335"/>
      <c r="J327" s="295"/>
      <c r="K327" s="847">
        <f t="shared" si="3"/>
        <v>0</v>
      </c>
      <c r="L327" s="381"/>
    </row>
    <row r="328" spans="1:12" s="270" customFormat="1">
      <c r="A328" s="325"/>
      <c r="B328" s="328"/>
      <c r="C328" s="328"/>
      <c r="D328" s="542"/>
      <c r="E328" s="330"/>
      <c r="F328" s="330"/>
      <c r="G328" s="332"/>
      <c r="H328" s="483"/>
      <c r="I328" s="335"/>
      <c r="J328" s="295"/>
      <c r="K328" s="847">
        <f t="shared" si="3"/>
        <v>0</v>
      </c>
      <c r="L328" s="381"/>
    </row>
    <row r="329" spans="1:12" s="270" customFormat="1">
      <c r="A329" s="325"/>
      <c r="B329" s="328"/>
      <c r="C329" s="328"/>
      <c r="D329" s="542"/>
      <c r="E329" s="330"/>
      <c r="F329" s="330"/>
      <c r="G329" s="332"/>
      <c r="H329" s="483"/>
      <c r="I329" s="335"/>
      <c r="J329" s="295"/>
      <c r="K329" s="847">
        <f t="shared" si="3"/>
        <v>0</v>
      </c>
      <c r="L329" s="381"/>
    </row>
    <row r="330" spans="1:12" s="270" customFormat="1">
      <c r="A330" s="325"/>
      <c r="B330" s="328"/>
      <c r="C330" s="328"/>
      <c r="D330" s="542"/>
      <c r="E330" s="330"/>
      <c r="F330" s="330"/>
      <c r="G330" s="332"/>
      <c r="H330" s="483"/>
      <c r="I330" s="335"/>
      <c r="J330" s="295"/>
      <c r="K330" s="847">
        <f t="shared" si="3"/>
        <v>0</v>
      </c>
      <c r="L330" s="381"/>
    </row>
    <row r="331" spans="1:12" s="270" customFormat="1">
      <c r="A331" s="325"/>
      <c r="B331" s="328"/>
      <c r="C331" s="328"/>
      <c r="D331" s="542"/>
      <c r="E331" s="330"/>
      <c r="F331" s="330"/>
      <c r="G331" s="332"/>
      <c r="H331" s="483"/>
      <c r="I331" s="335"/>
      <c r="J331" s="295"/>
      <c r="K331" s="847">
        <f t="shared" si="3"/>
        <v>0</v>
      </c>
      <c r="L331" s="381"/>
    </row>
    <row r="332" spans="1:12" s="270" customFormat="1">
      <c r="A332" s="325"/>
      <c r="B332" s="328"/>
      <c r="C332" s="328"/>
      <c r="D332" s="542"/>
      <c r="E332" s="330"/>
      <c r="F332" s="330"/>
      <c r="G332" s="332"/>
      <c r="H332" s="483"/>
      <c r="I332" s="335"/>
      <c r="J332" s="295"/>
      <c r="K332" s="847">
        <f t="shared" si="3"/>
        <v>0</v>
      </c>
      <c r="L332" s="381"/>
    </row>
    <row r="333" spans="1:12" s="270" customFormat="1">
      <c r="A333" s="325"/>
      <c r="B333" s="328"/>
      <c r="C333" s="328"/>
      <c r="D333" s="542"/>
      <c r="E333" s="330"/>
      <c r="F333" s="330"/>
      <c r="G333" s="332"/>
      <c r="H333" s="483"/>
      <c r="I333" s="335"/>
      <c r="J333" s="295"/>
      <c r="K333" s="847">
        <f t="shared" si="3"/>
        <v>0</v>
      </c>
      <c r="L333" s="381"/>
    </row>
    <row r="334" spans="1:12" s="270" customFormat="1">
      <c r="A334" s="325"/>
      <c r="B334" s="328"/>
      <c r="C334" s="328"/>
      <c r="D334" s="542"/>
      <c r="E334" s="330"/>
      <c r="F334" s="330"/>
      <c r="G334" s="332"/>
      <c r="H334" s="483"/>
      <c r="I334" s="335"/>
      <c r="J334" s="295"/>
      <c r="K334" s="847">
        <f t="shared" si="3"/>
        <v>0</v>
      </c>
      <c r="L334" s="381"/>
    </row>
    <row r="335" spans="1:12" s="270" customFormat="1">
      <c r="A335" s="325"/>
      <c r="B335" s="328"/>
      <c r="C335" s="328"/>
      <c r="D335" s="542"/>
      <c r="E335" s="330"/>
      <c r="F335" s="330"/>
      <c r="G335" s="332"/>
      <c r="H335" s="483"/>
      <c r="I335" s="335"/>
      <c r="J335" s="295"/>
      <c r="K335" s="847">
        <f t="shared" si="3"/>
        <v>0</v>
      </c>
      <c r="L335" s="381"/>
    </row>
    <row r="336" spans="1:12" s="270" customFormat="1">
      <c r="A336" s="325"/>
      <c r="B336" s="328"/>
      <c r="C336" s="328"/>
      <c r="D336" s="542"/>
      <c r="E336" s="330"/>
      <c r="F336" s="330"/>
      <c r="G336" s="332"/>
      <c r="H336" s="483"/>
      <c r="I336" s="335"/>
      <c r="J336" s="295"/>
      <c r="K336" s="847">
        <f t="shared" si="3"/>
        <v>0</v>
      </c>
      <c r="L336" s="381"/>
    </row>
    <row r="337" spans="1:17" s="270" customFormat="1">
      <c r="A337" s="325"/>
      <c r="B337" s="328"/>
      <c r="C337" s="328"/>
      <c r="D337" s="542"/>
      <c r="E337" s="330"/>
      <c r="F337" s="330"/>
      <c r="G337" s="332"/>
      <c r="H337" s="483"/>
      <c r="I337" s="335"/>
      <c r="J337" s="295"/>
      <c r="K337" s="847">
        <f t="shared" si="3"/>
        <v>0</v>
      </c>
      <c r="L337" s="381"/>
    </row>
    <row r="338" spans="1:17" s="270" customFormat="1">
      <c r="A338" s="325"/>
      <c r="B338" s="328"/>
      <c r="C338" s="328"/>
      <c r="D338" s="542"/>
      <c r="E338" s="330"/>
      <c r="F338" s="330"/>
      <c r="G338" s="332"/>
      <c r="H338" s="483"/>
      <c r="I338" s="335"/>
      <c r="J338" s="295"/>
      <c r="K338" s="847">
        <f t="shared" si="3"/>
        <v>0</v>
      </c>
      <c r="L338" s="381"/>
    </row>
    <row r="339" spans="1:17" s="270" customFormat="1">
      <c r="A339" s="325"/>
      <c r="B339" s="328"/>
      <c r="C339" s="328"/>
      <c r="D339" s="542"/>
      <c r="E339" s="330"/>
      <c r="F339" s="330"/>
      <c r="G339" s="332"/>
      <c r="H339" s="483"/>
      <c r="I339" s="335"/>
      <c r="J339" s="295"/>
      <c r="K339" s="847">
        <f t="shared" si="3"/>
        <v>0</v>
      </c>
      <c r="L339" s="381"/>
    </row>
    <row r="340" spans="1:17" s="270" customFormat="1">
      <c r="A340" s="325"/>
      <c r="B340" s="328"/>
      <c r="C340" s="328"/>
      <c r="D340" s="542"/>
      <c r="E340" s="330"/>
      <c r="F340" s="330"/>
      <c r="G340" s="332"/>
      <c r="H340" s="483"/>
      <c r="I340" s="335"/>
      <c r="J340" s="295"/>
      <c r="K340" s="847">
        <f t="shared" si="3"/>
        <v>0</v>
      </c>
      <c r="L340" s="381"/>
    </row>
    <row r="341" spans="1:17" s="270" customFormat="1">
      <c r="A341" s="325"/>
      <c r="B341" s="328"/>
      <c r="C341" s="328"/>
      <c r="D341" s="542"/>
      <c r="E341" s="330"/>
      <c r="F341" s="330"/>
      <c r="G341" s="332"/>
      <c r="H341" s="483"/>
      <c r="I341" s="335"/>
      <c r="J341" s="295"/>
      <c r="K341" s="847">
        <f t="shared" si="3"/>
        <v>0</v>
      </c>
      <c r="L341" s="381"/>
    </row>
    <row r="342" spans="1:17" s="270" customFormat="1">
      <c r="A342" s="325"/>
      <c r="B342" s="328"/>
      <c r="C342" s="328"/>
      <c r="D342" s="542"/>
      <c r="E342" s="330"/>
      <c r="F342" s="330"/>
      <c r="G342" s="332"/>
      <c r="H342" s="483"/>
      <c r="I342" s="335"/>
      <c r="J342" s="295"/>
      <c r="K342" s="847">
        <f t="shared" si="3"/>
        <v>0</v>
      </c>
      <c r="L342" s="381"/>
    </row>
    <row r="343" spans="1:17" s="270" customFormat="1">
      <c r="A343" s="325"/>
      <c r="B343" s="328"/>
      <c r="C343" s="328"/>
      <c r="D343" s="542"/>
      <c r="E343" s="330"/>
      <c r="F343" s="330"/>
      <c r="G343" s="332"/>
      <c r="H343" s="483"/>
      <c r="I343" s="335"/>
      <c r="J343" s="295"/>
      <c r="K343" s="847">
        <f t="shared" si="3"/>
        <v>0</v>
      </c>
      <c r="L343" s="381"/>
    </row>
    <row r="344" spans="1:17" s="270" customFormat="1">
      <c r="A344" s="325"/>
      <c r="B344" s="328"/>
      <c r="C344" s="328"/>
      <c r="D344" s="542"/>
      <c r="E344" s="330"/>
      <c r="F344" s="330"/>
      <c r="G344" s="332"/>
      <c r="H344" s="483"/>
      <c r="I344" s="335"/>
      <c r="J344" s="295"/>
      <c r="K344" s="847">
        <f t="shared" si="3"/>
        <v>0</v>
      </c>
      <c r="L344" s="381"/>
    </row>
    <row r="345" spans="1:17" s="270" customFormat="1">
      <c r="A345" s="325"/>
      <c r="B345" s="328"/>
      <c r="C345" s="328"/>
      <c r="D345" s="542"/>
      <c r="E345" s="330"/>
      <c r="F345" s="330"/>
      <c r="G345" s="332"/>
      <c r="H345" s="483"/>
      <c r="I345" s="335"/>
      <c r="J345" s="295"/>
      <c r="K345" s="847">
        <f t="shared" si="3"/>
        <v>0</v>
      </c>
      <c r="L345" s="381"/>
    </row>
    <row r="346" spans="1:17" s="270" customFormat="1">
      <c r="A346" s="325"/>
      <c r="B346" s="328"/>
      <c r="C346" s="328"/>
      <c r="D346" s="542"/>
      <c r="E346" s="330"/>
      <c r="F346" s="330"/>
      <c r="G346" s="332"/>
      <c r="H346" s="483"/>
      <c r="I346" s="335"/>
      <c r="J346" s="295"/>
      <c r="K346" s="847">
        <f t="shared" si="3"/>
        <v>0</v>
      </c>
      <c r="L346" s="381"/>
    </row>
    <row r="347" spans="1:17" s="270" customFormat="1">
      <c r="A347" s="325"/>
      <c r="B347" s="328"/>
      <c r="C347" s="328"/>
      <c r="D347" s="542"/>
      <c r="E347" s="330"/>
      <c r="F347" s="330"/>
      <c r="G347" s="332"/>
      <c r="H347" s="483"/>
      <c r="I347" s="335"/>
      <c r="J347" s="295"/>
      <c r="K347" s="847">
        <f t="shared" si="3"/>
        <v>0</v>
      </c>
      <c r="L347" s="381"/>
    </row>
    <row r="348" spans="1:17" s="270" customFormat="1">
      <c r="A348" s="325"/>
      <c r="B348" s="328"/>
      <c r="C348" s="328"/>
      <c r="D348" s="542"/>
      <c r="E348" s="330"/>
      <c r="F348" s="330"/>
      <c r="G348" s="332"/>
      <c r="H348" s="483"/>
      <c r="I348" s="335"/>
      <c r="J348" s="295"/>
      <c r="K348" s="847">
        <f t="shared" si="3"/>
        <v>0</v>
      </c>
      <c r="L348" s="381"/>
    </row>
    <row r="349" spans="1:17" s="93" customFormat="1">
      <c r="A349" s="349" t="s">
        <v>166</v>
      </c>
      <c r="B349" s="350"/>
      <c r="C349" s="351"/>
      <c r="D349" s="545"/>
      <c r="E349" s="352">
        <f>SUM(E20:E23)</f>
        <v>-60</v>
      </c>
      <c r="F349" s="353"/>
      <c r="G349" s="354">
        <f>SUM(G20:G23)</f>
        <v>0</v>
      </c>
      <c r="H349" s="486"/>
      <c r="I349" s="356"/>
      <c r="J349" s="357"/>
      <c r="K349" s="358">
        <f>SUM(K20:K348)</f>
        <v>-120625</v>
      </c>
      <c r="L349" s="377"/>
      <c r="M349"/>
      <c r="N349"/>
      <c r="O349"/>
      <c r="P349"/>
      <c r="Q349"/>
    </row>
    <row r="350" spans="1:17">
      <c r="A350" s="359" t="s">
        <v>169</v>
      </c>
      <c r="B350" s="113"/>
      <c r="C350" s="274"/>
      <c r="D350" s="538"/>
      <c r="E350" s="114"/>
      <c r="F350" s="192"/>
      <c r="G350" s="118"/>
      <c r="H350" s="478"/>
      <c r="I350" s="125"/>
      <c r="J350" s="360"/>
      <c r="K350" s="261"/>
    </row>
    <row r="351" spans="1:17">
      <c r="A351" s="206" t="s">
        <v>99</v>
      </c>
      <c r="B351" s="207" t="s">
        <v>7</v>
      </c>
      <c r="C351" s="207" t="s">
        <v>171</v>
      </c>
      <c r="D351" s="535" t="s">
        <v>170</v>
      </c>
      <c r="E351" s="208" t="s">
        <v>11</v>
      </c>
      <c r="F351" s="207" t="s">
        <v>2</v>
      </c>
      <c r="G351" s="209" t="s">
        <v>12</v>
      </c>
      <c r="H351" s="482" t="s">
        <v>18</v>
      </c>
      <c r="I351" s="209" t="s">
        <v>210</v>
      </c>
      <c r="J351" s="207" t="s">
        <v>216</v>
      </c>
      <c r="K351" s="260" t="s">
        <v>212</v>
      </c>
    </row>
    <row r="352" spans="1:17">
      <c r="A352" s="325"/>
      <c r="B352" s="328"/>
      <c r="C352" s="328"/>
      <c r="D352" s="542"/>
      <c r="E352" s="330"/>
      <c r="F352" s="331"/>
      <c r="G352" s="332"/>
      <c r="H352" s="483"/>
      <c r="I352" s="335"/>
      <c r="J352" s="335"/>
      <c r="K352" s="336">
        <f t="shared" ref="K352:K357" si="4">(J352-I352)*E352/100</f>
        <v>0</v>
      </c>
    </row>
    <row r="353" spans="1:11">
      <c r="A353" s="325"/>
      <c r="B353" s="328"/>
      <c r="C353" s="329"/>
      <c r="D353" s="542"/>
      <c r="E353" s="330"/>
      <c r="F353" s="331"/>
      <c r="G353" s="332"/>
      <c r="H353" s="483"/>
      <c r="I353" s="335"/>
      <c r="J353" s="335"/>
      <c r="K353" s="336">
        <f t="shared" si="4"/>
        <v>0</v>
      </c>
    </row>
    <row r="354" spans="1:11">
      <c r="A354" s="337" t="s">
        <v>167</v>
      </c>
      <c r="B354" s="340">
        <v>39090</v>
      </c>
      <c r="C354" s="341"/>
      <c r="D354" s="543"/>
      <c r="E354" s="342">
        <v>0</v>
      </c>
      <c r="F354" s="343" t="s">
        <v>135</v>
      </c>
      <c r="G354" s="344">
        <v>0</v>
      </c>
      <c r="H354" s="484" t="s">
        <v>21</v>
      </c>
      <c r="I354" s="347">
        <v>108.77</v>
      </c>
      <c r="J354" s="347">
        <v>0</v>
      </c>
      <c r="K354" s="348">
        <f t="shared" si="4"/>
        <v>0</v>
      </c>
    </row>
    <row r="355" spans="1:11">
      <c r="A355" s="337" t="s">
        <v>167</v>
      </c>
      <c r="B355" s="340">
        <v>38954</v>
      </c>
      <c r="C355" s="341"/>
      <c r="D355" s="543"/>
      <c r="E355" s="342">
        <v>0</v>
      </c>
      <c r="F355" s="343" t="s">
        <v>135</v>
      </c>
      <c r="G355" s="344">
        <v>0</v>
      </c>
      <c r="H355" s="484"/>
      <c r="I355" s="347">
        <v>109.88</v>
      </c>
      <c r="J355" s="347">
        <v>0</v>
      </c>
      <c r="K355" s="348">
        <f t="shared" si="4"/>
        <v>0</v>
      </c>
    </row>
    <row r="356" spans="1:11">
      <c r="A356" s="285" t="s">
        <v>168</v>
      </c>
      <c r="B356" s="288">
        <v>39220</v>
      </c>
      <c r="C356" s="289" t="s">
        <v>21</v>
      </c>
      <c r="D356" s="544"/>
      <c r="E356" s="290">
        <v>0</v>
      </c>
      <c r="F356" s="291" t="s">
        <v>135</v>
      </c>
      <c r="G356" s="292">
        <v>0</v>
      </c>
      <c r="H356" s="485" t="s">
        <v>23</v>
      </c>
      <c r="I356" s="295">
        <v>102.55500000000001</v>
      </c>
      <c r="J356" s="295">
        <v>0</v>
      </c>
      <c r="K356" s="296">
        <f t="shared" si="4"/>
        <v>0</v>
      </c>
    </row>
    <row r="357" spans="1:11">
      <c r="A357" s="285" t="s">
        <v>168</v>
      </c>
      <c r="B357" s="288">
        <v>39224</v>
      </c>
      <c r="C357" s="289" t="s">
        <v>21</v>
      </c>
      <c r="D357" s="544"/>
      <c r="E357" s="290">
        <v>0</v>
      </c>
      <c r="F357" s="291" t="s">
        <v>135</v>
      </c>
      <c r="G357" s="292">
        <v>0</v>
      </c>
      <c r="H357" s="485"/>
      <c r="I357" s="295">
        <v>102.89</v>
      </c>
      <c r="J357" s="295">
        <v>0</v>
      </c>
      <c r="K357" s="296">
        <f t="shared" si="4"/>
        <v>0</v>
      </c>
    </row>
    <row r="358" spans="1:11">
      <c r="A358" s="349" t="s">
        <v>166</v>
      </c>
      <c r="B358" s="350"/>
      <c r="C358" s="351"/>
      <c r="D358" s="545"/>
      <c r="E358" s="352">
        <f>SUM(E352:E357)</f>
        <v>0</v>
      </c>
      <c r="F358" s="353"/>
      <c r="G358" s="354">
        <f>SUM(G352:G357)</f>
        <v>0</v>
      </c>
      <c r="H358" s="486"/>
      <c r="I358" s="356"/>
      <c r="J358" s="357"/>
      <c r="K358" s="358">
        <f>SUM(K352:K357)</f>
        <v>0</v>
      </c>
    </row>
    <row r="359" spans="1:11">
      <c r="A359" s="716" t="s">
        <v>326</v>
      </c>
      <c r="B359" s="108"/>
      <c r="C359" s="275"/>
      <c r="D359" s="546"/>
      <c r="E359" s="70"/>
      <c r="F359" s="203"/>
      <c r="G359" s="105"/>
      <c r="H359" s="487"/>
      <c r="I359" s="204"/>
      <c r="J359" s="205"/>
      <c r="K359" s="106"/>
    </row>
    <row r="360" spans="1:11">
      <c r="A360" s="206" t="s">
        <v>99</v>
      </c>
      <c r="B360" s="207" t="s">
        <v>7</v>
      </c>
      <c r="C360" s="207" t="s">
        <v>171</v>
      </c>
      <c r="D360" s="535" t="s">
        <v>170</v>
      </c>
      <c r="E360" s="208" t="s">
        <v>11</v>
      </c>
      <c r="F360" s="207" t="s">
        <v>2</v>
      </c>
      <c r="G360" s="209" t="s">
        <v>12</v>
      </c>
      <c r="H360" s="482" t="s">
        <v>18</v>
      </c>
      <c r="I360" s="209" t="s">
        <v>10</v>
      </c>
      <c r="J360" s="207" t="s">
        <v>216</v>
      </c>
      <c r="K360" s="260" t="s">
        <v>212</v>
      </c>
    </row>
    <row r="361" spans="1:11">
      <c r="A361" s="325"/>
      <c r="B361" s="328"/>
      <c r="C361" s="329"/>
      <c r="D361" s="542"/>
      <c r="E361" s="330"/>
      <c r="F361" s="331"/>
      <c r="G361" s="332"/>
      <c r="H361" s="483"/>
      <c r="I361" s="335">
        <v>134.1</v>
      </c>
      <c r="J361" s="335">
        <v>0</v>
      </c>
      <c r="K361" s="336">
        <f t="shared" ref="K361:K366" si="5">(J361-I361)*E361/100</f>
        <v>0</v>
      </c>
    </row>
    <row r="362" spans="1:11">
      <c r="A362" s="325"/>
      <c r="B362" s="328"/>
      <c r="C362" s="329"/>
      <c r="D362" s="542"/>
      <c r="E362" s="330"/>
      <c r="F362" s="331"/>
      <c r="G362" s="332"/>
      <c r="H362" s="483"/>
      <c r="I362" s="335">
        <v>135.12</v>
      </c>
      <c r="J362" s="335">
        <v>0</v>
      </c>
      <c r="K362" s="336">
        <f t="shared" si="5"/>
        <v>0</v>
      </c>
    </row>
    <row r="363" spans="1:11">
      <c r="A363" s="337"/>
      <c r="B363" s="340"/>
      <c r="C363" s="341"/>
      <c r="D363" s="543"/>
      <c r="E363" s="342"/>
      <c r="F363" s="343"/>
      <c r="G363" s="344"/>
      <c r="H363" s="484"/>
      <c r="I363" s="347">
        <v>108.77</v>
      </c>
      <c r="J363" s="347">
        <v>0</v>
      </c>
      <c r="K363" s="348">
        <f t="shared" si="5"/>
        <v>0</v>
      </c>
    </row>
    <row r="364" spans="1:11">
      <c r="A364" s="337"/>
      <c r="B364" s="340"/>
      <c r="C364" s="341"/>
      <c r="D364" s="543"/>
      <c r="E364" s="342"/>
      <c r="F364" s="343"/>
      <c r="G364" s="344"/>
      <c r="H364" s="484"/>
      <c r="I364" s="347">
        <v>109.88</v>
      </c>
      <c r="J364" s="347">
        <v>0</v>
      </c>
      <c r="K364" s="348">
        <f t="shared" si="5"/>
        <v>0</v>
      </c>
    </row>
    <row r="365" spans="1:11">
      <c r="A365" s="285"/>
      <c r="B365" s="288"/>
      <c r="C365" s="289"/>
      <c r="D365" s="544"/>
      <c r="E365" s="290"/>
      <c r="F365" s="291"/>
      <c r="G365" s="292"/>
      <c r="H365" s="485"/>
      <c r="I365" s="295">
        <v>102.55500000000001</v>
      </c>
      <c r="J365" s="295">
        <v>0</v>
      </c>
      <c r="K365" s="296">
        <f t="shared" si="5"/>
        <v>0</v>
      </c>
    </row>
    <row r="366" spans="1:11">
      <c r="A366" s="285"/>
      <c r="B366" s="288"/>
      <c r="C366" s="289"/>
      <c r="D366" s="544"/>
      <c r="E366" s="290"/>
      <c r="F366" s="291"/>
      <c r="G366" s="292"/>
      <c r="H366" s="485"/>
      <c r="I366" s="295">
        <v>102.89</v>
      </c>
      <c r="J366" s="295">
        <v>0</v>
      </c>
      <c r="K366" s="296">
        <f t="shared" si="5"/>
        <v>0</v>
      </c>
    </row>
    <row r="367" spans="1:11">
      <c r="A367" s="349" t="s">
        <v>166</v>
      </c>
      <c r="B367" s="350"/>
      <c r="C367" s="351"/>
      <c r="D367" s="545"/>
      <c r="E367" s="352">
        <f>SUM(E361:E366)</f>
        <v>0</v>
      </c>
      <c r="F367" s="353"/>
      <c r="G367" s="354">
        <f>SUM(G361:G366)</f>
        <v>0</v>
      </c>
      <c r="H367" s="486"/>
      <c r="I367" s="356"/>
      <c r="J367" s="357"/>
      <c r="K367" s="358">
        <f>SUM(K361:K366)</f>
        <v>0</v>
      </c>
    </row>
    <row r="368" spans="1:11">
      <c r="G368" s="14"/>
      <c r="H368" s="488"/>
    </row>
    <row r="369" spans="7:8">
      <c r="G369" s="14"/>
      <c r="H369" s="488"/>
    </row>
    <row r="370" spans="7:8">
      <c r="G370" s="14"/>
      <c r="H370" s="488"/>
    </row>
    <row r="371" spans="7:8">
      <c r="G371" s="14"/>
      <c r="H371" s="488"/>
    </row>
    <row r="372" spans="7:8">
      <c r="G372" s="14"/>
      <c r="H372" s="488"/>
    </row>
    <row r="373" spans="7:8">
      <c r="G373" s="14"/>
      <c r="H373" s="488"/>
    </row>
    <row r="374" spans="7:8">
      <c r="G374" s="14"/>
      <c r="H374" s="488"/>
    </row>
    <row r="375" spans="7:8">
      <c r="G375" s="14"/>
      <c r="H375" s="488"/>
    </row>
    <row r="376" spans="7:8">
      <c r="G376" s="14"/>
      <c r="H376" s="488"/>
    </row>
    <row r="377" spans="7:8">
      <c r="G377" s="14"/>
      <c r="H377" s="488"/>
    </row>
    <row r="378" spans="7:8">
      <c r="G378" s="14"/>
      <c r="H378" s="488"/>
    </row>
    <row r="379" spans="7:8">
      <c r="G379" s="14"/>
      <c r="H379" s="488"/>
    </row>
    <row r="380" spans="7:8">
      <c r="G380" s="14"/>
      <c r="H380" s="488"/>
    </row>
    <row r="381" spans="7:8">
      <c r="G381" s="14"/>
      <c r="H381" s="488"/>
    </row>
    <row r="382" spans="7:8">
      <c r="G382" s="14"/>
      <c r="H382" s="488"/>
    </row>
    <row r="383" spans="7:8">
      <c r="G383" s="14"/>
      <c r="H383" s="488"/>
    </row>
    <row r="384" spans="7:8">
      <c r="G384" s="14"/>
      <c r="H384" s="488"/>
    </row>
    <row r="385" spans="7:8">
      <c r="G385" s="14"/>
      <c r="H385" s="488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  <c r="H431" s="489"/>
    </row>
    <row r="432" spans="7:8">
      <c r="G432" s="14"/>
      <c r="H432" s="489"/>
    </row>
    <row r="433" spans="7:8">
      <c r="G433" s="14"/>
      <c r="H433" s="489"/>
    </row>
    <row r="434" spans="7:8">
      <c r="G434" s="14"/>
      <c r="H434" s="489"/>
    </row>
    <row r="435" spans="7:8">
      <c r="G435" s="14"/>
      <c r="H435" s="489"/>
    </row>
    <row r="436" spans="7:8">
      <c r="G436" s="14"/>
      <c r="H436" s="489"/>
    </row>
    <row r="437" spans="7:8">
      <c r="G437" s="14"/>
      <c r="H437" s="489"/>
    </row>
    <row r="438" spans="7:8">
      <c r="G438" s="14"/>
      <c r="H438" s="489"/>
    </row>
    <row r="439" spans="7:8">
      <c r="G439" s="14"/>
      <c r="H439" s="489"/>
    </row>
    <row r="440" spans="7:8">
      <c r="G440" s="14"/>
      <c r="H440" s="489"/>
    </row>
    <row r="441" spans="7:8">
      <c r="G441" s="14"/>
      <c r="H441" s="489"/>
    </row>
    <row r="442" spans="7:8">
      <c r="G442" s="14"/>
      <c r="H442" s="489"/>
    </row>
    <row r="443" spans="7:8">
      <c r="G443" s="14"/>
      <c r="H443" s="489"/>
    </row>
    <row r="444" spans="7:8">
      <c r="G444" s="14"/>
      <c r="H444" s="489"/>
    </row>
    <row r="445" spans="7:8">
      <c r="G445" s="14"/>
      <c r="H445" s="489"/>
    </row>
    <row r="446" spans="7:8">
      <c r="G446" s="14"/>
      <c r="H446" s="489"/>
    </row>
    <row r="447" spans="7:8">
      <c r="G447" s="14"/>
      <c r="H447" s="489"/>
    </row>
    <row r="448" spans="7:8">
      <c r="G448" s="14"/>
      <c r="H448" s="489"/>
    </row>
    <row r="449" spans="7:8">
      <c r="G449" s="14"/>
      <c r="H449" s="489"/>
    </row>
    <row r="450" spans="7:8">
      <c r="G450" s="14"/>
      <c r="H450" s="489"/>
    </row>
    <row r="451" spans="7:8">
      <c r="G451" s="14"/>
      <c r="H451" s="489"/>
    </row>
    <row r="452" spans="7:8">
      <c r="G452" s="14"/>
      <c r="H452" s="489"/>
    </row>
    <row r="453" spans="7:8">
      <c r="G453" s="14"/>
      <c r="H453" s="489"/>
    </row>
    <row r="454" spans="7:8">
      <c r="G454" s="14"/>
      <c r="H454" s="489"/>
    </row>
    <row r="455" spans="7:8">
      <c r="G455" s="14"/>
      <c r="H455" s="489"/>
    </row>
    <row r="456" spans="7:8">
      <c r="G456" s="14"/>
      <c r="H456" s="489"/>
    </row>
    <row r="457" spans="7:8">
      <c r="G457" s="14"/>
      <c r="H457" s="489"/>
    </row>
    <row r="458" spans="7:8">
      <c r="G458" s="14"/>
      <c r="H458" s="489"/>
    </row>
    <row r="459" spans="7:8">
      <c r="G459" s="14"/>
      <c r="H459" s="489"/>
    </row>
    <row r="460" spans="7:8">
      <c r="G460" s="14"/>
      <c r="H460" s="489"/>
    </row>
    <row r="461" spans="7:8">
      <c r="G461" s="14"/>
      <c r="H461" s="489"/>
    </row>
    <row r="462" spans="7:8">
      <c r="G462" s="14"/>
      <c r="H462" s="489"/>
    </row>
    <row r="463" spans="7:8">
      <c r="G463" s="14"/>
      <c r="H463" s="489"/>
    </row>
    <row r="464" spans="7:8">
      <c r="G464" s="14"/>
      <c r="H464" s="489"/>
    </row>
    <row r="465" spans="7:8">
      <c r="G465" s="14"/>
      <c r="H465" s="489"/>
    </row>
    <row r="466" spans="7:8">
      <c r="G466" s="14"/>
      <c r="H466" s="489"/>
    </row>
    <row r="467" spans="7:8">
      <c r="G467" s="14"/>
      <c r="H467" s="489"/>
    </row>
    <row r="468" spans="7:8">
      <c r="G468" s="14"/>
      <c r="H468" s="489"/>
    </row>
    <row r="469" spans="7:8">
      <c r="G469" s="14"/>
      <c r="H469" s="489"/>
    </row>
    <row r="470" spans="7:8">
      <c r="G470" s="14"/>
      <c r="H470" s="489"/>
    </row>
    <row r="471" spans="7:8">
      <c r="G471" s="14"/>
      <c r="H471" s="489"/>
    </row>
    <row r="472" spans="7:8">
      <c r="G472" s="14"/>
      <c r="H472" s="489"/>
    </row>
    <row r="473" spans="7:8">
      <c r="G473" s="14"/>
      <c r="H473" s="489"/>
    </row>
    <row r="474" spans="7:8">
      <c r="G474" s="14"/>
      <c r="H474" s="489"/>
    </row>
    <row r="475" spans="7:8">
      <c r="G475" s="14"/>
      <c r="H475" s="489"/>
    </row>
    <row r="476" spans="7:8">
      <c r="G476" s="14"/>
      <c r="H476" s="489"/>
    </row>
    <row r="477" spans="7:8">
      <c r="G477" s="14"/>
      <c r="H477" s="489"/>
    </row>
    <row r="478" spans="7:8">
      <c r="G478" s="14"/>
      <c r="H478" s="489"/>
    </row>
    <row r="479" spans="7:8">
      <c r="G479" s="14"/>
      <c r="H479" s="489"/>
    </row>
    <row r="480" spans="7:8">
      <c r="G480" s="14"/>
      <c r="H480" s="489"/>
    </row>
    <row r="481" spans="7:8">
      <c r="G481" s="14"/>
      <c r="H481" s="489"/>
    </row>
    <row r="482" spans="7:8">
      <c r="G482" s="14"/>
      <c r="H482" s="489"/>
    </row>
    <row r="483" spans="7:8">
      <c r="G483" s="14"/>
      <c r="H483" s="489"/>
    </row>
    <row r="484" spans="7:8">
      <c r="G484" s="14"/>
      <c r="H484" s="489"/>
    </row>
    <row r="485" spans="7:8">
      <c r="G485" s="14"/>
      <c r="H485" s="489"/>
    </row>
    <row r="486" spans="7:8">
      <c r="G486" s="14"/>
      <c r="H486" s="489"/>
    </row>
    <row r="487" spans="7:8">
      <c r="G487" s="14"/>
      <c r="H487" s="489"/>
    </row>
    <row r="488" spans="7:8">
      <c r="G488" s="14"/>
      <c r="H488" s="489"/>
    </row>
    <row r="489" spans="7:8">
      <c r="G489" s="14"/>
      <c r="H489" s="489"/>
    </row>
    <row r="490" spans="7:8">
      <c r="G490" s="14"/>
      <c r="H490" s="489"/>
    </row>
    <row r="491" spans="7:8">
      <c r="G491" s="14"/>
      <c r="H491" s="489"/>
    </row>
    <row r="492" spans="7:8">
      <c r="G492" s="14"/>
      <c r="H492" s="489"/>
    </row>
    <row r="493" spans="7:8">
      <c r="G493" s="14"/>
      <c r="H493" s="489"/>
    </row>
    <row r="494" spans="7:8">
      <c r="G494" s="14"/>
      <c r="H494" s="489"/>
    </row>
    <row r="495" spans="7:8">
      <c r="G495" s="14"/>
      <c r="H495" s="489"/>
    </row>
    <row r="496" spans="7:8">
      <c r="G496" s="14"/>
      <c r="H496" s="489"/>
    </row>
    <row r="497" spans="7:8">
      <c r="G497" s="14"/>
      <c r="H497" s="489"/>
    </row>
    <row r="498" spans="7:8">
      <c r="G498" s="14"/>
      <c r="H498" s="489"/>
    </row>
    <row r="499" spans="7:8">
      <c r="G499" s="14"/>
      <c r="H499" s="489"/>
    </row>
    <row r="500" spans="7:8">
      <c r="G500" s="14"/>
      <c r="H500" s="489"/>
    </row>
    <row r="501" spans="7:8">
      <c r="G501" s="14"/>
      <c r="H501" s="489"/>
    </row>
    <row r="502" spans="7:8">
      <c r="G502" s="14"/>
      <c r="H502" s="489"/>
    </row>
    <row r="503" spans="7:8">
      <c r="G503" s="14"/>
      <c r="H503" s="489"/>
    </row>
    <row r="504" spans="7:8">
      <c r="G504" s="14"/>
      <c r="H504" s="489"/>
    </row>
    <row r="505" spans="7:8">
      <c r="G505" s="14"/>
      <c r="H505" s="489"/>
    </row>
    <row r="506" spans="7:8">
      <c r="G506" s="14"/>
      <c r="H506" s="489"/>
    </row>
    <row r="507" spans="7:8">
      <c r="G507" s="14"/>
      <c r="H507" s="489"/>
    </row>
    <row r="508" spans="7:8">
      <c r="G508" s="14"/>
      <c r="H508" s="489"/>
    </row>
    <row r="509" spans="7:8">
      <c r="G509" s="14"/>
      <c r="H509" s="489"/>
    </row>
    <row r="510" spans="7:8">
      <c r="G510" s="14"/>
      <c r="H510" s="489"/>
    </row>
    <row r="511" spans="7:8">
      <c r="G511" s="14"/>
      <c r="H511" s="489"/>
    </row>
    <row r="512" spans="7:8">
      <c r="G512" s="14"/>
      <c r="H512" s="489"/>
    </row>
    <row r="513" spans="7:8">
      <c r="G513" s="14"/>
      <c r="H513" s="489"/>
    </row>
    <row r="514" spans="7:8">
      <c r="G514" s="14"/>
      <c r="H514" s="489"/>
    </row>
    <row r="515" spans="7:8">
      <c r="G515" s="14"/>
      <c r="H515" s="489"/>
    </row>
    <row r="516" spans="7:8">
      <c r="G516" s="14"/>
      <c r="H516" s="489"/>
    </row>
    <row r="517" spans="7:8">
      <c r="G517" s="14"/>
      <c r="H517" s="489"/>
    </row>
    <row r="518" spans="7:8">
      <c r="G518" s="14"/>
      <c r="H518" s="489"/>
    </row>
    <row r="519" spans="7:8">
      <c r="G519" s="14"/>
      <c r="H519" s="489"/>
    </row>
    <row r="520" spans="7:8">
      <c r="G520" s="14"/>
      <c r="H520" s="489"/>
    </row>
    <row r="521" spans="7:8">
      <c r="G521" s="14"/>
      <c r="H521" s="489"/>
    </row>
    <row r="522" spans="7:8">
      <c r="G522" s="14"/>
      <c r="H522" s="489"/>
    </row>
    <row r="523" spans="7:8">
      <c r="G523" s="14"/>
      <c r="H523" s="489"/>
    </row>
    <row r="524" spans="7:8">
      <c r="G524" s="14"/>
      <c r="H524" s="489"/>
    </row>
    <row r="525" spans="7:8">
      <c r="G525" s="14"/>
      <c r="H525" s="489"/>
    </row>
    <row r="526" spans="7:8">
      <c r="G526" s="14"/>
      <c r="H526" s="489"/>
    </row>
    <row r="527" spans="7:8">
      <c r="G527" s="14"/>
      <c r="H527" s="489"/>
    </row>
    <row r="528" spans="7:8">
      <c r="G528" s="14"/>
      <c r="H528" s="489"/>
    </row>
    <row r="529" spans="7:8">
      <c r="G529" s="14"/>
      <c r="H529" s="489"/>
    </row>
    <row r="530" spans="7:8">
      <c r="G530" s="14"/>
      <c r="H530" s="489"/>
    </row>
    <row r="531" spans="7:8">
      <c r="G531" s="14"/>
      <c r="H531" s="489"/>
    </row>
    <row r="532" spans="7:8">
      <c r="G532" s="14"/>
      <c r="H532" s="489"/>
    </row>
    <row r="533" spans="7:8">
      <c r="G533" s="14"/>
      <c r="H533" s="489"/>
    </row>
    <row r="534" spans="7:8">
      <c r="G534" s="14"/>
      <c r="H534" s="489"/>
    </row>
    <row r="535" spans="7:8">
      <c r="G535" s="14"/>
      <c r="H535" s="489"/>
    </row>
    <row r="536" spans="7:8">
      <c r="G536" s="14"/>
      <c r="H536" s="489"/>
    </row>
    <row r="537" spans="7:8">
      <c r="G537" s="14"/>
      <c r="H537" s="489"/>
    </row>
    <row r="538" spans="7:8">
      <c r="G538" s="14"/>
      <c r="H538" s="489"/>
    </row>
    <row r="539" spans="7:8">
      <c r="G539" s="14"/>
      <c r="H539" s="489"/>
    </row>
    <row r="540" spans="7:8">
      <c r="G540" s="14"/>
      <c r="H540" s="489"/>
    </row>
    <row r="541" spans="7:8">
      <c r="G541" s="14"/>
      <c r="H541" s="489"/>
    </row>
    <row r="542" spans="7:8">
      <c r="G542" s="14"/>
      <c r="H542" s="489"/>
    </row>
    <row r="543" spans="7:8">
      <c r="G543" s="14"/>
      <c r="H543" s="489"/>
    </row>
    <row r="544" spans="7:8">
      <c r="G544" s="14"/>
      <c r="H544" s="489"/>
    </row>
    <row r="545" spans="7:8">
      <c r="G545" s="14"/>
      <c r="H545" s="489"/>
    </row>
    <row r="546" spans="7:8">
      <c r="G546" s="14"/>
      <c r="H546" s="489"/>
    </row>
    <row r="547" spans="7:8">
      <c r="G547" s="14"/>
      <c r="H547" s="489"/>
    </row>
    <row r="548" spans="7:8">
      <c r="G548" s="14"/>
      <c r="H548" s="489"/>
    </row>
    <row r="549" spans="7:8">
      <c r="G549" s="14"/>
      <c r="H549" s="489"/>
    </row>
    <row r="550" spans="7:8">
      <c r="G550" s="14"/>
      <c r="H550" s="489"/>
    </row>
    <row r="551" spans="7:8">
      <c r="G551" s="14"/>
      <c r="H551" s="489"/>
    </row>
    <row r="552" spans="7:8">
      <c r="G552" s="14"/>
      <c r="H552" s="489"/>
    </row>
    <row r="553" spans="7:8">
      <c r="G553" s="14"/>
      <c r="H553" s="489"/>
    </row>
    <row r="554" spans="7:8">
      <c r="G554" s="14"/>
      <c r="H554" s="489"/>
    </row>
    <row r="555" spans="7:8">
      <c r="G555" s="14"/>
      <c r="H555" s="489"/>
    </row>
    <row r="556" spans="7:8">
      <c r="G556" s="14"/>
      <c r="H556" s="489"/>
    </row>
    <row r="557" spans="7:8">
      <c r="G557" s="14"/>
      <c r="H557" s="489"/>
    </row>
    <row r="558" spans="7:8">
      <c r="G558" s="14"/>
      <c r="H558" s="489"/>
    </row>
    <row r="559" spans="7:8">
      <c r="G559" s="14"/>
      <c r="H559" s="489"/>
    </row>
    <row r="560" spans="7:8">
      <c r="G560" s="14"/>
      <c r="H560" s="489"/>
    </row>
    <row r="561" spans="7:8">
      <c r="G561" s="14"/>
      <c r="H561" s="489"/>
    </row>
    <row r="562" spans="7:8">
      <c r="G562" s="14"/>
      <c r="H562" s="489"/>
    </row>
    <row r="563" spans="7:8">
      <c r="G563" s="14"/>
      <c r="H563" s="489"/>
    </row>
    <row r="564" spans="7:8">
      <c r="G564" s="14"/>
      <c r="H564" s="489"/>
    </row>
    <row r="565" spans="7:8">
      <c r="G565" s="14"/>
      <c r="H565" s="489"/>
    </row>
    <row r="566" spans="7:8">
      <c r="G566" s="14"/>
      <c r="H566" s="489"/>
    </row>
    <row r="567" spans="7:8">
      <c r="G567" s="14"/>
      <c r="H567" s="489"/>
    </row>
    <row r="568" spans="7:8">
      <c r="G568" s="14"/>
      <c r="H568" s="489"/>
    </row>
    <row r="569" spans="7:8">
      <c r="G569" s="14"/>
      <c r="H569" s="489"/>
    </row>
    <row r="570" spans="7:8">
      <c r="G570" s="14"/>
      <c r="H570" s="489"/>
    </row>
    <row r="571" spans="7:8">
      <c r="G571" s="14"/>
      <c r="H571" s="489"/>
    </row>
    <row r="572" spans="7:8">
      <c r="G572" s="14"/>
      <c r="H572" s="489"/>
    </row>
    <row r="573" spans="7:8">
      <c r="G573" s="14"/>
      <c r="H573" s="489"/>
    </row>
    <row r="574" spans="7:8">
      <c r="G574" s="14"/>
      <c r="H574" s="489"/>
    </row>
    <row r="575" spans="7:8">
      <c r="G575" s="14"/>
      <c r="H575" s="489"/>
    </row>
    <row r="576" spans="7:8">
      <c r="G576" s="14"/>
      <c r="H576" s="489"/>
    </row>
    <row r="577" spans="7:8">
      <c r="G577" s="14"/>
      <c r="H577" s="489"/>
    </row>
    <row r="578" spans="7:8">
      <c r="G578" s="14"/>
      <c r="H578" s="489"/>
    </row>
    <row r="579" spans="7:8">
      <c r="G579" s="14"/>
      <c r="H579" s="489"/>
    </row>
    <row r="580" spans="7:8">
      <c r="G580" s="14"/>
      <c r="H580" s="489"/>
    </row>
    <row r="581" spans="7:8">
      <c r="G581" s="14"/>
      <c r="H581" s="489"/>
    </row>
    <row r="582" spans="7:8">
      <c r="G582" s="14"/>
      <c r="H582" s="489"/>
    </row>
    <row r="583" spans="7:8">
      <c r="G583" s="14"/>
      <c r="H583" s="489"/>
    </row>
    <row r="584" spans="7:8">
      <c r="G584" s="14"/>
      <c r="H584" s="489"/>
    </row>
    <row r="585" spans="7:8">
      <c r="G585" s="14"/>
      <c r="H585" s="489"/>
    </row>
    <row r="586" spans="7:8">
      <c r="G586" s="14"/>
      <c r="H586" s="489"/>
    </row>
    <row r="587" spans="7:8">
      <c r="G587" s="14"/>
      <c r="H587" s="489"/>
    </row>
    <row r="588" spans="7:8">
      <c r="G588" s="14"/>
      <c r="H588" s="489"/>
    </row>
    <row r="589" spans="7:8">
      <c r="G589" s="14"/>
      <c r="H589" s="489"/>
    </row>
    <row r="590" spans="7:8">
      <c r="G590" s="14"/>
      <c r="H590" s="489"/>
    </row>
    <row r="591" spans="7:8">
      <c r="G591" s="14"/>
      <c r="H591" s="489"/>
    </row>
    <row r="592" spans="7:8">
      <c r="G592" s="14"/>
      <c r="H592" s="489"/>
    </row>
    <row r="593" spans="7:8">
      <c r="G593" s="14"/>
      <c r="H593" s="489"/>
    </row>
    <row r="594" spans="7:8">
      <c r="G594" s="14"/>
      <c r="H594" s="489"/>
    </row>
    <row r="595" spans="7:8">
      <c r="G595" s="14"/>
      <c r="H595" s="489"/>
    </row>
    <row r="596" spans="7:8">
      <c r="G596" s="14"/>
      <c r="H596" s="489"/>
    </row>
    <row r="597" spans="7:8">
      <c r="G597" s="14"/>
      <c r="H597" s="489"/>
    </row>
    <row r="598" spans="7:8">
      <c r="G598" s="14"/>
      <c r="H598" s="489"/>
    </row>
    <row r="599" spans="7:8">
      <c r="G599" s="14"/>
      <c r="H599" s="489"/>
    </row>
    <row r="600" spans="7:8">
      <c r="G600" s="14"/>
      <c r="H600" s="489"/>
    </row>
    <row r="601" spans="7:8">
      <c r="G601" s="14"/>
      <c r="H601" s="489"/>
    </row>
    <row r="602" spans="7:8">
      <c r="G602" s="14"/>
      <c r="H602" s="489"/>
    </row>
    <row r="603" spans="7:8">
      <c r="G603" s="14"/>
      <c r="H603" s="489"/>
    </row>
    <row r="604" spans="7:8">
      <c r="G604" s="14"/>
      <c r="H604" s="489"/>
    </row>
    <row r="605" spans="7:8">
      <c r="G605" s="14"/>
      <c r="H605" s="489"/>
    </row>
    <row r="606" spans="7:8">
      <c r="G606" s="14"/>
      <c r="H606" s="489"/>
    </row>
    <row r="607" spans="7:8">
      <c r="G607" s="14"/>
      <c r="H607" s="489"/>
    </row>
    <row r="608" spans="7:8">
      <c r="G608" s="14"/>
      <c r="H608" s="489"/>
    </row>
    <row r="609" spans="7:8">
      <c r="G609" s="14"/>
      <c r="H609" s="489"/>
    </row>
    <row r="610" spans="7:8">
      <c r="G610" s="14"/>
      <c r="H610" s="489"/>
    </row>
    <row r="611" spans="7:8">
      <c r="G611" s="14"/>
      <c r="H611" s="489"/>
    </row>
    <row r="612" spans="7:8">
      <c r="G612" s="14"/>
      <c r="H612" s="489"/>
    </row>
    <row r="613" spans="7:8">
      <c r="G613" s="14"/>
      <c r="H613" s="489"/>
    </row>
    <row r="614" spans="7:8">
      <c r="G614" s="14"/>
      <c r="H614" s="489"/>
    </row>
    <row r="615" spans="7:8">
      <c r="G615" s="14"/>
      <c r="H615" s="489"/>
    </row>
    <row r="616" spans="7:8">
      <c r="G616" s="14"/>
      <c r="H616" s="489"/>
    </row>
    <row r="617" spans="7:8">
      <c r="G617" s="14"/>
      <c r="H617" s="489"/>
    </row>
    <row r="618" spans="7:8">
      <c r="G618" s="14"/>
      <c r="H618" s="489"/>
    </row>
    <row r="619" spans="7:8">
      <c r="G619" s="14"/>
      <c r="H619" s="489"/>
    </row>
    <row r="620" spans="7:8">
      <c r="G620" s="14"/>
      <c r="H620" s="489"/>
    </row>
    <row r="621" spans="7:8">
      <c r="G621" s="14"/>
      <c r="H621" s="489"/>
    </row>
    <row r="622" spans="7:8">
      <c r="G622" s="14"/>
      <c r="H622" s="489"/>
    </row>
    <row r="623" spans="7:8">
      <c r="G623" s="14"/>
      <c r="H623" s="489"/>
    </row>
    <row r="624" spans="7:8">
      <c r="G624" s="14"/>
      <c r="H624" s="489"/>
    </row>
    <row r="625" spans="7:8">
      <c r="G625" s="14"/>
      <c r="H625" s="489"/>
    </row>
    <row r="626" spans="7:8">
      <c r="G626" s="14"/>
      <c r="H626" s="489"/>
    </row>
    <row r="627" spans="7:8">
      <c r="G627" s="14"/>
      <c r="H627" s="489"/>
    </row>
    <row r="628" spans="7:8">
      <c r="G628" s="14"/>
      <c r="H628" s="489"/>
    </row>
    <row r="629" spans="7:8">
      <c r="G629" s="14"/>
      <c r="H629" s="489"/>
    </row>
    <row r="630" spans="7:8">
      <c r="G630" s="14"/>
      <c r="H630" s="489"/>
    </row>
    <row r="631" spans="7:8">
      <c r="G631" s="14"/>
      <c r="H631" s="489"/>
    </row>
    <row r="632" spans="7:8">
      <c r="G632" s="14"/>
      <c r="H632" s="489"/>
    </row>
    <row r="633" spans="7:8">
      <c r="G633" s="14"/>
      <c r="H633" s="489"/>
    </row>
    <row r="634" spans="7:8">
      <c r="G634" s="14"/>
      <c r="H634" s="489"/>
    </row>
    <row r="635" spans="7:8">
      <c r="G635" s="14"/>
      <c r="H635" s="489"/>
    </row>
    <row r="636" spans="7:8">
      <c r="G636" s="14"/>
      <c r="H636" s="489"/>
    </row>
    <row r="637" spans="7:8">
      <c r="G637" s="14"/>
      <c r="H637" s="489"/>
    </row>
    <row r="638" spans="7:8">
      <c r="G638" s="14"/>
      <c r="H638" s="489"/>
    </row>
    <row r="639" spans="7:8">
      <c r="G639" s="14"/>
      <c r="H639" s="489"/>
    </row>
    <row r="640" spans="7:8">
      <c r="G640" s="14"/>
      <c r="H640" s="489"/>
    </row>
    <row r="641" spans="7:8">
      <c r="G641" s="14"/>
      <c r="H641" s="489"/>
    </row>
    <row r="642" spans="7:8">
      <c r="G642" s="14"/>
      <c r="H642" s="489"/>
    </row>
    <row r="643" spans="7:8">
      <c r="G643" s="14"/>
      <c r="H643" s="489"/>
    </row>
    <row r="644" spans="7:8">
      <c r="G644" s="14"/>
      <c r="H644" s="489"/>
    </row>
    <row r="645" spans="7:8">
      <c r="G645" s="14"/>
      <c r="H645" s="489"/>
    </row>
    <row r="646" spans="7:8">
      <c r="G646" s="14"/>
      <c r="H646" s="489"/>
    </row>
    <row r="647" spans="7:8">
      <c r="G647" s="14"/>
      <c r="H647" s="489"/>
    </row>
    <row r="648" spans="7:8">
      <c r="G648" s="14"/>
      <c r="H648" s="489"/>
    </row>
    <row r="649" spans="7:8">
      <c r="G649" s="14"/>
      <c r="H649" s="489"/>
    </row>
    <row r="650" spans="7:8">
      <c r="G650" s="14"/>
      <c r="H650" s="489"/>
    </row>
    <row r="651" spans="7:8">
      <c r="G651" s="14"/>
      <c r="H651" s="489"/>
    </row>
    <row r="652" spans="7:8">
      <c r="G652" s="14"/>
      <c r="H652" s="489"/>
    </row>
    <row r="653" spans="7:8">
      <c r="G653" s="14"/>
      <c r="H653" s="489"/>
    </row>
    <row r="654" spans="7:8">
      <c r="G654" s="14"/>
      <c r="H654" s="489"/>
    </row>
    <row r="655" spans="7:8">
      <c r="G655" s="14"/>
      <c r="H655" s="489"/>
    </row>
    <row r="656" spans="7:8">
      <c r="G656" s="14"/>
      <c r="H656" s="489"/>
    </row>
    <row r="657" spans="7:8">
      <c r="G657" s="14"/>
      <c r="H657" s="489"/>
    </row>
    <row r="658" spans="7:8">
      <c r="G658" s="14"/>
      <c r="H658" s="489"/>
    </row>
    <row r="659" spans="7:8">
      <c r="G659" s="14"/>
      <c r="H659" s="489"/>
    </row>
    <row r="660" spans="7:8">
      <c r="G660" s="14"/>
      <c r="H660" s="489"/>
    </row>
    <row r="661" spans="7:8">
      <c r="G661" s="14"/>
      <c r="H661" s="489"/>
    </row>
    <row r="662" spans="7:8">
      <c r="G662" s="14"/>
      <c r="H662" s="489"/>
    </row>
    <row r="663" spans="7:8">
      <c r="G663" s="14"/>
      <c r="H663" s="489"/>
    </row>
    <row r="664" spans="7:8">
      <c r="G664" s="14"/>
      <c r="H664" s="489"/>
    </row>
    <row r="665" spans="7:8">
      <c r="G665" s="14"/>
      <c r="H665" s="489"/>
    </row>
    <row r="666" spans="7:8">
      <c r="G666" s="14"/>
      <c r="H666" s="489"/>
    </row>
    <row r="667" spans="7:8">
      <c r="G667" s="14"/>
      <c r="H667" s="489"/>
    </row>
    <row r="668" spans="7:8">
      <c r="G668" s="14"/>
      <c r="H668" s="489"/>
    </row>
    <row r="669" spans="7:8">
      <c r="G669" s="14"/>
      <c r="H669" s="489"/>
    </row>
    <row r="670" spans="7:8">
      <c r="G670" s="14"/>
      <c r="H670" s="489"/>
    </row>
    <row r="671" spans="7:8">
      <c r="G671" s="14"/>
      <c r="H671" s="489"/>
    </row>
    <row r="672" spans="7:8">
      <c r="G672" s="14"/>
      <c r="H672" s="489"/>
    </row>
    <row r="673" spans="7:8">
      <c r="G673" s="14"/>
      <c r="H673" s="489"/>
    </row>
    <row r="674" spans="7:8">
      <c r="G674" s="14"/>
      <c r="H674" s="489"/>
    </row>
    <row r="675" spans="7:8">
      <c r="G675" s="14"/>
      <c r="H675" s="489"/>
    </row>
    <row r="676" spans="7:8">
      <c r="G676" s="14"/>
      <c r="H676" s="489"/>
    </row>
    <row r="677" spans="7:8">
      <c r="G677" s="14"/>
      <c r="H677" s="489"/>
    </row>
    <row r="678" spans="7:8">
      <c r="G678" s="14"/>
      <c r="H678" s="489"/>
    </row>
    <row r="679" spans="7:8">
      <c r="G679" s="14"/>
      <c r="H679" s="489"/>
    </row>
    <row r="680" spans="7:8">
      <c r="G680" s="14"/>
      <c r="H680" s="489"/>
    </row>
    <row r="681" spans="7:8">
      <c r="G681" s="14"/>
      <c r="H681" s="489"/>
    </row>
    <row r="682" spans="7:8">
      <c r="G682" s="14"/>
      <c r="H682" s="489"/>
    </row>
    <row r="683" spans="7:8">
      <c r="G683" s="14"/>
      <c r="H683" s="489"/>
    </row>
    <row r="684" spans="7:8">
      <c r="G684" s="14"/>
      <c r="H684" s="489"/>
    </row>
    <row r="685" spans="7:8">
      <c r="G685" s="14"/>
      <c r="H685" s="489"/>
    </row>
    <row r="686" spans="7:8">
      <c r="G686" s="14"/>
      <c r="H686" s="489"/>
    </row>
    <row r="687" spans="7:8">
      <c r="G687" s="14"/>
      <c r="H687" s="489"/>
    </row>
    <row r="688" spans="7:8">
      <c r="G688" s="14"/>
      <c r="H688" s="489"/>
    </row>
    <row r="689" spans="7:8">
      <c r="G689" s="14"/>
      <c r="H689" s="489"/>
    </row>
    <row r="690" spans="7:8">
      <c r="G690" s="14"/>
      <c r="H690" s="489"/>
    </row>
    <row r="691" spans="7:8">
      <c r="G691" s="14"/>
      <c r="H691" s="489"/>
    </row>
    <row r="692" spans="7:8">
      <c r="G692" s="14"/>
      <c r="H692" s="489"/>
    </row>
    <row r="693" spans="7:8">
      <c r="G693" s="14"/>
      <c r="H693" s="489"/>
    </row>
    <row r="694" spans="7:8">
      <c r="G694" s="14"/>
      <c r="H694" s="489"/>
    </row>
    <row r="695" spans="7:8">
      <c r="G695" s="14"/>
      <c r="H695" s="489"/>
    </row>
    <row r="696" spans="7:8">
      <c r="G696" s="14"/>
      <c r="H696" s="489"/>
    </row>
    <row r="697" spans="7:8">
      <c r="G697" s="14"/>
      <c r="H697" s="489"/>
    </row>
    <row r="698" spans="7:8">
      <c r="G698" s="14"/>
      <c r="H698" s="489"/>
    </row>
    <row r="699" spans="7:8">
      <c r="G699" s="14"/>
      <c r="H699" s="489"/>
    </row>
    <row r="700" spans="7:8">
      <c r="G700" s="14"/>
      <c r="H700" s="489"/>
    </row>
    <row r="701" spans="7:8">
      <c r="G701" s="14"/>
      <c r="H701" s="489"/>
    </row>
    <row r="702" spans="7:8">
      <c r="G702" s="14"/>
      <c r="H702" s="489"/>
    </row>
    <row r="703" spans="7:8">
      <c r="G703" s="14"/>
      <c r="H703" s="489"/>
    </row>
    <row r="704" spans="7:8">
      <c r="G704" s="14"/>
      <c r="H704" s="489"/>
    </row>
    <row r="705" spans="7:8">
      <c r="G705" s="14"/>
      <c r="H705" s="489"/>
    </row>
    <row r="706" spans="7:8">
      <c r="G706" s="14"/>
      <c r="H706" s="489"/>
    </row>
    <row r="707" spans="7:8">
      <c r="G707" s="14"/>
      <c r="H707" s="489"/>
    </row>
    <row r="708" spans="7:8">
      <c r="G708" s="14"/>
      <c r="H708" s="489"/>
    </row>
    <row r="709" spans="7:8">
      <c r="G709" s="14"/>
      <c r="H709" s="489"/>
    </row>
    <row r="710" spans="7:8">
      <c r="G710" s="14"/>
      <c r="H710" s="489"/>
    </row>
    <row r="711" spans="7:8">
      <c r="G711" s="14"/>
      <c r="H711" s="489"/>
    </row>
    <row r="712" spans="7:8">
      <c r="G712" s="14"/>
      <c r="H712" s="489"/>
    </row>
    <row r="713" spans="7:8">
      <c r="G713" s="14"/>
      <c r="H713" s="489"/>
    </row>
    <row r="714" spans="7:8">
      <c r="G714" s="14"/>
      <c r="H714" s="489"/>
    </row>
    <row r="715" spans="7:8">
      <c r="G715" s="14"/>
      <c r="H715" s="489"/>
    </row>
    <row r="716" spans="7:8">
      <c r="G716" s="14"/>
      <c r="H716" s="489"/>
    </row>
    <row r="717" spans="7:8">
      <c r="G717" s="14"/>
      <c r="H717" s="489"/>
    </row>
    <row r="718" spans="7:8">
      <c r="G718" s="14"/>
      <c r="H718" s="489"/>
    </row>
    <row r="719" spans="7:8">
      <c r="G719" s="14"/>
    </row>
    <row r="720" spans="7:8">
      <c r="G720" s="14"/>
    </row>
    <row r="721" spans="7:7">
      <c r="G721" s="14"/>
    </row>
    <row r="722" spans="7:7">
      <c r="G722" s="14"/>
    </row>
    <row r="723" spans="7:7">
      <c r="G723" s="14"/>
    </row>
    <row r="724" spans="7:7">
      <c r="G724" s="14"/>
    </row>
    <row r="725" spans="7:7">
      <c r="G725" s="14"/>
    </row>
    <row r="726" spans="7:7">
      <c r="G726" s="14"/>
    </row>
    <row r="727" spans="7:7">
      <c r="G727" s="14"/>
    </row>
    <row r="728" spans="7:7">
      <c r="G728" s="14"/>
    </row>
    <row r="729" spans="7:7">
      <c r="G729" s="14"/>
    </row>
    <row r="730" spans="7:7">
      <c r="G730" s="14"/>
    </row>
    <row r="731" spans="7:7">
      <c r="G731" s="14"/>
    </row>
    <row r="732" spans="7:7">
      <c r="G732" s="14"/>
    </row>
    <row r="733" spans="7:7">
      <c r="G733" s="14"/>
    </row>
    <row r="734" spans="7:7">
      <c r="G734" s="14"/>
    </row>
    <row r="735" spans="7:7">
      <c r="G735" s="14"/>
    </row>
    <row r="736" spans="7:7">
      <c r="G736" s="14"/>
    </row>
    <row r="737" spans="7:7">
      <c r="G737" s="14"/>
    </row>
    <row r="738" spans="7:7">
      <c r="G738" s="14"/>
    </row>
    <row r="739" spans="7:7">
      <c r="G739" s="14"/>
    </row>
    <row r="740" spans="7:7">
      <c r="G740" s="14"/>
    </row>
    <row r="741" spans="7:7">
      <c r="G741" s="14"/>
    </row>
    <row r="742" spans="7:7">
      <c r="G742" s="14"/>
    </row>
    <row r="743" spans="7:7">
      <c r="G743" s="14"/>
    </row>
    <row r="744" spans="7:7">
      <c r="G744" s="14"/>
    </row>
    <row r="745" spans="7:7">
      <c r="G745" s="14"/>
    </row>
    <row r="746" spans="7:7">
      <c r="G746" s="14"/>
    </row>
    <row r="747" spans="7:7">
      <c r="G747" s="14"/>
    </row>
    <row r="748" spans="7:7">
      <c r="G748" s="14"/>
    </row>
    <row r="749" spans="7:7">
      <c r="G749" s="14"/>
    </row>
    <row r="750" spans="7:7">
      <c r="G750" s="14"/>
    </row>
    <row r="751" spans="7:7">
      <c r="G751" s="14"/>
    </row>
    <row r="752" spans="7:7">
      <c r="G752" s="14"/>
    </row>
    <row r="753" spans="7:7">
      <c r="G753" s="14"/>
    </row>
    <row r="754" spans="7:7">
      <c r="G754" s="14"/>
    </row>
    <row r="755" spans="7:7">
      <c r="G755" s="14"/>
    </row>
    <row r="756" spans="7:7">
      <c r="G756" s="14"/>
    </row>
    <row r="757" spans="7:7">
      <c r="G757" s="14"/>
    </row>
    <row r="758" spans="7:7">
      <c r="G758" s="14"/>
    </row>
    <row r="759" spans="7:7">
      <c r="G759" s="14"/>
    </row>
    <row r="760" spans="7:7">
      <c r="G760" s="14"/>
    </row>
    <row r="761" spans="7:7">
      <c r="G761" s="14"/>
    </row>
    <row r="762" spans="7:7">
      <c r="G762" s="14"/>
    </row>
    <row r="763" spans="7:7">
      <c r="G763" s="14"/>
    </row>
    <row r="764" spans="7:7">
      <c r="G764" s="14"/>
    </row>
    <row r="765" spans="7:7">
      <c r="G765" s="14"/>
    </row>
    <row r="766" spans="7:7">
      <c r="G766" s="14"/>
    </row>
    <row r="767" spans="7:7">
      <c r="G767" s="14"/>
    </row>
    <row r="768" spans="7:7">
      <c r="G768" s="14"/>
    </row>
    <row r="769" spans="7:7">
      <c r="G769" s="14"/>
    </row>
    <row r="770" spans="7:7">
      <c r="G770" s="14"/>
    </row>
    <row r="771" spans="7:7">
      <c r="G771" s="14"/>
    </row>
    <row r="772" spans="7:7">
      <c r="G772" s="14"/>
    </row>
    <row r="773" spans="7:7">
      <c r="G773" s="14"/>
    </row>
    <row r="774" spans="7:7">
      <c r="G774" s="14"/>
    </row>
    <row r="775" spans="7:7">
      <c r="G775" s="14"/>
    </row>
    <row r="776" spans="7:7">
      <c r="G776" s="14"/>
    </row>
    <row r="777" spans="7:7">
      <c r="G777" s="14"/>
    </row>
    <row r="778" spans="7:7">
      <c r="G778" s="14"/>
    </row>
    <row r="779" spans="7:7">
      <c r="G779" s="14"/>
    </row>
    <row r="780" spans="7:7">
      <c r="G780" s="14"/>
    </row>
    <row r="781" spans="7:7">
      <c r="G781" s="14"/>
    </row>
    <row r="782" spans="7:7">
      <c r="G782" s="14"/>
    </row>
    <row r="783" spans="7:7">
      <c r="G783" s="14"/>
    </row>
    <row r="784" spans="7:7">
      <c r="G784" s="14"/>
    </row>
    <row r="785" spans="7:7">
      <c r="G785" s="14"/>
    </row>
    <row r="786" spans="7:7">
      <c r="G786" s="14"/>
    </row>
    <row r="787" spans="7:7">
      <c r="G787" s="14"/>
    </row>
    <row r="788" spans="7:7">
      <c r="G788" s="14"/>
    </row>
    <row r="789" spans="7:7">
      <c r="G789" s="14"/>
    </row>
    <row r="790" spans="7:7">
      <c r="G790" s="14"/>
    </row>
    <row r="791" spans="7:7">
      <c r="G791" s="14"/>
    </row>
    <row r="792" spans="7:7">
      <c r="G792" s="14"/>
    </row>
    <row r="793" spans="7:7">
      <c r="G793" s="14"/>
    </row>
    <row r="794" spans="7:7">
      <c r="G794" s="14"/>
    </row>
    <row r="795" spans="7:7">
      <c r="G795" s="14"/>
    </row>
    <row r="796" spans="7:7">
      <c r="G796" s="14"/>
    </row>
    <row r="797" spans="7:7">
      <c r="G797" s="14"/>
    </row>
    <row r="798" spans="7:7">
      <c r="G798" s="14"/>
    </row>
    <row r="799" spans="7:7">
      <c r="G799" s="14"/>
    </row>
    <row r="800" spans="7:7">
      <c r="G800" s="14"/>
    </row>
    <row r="801" spans="7:7">
      <c r="G801" s="14"/>
    </row>
    <row r="802" spans="7:7">
      <c r="G802" s="14"/>
    </row>
    <row r="803" spans="7:7">
      <c r="G803" s="14"/>
    </row>
    <row r="804" spans="7:7">
      <c r="G804" s="14"/>
    </row>
    <row r="805" spans="7:7">
      <c r="G805" s="14"/>
    </row>
    <row r="806" spans="7:7">
      <c r="G806" s="14"/>
    </row>
    <row r="807" spans="7:7">
      <c r="G807" s="14"/>
    </row>
    <row r="808" spans="7:7">
      <c r="G808" s="14"/>
    </row>
    <row r="809" spans="7:7">
      <c r="G809" s="14"/>
    </row>
    <row r="810" spans="7:7">
      <c r="G810" s="14"/>
    </row>
    <row r="811" spans="7:7">
      <c r="G811" s="14"/>
    </row>
    <row r="812" spans="7:7">
      <c r="G812" s="14"/>
    </row>
    <row r="813" spans="7:7">
      <c r="G813" s="14"/>
    </row>
    <row r="814" spans="7:7">
      <c r="G814" s="14"/>
    </row>
    <row r="815" spans="7:7">
      <c r="G815" s="14"/>
    </row>
    <row r="816" spans="7:7">
      <c r="G816" s="14"/>
    </row>
    <row r="817" spans="7:7">
      <c r="G817" s="14"/>
    </row>
    <row r="818" spans="7:7">
      <c r="G818" s="14"/>
    </row>
    <row r="819" spans="7:7">
      <c r="G819" s="14"/>
    </row>
    <row r="820" spans="7:7">
      <c r="G820" s="14"/>
    </row>
    <row r="821" spans="7:7">
      <c r="G821" s="14"/>
    </row>
    <row r="822" spans="7:7">
      <c r="G822" s="14"/>
    </row>
    <row r="823" spans="7:7">
      <c r="G823" s="14"/>
    </row>
    <row r="824" spans="7:7">
      <c r="G824" s="14"/>
    </row>
    <row r="825" spans="7:7">
      <c r="G825" s="14"/>
    </row>
    <row r="826" spans="7:7">
      <c r="G826" s="14"/>
    </row>
    <row r="827" spans="7:7">
      <c r="G827" s="14"/>
    </row>
    <row r="828" spans="7:7">
      <c r="G828" s="14"/>
    </row>
    <row r="829" spans="7:7">
      <c r="G829" s="14"/>
    </row>
    <row r="830" spans="7:7">
      <c r="G830" s="14"/>
    </row>
    <row r="831" spans="7:7">
      <c r="G831" s="14"/>
    </row>
    <row r="832" spans="7:7">
      <c r="G832" s="14"/>
    </row>
    <row r="833" spans="7:7">
      <c r="G833" s="14"/>
    </row>
    <row r="834" spans="7:7">
      <c r="G834" s="14"/>
    </row>
    <row r="835" spans="7:7">
      <c r="G835" s="14"/>
    </row>
    <row r="836" spans="7:7">
      <c r="G836" s="14"/>
    </row>
    <row r="837" spans="7:7">
      <c r="G837" s="14"/>
    </row>
    <row r="838" spans="7:7">
      <c r="G838" s="14"/>
    </row>
    <row r="839" spans="7:7">
      <c r="G839" s="14"/>
    </row>
    <row r="840" spans="7:7">
      <c r="G840" s="14"/>
    </row>
    <row r="841" spans="7:7">
      <c r="G841" s="14"/>
    </row>
    <row r="842" spans="7:7">
      <c r="G842" s="14"/>
    </row>
    <row r="843" spans="7:7">
      <c r="G843" s="14"/>
    </row>
    <row r="844" spans="7:7">
      <c r="G844" s="14"/>
    </row>
    <row r="845" spans="7:7">
      <c r="G845" s="14"/>
    </row>
    <row r="846" spans="7:7">
      <c r="G846" s="14"/>
    </row>
    <row r="847" spans="7:7">
      <c r="G847" s="14"/>
    </row>
    <row r="848" spans="7:7">
      <c r="G848" s="14"/>
    </row>
    <row r="849" spans="7:7">
      <c r="G849" s="14"/>
    </row>
    <row r="850" spans="7:7">
      <c r="G850" s="14"/>
    </row>
    <row r="851" spans="7:7">
      <c r="G851" s="14"/>
    </row>
    <row r="852" spans="7:7">
      <c r="G852" s="14"/>
    </row>
    <row r="853" spans="7:7">
      <c r="G853" s="14"/>
    </row>
    <row r="854" spans="7:7">
      <c r="G854" s="14"/>
    </row>
    <row r="855" spans="7:7">
      <c r="G855" s="14"/>
    </row>
    <row r="856" spans="7:7">
      <c r="G856" s="14"/>
    </row>
    <row r="857" spans="7:7">
      <c r="G857" s="14"/>
    </row>
    <row r="858" spans="7:7">
      <c r="G858" s="14"/>
    </row>
    <row r="859" spans="7:7">
      <c r="G859" s="14"/>
    </row>
    <row r="860" spans="7:7">
      <c r="G860" s="14"/>
    </row>
    <row r="861" spans="7:7">
      <c r="G861" s="14"/>
    </row>
    <row r="862" spans="7:7">
      <c r="G862" s="14"/>
    </row>
    <row r="863" spans="7:7">
      <c r="G863" s="14"/>
    </row>
    <row r="864" spans="7:7">
      <c r="G864" s="14"/>
    </row>
    <row r="865" spans="7:7">
      <c r="G865" s="14"/>
    </row>
    <row r="866" spans="7:7">
      <c r="G866" s="14"/>
    </row>
    <row r="867" spans="7:7">
      <c r="G867" s="14"/>
    </row>
    <row r="868" spans="7:7">
      <c r="G868" s="14"/>
    </row>
    <row r="869" spans="7:7">
      <c r="G869" s="14"/>
    </row>
    <row r="870" spans="7:7">
      <c r="G870" s="14"/>
    </row>
    <row r="871" spans="7:7">
      <c r="G871" s="14"/>
    </row>
    <row r="872" spans="7:7">
      <c r="G872" s="14"/>
    </row>
    <row r="873" spans="7:7">
      <c r="G873" s="14"/>
    </row>
    <row r="874" spans="7:7">
      <c r="G874" s="14"/>
    </row>
    <row r="875" spans="7:7">
      <c r="G875" s="14"/>
    </row>
    <row r="876" spans="7:7">
      <c r="G876" s="14"/>
    </row>
    <row r="877" spans="7:7">
      <c r="G877" s="14"/>
    </row>
    <row r="878" spans="7:7">
      <c r="G878" s="14"/>
    </row>
    <row r="879" spans="7:7">
      <c r="G879" s="14"/>
    </row>
    <row r="880" spans="7:7">
      <c r="G880" s="14"/>
    </row>
    <row r="881" spans="7:7">
      <c r="G881" s="14"/>
    </row>
    <row r="882" spans="7:7">
      <c r="G882" s="14"/>
    </row>
    <row r="883" spans="7:7">
      <c r="G883" s="14"/>
    </row>
    <row r="884" spans="7:7">
      <c r="G884" s="14"/>
    </row>
    <row r="885" spans="7:7">
      <c r="G885" s="14"/>
    </row>
    <row r="886" spans="7:7">
      <c r="G886" s="14"/>
    </row>
    <row r="887" spans="7:7">
      <c r="G887" s="14"/>
    </row>
    <row r="888" spans="7:7">
      <c r="G888" s="14"/>
    </row>
    <row r="889" spans="7:7">
      <c r="G889" s="14"/>
    </row>
    <row r="890" spans="7:7">
      <c r="G890" s="14"/>
    </row>
    <row r="891" spans="7:7">
      <c r="G891" s="14"/>
    </row>
    <row r="892" spans="7:7">
      <c r="G892" s="14"/>
    </row>
    <row r="893" spans="7:7">
      <c r="G893" s="14"/>
    </row>
    <row r="894" spans="7:7">
      <c r="G894" s="14"/>
    </row>
    <row r="895" spans="7:7">
      <c r="G895" s="14"/>
    </row>
    <row r="896" spans="7:7">
      <c r="G896" s="14"/>
    </row>
    <row r="897" spans="7:7">
      <c r="G897" s="14"/>
    </row>
    <row r="898" spans="7:7">
      <c r="G898" s="14"/>
    </row>
    <row r="899" spans="7:7">
      <c r="G899" s="14"/>
    </row>
    <row r="900" spans="7:7">
      <c r="G900" s="14"/>
    </row>
    <row r="901" spans="7:7">
      <c r="G901" s="14"/>
    </row>
    <row r="902" spans="7:7">
      <c r="G902" s="14"/>
    </row>
    <row r="903" spans="7:7">
      <c r="G903" s="14"/>
    </row>
    <row r="904" spans="7:7">
      <c r="G904" s="14"/>
    </row>
    <row r="905" spans="7:7">
      <c r="G905" s="14"/>
    </row>
    <row r="906" spans="7:7">
      <c r="G906" s="14"/>
    </row>
    <row r="907" spans="7:7">
      <c r="G907" s="14"/>
    </row>
    <row r="908" spans="7:7">
      <c r="G908" s="14"/>
    </row>
    <row r="909" spans="7:7">
      <c r="G909" s="14"/>
    </row>
    <row r="910" spans="7:7">
      <c r="G910" s="14"/>
    </row>
    <row r="911" spans="7:7">
      <c r="G911" s="14"/>
    </row>
    <row r="912" spans="7:7">
      <c r="G912" s="14"/>
    </row>
    <row r="913" spans="7:7">
      <c r="G913" s="14"/>
    </row>
    <row r="914" spans="7:7">
      <c r="G914" s="14"/>
    </row>
    <row r="915" spans="7:7">
      <c r="G915" s="14"/>
    </row>
    <row r="916" spans="7:7">
      <c r="G916" s="14"/>
    </row>
    <row r="917" spans="7:7">
      <c r="G917" s="14"/>
    </row>
    <row r="918" spans="7:7">
      <c r="G918" s="14"/>
    </row>
    <row r="919" spans="7:7">
      <c r="G919" s="14"/>
    </row>
    <row r="920" spans="7:7">
      <c r="G920" s="14"/>
    </row>
    <row r="921" spans="7:7">
      <c r="G921" s="14"/>
    </row>
    <row r="922" spans="7:7">
      <c r="G922" s="14"/>
    </row>
    <row r="923" spans="7:7">
      <c r="G923" s="14"/>
    </row>
    <row r="924" spans="7:7">
      <c r="G924" s="14"/>
    </row>
    <row r="925" spans="7:7">
      <c r="G925" s="14"/>
    </row>
    <row r="926" spans="7:7">
      <c r="G926" s="14"/>
    </row>
    <row r="927" spans="7:7">
      <c r="G927" s="14"/>
    </row>
    <row r="928" spans="7:7">
      <c r="G928" s="14"/>
    </row>
    <row r="929" spans="7:7">
      <c r="G929" s="14"/>
    </row>
    <row r="930" spans="7:7">
      <c r="G930" s="14"/>
    </row>
    <row r="931" spans="7:7">
      <c r="G931" s="14"/>
    </row>
    <row r="932" spans="7:7">
      <c r="G932" s="14"/>
    </row>
    <row r="933" spans="7:7">
      <c r="G933" s="14"/>
    </row>
    <row r="934" spans="7:7">
      <c r="G934" s="14"/>
    </row>
    <row r="935" spans="7:7">
      <c r="G935" s="14"/>
    </row>
    <row r="936" spans="7:7">
      <c r="G936" s="14"/>
    </row>
    <row r="937" spans="7:7">
      <c r="G937" s="14"/>
    </row>
    <row r="938" spans="7:7">
      <c r="G938" s="14"/>
    </row>
    <row r="939" spans="7:7">
      <c r="G939" s="14"/>
    </row>
    <row r="940" spans="7:7">
      <c r="G940" s="14"/>
    </row>
    <row r="941" spans="7:7">
      <c r="G941" s="14"/>
    </row>
    <row r="942" spans="7:7">
      <c r="G942" s="14"/>
    </row>
    <row r="943" spans="7:7">
      <c r="G943" s="14"/>
    </row>
    <row r="944" spans="7:7">
      <c r="G944" s="14"/>
    </row>
    <row r="945" spans="7:7">
      <c r="G945" s="14"/>
    </row>
    <row r="946" spans="7:7">
      <c r="G946" s="14"/>
    </row>
    <row r="947" spans="7:7">
      <c r="G947" s="14"/>
    </row>
    <row r="948" spans="7:7">
      <c r="G948" s="14"/>
    </row>
    <row r="949" spans="7:7">
      <c r="G949" s="14"/>
    </row>
    <row r="950" spans="7:7">
      <c r="G950" s="14"/>
    </row>
    <row r="951" spans="7:7">
      <c r="G951" s="14"/>
    </row>
    <row r="952" spans="7:7">
      <c r="G952" s="14"/>
    </row>
    <row r="953" spans="7:7">
      <c r="G953" s="14"/>
    </row>
    <row r="954" spans="7:7">
      <c r="G954" s="14"/>
    </row>
    <row r="955" spans="7:7">
      <c r="G955" s="14"/>
    </row>
    <row r="956" spans="7:7">
      <c r="G956" s="14"/>
    </row>
    <row r="957" spans="7:7">
      <c r="G957" s="14"/>
    </row>
    <row r="958" spans="7:7">
      <c r="G958" s="14"/>
    </row>
    <row r="959" spans="7:7">
      <c r="G959" s="14"/>
    </row>
    <row r="960" spans="7:7">
      <c r="G960" s="14"/>
    </row>
    <row r="961" spans="7:7">
      <c r="G961" s="14"/>
    </row>
    <row r="962" spans="7:7">
      <c r="G962" s="14"/>
    </row>
    <row r="963" spans="7:7">
      <c r="G963" s="14"/>
    </row>
    <row r="964" spans="7:7">
      <c r="G964" s="14"/>
    </row>
    <row r="965" spans="7:7">
      <c r="G965" s="14"/>
    </row>
    <row r="966" spans="7:7">
      <c r="G966" s="14"/>
    </row>
  </sheetData>
  <phoneticPr fontId="3" type="noConversion"/>
  <conditionalFormatting sqref="K247">
    <cfRule type="expression" dxfId="20" priority="3">
      <formula>LEFT(A247,2)="TU"</formula>
    </cfRule>
  </conditionalFormatting>
  <conditionalFormatting sqref="K246">
    <cfRule type="expression" dxfId="19" priority="1">
      <formula>LEFT(A246,2)="TU"</formula>
    </cfRule>
  </conditionalFormatting>
  <conditionalFormatting sqref="K248:K348">
    <cfRule type="expression" dxfId="18" priority="2">
      <formula>LEFT(A248,2)="TU"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2" tint="-0.249977111117893"/>
  </sheetPr>
  <dimension ref="A1:S692"/>
  <sheetViews>
    <sheetView topLeftCell="A46" zoomScaleNormal="100" workbookViewId="0">
      <selection activeCell="J60" sqref="J60"/>
    </sheetView>
  </sheetViews>
  <sheetFormatPr defaultRowHeight="16.5"/>
  <cols>
    <col min="1" max="1" width="24.25" customWidth="1"/>
    <col min="2" max="2" width="17.125" style="14" bestFit="1" customWidth="1"/>
    <col min="3" max="3" width="9.25" style="14" customWidth="1"/>
    <col min="4" max="4" width="12.25" style="534" customWidth="1"/>
    <col min="5" max="5" width="15.625" style="2" customWidth="1"/>
    <col min="6" max="6" width="12.375" style="14" customWidth="1"/>
    <col min="7" max="7" width="10" customWidth="1"/>
    <col min="8" max="8" width="15.875" style="555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343</v>
      </c>
      <c r="F1" s="2"/>
      <c r="H1" s="474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307</v>
      </c>
      <c r="S2" s="131" t="s">
        <v>21</v>
      </c>
    </row>
    <row r="3" spans="1:19" s="102" customFormat="1">
      <c r="A3" s="690" t="s">
        <v>397</v>
      </c>
      <c r="B3" s="691">
        <v>44187</v>
      </c>
      <c r="C3" s="691"/>
      <c r="D3" s="692"/>
      <c r="E3" s="693">
        <v>0</v>
      </c>
      <c r="F3" s="693"/>
      <c r="G3" s="779">
        <f>-VLOOKUP(A3,'market px'!K$2:P$25,3,FALSE)*E3/1000000</f>
        <v>0</v>
      </c>
      <c r="H3" s="695"/>
      <c r="I3" s="696">
        <v>100.25700000000001</v>
      </c>
      <c r="J3" s="696">
        <f>VLOOKUP(A3,'market px'!K$2:P$80,6,FALSE)</f>
        <v>100.42570000000001</v>
      </c>
      <c r="K3" s="698">
        <f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690"/>
      <c r="B4" s="691"/>
      <c r="C4" s="691"/>
      <c r="D4" s="692"/>
      <c r="E4" s="693"/>
      <c r="F4" s="693"/>
      <c r="G4" s="779"/>
      <c r="H4" s="695"/>
      <c r="I4" s="696"/>
      <c r="J4" s="696"/>
      <c r="K4" s="698">
        <f>(J4-I4)*E4/100</f>
        <v>0</v>
      </c>
      <c r="L4" s="693"/>
      <c r="M4" s="93"/>
      <c r="N4" s="93"/>
      <c r="O4" s="93"/>
      <c r="P4" s="93"/>
      <c r="Q4" s="93"/>
      <c r="S4" s="103"/>
    </row>
    <row r="5" spans="1:19" s="116" customFormat="1">
      <c r="A5" s="690"/>
      <c r="B5" s="691"/>
      <c r="C5" s="691"/>
      <c r="D5" s="699"/>
      <c r="E5" s="693"/>
      <c r="F5" s="693"/>
      <c r="G5" s="779"/>
      <c r="H5" s="695"/>
      <c r="I5" s="696"/>
      <c r="J5" s="696"/>
      <c r="K5" s="698">
        <f t="shared" ref="K5:K15" si="0">(J5-I5)*E5/100</f>
        <v>0</v>
      </c>
      <c r="L5" s="693"/>
      <c r="S5" s="320"/>
    </row>
    <row r="6" spans="1:19" s="116" customFormat="1">
      <c r="A6" s="690"/>
      <c r="B6" s="691"/>
      <c r="C6" s="691"/>
      <c r="D6" s="699"/>
      <c r="E6" s="693"/>
      <c r="F6" s="693"/>
      <c r="G6" s="779"/>
      <c r="H6" s="695"/>
      <c r="I6" s="696"/>
      <c r="J6" s="696"/>
      <c r="K6" s="698">
        <f t="shared" si="0"/>
        <v>0</v>
      </c>
      <c r="L6" s="693"/>
      <c r="S6" s="117"/>
    </row>
    <row r="7" spans="1:19" s="116" customFormat="1">
      <c r="A7" s="690"/>
      <c r="B7" s="691"/>
      <c r="C7" s="691"/>
      <c r="D7" s="699"/>
      <c r="E7" s="693"/>
      <c r="F7" s="693"/>
      <c r="G7" s="779"/>
      <c r="H7" s="695"/>
      <c r="I7" s="696"/>
      <c r="J7" s="696"/>
      <c r="K7" s="698">
        <f t="shared" si="0"/>
        <v>0</v>
      </c>
      <c r="L7" s="693"/>
      <c r="S7" s="117"/>
    </row>
    <row r="8" spans="1:19" s="93" customFormat="1">
      <c r="A8" s="690"/>
      <c r="B8" s="700"/>
      <c r="C8" s="691"/>
      <c r="D8" s="701"/>
      <c r="E8" s="702"/>
      <c r="F8" s="693"/>
      <c r="G8" s="779"/>
      <c r="H8" s="703"/>
      <c r="I8" s="704"/>
      <c r="J8" s="696"/>
      <c r="K8" s="698">
        <f t="shared" si="0"/>
        <v>0</v>
      </c>
      <c r="L8" s="693"/>
    </row>
    <row r="9" spans="1:19" s="93" customFormat="1">
      <c r="A9" s="690"/>
      <c r="B9" s="700"/>
      <c r="C9" s="691"/>
      <c r="D9" s="701"/>
      <c r="E9" s="702"/>
      <c r="F9" s="693"/>
      <c r="G9" s="779"/>
      <c r="H9" s="703"/>
      <c r="I9" s="704"/>
      <c r="J9" s="696"/>
      <c r="K9" s="698">
        <f t="shared" si="0"/>
        <v>0</v>
      </c>
      <c r="L9" s="693"/>
      <c r="S9" s="131" t="s">
        <v>21</v>
      </c>
    </row>
    <row r="10" spans="1:19" s="93" customFormat="1">
      <c r="A10" s="690"/>
      <c r="B10" s="700"/>
      <c r="C10" s="691"/>
      <c r="D10" s="701"/>
      <c r="E10" s="702"/>
      <c r="F10" s="693"/>
      <c r="G10" s="779"/>
      <c r="H10" s="703"/>
      <c r="I10" s="704"/>
      <c r="J10" s="696"/>
      <c r="K10" s="698">
        <f t="shared" si="0"/>
        <v>0</v>
      </c>
      <c r="L10" s="693"/>
      <c r="S10" s="131"/>
    </row>
    <row r="11" spans="1:19" s="93" customFormat="1">
      <c r="A11" s="690"/>
      <c r="B11" s="700"/>
      <c r="C11" s="691"/>
      <c r="D11" s="701"/>
      <c r="E11" s="702"/>
      <c r="F11" s="693"/>
      <c r="G11" s="779"/>
      <c r="H11" s="703"/>
      <c r="I11" s="704"/>
      <c r="J11" s="696"/>
      <c r="K11" s="698">
        <f t="shared" si="0"/>
        <v>0</v>
      </c>
      <c r="L11" s="693"/>
      <c r="S11" s="131"/>
    </row>
    <row r="12" spans="1:19" s="93" customFormat="1">
      <c r="A12" s="690"/>
      <c r="B12" s="700"/>
      <c r="C12" s="691"/>
      <c r="D12" s="701"/>
      <c r="E12" s="693"/>
      <c r="F12" s="693"/>
      <c r="G12" s="779"/>
      <c r="H12" s="703"/>
      <c r="I12" s="704"/>
      <c r="J12" s="696"/>
      <c r="K12" s="698">
        <f t="shared" si="0"/>
        <v>0</v>
      </c>
      <c r="L12" s="693"/>
      <c r="S12" s="131"/>
    </row>
    <row r="13" spans="1:19" s="93" customFormat="1">
      <c r="A13" s="690"/>
      <c r="B13" s="700"/>
      <c r="C13" s="691"/>
      <c r="D13" s="701"/>
      <c r="E13" s="693"/>
      <c r="F13" s="693"/>
      <c r="G13" s="779"/>
      <c r="H13" s="703"/>
      <c r="I13" s="704"/>
      <c r="J13" s="696"/>
      <c r="K13" s="698">
        <f t="shared" si="0"/>
        <v>0</v>
      </c>
      <c r="L13" s="693"/>
      <c r="S13" s="131"/>
    </row>
    <row r="14" spans="1:19" s="93" customFormat="1">
      <c r="A14" s="690"/>
      <c r="B14" s="700"/>
      <c r="C14" s="691"/>
      <c r="D14" s="701"/>
      <c r="E14" s="693"/>
      <c r="F14" s="693"/>
      <c r="G14" s="779"/>
      <c r="H14" s="703"/>
      <c r="I14" s="704"/>
      <c r="J14" s="696"/>
      <c r="K14" s="698">
        <f t="shared" si="0"/>
        <v>0</v>
      </c>
      <c r="L14" s="693"/>
      <c r="S14" s="131"/>
    </row>
    <row r="15" spans="1:19" s="93" customFormat="1">
      <c r="A15" s="690"/>
      <c r="B15" s="700"/>
      <c r="C15" s="691"/>
      <c r="D15" s="701"/>
      <c r="E15" s="693"/>
      <c r="F15" s="693"/>
      <c r="G15" s="779"/>
      <c r="H15" s="703"/>
      <c r="I15" s="704"/>
      <c r="J15" s="696"/>
      <c r="K15" s="698">
        <f t="shared" si="0"/>
        <v>0</v>
      </c>
      <c r="L15" s="693"/>
      <c r="S15" s="131"/>
    </row>
    <row r="16" spans="1:19" s="102" customFormat="1">
      <c r="A16" s="690"/>
      <c r="B16" s="700"/>
      <c r="C16" s="700"/>
      <c r="D16" s="701"/>
      <c r="E16" s="705"/>
      <c r="F16" s="693"/>
      <c r="G16" s="694"/>
      <c r="H16" s="706"/>
      <c r="I16" s="704"/>
      <c r="J16" s="697"/>
      <c r="K16" s="698"/>
      <c r="L16" s="693"/>
      <c r="M16" s="93"/>
      <c r="N16" s="93"/>
      <c r="O16" s="93"/>
      <c r="P16" s="93"/>
      <c r="Q16" s="93"/>
      <c r="S16" s="103"/>
    </row>
    <row r="17" spans="1:19">
      <c r="A17" s="111" t="s">
        <v>166</v>
      </c>
      <c r="B17" s="313"/>
      <c r="C17" s="313"/>
      <c r="D17" s="539"/>
      <c r="E17" s="314">
        <f>SUM(E3:E16)</f>
        <v>0</v>
      </c>
      <c r="F17" s="314"/>
      <c r="G17" s="316">
        <f>SUM(G3:G16)</f>
        <v>0</v>
      </c>
      <c r="H17" s="479"/>
      <c r="I17" s="323"/>
      <c r="J17" s="318"/>
      <c r="K17" s="316">
        <f>SUM(K3:K16)</f>
        <v>0</v>
      </c>
      <c r="L17" s="316"/>
    </row>
    <row r="18" spans="1:19">
      <c r="A18" t="s">
        <v>162</v>
      </c>
    </row>
    <row r="19" spans="1:19" s="93" customFormat="1">
      <c r="A19" s="206" t="s">
        <v>234</v>
      </c>
      <c r="B19" s="207" t="s">
        <v>176</v>
      </c>
      <c r="C19" s="207" t="s">
        <v>171</v>
      </c>
      <c r="D19" s="535" t="s">
        <v>170</v>
      </c>
      <c r="E19" s="208" t="s">
        <v>11</v>
      </c>
      <c r="F19" s="207" t="s">
        <v>2</v>
      </c>
      <c r="G19" s="209" t="s">
        <v>12</v>
      </c>
      <c r="H19" s="567" t="s">
        <v>18</v>
      </c>
      <c r="I19" s="209" t="s">
        <v>10</v>
      </c>
      <c r="J19" s="207" t="s">
        <v>211</v>
      </c>
      <c r="K19" s="260" t="s">
        <v>212</v>
      </c>
      <c r="L19" s="377"/>
      <c r="S19" s="131" t="s">
        <v>21</v>
      </c>
    </row>
    <row r="20" spans="1:19" s="102" customFormat="1">
      <c r="A20" s="87" t="s">
        <v>364</v>
      </c>
      <c r="B20" s="122">
        <v>44001</v>
      </c>
      <c r="C20" s="122"/>
      <c r="D20" s="536"/>
      <c r="E20" s="88">
        <v>0</v>
      </c>
      <c r="F20" s="122">
        <v>43235</v>
      </c>
      <c r="G20" s="550">
        <f>-VLOOKUP(A20,'market px'!K$2:P$25,3,FALSE)*E20/1000000</f>
        <v>0</v>
      </c>
      <c r="H20" s="475" t="s">
        <v>23</v>
      </c>
      <c r="I20" s="396">
        <v>101.42</v>
      </c>
      <c r="J20" s="129">
        <f>VLOOKUP(A20,'market px'!K$2:P$15,6,FALSE)</f>
        <v>100.425</v>
      </c>
      <c r="K20" s="104">
        <f t="shared" ref="K20:K47" si="1">(J20-I20)*E20/100</f>
        <v>0</v>
      </c>
      <c r="L20" s="382"/>
      <c r="N20" s="93"/>
      <c r="O20" s="93"/>
      <c r="P20" s="93"/>
      <c r="Q20" s="93"/>
      <c r="S20" s="103"/>
    </row>
    <row r="21" spans="1:19" s="102" customFormat="1">
      <c r="A21" s="87"/>
      <c r="B21" s="122"/>
      <c r="C21" s="122"/>
      <c r="D21" s="536"/>
      <c r="E21" s="88"/>
      <c r="F21" s="122"/>
      <c r="G21" s="550"/>
      <c r="H21" s="475"/>
      <c r="I21" s="129"/>
      <c r="J21" s="129"/>
      <c r="K21" s="104">
        <f t="shared" si="1"/>
        <v>0</v>
      </c>
      <c r="L21" s="382"/>
      <c r="M21" s="93"/>
      <c r="N21" s="93"/>
      <c r="O21" s="93"/>
      <c r="P21" s="93"/>
      <c r="Q21" s="93"/>
      <c r="S21" s="103"/>
    </row>
    <row r="22" spans="1:19" s="102" customFormat="1">
      <c r="A22" s="262"/>
      <c r="B22" s="265"/>
      <c r="C22" s="265"/>
      <c r="D22" s="537"/>
      <c r="E22" s="266"/>
      <c r="F22" s="265"/>
      <c r="G22" s="550"/>
      <c r="H22" s="476"/>
      <c r="I22" s="268"/>
      <c r="J22" s="129"/>
      <c r="K22" s="269">
        <f t="shared" si="1"/>
        <v>0</v>
      </c>
      <c r="L22" s="382"/>
      <c r="M22" s="93"/>
      <c r="N22" s="93"/>
      <c r="O22" s="93"/>
      <c r="P22" s="93"/>
      <c r="Q22" s="93"/>
      <c r="S22" s="103"/>
    </row>
    <row r="23" spans="1:19" s="102" customFormat="1">
      <c r="A23" s="262"/>
      <c r="B23" s="265"/>
      <c r="C23" s="265"/>
      <c r="D23" s="537"/>
      <c r="E23" s="266"/>
      <c r="F23" s="265"/>
      <c r="G23" s="550"/>
      <c r="H23" s="476"/>
      <c r="I23" s="268"/>
      <c r="J23" s="129"/>
      <c r="K23" s="269">
        <f t="shared" si="1"/>
        <v>0</v>
      </c>
      <c r="L23" s="382"/>
      <c r="M23" s="93"/>
      <c r="N23" s="93"/>
      <c r="O23" s="93"/>
      <c r="P23" s="93"/>
      <c r="Q23" s="93"/>
      <c r="S23" s="103"/>
    </row>
    <row r="24" spans="1:19" s="116" customFormat="1">
      <c r="A24" s="110"/>
      <c r="B24" s="113"/>
      <c r="C24" s="113"/>
      <c r="D24" s="538"/>
      <c r="E24" s="114"/>
      <c r="F24" s="113"/>
      <c r="G24" s="550"/>
      <c r="H24" s="477"/>
      <c r="I24" s="319"/>
      <c r="J24" s="129"/>
      <c r="K24" s="261">
        <f t="shared" si="1"/>
        <v>0</v>
      </c>
      <c r="L24" s="382"/>
      <c r="S24" s="320"/>
    </row>
    <row r="25" spans="1:19" s="116" customFormat="1">
      <c r="A25" s="110"/>
      <c r="B25" s="113"/>
      <c r="C25" s="113"/>
      <c r="D25" s="538"/>
      <c r="E25" s="114"/>
      <c r="F25" s="113"/>
      <c r="G25" s="550"/>
      <c r="H25" s="477"/>
      <c r="I25" s="319"/>
      <c r="J25" s="129"/>
      <c r="K25" s="261">
        <f t="shared" si="1"/>
        <v>0</v>
      </c>
      <c r="L25" s="382"/>
      <c r="S25" s="320"/>
    </row>
    <row r="26" spans="1:19" s="116" customFormat="1">
      <c r="A26" s="110"/>
      <c r="B26" s="113"/>
      <c r="C26" s="113"/>
      <c r="D26" s="538"/>
      <c r="E26" s="114"/>
      <c r="F26" s="113"/>
      <c r="G26" s="550"/>
      <c r="H26" s="477"/>
      <c r="I26" s="319"/>
      <c r="J26" s="129"/>
      <c r="K26" s="261">
        <f t="shared" si="1"/>
        <v>0</v>
      </c>
      <c r="L26" s="382"/>
      <c r="S26" s="320"/>
    </row>
    <row r="27" spans="1:19" s="116" customFormat="1">
      <c r="A27" s="110"/>
      <c r="B27" s="113"/>
      <c r="C27" s="113"/>
      <c r="D27" s="538"/>
      <c r="E27" s="114"/>
      <c r="F27" s="113"/>
      <c r="G27" s="550"/>
      <c r="H27" s="477"/>
      <c r="I27" s="319"/>
      <c r="J27" s="129"/>
      <c r="K27" s="261">
        <f t="shared" si="1"/>
        <v>0</v>
      </c>
      <c r="L27" s="382"/>
      <c r="S27" s="320"/>
    </row>
    <row r="28" spans="1:19" s="116" customFormat="1">
      <c r="A28" s="821"/>
      <c r="B28" s="113"/>
      <c r="C28" s="113"/>
      <c r="D28" s="538"/>
      <c r="E28" s="114"/>
      <c r="F28" s="113"/>
      <c r="G28" s="550"/>
      <c r="H28" s="477"/>
      <c r="I28" s="319"/>
      <c r="J28" s="129"/>
      <c r="K28" s="261">
        <f t="shared" si="1"/>
        <v>0</v>
      </c>
      <c r="L28" s="382"/>
      <c r="S28" s="320"/>
    </row>
    <row r="29" spans="1:19" s="116" customFormat="1">
      <c r="A29" s="821"/>
      <c r="B29" s="113"/>
      <c r="C29" s="113"/>
      <c r="D29" s="538"/>
      <c r="E29" s="114"/>
      <c r="F29" s="113"/>
      <c r="G29" s="550"/>
      <c r="H29" s="477"/>
      <c r="I29" s="319"/>
      <c r="J29" s="129"/>
      <c r="K29" s="261">
        <f t="shared" si="1"/>
        <v>0</v>
      </c>
      <c r="L29" s="382"/>
      <c r="S29" s="320"/>
    </row>
    <row r="30" spans="1:19" s="116" customFormat="1">
      <c r="A30" s="110"/>
      <c r="B30" s="113"/>
      <c r="C30" s="113"/>
      <c r="D30" s="538"/>
      <c r="E30" s="114"/>
      <c r="F30" s="113"/>
      <c r="G30" s="550"/>
      <c r="H30" s="477"/>
      <c r="I30" s="319"/>
      <c r="J30" s="129"/>
      <c r="K30" s="261">
        <f t="shared" si="1"/>
        <v>0</v>
      </c>
      <c r="L30" s="382"/>
      <c r="S30" s="320"/>
    </row>
    <row r="31" spans="1:19" s="116" customFormat="1">
      <c r="A31" s="110"/>
      <c r="B31" s="113"/>
      <c r="C31" s="113"/>
      <c r="D31" s="538"/>
      <c r="E31" s="114"/>
      <c r="F31" s="113"/>
      <c r="G31" s="550"/>
      <c r="H31" s="477"/>
      <c r="I31" s="319"/>
      <c r="J31" s="129"/>
      <c r="K31" s="261">
        <f t="shared" si="1"/>
        <v>0</v>
      </c>
      <c r="L31" s="382"/>
      <c r="S31" s="320"/>
    </row>
    <row r="32" spans="1:19" s="116" customFormat="1">
      <c r="A32" s="821"/>
      <c r="B32" s="113"/>
      <c r="C32" s="113"/>
      <c r="D32" s="538"/>
      <c r="E32" s="114"/>
      <c r="F32" s="113"/>
      <c r="G32" s="550"/>
      <c r="H32" s="477"/>
      <c r="I32" s="319"/>
      <c r="J32" s="129"/>
      <c r="K32" s="261">
        <f t="shared" si="1"/>
        <v>0</v>
      </c>
      <c r="L32" s="382"/>
      <c r="S32" s="320"/>
    </row>
    <row r="33" spans="1:19" s="116" customFormat="1">
      <c r="A33" s="821"/>
      <c r="B33" s="113"/>
      <c r="C33" s="113"/>
      <c r="D33" s="538"/>
      <c r="E33" s="114"/>
      <c r="F33" s="113"/>
      <c r="G33" s="550"/>
      <c r="H33" s="477"/>
      <c r="I33" s="319"/>
      <c r="J33" s="129"/>
      <c r="K33" s="261">
        <f t="shared" si="1"/>
        <v>0</v>
      </c>
      <c r="L33" s="382"/>
      <c r="S33" s="320"/>
    </row>
    <row r="34" spans="1:19" s="116" customFormat="1">
      <c r="A34" s="110"/>
      <c r="B34" s="113"/>
      <c r="C34" s="113"/>
      <c r="D34" s="538"/>
      <c r="E34" s="114"/>
      <c r="F34" s="113"/>
      <c r="G34" s="550"/>
      <c r="H34" s="477"/>
      <c r="I34" s="319"/>
      <c r="J34" s="129"/>
      <c r="K34" s="261">
        <f t="shared" si="1"/>
        <v>0</v>
      </c>
      <c r="L34" s="382"/>
      <c r="S34" s="320"/>
    </row>
    <row r="35" spans="1:19" s="116" customFormat="1">
      <c r="A35" s="110"/>
      <c r="B35" s="113"/>
      <c r="C35" s="113"/>
      <c r="D35" s="538"/>
      <c r="E35" s="114"/>
      <c r="F35" s="113"/>
      <c r="G35" s="550"/>
      <c r="H35" s="477"/>
      <c r="I35" s="319"/>
      <c r="J35" s="129"/>
      <c r="K35" s="261">
        <f t="shared" si="1"/>
        <v>0</v>
      </c>
      <c r="L35" s="382"/>
      <c r="S35" s="320"/>
    </row>
    <row r="36" spans="1:19" s="116" customFormat="1">
      <c r="A36" s="110"/>
      <c r="B36" s="113"/>
      <c r="C36" s="113"/>
      <c r="D36" s="538"/>
      <c r="E36" s="114"/>
      <c r="F36" s="113"/>
      <c r="G36" s="550"/>
      <c r="H36" s="477"/>
      <c r="I36" s="319"/>
      <c r="J36" s="129"/>
      <c r="K36" s="261">
        <f t="shared" si="1"/>
        <v>0</v>
      </c>
      <c r="L36" s="382"/>
      <c r="S36" s="320"/>
    </row>
    <row r="37" spans="1:19" s="116" customFormat="1">
      <c r="A37" s="110"/>
      <c r="B37" s="113"/>
      <c r="C37" s="113"/>
      <c r="D37" s="538"/>
      <c r="E37" s="114"/>
      <c r="F37" s="113"/>
      <c r="G37" s="550"/>
      <c r="H37" s="477"/>
      <c r="I37" s="319"/>
      <c r="J37" s="129"/>
      <c r="K37" s="261">
        <f t="shared" si="1"/>
        <v>0</v>
      </c>
      <c r="L37" s="382"/>
      <c r="S37" s="320"/>
    </row>
    <row r="38" spans="1:19" s="116" customFormat="1">
      <c r="A38" s="110"/>
      <c r="B38" s="113"/>
      <c r="C38" s="113"/>
      <c r="D38" s="538"/>
      <c r="E38" s="114"/>
      <c r="F38" s="113"/>
      <c r="G38" s="550"/>
      <c r="H38" s="477"/>
      <c r="I38" s="319"/>
      <c r="J38" s="129"/>
      <c r="K38" s="261">
        <f t="shared" si="1"/>
        <v>0</v>
      </c>
      <c r="L38" s="382"/>
      <c r="S38" s="320"/>
    </row>
    <row r="39" spans="1:19" s="116" customFormat="1">
      <c r="A39" s="110"/>
      <c r="B39" s="113"/>
      <c r="C39" s="113"/>
      <c r="D39" s="538"/>
      <c r="E39" s="114"/>
      <c r="F39" s="113"/>
      <c r="G39" s="550"/>
      <c r="H39" s="477"/>
      <c r="I39" s="319"/>
      <c r="J39" s="129"/>
      <c r="K39" s="261">
        <f t="shared" si="1"/>
        <v>0</v>
      </c>
      <c r="L39" s="382"/>
      <c r="S39" s="320"/>
    </row>
    <row r="40" spans="1:19" s="116" customFormat="1">
      <c r="A40" s="110"/>
      <c r="B40" s="113"/>
      <c r="C40" s="113"/>
      <c r="D40" s="538"/>
      <c r="E40" s="114"/>
      <c r="F40" s="113"/>
      <c r="G40" s="550"/>
      <c r="H40" s="477"/>
      <c r="I40" s="319"/>
      <c r="J40" s="129"/>
      <c r="K40" s="261">
        <f t="shared" si="1"/>
        <v>0</v>
      </c>
      <c r="L40" s="382"/>
      <c r="S40" s="320"/>
    </row>
    <row r="41" spans="1:19" s="116" customFormat="1">
      <c r="A41" s="110"/>
      <c r="B41" s="113"/>
      <c r="C41" s="113"/>
      <c r="D41" s="538"/>
      <c r="E41" s="114"/>
      <c r="F41" s="113"/>
      <c r="G41" s="550"/>
      <c r="H41" s="477"/>
      <c r="I41" s="319"/>
      <c r="J41" s="129"/>
      <c r="K41" s="261">
        <f t="shared" si="1"/>
        <v>0</v>
      </c>
      <c r="L41" s="382"/>
      <c r="S41" s="320"/>
    </row>
    <row r="42" spans="1:19" s="116" customFormat="1">
      <c r="A42" s="110"/>
      <c r="B42" s="113"/>
      <c r="C42" s="113"/>
      <c r="D42" s="538"/>
      <c r="E42" s="114"/>
      <c r="F42" s="113"/>
      <c r="G42" s="550"/>
      <c r="H42" s="477"/>
      <c r="I42" s="319"/>
      <c r="J42" s="129"/>
      <c r="K42" s="261">
        <f t="shared" si="1"/>
        <v>0</v>
      </c>
      <c r="L42" s="382"/>
      <c r="S42" s="320"/>
    </row>
    <row r="43" spans="1:19" s="116" customFormat="1">
      <c r="A43" s="110"/>
      <c r="B43" s="113"/>
      <c r="C43" s="113"/>
      <c r="D43" s="538"/>
      <c r="E43" s="114"/>
      <c r="F43" s="113"/>
      <c r="G43" s="550"/>
      <c r="H43" s="477"/>
      <c r="I43" s="319"/>
      <c r="J43" s="129"/>
      <c r="K43" s="261">
        <f t="shared" si="1"/>
        <v>0</v>
      </c>
      <c r="L43" s="382"/>
      <c r="S43" s="320"/>
    </row>
    <row r="44" spans="1:19" s="116" customFormat="1">
      <c r="A44" s="110"/>
      <c r="B44" s="113"/>
      <c r="C44" s="113"/>
      <c r="D44" s="538"/>
      <c r="E44" s="114"/>
      <c r="F44" s="113"/>
      <c r="G44" s="550"/>
      <c r="H44" s="477"/>
      <c r="I44" s="319"/>
      <c r="J44" s="129"/>
      <c r="K44" s="261">
        <f t="shared" si="1"/>
        <v>0</v>
      </c>
      <c r="L44" s="382"/>
      <c r="S44" s="320"/>
    </row>
    <row r="45" spans="1:19" s="116" customFormat="1">
      <c r="A45" s="110"/>
      <c r="B45" s="113"/>
      <c r="C45" s="113"/>
      <c r="D45" s="538"/>
      <c r="E45" s="114"/>
      <c r="F45" s="113"/>
      <c r="G45" s="550"/>
      <c r="H45" s="477"/>
      <c r="I45" s="319"/>
      <c r="J45" s="129"/>
      <c r="K45" s="261"/>
      <c r="L45" s="382"/>
      <c r="S45" s="320"/>
    </row>
    <row r="46" spans="1:19" s="116" customFormat="1">
      <c r="A46" s="110"/>
      <c r="B46" s="113"/>
      <c r="C46" s="113"/>
      <c r="D46" s="538"/>
      <c r="E46" s="114"/>
      <c r="F46" s="113"/>
      <c r="G46" s="550"/>
      <c r="H46" s="477"/>
      <c r="I46" s="319"/>
      <c r="J46" s="129"/>
      <c r="K46" s="261"/>
      <c r="L46" s="382"/>
      <c r="S46" s="320"/>
    </row>
    <row r="47" spans="1:19" s="116" customFormat="1">
      <c r="A47" s="110"/>
      <c r="B47" s="113"/>
      <c r="C47" s="113"/>
      <c r="D47" s="538"/>
      <c r="E47" s="114"/>
      <c r="F47" s="113"/>
      <c r="G47" s="550"/>
      <c r="H47" s="477"/>
      <c r="I47" s="319"/>
      <c r="J47" s="129"/>
      <c r="K47" s="261">
        <f t="shared" si="1"/>
        <v>0</v>
      </c>
      <c r="L47" s="382"/>
      <c r="S47" s="117"/>
    </row>
    <row r="48" spans="1:19" s="116" customFormat="1">
      <c r="A48" s="111" t="s">
        <v>166</v>
      </c>
      <c r="B48" s="313"/>
      <c r="C48" s="313"/>
      <c r="D48" s="539"/>
      <c r="E48" s="314">
        <f>SUM(E20:E47)</f>
        <v>0</v>
      </c>
      <c r="F48" s="313"/>
      <c r="G48" s="316">
        <f>SUM(G20:G47)</f>
        <v>0</v>
      </c>
      <c r="H48" s="558"/>
      <c r="I48" s="323"/>
      <c r="J48" s="318"/>
      <c r="K48" s="316">
        <f>SUM(K20:K47)</f>
        <v>0</v>
      </c>
      <c r="L48" s="383"/>
      <c r="S48" s="117"/>
    </row>
    <row r="49" spans="1:19" s="93" customFormat="1">
      <c r="A49" s="93" t="s">
        <v>163</v>
      </c>
      <c r="B49" s="97"/>
      <c r="C49" s="97"/>
      <c r="D49" s="540"/>
      <c r="E49" s="100"/>
      <c r="F49" s="97"/>
      <c r="H49" s="559"/>
      <c r="I49" s="99"/>
      <c r="J49" s="99"/>
      <c r="L49" s="377"/>
    </row>
    <row r="50" spans="1:19" s="93" customFormat="1">
      <c r="A50" s="206" t="s">
        <v>234</v>
      </c>
      <c r="B50" s="207" t="s">
        <v>7</v>
      </c>
      <c r="C50" s="207" t="s">
        <v>171</v>
      </c>
      <c r="D50" s="535" t="s">
        <v>170</v>
      </c>
      <c r="E50" s="208" t="s">
        <v>11</v>
      </c>
      <c r="F50" s="207" t="s">
        <v>2</v>
      </c>
      <c r="G50" s="209" t="s">
        <v>12</v>
      </c>
      <c r="H50" s="567" t="s">
        <v>18</v>
      </c>
      <c r="I50" s="209" t="s">
        <v>10</v>
      </c>
      <c r="J50" s="207" t="s">
        <v>211</v>
      </c>
      <c r="K50" s="260" t="s">
        <v>212</v>
      </c>
      <c r="L50" s="377"/>
      <c r="S50" s="131" t="s">
        <v>21</v>
      </c>
    </row>
    <row r="51" spans="1:19" s="102" customFormat="1">
      <c r="A51" s="87" t="s">
        <v>301</v>
      </c>
      <c r="B51" s="122">
        <v>38898</v>
      </c>
      <c r="C51" s="122"/>
      <c r="D51" s="536"/>
      <c r="E51" s="88">
        <f t="shared" ref="E51:E56" si="2">1000000*0</f>
        <v>0</v>
      </c>
      <c r="F51" s="122">
        <v>42505</v>
      </c>
      <c r="G51" s="550">
        <f>-LOOKUP(A51,'market px'!K$2:K$497,'market px'!M$2:M$497)*E51/1000000</f>
        <v>0</v>
      </c>
      <c r="H51" s="475" t="s">
        <v>23</v>
      </c>
      <c r="I51" s="129">
        <v>99.46875</v>
      </c>
      <c r="J51" s="396">
        <f>LOOKUP(A51,'market px'!K$2:K$497,'market px'!P$2:$P$497)</f>
        <v>98.219200000000001</v>
      </c>
      <c r="K51" s="104">
        <f t="shared" ref="K51:K56" si="3">(J51-I51)*E51/100</f>
        <v>0</v>
      </c>
      <c r="L51" s="378"/>
      <c r="M51" s="93"/>
      <c r="N51" s="93"/>
      <c r="O51" s="93"/>
      <c r="P51" s="93"/>
      <c r="Q51" s="93"/>
      <c r="S51" s="103"/>
    </row>
    <row r="52" spans="1:19" s="102" customFormat="1">
      <c r="A52" s="87" t="s">
        <v>301</v>
      </c>
      <c r="B52" s="122">
        <v>38853</v>
      </c>
      <c r="C52" s="122"/>
      <c r="D52" s="536"/>
      <c r="E52" s="88">
        <f t="shared" si="2"/>
        <v>0</v>
      </c>
      <c r="F52" s="122">
        <v>42505</v>
      </c>
      <c r="G52" s="550">
        <f>-LOOKUP(A52,'market px'!K$2:K$497,'market px'!M$2:M$497)*E52/1000000</f>
        <v>0</v>
      </c>
      <c r="H52" s="475" t="s">
        <v>23</v>
      </c>
      <c r="I52" s="129">
        <v>95.90234375</v>
      </c>
      <c r="J52" s="129">
        <f>LOOKUP(A52,'market px'!K$2:K$497,'market px'!P$2:$P$497)</f>
        <v>98.219200000000001</v>
      </c>
      <c r="K52" s="104">
        <f t="shared" si="3"/>
        <v>0</v>
      </c>
      <c r="L52" s="378"/>
      <c r="M52" s="93"/>
      <c r="N52" s="93"/>
      <c r="O52" s="93"/>
      <c r="P52" s="93"/>
      <c r="Q52" s="93"/>
      <c r="S52" s="103"/>
    </row>
    <row r="53" spans="1:19" s="102" customFormat="1">
      <c r="A53" s="262" t="s">
        <v>301</v>
      </c>
      <c r="B53" s="265">
        <v>38839</v>
      </c>
      <c r="C53" s="265"/>
      <c r="D53" s="537"/>
      <c r="E53" s="266">
        <f t="shared" si="2"/>
        <v>0</v>
      </c>
      <c r="F53" s="265">
        <v>39568</v>
      </c>
      <c r="G53" s="551">
        <f>-LOOKUP(A53,'market px'!K$2:K$497,'market px'!M$2:M$497)*E53/1000000</f>
        <v>0</v>
      </c>
      <c r="H53" s="476"/>
      <c r="I53" s="268">
        <v>99.875</v>
      </c>
      <c r="J53" s="268">
        <f>LOOKUP(A53,'market px'!K$2:K$497,'market px'!P$2:$P$497)</f>
        <v>98.219200000000001</v>
      </c>
      <c r="K53" s="269">
        <f t="shared" si="3"/>
        <v>0</v>
      </c>
      <c r="L53" s="378"/>
      <c r="M53" s="93"/>
      <c r="N53" s="93"/>
      <c r="O53" s="93"/>
      <c r="P53" s="93"/>
      <c r="Q53" s="93"/>
      <c r="S53" s="103"/>
    </row>
    <row r="54" spans="1:19" s="102" customFormat="1">
      <c r="A54" s="262" t="s">
        <v>301</v>
      </c>
      <c r="B54" s="265">
        <v>38839</v>
      </c>
      <c r="C54" s="265"/>
      <c r="D54" s="537"/>
      <c r="E54" s="266">
        <f t="shared" si="2"/>
        <v>0</v>
      </c>
      <c r="F54" s="265">
        <v>39568</v>
      </c>
      <c r="G54" s="551">
        <f>-LOOKUP(A54,'market px'!K$2:K$497,'market px'!M$2:M$497)*E54/1000000</f>
        <v>0</v>
      </c>
      <c r="H54" s="476" t="s">
        <v>23</v>
      </c>
      <c r="I54" s="268">
        <v>99.875</v>
      </c>
      <c r="J54" s="268">
        <f>LOOKUP(A54,'market px'!K$2:K$497,'market px'!P$2:$P$497)</f>
        <v>98.219200000000001</v>
      </c>
      <c r="K54" s="269">
        <f t="shared" si="3"/>
        <v>0</v>
      </c>
      <c r="L54" s="378"/>
      <c r="M54" s="93"/>
      <c r="N54" s="93"/>
      <c r="O54" s="93"/>
      <c r="P54" s="93"/>
      <c r="Q54" s="93"/>
      <c r="S54" s="103"/>
    </row>
    <row r="55" spans="1:19" s="116" customFormat="1">
      <c r="A55" s="110" t="s">
        <v>301</v>
      </c>
      <c r="B55" s="113">
        <v>38839</v>
      </c>
      <c r="C55" s="113"/>
      <c r="D55" s="538"/>
      <c r="E55" s="114">
        <f t="shared" si="2"/>
        <v>0</v>
      </c>
      <c r="F55" s="113">
        <v>39568</v>
      </c>
      <c r="G55" s="552">
        <f>-LOOKUP(A55,'market px'!K$2:K$497,'market px'!M$2:M$497)*E55/1000000</f>
        <v>0</v>
      </c>
      <c r="H55" s="477" t="s">
        <v>23</v>
      </c>
      <c r="I55" s="319">
        <v>99.875</v>
      </c>
      <c r="J55" s="319">
        <f>LOOKUP(A55,'market px'!K$2:K$497,'market px'!P$2:$P$497)</f>
        <v>98.219200000000001</v>
      </c>
      <c r="K55" s="261">
        <f t="shared" si="3"/>
        <v>0</v>
      </c>
      <c r="L55" s="379"/>
      <c r="S55" s="320"/>
    </row>
    <row r="56" spans="1:19" s="116" customFormat="1">
      <c r="A56" s="110" t="s">
        <v>301</v>
      </c>
      <c r="B56" s="113">
        <v>38839</v>
      </c>
      <c r="C56" s="113"/>
      <c r="D56" s="538"/>
      <c r="E56" s="114">
        <f t="shared" si="2"/>
        <v>0</v>
      </c>
      <c r="F56" s="113">
        <v>42019</v>
      </c>
      <c r="G56" s="552">
        <f>-LOOKUP(A56,'market px'!K$2:K$497,'market px'!M$2:M$497)*E56/1000000</f>
        <v>0</v>
      </c>
      <c r="H56" s="557" t="s">
        <v>23</v>
      </c>
      <c r="I56" s="319">
        <v>99.875</v>
      </c>
      <c r="J56" s="319">
        <f>LOOKUP(A56,'market px'!K$2:K$497,'market px'!P$2:$P$497)</f>
        <v>98.219200000000001</v>
      </c>
      <c r="K56" s="261">
        <f t="shared" si="3"/>
        <v>0</v>
      </c>
      <c r="L56" s="380"/>
      <c r="S56" s="117"/>
    </row>
    <row r="57" spans="1:19" s="532" customFormat="1" ht="17.25" thickBot="1">
      <c r="A57" s="361" t="s">
        <v>166</v>
      </c>
      <c r="B57" s="363"/>
      <c r="C57" s="363"/>
      <c r="D57" s="541"/>
      <c r="E57" s="364">
        <f>SUM(E51:E56)</f>
        <v>0</v>
      </c>
      <c r="F57" s="363"/>
      <c r="G57" s="365">
        <f>SUM(G51:G56)</f>
        <v>0</v>
      </c>
      <c r="H57" s="560"/>
      <c r="I57" s="367"/>
      <c r="J57" s="366"/>
      <c r="K57" s="365">
        <f>SUM(K51:K56)</f>
        <v>0</v>
      </c>
      <c r="L57" s="531"/>
      <c r="S57" s="533"/>
    </row>
    <row r="58" spans="1:19" s="116" customFormat="1" ht="17.25" thickTop="1">
      <c r="A58" s="324" t="s">
        <v>164</v>
      </c>
      <c r="B58" s="313"/>
      <c r="C58" s="313"/>
      <c r="D58" s="539"/>
      <c r="E58" s="314"/>
      <c r="F58" s="313"/>
      <c r="G58" s="316"/>
      <c r="H58" s="558"/>
      <c r="I58" s="323"/>
      <c r="J58" s="318"/>
      <c r="K58" s="316"/>
      <c r="L58" s="380"/>
      <c r="S58" s="117"/>
    </row>
    <row r="59" spans="1:19" s="93" customFormat="1">
      <c r="A59" s="206" t="s">
        <v>99</v>
      </c>
      <c r="B59" s="207" t="s">
        <v>7</v>
      </c>
      <c r="C59" s="207" t="s">
        <v>171</v>
      </c>
      <c r="D59" s="535" t="s">
        <v>170</v>
      </c>
      <c r="E59" s="208" t="s">
        <v>11</v>
      </c>
      <c r="F59" s="207" t="s">
        <v>2</v>
      </c>
      <c r="G59" s="209" t="s">
        <v>12</v>
      </c>
      <c r="H59" s="567" t="s">
        <v>18</v>
      </c>
      <c r="I59" s="209" t="s">
        <v>10</v>
      </c>
      <c r="J59" s="207" t="s">
        <v>211</v>
      </c>
      <c r="K59" s="260" t="s">
        <v>212</v>
      </c>
      <c r="L59" s="377"/>
      <c r="M59"/>
      <c r="N59"/>
      <c r="O59"/>
      <c r="P59"/>
      <c r="Q59"/>
      <c r="S59" s="131" t="s">
        <v>21</v>
      </c>
    </row>
    <row r="60" spans="1:19" s="270" customFormat="1">
      <c r="A60" s="325" t="s">
        <v>643</v>
      </c>
      <c r="B60" s="333" t="s">
        <v>1547</v>
      </c>
      <c r="C60" s="333" t="s">
        <v>339</v>
      </c>
      <c r="D60" s="819" t="s">
        <v>339</v>
      </c>
      <c r="E60" s="872">
        <v>10</v>
      </c>
      <c r="F60" s="333" t="s">
        <v>304</v>
      </c>
      <c r="G60" s="332">
        <f t="shared" ref="G60:G72" si="4">-77*E60</f>
        <v>-770</v>
      </c>
      <c r="H60" s="334" t="s">
        <v>1548</v>
      </c>
      <c r="I60" s="820">
        <v>116.671875</v>
      </c>
      <c r="J60" s="335">
        <f>_xlfn.IFNA(VLOOKUP(A60,'market px'!$B$2:$F$20,5,FALSE),0)</f>
        <v>116.65625</v>
      </c>
      <c r="K60" s="845">
        <f>IF(LEFT(A60,2)="TU",(J60-I60)*E60/100*100000*2,(J60-I60)*E60/100*100000)</f>
        <v>-156.25</v>
      </c>
      <c r="L60" s="381"/>
    </row>
    <row r="61" spans="1:19" s="270" customFormat="1">
      <c r="A61" s="325" t="s">
        <v>629</v>
      </c>
      <c r="B61" s="333" t="s">
        <v>705</v>
      </c>
      <c r="C61" s="333" t="s">
        <v>339</v>
      </c>
      <c r="D61" s="819" t="s">
        <v>339</v>
      </c>
      <c r="E61" s="872">
        <v>0</v>
      </c>
      <c r="F61" s="333" t="s">
        <v>304</v>
      </c>
      <c r="G61" s="332">
        <f t="shared" si="4"/>
        <v>0</v>
      </c>
      <c r="H61" s="334" t="s">
        <v>706</v>
      </c>
      <c r="I61" s="820">
        <v>113.21875</v>
      </c>
      <c r="J61" s="335">
        <f>_xlfn.IFNA(VLOOKUP(A61,'market px'!$B$2:$F$20,5,FALSE),0)</f>
        <v>111.28125</v>
      </c>
      <c r="K61" s="845">
        <f>IF(LEFT(A61,2)="TU",(J61-I61)*E61/100*100000*2,(J61-I61)*E61/100*100000)</f>
        <v>0</v>
      </c>
      <c r="L61" s="381"/>
    </row>
    <row r="62" spans="1:19" s="270" customFormat="1">
      <c r="A62" s="325" t="s">
        <v>629</v>
      </c>
      <c r="B62" s="333" t="s">
        <v>975</v>
      </c>
      <c r="C62" s="333" t="s">
        <v>339</v>
      </c>
      <c r="D62" s="819" t="s">
        <v>339</v>
      </c>
      <c r="E62" s="872">
        <v>0</v>
      </c>
      <c r="F62" s="333" t="s">
        <v>304</v>
      </c>
      <c r="G62" s="332">
        <f t="shared" si="4"/>
        <v>0</v>
      </c>
      <c r="H62" s="334" t="s">
        <v>988</v>
      </c>
      <c r="I62" s="820">
        <v>113.109375</v>
      </c>
      <c r="J62" s="335">
        <f>_xlfn.IFNA(VLOOKUP(A62,'market px'!$B$2:$F$20,5,FALSE),0)</f>
        <v>111.28125</v>
      </c>
      <c r="K62" s="845">
        <f t="shared" ref="K62:K72" si="5">IF(LEFT(A62,2)="TU",(J62-I62)*E62/100*100000*2,(J62-I62)*E62/100*100000)</f>
        <v>0</v>
      </c>
      <c r="L62" s="381"/>
    </row>
    <row r="63" spans="1:19" s="270" customFormat="1">
      <c r="A63" s="325" t="s">
        <v>643</v>
      </c>
      <c r="B63" s="333" t="s">
        <v>1472</v>
      </c>
      <c r="C63" s="333" t="s">
        <v>339</v>
      </c>
      <c r="D63" s="819" t="s">
        <v>339</v>
      </c>
      <c r="E63" s="872">
        <v>0</v>
      </c>
      <c r="F63" s="333" t="s">
        <v>304</v>
      </c>
      <c r="G63" s="332">
        <f t="shared" si="4"/>
        <v>0</v>
      </c>
      <c r="H63" s="334" t="s">
        <v>1481</v>
      </c>
      <c r="I63" s="820">
        <v>114.71875</v>
      </c>
      <c r="J63" s="335">
        <f>_xlfn.IFNA(VLOOKUP(A63,'market px'!$B$2:$F$20,5,FALSE),0)</f>
        <v>116.65625</v>
      </c>
      <c r="K63" s="845">
        <f t="shared" si="5"/>
        <v>0</v>
      </c>
      <c r="L63" s="381"/>
    </row>
    <row r="64" spans="1:19" s="270" customFormat="1">
      <c r="A64" s="325" t="s">
        <v>629</v>
      </c>
      <c r="B64" s="333" t="s">
        <v>1071</v>
      </c>
      <c r="C64" s="333" t="s">
        <v>339</v>
      </c>
      <c r="D64" s="819" t="s">
        <v>339</v>
      </c>
      <c r="E64" s="872">
        <v>0</v>
      </c>
      <c r="F64" s="333" t="s">
        <v>304</v>
      </c>
      <c r="G64" s="332">
        <f t="shared" si="4"/>
        <v>0</v>
      </c>
      <c r="H64" s="334" t="s">
        <v>1074</v>
      </c>
      <c r="I64" s="820">
        <v>111.453125</v>
      </c>
      <c r="J64" s="335">
        <f>_xlfn.IFNA(VLOOKUP(A64,'market px'!$B$2:$F$20,5,FALSE),0)</f>
        <v>111.28125</v>
      </c>
      <c r="K64" s="845">
        <f t="shared" si="5"/>
        <v>0</v>
      </c>
      <c r="L64" s="381"/>
    </row>
    <row r="65" spans="1:19" s="270" customFormat="1">
      <c r="A65" s="325" t="s">
        <v>587</v>
      </c>
      <c r="B65" s="333" t="s">
        <v>517</v>
      </c>
      <c r="C65" s="333" t="s">
        <v>339</v>
      </c>
      <c r="D65" s="819" t="s">
        <v>339</v>
      </c>
      <c r="E65" s="872">
        <v>0</v>
      </c>
      <c r="F65" s="333" t="s">
        <v>304</v>
      </c>
      <c r="G65" s="332">
        <f t="shared" si="4"/>
        <v>0</v>
      </c>
      <c r="H65" s="334" t="s">
        <v>518</v>
      </c>
      <c r="I65" s="820">
        <v>163.46875</v>
      </c>
      <c r="J65" s="335">
        <f>_xlfn.IFNA(VLOOKUP(A65,'market px'!$B$2:$F$20,5,FALSE),0)</f>
        <v>0</v>
      </c>
      <c r="K65" s="845">
        <f t="shared" si="5"/>
        <v>0</v>
      </c>
      <c r="L65" s="381"/>
    </row>
    <row r="66" spans="1:19" s="270" customFormat="1">
      <c r="A66" s="325" t="s">
        <v>587</v>
      </c>
      <c r="B66" s="333" t="s">
        <v>498</v>
      </c>
      <c r="C66" s="333" t="s">
        <v>339</v>
      </c>
      <c r="D66" s="819" t="s">
        <v>339</v>
      </c>
      <c r="E66" s="872">
        <v>0</v>
      </c>
      <c r="F66" s="333" t="s">
        <v>304</v>
      </c>
      <c r="G66" s="332">
        <f t="shared" si="4"/>
        <v>0</v>
      </c>
      <c r="H66" s="334" t="s">
        <v>500</v>
      </c>
      <c r="I66" s="820">
        <v>156.21875</v>
      </c>
      <c r="J66" s="335">
        <f>_xlfn.IFNA(VLOOKUP(A66,'market px'!$B$2:$F$20,5,FALSE),0)</f>
        <v>0</v>
      </c>
      <c r="K66" s="845">
        <f t="shared" si="5"/>
        <v>0</v>
      </c>
      <c r="L66" s="381"/>
    </row>
    <row r="67" spans="1:19" s="270" customFormat="1">
      <c r="A67" s="325" t="s">
        <v>559</v>
      </c>
      <c r="B67" s="333" t="s">
        <v>476</v>
      </c>
      <c r="C67" s="333" t="s">
        <v>339</v>
      </c>
      <c r="D67" s="819" t="s">
        <v>339</v>
      </c>
      <c r="E67" s="872">
        <v>0</v>
      </c>
      <c r="F67" s="333" t="s">
        <v>304</v>
      </c>
      <c r="G67" s="332">
        <f t="shared" si="4"/>
        <v>0</v>
      </c>
      <c r="H67" s="334" t="s">
        <v>477</v>
      </c>
      <c r="I67" s="820">
        <v>132.078125</v>
      </c>
      <c r="J67" s="335">
        <f>_xlfn.IFNA(VLOOKUP(A67,'market px'!$B$2:$F$20,5,FALSE),0)</f>
        <v>0</v>
      </c>
      <c r="K67" s="845">
        <f t="shared" si="5"/>
        <v>0</v>
      </c>
      <c r="L67" s="381"/>
    </row>
    <row r="68" spans="1:19" s="270" customFormat="1">
      <c r="A68" s="325" t="s">
        <v>559</v>
      </c>
      <c r="B68" s="333" t="s">
        <v>478</v>
      </c>
      <c r="C68" s="333" t="s">
        <v>339</v>
      </c>
      <c r="D68" s="819" t="s">
        <v>339</v>
      </c>
      <c r="E68" s="872">
        <v>0</v>
      </c>
      <c r="F68" s="333" t="s">
        <v>304</v>
      </c>
      <c r="G68" s="332">
        <f t="shared" si="4"/>
        <v>0</v>
      </c>
      <c r="H68" s="334" t="s">
        <v>479</v>
      </c>
      <c r="I68" s="820">
        <v>132</v>
      </c>
      <c r="J68" s="335">
        <f>_xlfn.IFNA(VLOOKUP(A68,'market px'!$B$2:$F$20,5,FALSE),0)</f>
        <v>0</v>
      </c>
      <c r="K68" s="845">
        <f t="shared" si="5"/>
        <v>0</v>
      </c>
      <c r="L68" s="381"/>
    </row>
    <row r="69" spans="1:19" s="270" customFormat="1">
      <c r="A69" s="325" t="s">
        <v>559</v>
      </c>
      <c r="B69" s="333" t="s">
        <v>503</v>
      </c>
      <c r="C69" s="333" t="s">
        <v>339</v>
      </c>
      <c r="D69" s="819" t="s">
        <v>339</v>
      </c>
      <c r="E69" s="872">
        <v>0</v>
      </c>
      <c r="F69" s="333" t="s">
        <v>304</v>
      </c>
      <c r="G69" s="332">
        <f t="shared" si="4"/>
        <v>0</v>
      </c>
      <c r="H69" s="334" t="s">
        <v>504</v>
      </c>
      <c r="I69" s="820">
        <v>123.4375</v>
      </c>
      <c r="J69" s="335">
        <f>_xlfn.IFNA(VLOOKUP(A69,'market px'!$B$2:$F$20,5,FALSE),0)</f>
        <v>0</v>
      </c>
      <c r="K69" s="845">
        <f t="shared" si="5"/>
        <v>0</v>
      </c>
      <c r="L69" s="381"/>
    </row>
    <row r="70" spans="1:19" s="270" customFormat="1">
      <c r="A70" s="325" t="s">
        <v>559</v>
      </c>
      <c r="B70" s="333" t="s">
        <v>480</v>
      </c>
      <c r="C70" s="333" t="s">
        <v>339</v>
      </c>
      <c r="D70" s="819" t="s">
        <v>339</v>
      </c>
      <c r="E70" s="872">
        <v>0</v>
      </c>
      <c r="F70" s="333" t="s">
        <v>304</v>
      </c>
      <c r="G70" s="332">
        <f t="shared" si="4"/>
        <v>0</v>
      </c>
      <c r="H70" s="334" t="s">
        <v>481</v>
      </c>
      <c r="I70" s="820">
        <v>131.59375</v>
      </c>
      <c r="J70" s="335">
        <f>_xlfn.IFNA(VLOOKUP(A70,'market px'!$B$2:$F$20,5,FALSE),0)</f>
        <v>0</v>
      </c>
      <c r="K70" s="845">
        <f t="shared" si="5"/>
        <v>0</v>
      </c>
      <c r="L70" s="381"/>
    </row>
    <row r="71" spans="1:19" s="270" customFormat="1">
      <c r="A71" s="325" t="s">
        <v>604</v>
      </c>
      <c r="B71" s="333" t="s">
        <v>482</v>
      </c>
      <c r="C71" s="333" t="s">
        <v>339</v>
      </c>
      <c r="D71" s="819" t="s">
        <v>339</v>
      </c>
      <c r="E71" s="872">
        <v>0</v>
      </c>
      <c r="F71" s="333" t="s">
        <v>304</v>
      </c>
      <c r="G71" s="332">
        <f t="shared" si="4"/>
        <v>0</v>
      </c>
      <c r="H71" s="334" t="s">
        <v>483</v>
      </c>
      <c r="I71" s="820">
        <v>131.65625</v>
      </c>
      <c r="J71" s="335">
        <f>_xlfn.IFNA(VLOOKUP(A71,'market px'!$B$2:$F$20,5,FALSE),0)</f>
        <v>0</v>
      </c>
      <c r="K71" s="845">
        <f t="shared" si="5"/>
        <v>0</v>
      </c>
      <c r="L71" s="381"/>
    </row>
    <row r="72" spans="1:19" s="93" customFormat="1">
      <c r="A72" s="325" t="s">
        <v>589</v>
      </c>
      <c r="B72" s="333" t="s">
        <v>484</v>
      </c>
      <c r="C72" s="333" t="s">
        <v>339</v>
      </c>
      <c r="D72" s="819" t="s">
        <v>339</v>
      </c>
      <c r="E72" s="872">
        <v>0</v>
      </c>
      <c r="F72" s="333" t="s">
        <v>304</v>
      </c>
      <c r="G72" s="332">
        <f t="shared" si="4"/>
        <v>0</v>
      </c>
      <c r="H72" s="334" t="s">
        <v>485</v>
      </c>
      <c r="I72" s="820">
        <v>131.6875</v>
      </c>
      <c r="J72" s="335">
        <f>_xlfn.IFNA(VLOOKUP(A72,'market px'!$B$2:$F$20,5,FALSE),0)</f>
        <v>0</v>
      </c>
      <c r="K72" s="845">
        <f t="shared" si="5"/>
        <v>0</v>
      </c>
      <c r="L72" s="377"/>
      <c r="S72" s="131" t="s">
        <v>21</v>
      </c>
    </row>
    <row r="73" spans="1:19" s="93" customFormat="1">
      <c r="A73" s="349" t="s">
        <v>166</v>
      </c>
      <c r="B73" s="350"/>
      <c r="C73" s="351"/>
      <c r="D73" s="545"/>
      <c r="E73" s="874">
        <f>SUM(E60:E72)</f>
        <v>10</v>
      </c>
      <c r="F73" s="353"/>
      <c r="G73" s="354">
        <f>SUM(G60:G72)</f>
        <v>-770</v>
      </c>
      <c r="H73" s="563"/>
      <c r="I73" s="356"/>
      <c r="J73" s="357"/>
      <c r="K73" s="358">
        <f>SUM(K60:K72)</f>
        <v>-156.25</v>
      </c>
      <c r="L73" s="377"/>
    </row>
    <row r="74" spans="1:19" s="93" customFormat="1">
      <c r="A74" s="359" t="s">
        <v>169</v>
      </c>
      <c r="B74" s="113"/>
      <c r="C74" s="274"/>
      <c r="D74" s="538"/>
      <c r="E74" s="114"/>
      <c r="F74" s="192"/>
      <c r="G74" s="118"/>
      <c r="H74" s="557"/>
      <c r="I74" s="125"/>
      <c r="J74" s="360"/>
      <c r="K74" s="261"/>
      <c r="L74" s="377"/>
    </row>
    <row r="75" spans="1:19" s="93" customFormat="1">
      <c r="A75" s="206" t="s">
        <v>99</v>
      </c>
      <c r="B75" s="207" t="s">
        <v>7</v>
      </c>
      <c r="C75" s="207" t="s">
        <v>171</v>
      </c>
      <c r="D75" s="535" t="s">
        <v>170</v>
      </c>
      <c r="E75" s="208" t="s">
        <v>11</v>
      </c>
      <c r="F75" s="207" t="s">
        <v>2</v>
      </c>
      <c r="G75" s="209" t="s">
        <v>12</v>
      </c>
      <c r="H75" s="567" t="s">
        <v>18</v>
      </c>
      <c r="I75" s="209" t="s">
        <v>10</v>
      </c>
      <c r="J75" s="207" t="s">
        <v>211</v>
      </c>
      <c r="K75" s="260" t="s">
        <v>212</v>
      </c>
      <c r="L75" s="377"/>
    </row>
    <row r="76" spans="1:19" s="93" customFormat="1">
      <c r="A76" s="325" t="s">
        <v>311</v>
      </c>
      <c r="B76" s="328">
        <v>43118</v>
      </c>
      <c r="C76" s="329"/>
      <c r="D76" s="542"/>
      <c r="E76" s="330">
        <v>0</v>
      </c>
      <c r="F76" s="331" t="s">
        <v>304</v>
      </c>
      <c r="G76" s="332">
        <v>0</v>
      </c>
      <c r="H76" s="561">
        <v>2018011800020</v>
      </c>
      <c r="I76" s="335">
        <v>160.6</v>
      </c>
      <c r="J76" s="335">
        <f>VLOOKUP(A76,'market px'!$G$2:$I$20,3,FALSE)</f>
        <v>160.49</v>
      </c>
      <c r="K76" s="336">
        <f t="shared" ref="K76:K83" si="6">(J76-I76)*E76/100</f>
        <v>0</v>
      </c>
      <c r="L76" s="377"/>
    </row>
    <row r="77" spans="1:19" s="93" customFormat="1">
      <c r="A77" s="325" t="s">
        <v>315</v>
      </c>
      <c r="B77" s="328">
        <v>41547</v>
      </c>
      <c r="C77" s="329"/>
      <c r="D77" s="542"/>
      <c r="E77" s="330">
        <f>100000*0</f>
        <v>0</v>
      </c>
      <c r="F77" s="331" t="s">
        <v>78</v>
      </c>
      <c r="G77" s="332" t="e">
        <f>-VLOOKUP(A77,'market px'!G$2:H$20,2,FALSE)*E77/1000000</f>
        <v>#N/A</v>
      </c>
      <c r="H77" s="561"/>
      <c r="I77" s="335">
        <v>140.68</v>
      </c>
      <c r="J77" s="335" t="e">
        <f>VLOOKUP(A77,'market px'!$G$2:$I$20,3,FALSE)</f>
        <v>#N/A</v>
      </c>
      <c r="K77" s="336" t="e">
        <f t="shared" si="6"/>
        <v>#N/A</v>
      </c>
      <c r="L77" s="377"/>
    </row>
    <row r="78" spans="1:19" s="270" customFormat="1">
      <c r="A78" s="325" t="s">
        <v>315</v>
      </c>
      <c r="B78" s="328">
        <v>41416</v>
      </c>
      <c r="C78" s="329"/>
      <c r="D78" s="542"/>
      <c r="E78" s="330">
        <f>100000*0</f>
        <v>0</v>
      </c>
      <c r="F78" s="331" t="s">
        <v>78</v>
      </c>
      <c r="G78" s="332" t="e">
        <f>-VLOOKUP(A78,'market px'!G$2:H$20,2,FALSE)*E78/1000000</f>
        <v>#N/A</v>
      </c>
      <c r="H78" s="561"/>
      <c r="I78" s="335">
        <v>136.74</v>
      </c>
      <c r="J78" s="335" t="e">
        <f>VLOOKUP(A78,'market px'!$G$2:$I$20,3,FALSE)</f>
        <v>#N/A</v>
      </c>
      <c r="K78" s="336" t="e">
        <f t="shared" si="6"/>
        <v>#N/A</v>
      </c>
      <c r="L78" s="381"/>
    </row>
    <row r="79" spans="1:19" s="270" customFormat="1">
      <c r="A79" s="325" t="s">
        <v>315</v>
      </c>
      <c r="B79" s="328">
        <v>40995</v>
      </c>
      <c r="C79" s="329"/>
      <c r="D79" s="542"/>
      <c r="E79" s="330">
        <f>100000*0</f>
        <v>0</v>
      </c>
      <c r="F79" s="331" t="s">
        <v>78</v>
      </c>
      <c r="G79" s="332" t="e">
        <f>-VLOOKUP(A79,'market px'!G$2:H$20,2,FALSE)*E79/1000000</f>
        <v>#N/A</v>
      </c>
      <c r="H79" s="561"/>
      <c r="I79" s="335">
        <v>136.74</v>
      </c>
      <c r="J79" s="335" t="e">
        <f>VLOOKUP(A79,'market px'!$G$2:$I$20,3,FALSE)</f>
        <v>#N/A</v>
      </c>
      <c r="K79" s="336" t="e">
        <f t="shared" si="6"/>
        <v>#N/A</v>
      </c>
      <c r="L79" s="381"/>
    </row>
    <row r="80" spans="1:19" s="270" customFormat="1">
      <c r="A80" s="337" t="s">
        <v>285</v>
      </c>
      <c r="B80" s="340">
        <v>39090</v>
      </c>
      <c r="C80" s="341"/>
      <c r="D80" s="543"/>
      <c r="E80" s="342">
        <f>-100000*0</f>
        <v>0</v>
      </c>
      <c r="F80" s="343" t="s">
        <v>78</v>
      </c>
      <c r="G80" s="344">
        <f>-VLOOKUP(A80,'market px'!G$2:H$20,2,FALSE)*E80/1000000</f>
        <v>0</v>
      </c>
      <c r="H80" s="562" t="s">
        <v>23</v>
      </c>
      <c r="I80" s="347">
        <v>108.77</v>
      </c>
      <c r="J80" s="347">
        <f>VLOOKUP(A80,'market px'!$G$2:$I$20,3,FALSE)</f>
        <v>117.91</v>
      </c>
      <c r="K80" s="348">
        <f t="shared" si="6"/>
        <v>0</v>
      </c>
      <c r="L80" s="381"/>
    </row>
    <row r="81" spans="1:17" s="270" customFormat="1">
      <c r="A81" s="337" t="s">
        <v>285</v>
      </c>
      <c r="B81" s="340">
        <v>38954</v>
      </c>
      <c r="C81" s="341"/>
      <c r="D81" s="543"/>
      <c r="E81" s="342">
        <f>-100000*0</f>
        <v>0</v>
      </c>
      <c r="F81" s="343" t="s">
        <v>78</v>
      </c>
      <c r="G81" s="344">
        <f>-VLOOKUP(A81,'market px'!G$2:H$20,2,FALSE)*E81/1000000</f>
        <v>0</v>
      </c>
      <c r="H81" s="562"/>
      <c r="I81" s="347">
        <v>109.88</v>
      </c>
      <c r="J81" s="347">
        <f>VLOOKUP(A81,'market px'!$G$2:$I$20,3,FALSE)</f>
        <v>117.91</v>
      </c>
      <c r="K81" s="348">
        <f t="shared" si="6"/>
        <v>0</v>
      </c>
      <c r="L81" s="381"/>
    </row>
    <row r="82" spans="1:17" s="93" customFormat="1">
      <c r="A82" s="285" t="s">
        <v>286</v>
      </c>
      <c r="B82" s="288">
        <v>39220</v>
      </c>
      <c r="C82" s="289" t="s">
        <v>21</v>
      </c>
      <c r="D82" s="544"/>
      <c r="E82" s="290">
        <f>100000*0</f>
        <v>0</v>
      </c>
      <c r="F82" s="291" t="s">
        <v>78</v>
      </c>
      <c r="G82" s="292">
        <f>-VLOOKUP(A82,'market px'!G$2:H$20,2,FALSE)*E82/1000000</f>
        <v>0</v>
      </c>
      <c r="H82" s="554" t="s">
        <v>23</v>
      </c>
      <c r="I82" s="295">
        <v>102.55500000000001</v>
      </c>
      <c r="J82" s="295">
        <f>VLOOKUP(A82,'market px'!$G$2:$I$20,3,FALSE)</f>
        <v>108.84</v>
      </c>
      <c r="K82" s="296">
        <f t="shared" si="6"/>
        <v>0</v>
      </c>
      <c r="L82" s="377"/>
      <c r="M82"/>
      <c r="N82"/>
      <c r="O82"/>
      <c r="P82"/>
      <c r="Q82"/>
    </row>
    <row r="83" spans="1:17">
      <c r="A83" s="285" t="s">
        <v>286</v>
      </c>
      <c r="B83" s="288">
        <v>39224</v>
      </c>
      <c r="C83" s="289" t="s">
        <v>21</v>
      </c>
      <c r="D83" s="544"/>
      <c r="E83" s="290">
        <f>100000*0</f>
        <v>0</v>
      </c>
      <c r="F83" s="291" t="s">
        <v>78</v>
      </c>
      <c r="G83" s="292">
        <f>-VLOOKUP(A83,'market px'!G$2:H$20,2,FALSE)*E83/1000000</f>
        <v>0</v>
      </c>
      <c r="H83" s="554"/>
      <c r="I83" s="295">
        <v>102.89</v>
      </c>
      <c r="J83" s="295">
        <f>VLOOKUP(A83,'market px'!$G$2:$I$20,3,FALSE)</f>
        <v>108.84</v>
      </c>
      <c r="K83" s="296">
        <f t="shared" si="6"/>
        <v>0</v>
      </c>
    </row>
    <row r="84" spans="1:17">
      <c r="A84" s="349" t="s">
        <v>166</v>
      </c>
      <c r="B84" s="350"/>
      <c r="C84" s="351"/>
      <c r="D84" s="545"/>
      <c r="E84" s="352">
        <f>SUM(E76:E83)</f>
        <v>0</v>
      </c>
      <c r="F84" s="353"/>
      <c r="G84" s="354" t="e">
        <f>SUM(G76:G83)</f>
        <v>#N/A</v>
      </c>
      <c r="H84" s="563"/>
      <c r="I84" s="356"/>
      <c r="J84" s="357"/>
      <c r="K84" s="358" t="e">
        <f>SUM(K76:K83)</f>
        <v>#N/A</v>
      </c>
    </row>
    <row r="85" spans="1:17">
      <c r="A85" s="65"/>
      <c r="B85" s="108"/>
      <c r="C85" s="275"/>
      <c r="D85" s="546"/>
      <c r="E85" s="70"/>
      <c r="F85" s="203"/>
      <c r="G85" s="105"/>
      <c r="H85" s="564"/>
      <c r="I85" s="204"/>
      <c r="J85" s="205"/>
      <c r="K85" s="106"/>
    </row>
    <row r="86" spans="1:17">
      <c r="G86" s="14"/>
      <c r="H86" s="565"/>
    </row>
    <row r="87" spans="1:17">
      <c r="G87" s="14"/>
      <c r="H87" s="565"/>
    </row>
    <row r="88" spans="1:17">
      <c r="G88" s="14"/>
      <c r="H88" s="565"/>
      <c r="L88"/>
    </row>
    <row r="89" spans="1:17">
      <c r="B89"/>
      <c r="C89"/>
      <c r="D89"/>
      <c r="E89"/>
      <c r="F89"/>
      <c r="G89" s="14"/>
      <c r="H89" s="565"/>
      <c r="I89"/>
      <c r="J89"/>
      <c r="L89"/>
    </row>
    <row r="90" spans="1:17">
      <c r="B90"/>
      <c r="C90"/>
      <c r="D90"/>
      <c r="E90"/>
      <c r="F90"/>
      <c r="G90" s="14"/>
      <c r="H90" s="565"/>
      <c r="I90"/>
      <c r="J90"/>
      <c r="L90"/>
    </row>
    <row r="91" spans="1:17">
      <c r="B91"/>
      <c r="C91"/>
      <c r="D91"/>
      <c r="E91"/>
      <c r="F91"/>
      <c r="G91" s="14"/>
      <c r="H91" s="565"/>
      <c r="I91"/>
      <c r="J91"/>
      <c r="L91"/>
    </row>
    <row r="92" spans="1:17">
      <c r="B92"/>
      <c r="C92"/>
      <c r="D92"/>
      <c r="E92"/>
      <c r="F92"/>
      <c r="G92" s="14"/>
      <c r="H92" s="565"/>
      <c r="I92"/>
      <c r="J92"/>
      <c r="L92"/>
    </row>
    <row r="93" spans="1:17">
      <c r="B93"/>
      <c r="C93"/>
      <c r="D93"/>
      <c r="E93"/>
      <c r="F93"/>
      <c r="G93" s="14"/>
      <c r="H93" s="565"/>
      <c r="I93"/>
      <c r="J93"/>
      <c r="L93"/>
    </row>
    <row r="94" spans="1:17">
      <c r="B94"/>
      <c r="C94"/>
      <c r="D94"/>
      <c r="E94"/>
      <c r="F94"/>
      <c r="G94" s="14"/>
      <c r="H94" s="565"/>
      <c r="I94"/>
      <c r="J94"/>
      <c r="L94"/>
    </row>
    <row r="95" spans="1:17">
      <c r="B95"/>
      <c r="C95"/>
      <c r="D95"/>
      <c r="E95"/>
      <c r="F95"/>
      <c r="G95" s="14"/>
      <c r="H95" s="565"/>
      <c r="I95"/>
      <c r="J95"/>
      <c r="L95"/>
    </row>
    <row r="96" spans="1:17">
      <c r="B96"/>
      <c r="C96"/>
      <c r="D96"/>
      <c r="E96"/>
      <c r="F96"/>
      <c r="G96" s="14"/>
      <c r="H96" s="565"/>
      <c r="I96"/>
      <c r="J96"/>
      <c r="L96"/>
    </row>
    <row r="97" spans="2:12">
      <c r="B97"/>
      <c r="C97"/>
      <c r="D97"/>
      <c r="E97"/>
      <c r="F97"/>
      <c r="G97" s="14"/>
      <c r="H97" s="565"/>
      <c r="I97"/>
      <c r="J97"/>
      <c r="L97"/>
    </row>
    <row r="98" spans="2:12">
      <c r="B98"/>
      <c r="C98"/>
      <c r="D98"/>
      <c r="E98"/>
      <c r="F98"/>
      <c r="G98" s="14"/>
      <c r="H98" s="565"/>
      <c r="I98"/>
      <c r="J98"/>
      <c r="L98"/>
    </row>
    <row r="99" spans="2:12">
      <c r="B99"/>
      <c r="C99"/>
      <c r="D99"/>
      <c r="E99"/>
      <c r="F99"/>
      <c r="G99" s="14"/>
      <c r="H99" s="565"/>
      <c r="I99"/>
      <c r="J99"/>
      <c r="L99"/>
    </row>
    <row r="100" spans="2:12">
      <c r="B100"/>
      <c r="C100"/>
      <c r="D100"/>
      <c r="E100"/>
      <c r="F100"/>
      <c r="G100" s="14"/>
      <c r="H100" s="565"/>
      <c r="I100"/>
      <c r="J100"/>
      <c r="L100"/>
    </row>
    <row r="101" spans="2:12">
      <c r="B101"/>
      <c r="C101"/>
      <c r="D101"/>
      <c r="E101"/>
      <c r="F101"/>
      <c r="G101" s="14"/>
      <c r="H101" s="565"/>
      <c r="I101"/>
      <c r="J101"/>
      <c r="L101"/>
    </row>
    <row r="102" spans="2:12">
      <c r="B102"/>
      <c r="C102"/>
      <c r="D102"/>
      <c r="E102"/>
      <c r="F102"/>
      <c r="G102" s="14"/>
      <c r="H102" s="565"/>
      <c r="I102"/>
      <c r="J102"/>
      <c r="L102"/>
    </row>
    <row r="103" spans="2:12">
      <c r="B103"/>
      <c r="C103"/>
      <c r="D103"/>
      <c r="E103"/>
      <c r="F103"/>
      <c r="G103" s="14"/>
      <c r="H103" s="565"/>
      <c r="I103"/>
      <c r="J103"/>
      <c r="L103"/>
    </row>
    <row r="104" spans="2:12">
      <c r="B104"/>
      <c r="C104"/>
      <c r="D104"/>
      <c r="E104"/>
      <c r="F104"/>
      <c r="G104" s="14"/>
      <c r="H104" s="565"/>
      <c r="I104"/>
      <c r="J104"/>
      <c r="L104"/>
    </row>
    <row r="105" spans="2:12">
      <c r="B105"/>
      <c r="C105"/>
      <c r="D105"/>
      <c r="E105"/>
      <c r="F105"/>
      <c r="G105" s="14"/>
      <c r="H105" s="565"/>
      <c r="I105"/>
      <c r="J105"/>
      <c r="L105"/>
    </row>
    <row r="106" spans="2:12">
      <c r="B106"/>
      <c r="C106"/>
      <c r="D106"/>
      <c r="E106"/>
      <c r="F106"/>
      <c r="G106" s="14"/>
      <c r="H106" s="565"/>
      <c r="I106"/>
      <c r="J106"/>
      <c r="L106"/>
    </row>
    <row r="107" spans="2:12">
      <c r="B107"/>
      <c r="C107"/>
      <c r="D107"/>
      <c r="E107"/>
      <c r="F107"/>
      <c r="G107" s="14"/>
      <c r="H107" s="565"/>
      <c r="I107"/>
      <c r="J107"/>
      <c r="L107"/>
    </row>
    <row r="108" spans="2:12">
      <c r="B108"/>
      <c r="C108"/>
      <c r="D108"/>
      <c r="E108"/>
      <c r="F108"/>
      <c r="G108" s="14"/>
      <c r="H108" s="565"/>
      <c r="I108"/>
      <c r="J108"/>
      <c r="L108"/>
    </row>
    <row r="109" spans="2:12">
      <c r="B109"/>
      <c r="C109"/>
      <c r="D109"/>
      <c r="E109"/>
      <c r="F109"/>
      <c r="G109" s="14"/>
      <c r="H109" s="565"/>
      <c r="I109"/>
      <c r="J109"/>
      <c r="L109"/>
    </row>
    <row r="110" spans="2:12">
      <c r="B110"/>
      <c r="C110"/>
      <c r="D110"/>
      <c r="E110"/>
      <c r="F110"/>
      <c r="G110" s="14"/>
      <c r="H110" s="565"/>
      <c r="I110"/>
      <c r="J110"/>
      <c r="L110"/>
    </row>
    <row r="111" spans="2:12">
      <c r="B111"/>
      <c r="C111"/>
      <c r="D111"/>
      <c r="E111"/>
      <c r="F111"/>
      <c r="G111" s="14"/>
      <c r="H111" s="565"/>
      <c r="I111"/>
      <c r="J111"/>
      <c r="L111"/>
    </row>
    <row r="112" spans="2:12">
      <c r="B112"/>
      <c r="C112"/>
      <c r="D112"/>
      <c r="E112"/>
      <c r="F112"/>
      <c r="G112" s="14"/>
      <c r="H112" s="566"/>
      <c r="I112"/>
      <c r="J112"/>
      <c r="L112"/>
    </row>
    <row r="113" spans="2:12">
      <c r="B113"/>
      <c r="C113"/>
      <c r="D113"/>
      <c r="E113"/>
      <c r="F113"/>
      <c r="G113" s="14"/>
      <c r="H113" s="566"/>
      <c r="I113"/>
      <c r="J113"/>
      <c r="L113"/>
    </row>
    <row r="114" spans="2:12">
      <c r="B114"/>
      <c r="C114"/>
      <c r="D114"/>
      <c r="E114"/>
      <c r="F114"/>
      <c r="G114" s="14"/>
      <c r="H114" s="566"/>
      <c r="I114"/>
      <c r="J114"/>
      <c r="L114"/>
    </row>
    <row r="115" spans="2:12">
      <c r="B115"/>
      <c r="C115"/>
      <c r="D115"/>
      <c r="E115"/>
      <c r="F115"/>
      <c r="G115" s="14"/>
      <c r="H115" s="566"/>
      <c r="I115"/>
      <c r="J115"/>
      <c r="L115"/>
    </row>
    <row r="116" spans="2:12">
      <c r="B116"/>
      <c r="C116"/>
      <c r="D116"/>
      <c r="E116"/>
      <c r="F116"/>
      <c r="G116" s="14"/>
      <c r="H116" s="566"/>
      <c r="I116"/>
      <c r="J116"/>
      <c r="L116"/>
    </row>
    <row r="117" spans="2:12">
      <c r="B117"/>
      <c r="C117"/>
      <c r="D117"/>
      <c r="E117"/>
      <c r="F117"/>
      <c r="G117" s="14"/>
      <c r="H117" s="566"/>
      <c r="I117"/>
      <c r="J117"/>
      <c r="L117"/>
    </row>
    <row r="118" spans="2:12">
      <c r="B118"/>
      <c r="C118"/>
      <c r="D118"/>
      <c r="E118"/>
      <c r="F118"/>
      <c r="G118" s="14"/>
      <c r="H118" s="566"/>
      <c r="I118"/>
      <c r="J118"/>
      <c r="L118"/>
    </row>
    <row r="119" spans="2:12">
      <c r="B119"/>
      <c r="C119"/>
      <c r="D119"/>
      <c r="E119"/>
      <c r="F119"/>
      <c r="G119" s="14"/>
      <c r="H119" s="566"/>
      <c r="I119"/>
      <c r="J119"/>
      <c r="L119"/>
    </row>
    <row r="120" spans="2:12">
      <c r="B120"/>
      <c r="C120"/>
      <c r="D120"/>
      <c r="E120"/>
      <c r="F120"/>
      <c r="G120" s="14"/>
      <c r="H120" s="566"/>
      <c r="I120"/>
      <c r="J120"/>
      <c r="L120"/>
    </row>
    <row r="121" spans="2:12">
      <c r="B121"/>
      <c r="C121"/>
      <c r="D121"/>
      <c r="E121"/>
      <c r="F121"/>
      <c r="G121" s="14"/>
      <c r="H121" s="566"/>
      <c r="I121"/>
      <c r="J121"/>
      <c r="L121"/>
    </row>
    <row r="122" spans="2:12">
      <c r="B122"/>
      <c r="C122"/>
      <c r="D122"/>
      <c r="E122"/>
      <c r="F122"/>
      <c r="G122" s="14"/>
      <c r="H122" s="566"/>
      <c r="I122"/>
      <c r="J122"/>
      <c r="L122"/>
    </row>
    <row r="123" spans="2:12">
      <c r="B123"/>
      <c r="C123"/>
      <c r="D123"/>
      <c r="E123"/>
      <c r="F123"/>
      <c r="G123" s="14"/>
      <c r="H123" s="566"/>
      <c r="I123"/>
      <c r="J123"/>
      <c r="L123"/>
    </row>
    <row r="124" spans="2:12">
      <c r="B124"/>
      <c r="C124"/>
      <c r="D124"/>
      <c r="E124"/>
      <c r="F124"/>
      <c r="G124" s="14"/>
      <c r="H124" s="566"/>
      <c r="I124"/>
      <c r="J124"/>
      <c r="L124"/>
    </row>
    <row r="125" spans="2:12">
      <c r="B125"/>
      <c r="C125"/>
      <c r="D125"/>
      <c r="E125"/>
      <c r="F125"/>
      <c r="G125" s="14"/>
      <c r="H125" s="566"/>
      <c r="I125"/>
      <c r="J125"/>
      <c r="L125"/>
    </row>
    <row r="126" spans="2:12">
      <c r="B126"/>
      <c r="C126"/>
      <c r="D126"/>
      <c r="E126"/>
      <c r="F126"/>
      <c r="G126" s="14"/>
      <c r="H126" s="566"/>
      <c r="I126"/>
      <c r="J126"/>
      <c r="L126"/>
    </row>
    <row r="127" spans="2:12">
      <c r="B127"/>
      <c r="C127"/>
      <c r="D127"/>
      <c r="E127"/>
      <c r="F127"/>
      <c r="G127" s="14"/>
      <c r="H127" s="566"/>
      <c r="I127"/>
      <c r="J127"/>
      <c r="L127"/>
    </row>
    <row r="128" spans="2:12">
      <c r="B128"/>
      <c r="C128"/>
      <c r="D128"/>
      <c r="E128"/>
      <c r="F128"/>
      <c r="G128" s="14"/>
      <c r="H128" s="566"/>
      <c r="I128"/>
      <c r="J128"/>
      <c r="L128"/>
    </row>
    <row r="129" spans="2:12">
      <c r="B129"/>
      <c r="C129"/>
      <c r="D129"/>
      <c r="E129"/>
      <c r="F129"/>
      <c r="G129" s="14"/>
      <c r="H129" s="566"/>
      <c r="I129"/>
      <c r="J129"/>
      <c r="L129"/>
    </row>
    <row r="130" spans="2:12">
      <c r="B130"/>
      <c r="C130"/>
      <c r="D130"/>
      <c r="E130"/>
      <c r="F130"/>
      <c r="G130" s="14"/>
      <c r="H130" s="566"/>
      <c r="I130"/>
      <c r="J130"/>
      <c r="L130"/>
    </row>
    <row r="131" spans="2:12">
      <c r="B131"/>
      <c r="C131"/>
      <c r="D131"/>
      <c r="E131"/>
      <c r="F131"/>
      <c r="G131" s="14"/>
      <c r="H131" s="566"/>
      <c r="I131"/>
      <c r="J131"/>
      <c r="L131"/>
    </row>
    <row r="132" spans="2:12">
      <c r="B132"/>
      <c r="C132"/>
      <c r="D132"/>
      <c r="E132"/>
      <c r="F132"/>
      <c r="G132" s="14"/>
      <c r="H132" s="566"/>
      <c r="I132"/>
      <c r="J132"/>
      <c r="L132"/>
    </row>
    <row r="133" spans="2:12">
      <c r="B133"/>
      <c r="C133"/>
      <c r="D133"/>
      <c r="E133"/>
      <c r="F133"/>
      <c r="G133" s="14"/>
      <c r="H133" s="566"/>
      <c r="I133"/>
      <c r="J133"/>
      <c r="L133"/>
    </row>
    <row r="134" spans="2:12">
      <c r="B134"/>
      <c r="C134"/>
      <c r="D134"/>
      <c r="E134"/>
      <c r="F134"/>
      <c r="G134" s="14"/>
      <c r="H134" s="566"/>
      <c r="I134"/>
      <c r="J134"/>
      <c r="L134"/>
    </row>
    <row r="135" spans="2:12">
      <c r="B135"/>
      <c r="C135"/>
      <c r="D135"/>
      <c r="E135"/>
      <c r="F135"/>
      <c r="G135" s="14"/>
      <c r="H135" s="566"/>
      <c r="I135"/>
      <c r="J135"/>
      <c r="L135"/>
    </row>
    <row r="136" spans="2:12">
      <c r="B136"/>
      <c r="C136"/>
      <c r="D136"/>
      <c r="E136"/>
      <c r="F136"/>
      <c r="G136" s="14"/>
      <c r="H136" s="566"/>
      <c r="I136"/>
      <c r="J136"/>
      <c r="L136"/>
    </row>
    <row r="137" spans="2:12">
      <c r="B137"/>
      <c r="C137"/>
      <c r="D137"/>
      <c r="E137"/>
      <c r="F137"/>
      <c r="G137" s="14"/>
      <c r="H137" s="566"/>
      <c r="I137"/>
      <c r="J137"/>
      <c r="L137"/>
    </row>
    <row r="138" spans="2:12">
      <c r="B138"/>
      <c r="C138"/>
      <c r="D138"/>
      <c r="E138"/>
      <c r="F138"/>
      <c r="G138" s="14"/>
      <c r="H138" s="566"/>
      <c r="I138"/>
      <c r="J138"/>
      <c r="L138"/>
    </row>
    <row r="139" spans="2:12">
      <c r="B139"/>
      <c r="C139"/>
      <c r="D139"/>
      <c r="E139"/>
      <c r="F139"/>
      <c r="G139" s="14"/>
      <c r="H139" s="566"/>
      <c r="I139"/>
      <c r="J139"/>
      <c r="L139"/>
    </row>
    <row r="140" spans="2:12">
      <c r="B140"/>
      <c r="C140"/>
      <c r="D140"/>
      <c r="E140"/>
      <c r="F140"/>
      <c r="G140" s="14"/>
      <c r="H140" s="566"/>
      <c r="I140"/>
      <c r="J140"/>
      <c r="L140"/>
    </row>
    <row r="141" spans="2:12">
      <c r="B141"/>
      <c r="C141"/>
      <c r="D141"/>
      <c r="E141"/>
      <c r="F141"/>
      <c r="G141" s="14"/>
      <c r="H141" s="566"/>
      <c r="I141"/>
      <c r="J141"/>
      <c r="L141"/>
    </row>
    <row r="142" spans="2:12">
      <c r="B142"/>
      <c r="C142"/>
      <c r="D142"/>
      <c r="E142"/>
      <c r="F142"/>
      <c r="G142" s="14"/>
      <c r="H142" s="566"/>
      <c r="I142"/>
      <c r="J142"/>
      <c r="L142"/>
    </row>
    <row r="143" spans="2:12">
      <c r="B143"/>
      <c r="C143"/>
      <c r="D143"/>
      <c r="E143"/>
      <c r="F143"/>
      <c r="G143" s="14"/>
      <c r="H143" s="566"/>
      <c r="I143"/>
      <c r="J143"/>
      <c r="L143"/>
    </row>
    <row r="144" spans="2:12">
      <c r="B144"/>
      <c r="C144"/>
      <c r="D144"/>
      <c r="E144"/>
      <c r="F144"/>
      <c r="G144" s="14"/>
      <c r="H144" s="566"/>
      <c r="I144"/>
      <c r="J144"/>
      <c r="L144"/>
    </row>
    <row r="145" spans="2:12">
      <c r="B145"/>
      <c r="C145"/>
      <c r="D145"/>
      <c r="E145"/>
      <c r="F145"/>
      <c r="G145" s="14"/>
      <c r="H145" s="566"/>
      <c r="I145"/>
      <c r="J145"/>
      <c r="L145"/>
    </row>
    <row r="146" spans="2:12">
      <c r="B146"/>
      <c r="C146"/>
      <c r="D146"/>
      <c r="E146"/>
      <c r="F146"/>
      <c r="G146" s="14"/>
      <c r="H146" s="566"/>
      <c r="I146"/>
      <c r="J146"/>
      <c r="L146"/>
    </row>
    <row r="147" spans="2:12">
      <c r="B147"/>
      <c r="C147"/>
      <c r="D147"/>
      <c r="E147"/>
      <c r="F147"/>
      <c r="G147" s="14"/>
      <c r="H147" s="566"/>
      <c r="I147"/>
      <c r="J147"/>
      <c r="L147"/>
    </row>
    <row r="148" spans="2:12">
      <c r="B148"/>
      <c r="C148"/>
      <c r="D148"/>
      <c r="E148"/>
      <c r="F148"/>
      <c r="G148" s="14"/>
      <c r="H148" s="566"/>
      <c r="I148"/>
      <c r="J148"/>
      <c r="L148"/>
    </row>
    <row r="149" spans="2:12">
      <c r="B149"/>
      <c r="C149"/>
      <c r="D149"/>
      <c r="E149"/>
      <c r="F149"/>
      <c r="G149" s="14"/>
      <c r="H149" s="566"/>
      <c r="I149"/>
      <c r="J149"/>
      <c r="L149"/>
    </row>
    <row r="150" spans="2:12">
      <c r="B150"/>
      <c r="C150"/>
      <c r="D150"/>
      <c r="E150"/>
      <c r="F150"/>
      <c r="G150" s="14"/>
      <c r="H150" s="566"/>
      <c r="I150"/>
      <c r="J150"/>
      <c r="L150"/>
    </row>
    <row r="151" spans="2:12">
      <c r="B151"/>
      <c r="C151"/>
      <c r="D151"/>
      <c r="E151"/>
      <c r="F151"/>
      <c r="G151" s="14"/>
      <c r="H151" s="566"/>
      <c r="I151"/>
      <c r="J151"/>
      <c r="L151"/>
    </row>
    <row r="152" spans="2:12">
      <c r="B152"/>
      <c r="C152"/>
      <c r="D152"/>
      <c r="E152"/>
      <c r="F152"/>
      <c r="G152" s="14"/>
      <c r="H152" s="566"/>
      <c r="I152"/>
      <c r="J152"/>
      <c r="L152"/>
    </row>
    <row r="153" spans="2:12">
      <c r="B153"/>
      <c r="C153"/>
      <c r="D153"/>
      <c r="E153"/>
      <c r="F153"/>
      <c r="G153" s="14"/>
      <c r="H153" s="566"/>
      <c r="I153"/>
      <c r="J153"/>
      <c r="L153"/>
    </row>
    <row r="154" spans="2:12">
      <c r="B154"/>
      <c r="C154"/>
      <c r="D154"/>
      <c r="E154"/>
      <c r="F154"/>
      <c r="G154" s="14"/>
      <c r="H154" s="566"/>
      <c r="I154"/>
      <c r="J154"/>
      <c r="L154"/>
    </row>
    <row r="155" spans="2:12">
      <c r="B155"/>
      <c r="C155"/>
      <c r="D155"/>
      <c r="E155"/>
      <c r="F155"/>
      <c r="G155" s="14"/>
      <c r="H155" s="566"/>
      <c r="I155"/>
      <c r="J155"/>
      <c r="L155"/>
    </row>
    <row r="156" spans="2:12">
      <c r="B156"/>
      <c r="C156"/>
      <c r="D156"/>
      <c r="E156"/>
      <c r="F156"/>
      <c r="G156" s="14"/>
      <c r="H156" s="566"/>
      <c r="I156"/>
      <c r="J156"/>
      <c r="L156"/>
    </row>
    <row r="157" spans="2:12">
      <c r="B157"/>
      <c r="C157"/>
      <c r="D157"/>
      <c r="E157"/>
      <c r="F157"/>
      <c r="G157" s="14"/>
      <c r="H157" s="566"/>
      <c r="I157"/>
      <c r="J157"/>
      <c r="L157"/>
    </row>
    <row r="158" spans="2:12">
      <c r="B158"/>
      <c r="C158"/>
      <c r="D158"/>
      <c r="E158"/>
      <c r="F158"/>
      <c r="G158" s="14"/>
      <c r="H158" s="566"/>
      <c r="I158"/>
      <c r="J158"/>
      <c r="L158"/>
    </row>
    <row r="159" spans="2:12">
      <c r="B159"/>
      <c r="C159"/>
      <c r="D159"/>
      <c r="E159"/>
      <c r="F159"/>
      <c r="G159" s="14"/>
      <c r="H159" s="566"/>
      <c r="I159"/>
      <c r="J159"/>
      <c r="L159"/>
    </row>
    <row r="160" spans="2:12">
      <c r="B160"/>
      <c r="C160"/>
      <c r="D160"/>
      <c r="E160"/>
      <c r="F160"/>
      <c r="G160" s="14"/>
      <c r="H160" s="566"/>
      <c r="I160"/>
      <c r="J160"/>
      <c r="L160"/>
    </row>
    <row r="161" spans="2:12">
      <c r="B161"/>
      <c r="C161"/>
      <c r="D161"/>
      <c r="E161"/>
      <c r="F161"/>
      <c r="G161" s="14"/>
      <c r="H161" s="566"/>
      <c r="I161"/>
      <c r="J161"/>
      <c r="L161"/>
    </row>
    <row r="162" spans="2:12">
      <c r="B162"/>
      <c r="C162"/>
      <c r="D162"/>
      <c r="E162"/>
      <c r="F162"/>
      <c r="G162" s="14"/>
      <c r="H162" s="566"/>
      <c r="I162"/>
      <c r="J162"/>
      <c r="L162"/>
    </row>
    <row r="163" spans="2:12">
      <c r="B163"/>
      <c r="C163"/>
      <c r="D163"/>
      <c r="E163"/>
      <c r="F163"/>
      <c r="G163" s="14"/>
      <c r="H163" s="566"/>
      <c r="I163"/>
      <c r="J163"/>
      <c r="L163"/>
    </row>
    <row r="164" spans="2:12">
      <c r="B164"/>
      <c r="C164"/>
      <c r="D164"/>
      <c r="E164"/>
      <c r="F164"/>
      <c r="G164" s="14"/>
      <c r="H164" s="566"/>
      <c r="I164"/>
      <c r="J164"/>
      <c r="L164"/>
    </row>
    <row r="165" spans="2:12">
      <c r="B165"/>
      <c r="C165"/>
      <c r="D165"/>
      <c r="E165"/>
      <c r="F165"/>
      <c r="G165" s="14"/>
      <c r="H165" s="566"/>
      <c r="I165"/>
      <c r="J165"/>
      <c r="L165"/>
    </row>
    <row r="166" spans="2:12">
      <c r="B166"/>
      <c r="C166"/>
      <c r="D166"/>
      <c r="E166"/>
      <c r="F166"/>
      <c r="G166" s="14"/>
      <c r="H166" s="566"/>
      <c r="I166"/>
      <c r="J166"/>
      <c r="L166"/>
    </row>
    <row r="167" spans="2:12">
      <c r="B167"/>
      <c r="C167"/>
      <c r="D167"/>
      <c r="E167"/>
      <c r="F167"/>
      <c r="G167" s="14"/>
      <c r="H167" s="566"/>
      <c r="I167"/>
      <c r="J167"/>
      <c r="L167"/>
    </row>
    <row r="168" spans="2:12">
      <c r="B168"/>
      <c r="C168"/>
      <c r="D168"/>
      <c r="E168"/>
      <c r="F168"/>
      <c r="G168" s="14"/>
      <c r="H168" s="566"/>
      <c r="I168"/>
      <c r="J168"/>
      <c r="L168"/>
    </row>
    <row r="169" spans="2:12">
      <c r="B169"/>
      <c r="C169"/>
      <c r="D169"/>
      <c r="E169"/>
      <c r="F169"/>
      <c r="G169" s="14"/>
      <c r="H169" s="566"/>
      <c r="I169"/>
      <c r="J169"/>
      <c r="L169"/>
    </row>
    <row r="170" spans="2:12">
      <c r="B170"/>
      <c r="C170"/>
      <c r="D170"/>
      <c r="E170"/>
      <c r="F170"/>
      <c r="G170" s="14"/>
      <c r="H170" s="566"/>
      <c r="I170"/>
      <c r="J170"/>
      <c r="L170"/>
    </row>
    <row r="171" spans="2:12">
      <c r="B171"/>
      <c r="C171"/>
      <c r="D171"/>
      <c r="E171"/>
      <c r="F171"/>
      <c r="G171" s="14"/>
      <c r="H171" s="566"/>
      <c r="I171"/>
      <c r="J171"/>
      <c r="L171"/>
    </row>
    <row r="172" spans="2:12">
      <c r="B172"/>
      <c r="C172"/>
      <c r="D172"/>
      <c r="E172"/>
      <c r="F172"/>
      <c r="G172" s="14"/>
      <c r="H172" s="566"/>
      <c r="I172"/>
      <c r="J172"/>
      <c r="L172"/>
    </row>
    <row r="173" spans="2:12">
      <c r="B173"/>
      <c r="C173"/>
      <c r="D173"/>
      <c r="E173"/>
      <c r="F173"/>
      <c r="G173" s="14"/>
      <c r="H173" s="566"/>
      <c r="I173"/>
      <c r="J173"/>
      <c r="L173"/>
    </row>
    <row r="174" spans="2:12">
      <c r="B174"/>
      <c r="C174"/>
      <c r="D174"/>
      <c r="E174"/>
      <c r="F174"/>
      <c r="G174" s="14"/>
      <c r="H174" s="566"/>
      <c r="I174"/>
      <c r="J174"/>
      <c r="L174"/>
    </row>
    <row r="175" spans="2:12">
      <c r="B175"/>
      <c r="C175"/>
      <c r="D175"/>
      <c r="E175"/>
      <c r="F175"/>
      <c r="G175" s="14"/>
      <c r="H175" s="566"/>
      <c r="I175"/>
      <c r="J175"/>
      <c r="L175"/>
    </row>
    <row r="176" spans="2:12">
      <c r="B176"/>
      <c r="C176"/>
      <c r="D176"/>
      <c r="E176"/>
      <c r="F176"/>
      <c r="G176" s="14"/>
      <c r="H176" s="566"/>
      <c r="I176"/>
      <c r="J176"/>
      <c r="L176"/>
    </row>
    <row r="177" spans="2:12">
      <c r="B177"/>
      <c r="C177"/>
      <c r="D177"/>
      <c r="E177"/>
      <c r="F177"/>
      <c r="G177" s="14"/>
      <c r="H177" s="566"/>
      <c r="I177"/>
      <c r="J177"/>
      <c r="L177"/>
    </row>
    <row r="178" spans="2:12">
      <c r="B178"/>
      <c r="C178"/>
      <c r="D178"/>
      <c r="E178"/>
      <c r="F178"/>
      <c r="G178" s="14"/>
      <c r="H178" s="566"/>
      <c r="I178"/>
      <c r="J178"/>
      <c r="L178"/>
    </row>
    <row r="179" spans="2:12">
      <c r="B179"/>
      <c r="C179"/>
      <c r="D179"/>
      <c r="E179"/>
      <c r="F179"/>
      <c r="G179" s="14"/>
      <c r="H179" s="566"/>
      <c r="I179"/>
      <c r="J179"/>
      <c r="L179"/>
    </row>
    <row r="180" spans="2:12">
      <c r="B180"/>
      <c r="C180"/>
      <c r="D180"/>
      <c r="E180"/>
      <c r="F180"/>
      <c r="G180" s="14"/>
      <c r="H180" s="566"/>
      <c r="I180"/>
      <c r="J180"/>
      <c r="L180"/>
    </row>
    <row r="181" spans="2:12">
      <c r="B181"/>
      <c r="C181"/>
      <c r="D181"/>
      <c r="E181"/>
      <c r="F181"/>
      <c r="G181" s="14"/>
      <c r="H181" s="566"/>
      <c r="I181"/>
      <c r="J181"/>
      <c r="L181"/>
    </row>
    <row r="182" spans="2:12">
      <c r="B182"/>
      <c r="C182"/>
      <c r="D182"/>
      <c r="E182"/>
      <c r="F182"/>
      <c r="G182" s="14"/>
      <c r="H182" s="566"/>
      <c r="I182"/>
      <c r="J182"/>
      <c r="L182"/>
    </row>
    <row r="183" spans="2:12">
      <c r="B183"/>
      <c r="C183"/>
      <c r="D183"/>
      <c r="E183"/>
      <c r="F183"/>
      <c r="G183" s="14"/>
      <c r="H183" s="566"/>
      <c r="I183"/>
      <c r="J183"/>
      <c r="L183"/>
    </row>
    <row r="184" spans="2:12">
      <c r="B184"/>
      <c r="C184"/>
      <c r="D184"/>
      <c r="E184"/>
      <c r="F184"/>
      <c r="G184" s="14"/>
      <c r="H184" s="566"/>
      <c r="I184"/>
      <c r="J184"/>
      <c r="L184"/>
    </row>
    <row r="185" spans="2:12">
      <c r="B185"/>
      <c r="C185"/>
      <c r="D185"/>
      <c r="E185"/>
      <c r="F185"/>
      <c r="G185" s="14"/>
      <c r="H185" s="566"/>
      <c r="I185"/>
      <c r="J185"/>
      <c r="L185"/>
    </row>
    <row r="186" spans="2:12">
      <c r="B186"/>
      <c r="C186"/>
      <c r="D186"/>
      <c r="E186"/>
      <c r="F186"/>
      <c r="G186" s="14"/>
      <c r="H186" s="566"/>
      <c r="I186"/>
      <c r="J186"/>
      <c r="L186"/>
    </row>
    <row r="187" spans="2:12">
      <c r="B187"/>
      <c r="C187"/>
      <c r="D187"/>
      <c r="E187"/>
      <c r="F187"/>
      <c r="G187" s="14"/>
      <c r="H187" s="566"/>
      <c r="I187"/>
      <c r="J187"/>
      <c r="L187"/>
    </row>
    <row r="188" spans="2:12">
      <c r="B188"/>
      <c r="C188"/>
      <c r="D188"/>
      <c r="E188"/>
      <c r="F188"/>
      <c r="G188" s="14"/>
      <c r="H188" s="566"/>
      <c r="I188"/>
      <c r="J188"/>
      <c r="L188"/>
    </row>
    <row r="189" spans="2:12">
      <c r="B189"/>
      <c r="C189"/>
      <c r="D189"/>
      <c r="E189"/>
      <c r="F189"/>
      <c r="G189" s="14"/>
      <c r="H189" s="566"/>
      <c r="I189"/>
      <c r="J189"/>
      <c r="L189"/>
    </row>
    <row r="190" spans="2:12">
      <c r="B190"/>
      <c r="C190"/>
      <c r="D190"/>
      <c r="E190"/>
      <c r="F190"/>
      <c r="G190" s="14"/>
      <c r="H190" s="566"/>
      <c r="I190"/>
      <c r="J190"/>
      <c r="L190"/>
    </row>
    <row r="191" spans="2:12">
      <c r="B191"/>
      <c r="C191"/>
      <c r="D191"/>
      <c r="E191"/>
      <c r="F191"/>
      <c r="G191" s="14"/>
      <c r="H191" s="566"/>
      <c r="I191"/>
      <c r="J191"/>
      <c r="L191"/>
    </row>
    <row r="192" spans="2:12">
      <c r="B192"/>
      <c r="C192"/>
      <c r="D192"/>
      <c r="E192"/>
      <c r="F192"/>
      <c r="G192" s="14"/>
      <c r="H192" s="566"/>
      <c r="I192"/>
      <c r="J192"/>
      <c r="L192"/>
    </row>
    <row r="193" spans="2:12">
      <c r="B193"/>
      <c r="C193"/>
      <c r="D193"/>
      <c r="E193"/>
      <c r="F193"/>
      <c r="G193" s="14"/>
      <c r="H193" s="566"/>
      <c r="I193"/>
      <c r="J193"/>
      <c r="L193"/>
    </row>
    <row r="194" spans="2:12">
      <c r="B194"/>
      <c r="C194"/>
      <c r="D194"/>
      <c r="E194"/>
      <c r="F194"/>
      <c r="G194" s="14"/>
      <c r="H194" s="566"/>
      <c r="I194"/>
      <c r="J194"/>
      <c r="L194"/>
    </row>
    <row r="195" spans="2:12">
      <c r="B195"/>
      <c r="C195"/>
      <c r="D195"/>
      <c r="E195"/>
      <c r="F195"/>
      <c r="G195" s="14"/>
      <c r="H195" s="566"/>
      <c r="I195"/>
      <c r="J195"/>
      <c r="L195"/>
    </row>
    <row r="196" spans="2:12">
      <c r="B196"/>
      <c r="C196"/>
      <c r="D196"/>
      <c r="E196"/>
      <c r="F196"/>
      <c r="G196" s="14"/>
      <c r="H196" s="566"/>
      <c r="I196"/>
      <c r="J196"/>
      <c r="L196"/>
    </row>
    <row r="197" spans="2:12">
      <c r="B197"/>
      <c r="C197"/>
      <c r="D197"/>
      <c r="E197"/>
      <c r="F197"/>
      <c r="G197" s="14"/>
      <c r="H197" s="566"/>
      <c r="I197"/>
      <c r="J197"/>
      <c r="L197"/>
    </row>
    <row r="198" spans="2:12">
      <c r="B198"/>
      <c r="C198"/>
      <c r="D198"/>
      <c r="E198"/>
      <c r="F198"/>
      <c r="G198" s="14"/>
      <c r="H198" s="566"/>
      <c r="I198"/>
      <c r="J198"/>
      <c r="L198"/>
    </row>
    <row r="199" spans="2:12">
      <c r="B199"/>
      <c r="C199"/>
      <c r="D199"/>
      <c r="E199"/>
      <c r="F199"/>
      <c r="G199" s="14"/>
      <c r="H199" s="566"/>
      <c r="I199"/>
      <c r="J199"/>
      <c r="L199"/>
    </row>
    <row r="200" spans="2:12">
      <c r="B200"/>
      <c r="C200"/>
      <c r="D200"/>
      <c r="E200"/>
      <c r="F200"/>
      <c r="G200" s="14"/>
      <c r="H200" s="566"/>
      <c r="I200"/>
      <c r="J200"/>
      <c r="L200"/>
    </row>
    <row r="201" spans="2:12">
      <c r="B201"/>
      <c r="C201"/>
      <c r="D201"/>
      <c r="E201"/>
      <c r="F201"/>
      <c r="G201" s="14"/>
      <c r="H201" s="566"/>
      <c r="I201"/>
      <c r="J201"/>
      <c r="L201"/>
    </row>
    <row r="202" spans="2:12">
      <c r="B202"/>
      <c r="C202"/>
      <c r="D202"/>
      <c r="E202"/>
      <c r="F202"/>
      <c r="G202" s="14"/>
      <c r="H202" s="566"/>
      <c r="I202"/>
      <c r="J202"/>
      <c r="L202"/>
    </row>
    <row r="203" spans="2:12">
      <c r="B203"/>
      <c r="C203"/>
      <c r="D203"/>
      <c r="E203"/>
      <c r="F203"/>
      <c r="G203" s="14"/>
      <c r="H203" s="566"/>
      <c r="I203"/>
      <c r="J203"/>
      <c r="L203"/>
    </row>
    <row r="204" spans="2:12">
      <c r="B204"/>
      <c r="C204"/>
      <c r="D204"/>
      <c r="E204"/>
      <c r="F204"/>
      <c r="G204" s="14"/>
      <c r="H204" s="566"/>
      <c r="I204"/>
      <c r="J204"/>
      <c r="L204"/>
    </row>
    <row r="205" spans="2:12">
      <c r="B205"/>
      <c r="C205"/>
      <c r="D205"/>
      <c r="E205"/>
      <c r="F205"/>
      <c r="G205" s="14"/>
      <c r="H205" s="566"/>
      <c r="I205"/>
      <c r="J205"/>
      <c r="L205"/>
    </row>
    <row r="206" spans="2:12">
      <c r="B206"/>
      <c r="C206"/>
      <c r="D206"/>
      <c r="E206"/>
      <c r="F206"/>
      <c r="G206" s="14"/>
      <c r="H206" s="566"/>
      <c r="I206"/>
      <c r="J206"/>
      <c r="L206"/>
    </row>
    <row r="207" spans="2:12">
      <c r="B207"/>
      <c r="C207"/>
      <c r="D207"/>
      <c r="E207"/>
      <c r="F207"/>
      <c r="G207" s="14"/>
      <c r="H207" s="566"/>
      <c r="I207"/>
      <c r="J207"/>
      <c r="L207"/>
    </row>
    <row r="208" spans="2:12">
      <c r="B208"/>
      <c r="C208"/>
      <c r="D208"/>
      <c r="E208"/>
      <c r="F208"/>
      <c r="G208" s="14"/>
      <c r="H208" s="566"/>
      <c r="I208"/>
      <c r="J208"/>
      <c r="L208"/>
    </row>
    <row r="209" spans="2:12">
      <c r="B209"/>
      <c r="C209"/>
      <c r="D209"/>
      <c r="E209"/>
      <c r="F209"/>
      <c r="G209" s="14"/>
      <c r="H209" s="566"/>
      <c r="I209"/>
      <c r="J209"/>
      <c r="L209"/>
    </row>
    <row r="210" spans="2:12">
      <c r="B210"/>
      <c r="C210"/>
      <c r="D210"/>
      <c r="E210"/>
      <c r="F210"/>
      <c r="G210" s="14"/>
      <c r="H210" s="566"/>
      <c r="I210"/>
      <c r="J210"/>
      <c r="L210"/>
    </row>
    <row r="211" spans="2:12">
      <c r="B211"/>
      <c r="C211"/>
      <c r="D211"/>
      <c r="E211"/>
      <c r="F211"/>
      <c r="G211" s="14"/>
      <c r="H211" s="566"/>
      <c r="I211"/>
      <c r="J211"/>
      <c r="L211"/>
    </row>
    <row r="212" spans="2:12">
      <c r="B212"/>
      <c r="C212"/>
      <c r="D212"/>
      <c r="E212"/>
      <c r="F212"/>
      <c r="G212" s="14"/>
      <c r="H212" s="566"/>
      <c r="I212"/>
      <c r="J212"/>
      <c r="L212"/>
    </row>
    <row r="213" spans="2:12">
      <c r="B213"/>
      <c r="C213"/>
      <c r="D213"/>
      <c r="E213"/>
      <c r="F213"/>
      <c r="G213" s="14"/>
      <c r="H213" s="566"/>
      <c r="I213"/>
      <c r="J213"/>
      <c r="L213"/>
    </row>
    <row r="214" spans="2:12">
      <c r="B214"/>
      <c r="C214"/>
      <c r="D214"/>
      <c r="E214"/>
      <c r="F214"/>
      <c r="G214" s="14"/>
      <c r="H214" s="566"/>
      <c r="I214"/>
      <c r="J214"/>
      <c r="L214"/>
    </row>
    <row r="215" spans="2:12">
      <c r="B215"/>
      <c r="C215"/>
      <c r="D215"/>
      <c r="E215"/>
      <c r="F215"/>
      <c r="G215" s="14"/>
      <c r="H215" s="566"/>
      <c r="I215"/>
      <c r="J215"/>
      <c r="L215"/>
    </row>
    <row r="216" spans="2:12">
      <c r="B216"/>
      <c r="C216"/>
      <c r="D216"/>
      <c r="E216"/>
      <c r="F216"/>
      <c r="G216" s="14"/>
      <c r="H216" s="566"/>
      <c r="I216"/>
      <c r="J216"/>
      <c r="L216"/>
    </row>
    <row r="217" spans="2:12">
      <c r="B217"/>
      <c r="C217"/>
      <c r="D217"/>
      <c r="E217"/>
      <c r="F217"/>
      <c r="G217" s="14"/>
      <c r="H217" s="566"/>
      <c r="I217"/>
      <c r="J217"/>
      <c r="L217"/>
    </row>
    <row r="218" spans="2:12">
      <c r="B218"/>
      <c r="C218"/>
      <c r="D218"/>
      <c r="E218"/>
      <c r="F218"/>
      <c r="G218" s="14"/>
      <c r="H218" s="566"/>
      <c r="I218"/>
      <c r="J218"/>
      <c r="L218"/>
    </row>
    <row r="219" spans="2:12">
      <c r="B219"/>
      <c r="C219"/>
      <c r="D219"/>
      <c r="E219"/>
      <c r="F219"/>
      <c r="G219" s="14"/>
      <c r="H219" s="566"/>
      <c r="I219"/>
      <c r="J219"/>
      <c r="L219"/>
    </row>
    <row r="220" spans="2:12">
      <c r="B220"/>
      <c r="C220"/>
      <c r="D220"/>
      <c r="E220"/>
      <c r="F220"/>
      <c r="G220" s="14"/>
      <c r="H220" s="566"/>
      <c r="I220"/>
      <c r="J220"/>
      <c r="L220"/>
    </row>
    <row r="221" spans="2:12">
      <c r="B221"/>
      <c r="C221"/>
      <c r="D221"/>
      <c r="E221"/>
      <c r="F221"/>
      <c r="G221" s="14"/>
      <c r="H221" s="566"/>
      <c r="I221"/>
      <c r="J221"/>
      <c r="L221"/>
    </row>
    <row r="222" spans="2:12">
      <c r="B222"/>
      <c r="C222"/>
      <c r="D222"/>
      <c r="E222"/>
      <c r="F222"/>
      <c r="G222" s="14"/>
      <c r="H222" s="566"/>
      <c r="I222"/>
      <c r="J222"/>
      <c r="L222"/>
    </row>
    <row r="223" spans="2:12">
      <c r="B223"/>
      <c r="C223"/>
      <c r="D223"/>
      <c r="E223"/>
      <c r="F223"/>
      <c r="G223" s="14"/>
      <c r="H223" s="566"/>
      <c r="I223"/>
      <c r="J223"/>
      <c r="L223"/>
    </row>
    <row r="224" spans="2:12">
      <c r="B224"/>
      <c r="C224"/>
      <c r="D224"/>
      <c r="E224"/>
      <c r="F224"/>
      <c r="G224" s="14"/>
      <c r="H224" s="566"/>
      <c r="I224"/>
      <c r="J224"/>
      <c r="L224"/>
    </row>
    <row r="225" spans="2:12">
      <c r="B225"/>
      <c r="C225"/>
      <c r="D225"/>
      <c r="E225"/>
      <c r="F225"/>
      <c r="G225" s="14"/>
      <c r="H225" s="566"/>
      <c r="I225"/>
      <c r="J225"/>
      <c r="L225"/>
    </row>
    <row r="226" spans="2:12">
      <c r="B226"/>
      <c r="C226"/>
      <c r="D226"/>
      <c r="E226"/>
      <c r="F226"/>
      <c r="G226" s="14"/>
      <c r="H226" s="566"/>
      <c r="I226"/>
      <c r="J226"/>
      <c r="L226"/>
    </row>
    <row r="227" spans="2:12">
      <c r="B227"/>
      <c r="C227"/>
      <c r="D227"/>
      <c r="E227"/>
      <c r="F227"/>
      <c r="G227" s="14"/>
      <c r="H227" s="566"/>
      <c r="I227"/>
      <c r="J227"/>
      <c r="L227"/>
    </row>
    <row r="228" spans="2:12">
      <c r="B228"/>
      <c r="C228"/>
      <c r="D228"/>
      <c r="E228"/>
      <c r="F228"/>
      <c r="G228" s="14"/>
      <c r="H228" s="566"/>
      <c r="I228"/>
      <c r="J228"/>
      <c r="L228"/>
    </row>
    <row r="229" spans="2:12">
      <c r="B229"/>
      <c r="C229"/>
      <c r="D229"/>
      <c r="E229"/>
      <c r="F229"/>
      <c r="G229" s="14"/>
      <c r="H229" s="566"/>
      <c r="I229"/>
      <c r="J229"/>
      <c r="L229"/>
    </row>
    <row r="230" spans="2:12">
      <c r="B230"/>
      <c r="C230"/>
      <c r="D230"/>
      <c r="E230"/>
      <c r="F230"/>
      <c r="G230" s="14"/>
      <c r="H230" s="566"/>
      <c r="I230"/>
      <c r="J230"/>
      <c r="L230"/>
    </row>
    <row r="231" spans="2:12">
      <c r="B231"/>
      <c r="C231"/>
      <c r="D231"/>
      <c r="E231"/>
      <c r="F231"/>
      <c r="G231" s="14"/>
      <c r="H231" s="566"/>
      <c r="I231"/>
      <c r="J231"/>
      <c r="L231"/>
    </row>
    <row r="232" spans="2:12">
      <c r="B232"/>
      <c r="C232"/>
      <c r="D232"/>
      <c r="E232"/>
      <c r="F232"/>
      <c r="G232" s="14"/>
      <c r="H232" s="566"/>
      <c r="I232"/>
      <c r="J232"/>
      <c r="L232"/>
    </row>
    <row r="233" spans="2:12">
      <c r="B233"/>
      <c r="C233"/>
      <c r="D233"/>
      <c r="E233"/>
      <c r="F233"/>
      <c r="G233" s="14"/>
      <c r="H233" s="566"/>
      <c r="I233"/>
      <c r="J233"/>
      <c r="L233"/>
    </row>
    <row r="234" spans="2:12">
      <c r="B234"/>
      <c r="C234"/>
      <c r="D234"/>
      <c r="E234"/>
      <c r="F234"/>
      <c r="G234" s="14"/>
      <c r="H234" s="566"/>
      <c r="I234"/>
      <c r="J234"/>
      <c r="L234"/>
    </row>
    <row r="235" spans="2:12">
      <c r="B235"/>
      <c r="C235"/>
      <c r="D235"/>
      <c r="E235"/>
      <c r="F235"/>
      <c r="G235" s="14"/>
      <c r="H235" s="566"/>
      <c r="I235"/>
      <c r="J235"/>
      <c r="L235"/>
    </row>
    <row r="236" spans="2:12">
      <c r="B236"/>
      <c r="C236"/>
      <c r="D236"/>
      <c r="E236"/>
      <c r="F236"/>
      <c r="G236" s="14"/>
      <c r="H236" s="566"/>
      <c r="I236"/>
      <c r="J236"/>
      <c r="L236"/>
    </row>
    <row r="237" spans="2:12">
      <c r="B237"/>
      <c r="C237"/>
      <c r="D237"/>
      <c r="E237"/>
      <c r="F237"/>
      <c r="G237" s="14"/>
      <c r="H237" s="566"/>
      <c r="I237"/>
      <c r="J237"/>
      <c r="L237"/>
    </row>
    <row r="238" spans="2:12">
      <c r="B238"/>
      <c r="C238"/>
      <c r="D238"/>
      <c r="E238"/>
      <c r="F238"/>
      <c r="G238" s="14"/>
      <c r="H238" s="566"/>
      <c r="I238"/>
      <c r="J238"/>
      <c r="L238"/>
    </row>
    <row r="239" spans="2:12">
      <c r="B239"/>
      <c r="C239"/>
      <c r="D239"/>
      <c r="E239"/>
      <c r="F239"/>
      <c r="G239" s="14"/>
      <c r="H239" s="566"/>
      <c r="I239"/>
      <c r="J239"/>
      <c r="L239"/>
    </row>
    <row r="240" spans="2:12">
      <c r="B240"/>
      <c r="C240"/>
      <c r="D240"/>
      <c r="E240"/>
      <c r="F240"/>
      <c r="G240" s="14"/>
      <c r="H240" s="566"/>
      <c r="I240"/>
      <c r="J240"/>
      <c r="L240"/>
    </row>
    <row r="241" spans="2:12">
      <c r="B241"/>
      <c r="C241"/>
      <c r="D241"/>
      <c r="E241"/>
      <c r="F241"/>
      <c r="G241" s="14"/>
      <c r="H241" s="566"/>
      <c r="I241"/>
      <c r="J241"/>
      <c r="L241"/>
    </row>
    <row r="242" spans="2:12">
      <c r="B242"/>
      <c r="C242"/>
      <c r="D242"/>
      <c r="E242"/>
      <c r="F242"/>
      <c r="G242" s="14"/>
      <c r="H242" s="566"/>
      <c r="I242"/>
      <c r="J242"/>
      <c r="L242"/>
    </row>
    <row r="243" spans="2:12">
      <c r="B243"/>
      <c r="C243"/>
      <c r="D243"/>
      <c r="E243"/>
      <c r="F243"/>
      <c r="G243" s="14"/>
      <c r="H243" s="566"/>
      <c r="I243"/>
      <c r="J243"/>
      <c r="L243"/>
    </row>
    <row r="244" spans="2:12">
      <c r="B244"/>
      <c r="C244"/>
      <c r="D244"/>
      <c r="E244"/>
      <c r="F244"/>
      <c r="G244" s="14"/>
      <c r="H244" s="566"/>
      <c r="I244"/>
      <c r="J244"/>
      <c r="L244"/>
    </row>
    <row r="245" spans="2:12">
      <c r="B245"/>
      <c r="C245"/>
      <c r="D245"/>
      <c r="E245"/>
      <c r="F245"/>
      <c r="G245" s="14"/>
      <c r="H245" s="566"/>
      <c r="I245"/>
      <c r="J245"/>
      <c r="L245"/>
    </row>
    <row r="246" spans="2:12">
      <c r="B246"/>
      <c r="C246"/>
      <c r="D246"/>
      <c r="E246"/>
      <c r="F246"/>
      <c r="G246" s="14"/>
      <c r="H246" s="566"/>
      <c r="I246"/>
      <c r="J246"/>
      <c r="L246"/>
    </row>
    <row r="247" spans="2:12">
      <c r="B247"/>
      <c r="C247"/>
      <c r="D247"/>
      <c r="E247"/>
      <c r="F247"/>
      <c r="G247" s="14"/>
      <c r="H247" s="566"/>
      <c r="I247"/>
      <c r="J247"/>
      <c r="L247"/>
    </row>
    <row r="248" spans="2:12">
      <c r="B248"/>
      <c r="C248"/>
      <c r="D248"/>
      <c r="E248"/>
      <c r="F248"/>
      <c r="G248" s="14"/>
      <c r="H248" s="566"/>
      <c r="I248"/>
      <c r="J248"/>
      <c r="L248"/>
    </row>
    <row r="249" spans="2:12">
      <c r="B249"/>
      <c r="C249"/>
      <c r="D249"/>
      <c r="E249"/>
      <c r="F249"/>
      <c r="G249" s="14"/>
      <c r="H249" s="566"/>
      <c r="I249"/>
      <c r="J249"/>
      <c r="L249"/>
    </row>
    <row r="250" spans="2:12">
      <c r="B250"/>
      <c r="C250"/>
      <c r="D250"/>
      <c r="E250"/>
      <c r="F250"/>
      <c r="G250" s="14"/>
      <c r="H250" s="566"/>
      <c r="I250"/>
      <c r="J250"/>
      <c r="L250"/>
    </row>
    <row r="251" spans="2:12">
      <c r="B251"/>
      <c r="C251"/>
      <c r="D251"/>
      <c r="E251"/>
      <c r="F251"/>
      <c r="G251" s="14"/>
      <c r="H251" s="566"/>
      <c r="I251"/>
      <c r="J251"/>
      <c r="L251"/>
    </row>
    <row r="252" spans="2:12">
      <c r="B252"/>
      <c r="C252"/>
      <c r="D252"/>
      <c r="E252"/>
      <c r="F252"/>
      <c r="G252" s="14"/>
      <c r="H252" s="566"/>
      <c r="I252"/>
      <c r="J252"/>
      <c r="L252"/>
    </row>
    <row r="253" spans="2:12">
      <c r="B253"/>
      <c r="C253"/>
      <c r="D253"/>
      <c r="E253"/>
      <c r="F253"/>
      <c r="G253" s="14"/>
      <c r="H253" s="566"/>
      <c r="I253"/>
      <c r="J253"/>
      <c r="L253"/>
    </row>
    <row r="254" spans="2:12">
      <c r="B254"/>
      <c r="C254"/>
      <c r="D254"/>
      <c r="E254"/>
      <c r="F254"/>
      <c r="G254" s="14"/>
      <c r="H254" s="566"/>
      <c r="I254"/>
      <c r="J254"/>
      <c r="L254"/>
    </row>
    <row r="255" spans="2:12">
      <c r="B255"/>
      <c r="C255"/>
      <c r="D255"/>
      <c r="E255"/>
      <c r="F255"/>
      <c r="G255" s="14"/>
      <c r="H255" s="566"/>
      <c r="I255"/>
      <c r="J255"/>
      <c r="L255"/>
    </row>
    <row r="256" spans="2:12">
      <c r="B256"/>
      <c r="C256"/>
      <c r="D256"/>
      <c r="E256"/>
      <c r="F256"/>
      <c r="G256" s="14"/>
      <c r="H256" s="566"/>
      <c r="I256"/>
      <c r="J256"/>
      <c r="L256"/>
    </row>
    <row r="257" spans="2:12">
      <c r="B257"/>
      <c r="C257"/>
      <c r="D257"/>
      <c r="E257"/>
      <c r="F257"/>
      <c r="G257" s="14"/>
      <c r="H257" s="566"/>
      <c r="I257"/>
      <c r="J257"/>
      <c r="L257"/>
    </row>
    <row r="258" spans="2:12">
      <c r="B258"/>
      <c r="C258"/>
      <c r="D258"/>
      <c r="E258"/>
      <c r="F258"/>
      <c r="G258" s="14"/>
      <c r="H258" s="566"/>
      <c r="I258"/>
      <c r="J258"/>
      <c r="L258"/>
    </row>
    <row r="259" spans="2:12">
      <c r="B259"/>
      <c r="C259"/>
      <c r="D259"/>
      <c r="E259"/>
      <c r="F259"/>
      <c r="G259" s="14"/>
      <c r="H259" s="566"/>
      <c r="I259"/>
      <c r="J259"/>
      <c r="L259"/>
    </row>
    <row r="260" spans="2:12">
      <c r="B260"/>
      <c r="C260"/>
      <c r="D260"/>
      <c r="E260"/>
      <c r="F260"/>
      <c r="G260" s="14"/>
      <c r="H260" s="566"/>
      <c r="I260"/>
      <c r="J260"/>
      <c r="L260"/>
    </row>
    <row r="261" spans="2:12">
      <c r="B261"/>
      <c r="C261"/>
      <c r="D261"/>
      <c r="E261"/>
      <c r="F261"/>
      <c r="G261" s="14"/>
      <c r="H261" s="566"/>
      <c r="I261"/>
      <c r="J261"/>
      <c r="L261"/>
    </row>
    <row r="262" spans="2:12">
      <c r="B262"/>
      <c r="C262"/>
      <c r="D262"/>
      <c r="E262"/>
      <c r="F262"/>
      <c r="G262" s="14"/>
      <c r="H262" s="566"/>
      <c r="I262"/>
      <c r="J262"/>
      <c r="L262"/>
    </row>
    <row r="263" spans="2:12">
      <c r="B263"/>
      <c r="C263"/>
      <c r="D263"/>
      <c r="E263"/>
      <c r="F263"/>
      <c r="G263" s="14"/>
      <c r="H263" s="566"/>
      <c r="I263"/>
      <c r="J263"/>
      <c r="L263"/>
    </row>
    <row r="264" spans="2:12">
      <c r="B264"/>
      <c r="C264"/>
      <c r="D264"/>
      <c r="E264"/>
      <c r="F264"/>
      <c r="G264" s="14"/>
      <c r="H264" s="566"/>
      <c r="I264"/>
      <c r="J264"/>
      <c r="L264"/>
    </row>
    <row r="265" spans="2:12">
      <c r="B265"/>
      <c r="C265"/>
      <c r="D265"/>
      <c r="E265"/>
      <c r="F265"/>
      <c r="G265" s="14"/>
      <c r="H265" s="566"/>
      <c r="I265"/>
      <c r="J265"/>
      <c r="L265"/>
    </row>
    <row r="266" spans="2:12">
      <c r="B266"/>
      <c r="C266"/>
      <c r="D266"/>
      <c r="E266"/>
      <c r="F266"/>
      <c r="G266" s="14"/>
      <c r="H266" s="566"/>
      <c r="I266"/>
      <c r="J266"/>
      <c r="L266"/>
    </row>
    <row r="267" spans="2:12">
      <c r="B267"/>
      <c r="C267"/>
      <c r="D267"/>
      <c r="E267"/>
      <c r="F267"/>
      <c r="G267" s="14"/>
      <c r="H267" s="566"/>
      <c r="I267"/>
      <c r="J267"/>
      <c r="L267"/>
    </row>
    <row r="268" spans="2:12">
      <c r="B268"/>
      <c r="C268"/>
      <c r="D268"/>
      <c r="E268"/>
      <c r="F268"/>
      <c r="G268" s="14"/>
      <c r="H268" s="566"/>
      <c r="I268"/>
      <c r="J268"/>
      <c r="L268"/>
    </row>
    <row r="269" spans="2:12">
      <c r="B269"/>
      <c r="C269"/>
      <c r="D269"/>
      <c r="E269"/>
      <c r="F269"/>
      <c r="G269" s="14"/>
      <c r="H269" s="566"/>
      <c r="I269"/>
      <c r="J269"/>
      <c r="L269"/>
    </row>
    <row r="270" spans="2:12">
      <c r="B270"/>
      <c r="C270"/>
      <c r="D270"/>
      <c r="E270"/>
      <c r="F270"/>
      <c r="G270" s="14"/>
      <c r="H270" s="566"/>
      <c r="I270"/>
      <c r="J270"/>
      <c r="L270"/>
    </row>
    <row r="271" spans="2:12">
      <c r="B271"/>
      <c r="C271"/>
      <c r="D271"/>
      <c r="E271"/>
      <c r="F271"/>
      <c r="G271" s="14"/>
      <c r="H271" s="566"/>
      <c r="I271"/>
      <c r="J271"/>
      <c r="L271"/>
    </row>
    <row r="272" spans="2:12">
      <c r="B272"/>
      <c r="C272"/>
      <c r="D272"/>
      <c r="E272"/>
      <c r="F272"/>
      <c r="G272" s="14"/>
      <c r="H272" s="566"/>
      <c r="I272"/>
      <c r="J272"/>
      <c r="L272"/>
    </row>
    <row r="273" spans="2:12">
      <c r="B273"/>
      <c r="C273"/>
      <c r="D273"/>
      <c r="E273"/>
      <c r="F273"/>
      <c r="G273" s="14"/>
      <c r="H273" s="566"/>
      <c r="I273"/>
      <c r="J273"/>
      <c r="L273"/>
    </row>
    <row r="274" spans="2:12">
      <c r="B274"/>
      <c r="C274"/>
      <c r="D274"/>
      <c r="E274"/>
      <c r="F274"/>
      <c r="G274" s="14"/>
      <c r="H274" s="566"/>
      <c r="I274"/>
      <c r="J274"/>
      <c r="L274"/>
    </row>
    <row r="275" spans="2:12">
      <c r="B275"/>
      <c r="C275"/>
      <c r="D275"/>
      <c r="E275"/>
      <c r="F275"/>
      <c r="G275" s="14"/>
      <c r="H275" s="566"/>
      <c r="I275"/>
      <c r="J275"/>
      <c r="L275"/>
    </row>
    <row r="276" spans="2:12">
      <c r="B276"/>
      <c r="C276"/>
      <c r="D276"/>
      <c r="E276"/>
      <c r="F276"/>
      <c r="G276" s="14"/>
      <c r="H276" s="566"/>
      <c r="I276"/>
      <c r="J276"/>
      <c r="L276"/>
    </row>
    <row r="277" spans="2:12">
      <c r="B277"/>
      <c r="C277"/>
      <c r="D277"/>
      <c r="E277"/>
      <c r="F277"/>
      <c r="G277" s="14"/>
      <c r="H277" s="566"/>
      <c r="I277"/>
      <c r="J277"/>
      <c r="L277"/>
    </row>
    <row r="278" spans="2:12">
      <c r="B278"/>
      <c r="C278"/>
      <c r="D278"/>
      <c r="E278"/>
      <c r="F278"/>
      <c r="G278" s="14"/>
      <c r="H278" s="566"/>
      <c r="I278"/>
      <c r="J278"/>
      <c r="L278"/>
    </row>
    <row r="279" spans="2:12">
      <c r="B279"/>
      <c r="C279"/>
      <c r="D279"/>
      <c r="E279"/>
      <c r="F279"/>
      <c r="G279" s="14"/>
      <c r="H279" s="566"/>
      <c r="I279"/>
      <c r="J279"/>
      <c r="L279"/>
    </row>
    <row r="280" spans="2:12">
      <c r="B280"/>
      <c r="C280"/>
      <c r="D280"/>
      <c r="E280"/>
      <c r="F280"/>
      <c r="G280" s="14"/>
      <c r="H280" s="566"/>
      <c r="I280"/>
      <c r="J280"/>
      <c r="L280"/>
    </row>
    <row r="281" spans="2:12">
      <c r="B281"/>
      <c r="C281"/>
      <c r="D281"/>
      <c r="E281"/>
      <c r="F281"/>
      <c r="G281" s="14"/>
      <c r="H281" s="566"/>
      <c r="I281"/>
      <c r="J281"/>
      <c r="L281"/>
    </row>
    <row r="282" spans="2:12">
      <c r="B282"/>
      <c r="C282"/>
      <c r="D282"/>
      <c r="E282"/>
      <c r="F282"/>
      <c r="G282" s="14"/>
      <c r="H282" s="566"/>
      <c r="I282"/>
      <c r="J282"/>
      <c r="L282"/>
    </row>
    <row r="283" spans="2:12">
      <c r="B283"/>
      <c r="C283"/>
      <c r="D283"/>
      <c r="E283"/>
      <c r="F283"/>
      <c r="G283" s="14"/>
      <c r="H283" s="566"/>
      <c r="I283"/>
      <c r="J283"/>
      <c r="L283"/>
    </row>
    <row r="284" spans="2:12">
      <c r="B284"/>
      <c r="C284"/>
      <c r="D284"/>
      <c r="E284"/>
      <c r="F284"/>
      <c r="G284" s="14"/>
      <c r="H284" s="566"/>
      <c r="I284"/>
      <c r="J284"/>
      <c r="L284"/>
    </row>
    <row r="285" spans="2:12">
      <c r="B285"/>
      <c r="C285"/>
      <c r="D285"/>
      <c r="E285"/>
      <c r="F285"/>
      <c r="G285" s="14"/>
      <c r="H285" s="566"/>
      <c r="I285"/>
      <c r="J285"/>
      <c r="L285"/>
    </row>
    <row r="286" spans="2:12">
      <c r="B286"/>
      <c r="C286"/>
      <c r="D286"/>
      <c r="E286"/>
      <c r="F286"/>
      <c r="G286" s="14"/>
      <c r="H286" s="566"/>
      <c r="I286"/>
      <c r="J286"/>
      <c r="L286"/>
    </row>
    <row r="287" spans="2:12">
      <c r="B287"/>
      <c r="C287"/>
      <c r="D287"/>
      <c r="E287"/>
      <c r="F287"/>
      <c r="G287" s="14"/>
      <c r="H287" s="566"/>
      <c r="I287"/>
      <c r="J287"/>
      <c r="L287"/>
    </row>
    <row r="288" spans="2:12">
      <c r="B288"/>
      <c r="C288"/>
      <c r="D288"/>
      <c r="E288"/>
      <c r="F288"/>
      <c r="G288" s="14"/>
      <c r="H288" s="566"/>
      <c r="I288"/>
      <c r="J288"/>
      <c r="L288"/>
    </row>
    <row r="289" spans="2:12">
      <c r="B289"/>
      <c r="C289"/>
      <c r="D289"/>
      <c r="E289"/>
      <c r="F289"/>
      <c r="G289" s="14"/>
      <c r="H289" s="566"/>
      <c r="I289"/>
      <c r="J289"/>
      <c r="L289"/>
    </row>
    <row r="290" spans="2:12">
      <c r="B290"/>
      <c r="C290"/>
      <c r="D290"/>
      <c r="E290"/>
      <c r="F290"/>
      <c r="G290" s="14"/>
      <c r="H290" s="566"/>
      <c r="I290"/>
      <c r="J290"/>
      <c r="L290"/>
    </row>
    <row r="291" spans="2:12">
      <c r="B291"/>
      <c r="C291"/>
      <c r="D291"/>
      <c r="E291"/>
      <c r="F291"/>
      <c r="G291" s="14"/>
      <c r="H291" s="566"/>
      <c r="I291"/>
      <c r="J291"/>
      <c r="L291"/>
    </row>
    <row r="292" spans="2:12">
      <c r="B292"/>
      <c r="C292"/>
      <c r="D292"/>
      <c r="E292"/>
      <c r="F292"/>
      <c r="G292" s="14"/>
      <c r="H292" s="566"/>
      <c r="I292"/>
      <c r="J292"/>
      <c r="L292"/>
    </row>
    <row r="293" spans="2:12">
      <c r="B293"/>
      <c r="C293"/>
      <c r="D293"/>
      <c r="E293"/>
      <c r="F293"/>
      <c r="G293" s="14"/>
      <c r="H293" s="566"/>
      <c r="I293"/>
      <c r="J293"/>
      <c r="L293"/>
    </row>
    <row r="294" spans="2:12">
      <c r="B294"/>
      <c r="C294"/>
      <c r="D294"/>
      <c r="E294"/>
      <c r="F294"/>
      <c r="G294" s="14"/>
      <c r="H294" s="566"/>
      <c r="I294"/>
      <c r="J294"/>
      <c r="L294"/>
    </row>
    <row r="295" spans="2:12">
      <c r="B295"/>
      <c r="C295"/>
      <c r="D295"/>
      <c r="E295"/>
      <c r="F295"/>
      <c r="G295" s="14"/>
      <c r="H295" s="566"/>
      <c r="I295"/>
      <c r="J295"/>
      <c r="L295"/>
    </row>
    <row r="296" spans="2:12">
      <c r="B296"/>
      <c r="C296"/>
      <c r="D296"/>
      <c r="E296"/>
      <c r="F296"/>
      <c r="G296" s="14"/>
      <c r="H296" s="566"/>
      <c r="I296"/>
      <c r="J296"/>
      <c r="L296"/>
    </row>
    <row r="297" spans="2:12">
      <c r="B297"/>
      <c r="C297"/>
      <c r="D297"/>
      <c r="E297"/>
      <c r="F297"/>
      <c r="G297" s="14"/>
      <c r="H297" s="566"/>
      <c r="I297"/>
      <c r="J297"/>
      <c r="L297"/>
    </row>
    <row r="298" spans="2:12">
      <c r="B298"/>
      <c r="C298"/>
      <c r="D298"/>
      <c r="E298"/>
      <c r="F298"/>
      <c r="G298" s="14"/>
      <c r="H298" s="566"/>
      <c r="I298"/>
      <c r="J298"/>
      <c r="L298"/>
    </row>
    <row r="299" spans="2:12">
      <c r="B299"/>
      <c r="C299"/>
      <c r="D299"/>
      <c r="E299"/>
      <c r="F299"/>
      <c r="G299" s="14"/>
      <c r="H299" s="566"/>
      <c r="I299"/>
      <c r="J299"/>
      <c r="L299"/>
    </row>
    <row r="300" spans="2:12">
      <c r="B300"/>
      <c r="C300"/>
      <c r="D300"/>
      <c r="E300"/>
      <c r="F300"/>
      <c r="G300" s="14"/>
      <c r="H300" s="566"/>
      <c r="I300"/>
      <c r="J300"/>
      <c r="L300"/>
    </row>
    <row r="301" spans="2:12">
      <c r="B301"/>
      <c r="C301"/>
      <c r="D301"/>
      <c r="E301"/>
      <c r="F301"/>
      <c r="G301" s="14"/>
      <c r="H301" s="566"/>
      <c r="I301"/>
      <c r="J301"/>
      <c r="L301"/>
    </row>
    <row r="302" spans="2:12">
      <c r="B302"/>
      <c r="C302"/>
      <c r="D302"/>
      <c r="E302"/>
      <c r="F302"/>
      <c r="G302" s="14"/>
      <c r="H302" s="566"/>
      <c r="I302"/>
      <c r="J302"/>
      <c r="L302"/>
    </row>
    <row r="303" spans="2:12">
      <c r="B303"/>
      <c r="C303"/>
      <c r="D303"/>
      <c r="E303"/>
      <c r="F303"/>
      <c r="G303" s="14"/>
      <c r="H303" s="566"/>
      <c r="I303"/>
      <c r="J303"/>
      <c r="L303"/>
    </row>
    <row r="304" spans="2:12">
      <c r="B304"/>
      <c r="C304"/>
      <c r="D304"/>
      <c r="E304"/>
      <c r="F304"/>
      <c r="G304" s="14"/>
      <c r="H304" s="566"/>
      <c r="I304"/>
      <c r="J304"/>
      <c r="L304"/>
    </row>
    <row r="305" spans="2:12">
      <c r="B305"/>
      <c r="C305"/>
      <c r="D305"/>
      <c r="E305"/>
      <c r="F305"/>
      <c r="G305" s="14"/>
      <c r="H305" s="566"/>
      <c r="I305"/>
      <c r="J305"/>
      <c r="L305"/>
    </row>
    <row r="306" spans="2:12">
      <c r="B306"/>
      <c r="C306"/>
      <c r="D306"/>
      <c r="E306"/>
      <c r="F306"/>
      <c r="G306" s="14"/>
      <c r="H306" s="566"/>
      <c r="I306"/>
      <c r="J306"/>
      <c r="L306"/>
    </row>
    <row r="307" spans="2:12">
      <c r="B307"/>
      <c r="C307"/>
      <c r="D307"/>
      <c r="E307"/>
      <c r="F307"/>
      <c r="G307" s="14"/>
      <c r="H307" s="566"/>
      <c r="I307"/>
      <c r="J307"/>
      <c r="L307"/>
    </row>
    <row r="308" spans="2:12">
      <c r="B308"/>
      <c r="C308"/>
      <c r="D308"/>
      <c r="E308"/>
      <c r="F308"/>
      <c r="G308" s="14"/>
      <c r="H308" s="566"/>
      <c r="I308"/>
      <c r="J308"/>
      <c r="L308"/>
    </row>
    <row r="309" spans="2:12">
      <c r="B309"/>
      <c r="C309"/>
      <c r="D309"/>
      <c r="E309"/>
      <c r="F309"/>
      <c r="G309" s="14"/>
      <c r="H309" s="566"/>
      <c r="I309"/>
      <c r="J309"/>
      <c r="L309"/>
    </row>
    <row r="310" spans="2:12">
      <c r="B310"/>
      <c r="C310"/>
      <c r="D310"/>
      <c r="E310"/>
      <c r="F310"/>
      <c r="G310" s="14"/>
      <c r="H310" s="566"/>
      <c r="I310"/>
      <c r="J310"/>
      <c r="L310"/>
    </row>
    <row r="311" spans="2:12">
      <c r="B311"/>
      <c r="C311"/>
      <c r="D311"/>
      <c r="E311"/>
      <c r="F311"/>
      <c r="G311" s="14"/>
      <c r="H311" s="566"/>
      <c r="I311"/>
      <c r="J311"/>
      <c r="L311"/>
    </row>
    <row r="312" spans="2:12">
      <c r="B312"/>
      <c r="C312"/>
      <c r="D312"/>
      <c r="E312"/>
      <c r="F312"/>
      <c r="G312" s="14"/>
      <c r="H312" s="566"/>
      <c r="I312"/>
      <c r="J312"/>
      <c r="L312"/>
    </row>
    <row r="313" spans="2:12">
      <c r="B313"/>
      <c r="C313"/>
      <c r="D313"/>
      <c r="E313"/>
      <c r="F313"/>
      <c r="G313" s="14"/>
      <c r="H313" s="566"/>
      <c r="I313"/>
      <c r="J313"/>
      <c r="L313"/>
    </row>
    <row r="314" spans="2:12">
      <c r="B314"/>
      <c r="C314"/>
      <c r="D314"/>
      <c r="E314"/>
      <c r="F314"/>
      <c r="G314" s="14"/>
      <c r="H314" s="566"/>
      <c r="I314"/>
      <c r="J314"/>
      <c r="L314"/>
    </row>
    <row r="315" spans="2:12">
      <c r="B315"/>
      <c r="C315"/>
      <c r="D315"/>
      <c r="E315"/>
      <c r="F315"/>
      <c r="G315" s="14"/>
      <c r="H315" s="566"/>
      <c r="I315"/>
      <c r="J315"/>
      <c r="L315"/>
    </row>
    <row r="316" spans="2:12">
      <c r="B316"/>
      <c r="C316"/>
      <c r="D316"/>
      <c r="E316"/>
      <c r="F316"/>
      <c r="G316" s="14"/>
      <c r="H316" s="566"/>
      <c r="I316"/>
      <c r="J316"/>
      <c r="L316"/>
    </row>
    <row r="317" spans="2:12">
      <c r="B317"/>
      <c r="C317"/>
      <c r="D317"/>
      <c r="E317"/>
      <c r="F317"/>
      <c r="G317" s="14"/>
      <c r="H317" s="566"/>
      <c r="I317"/>
      <c r="J317"/>
      <c r="L317"/>
    </row>
    <row r="318" spans="2:12">
      <c r="B318"/>
      <c r="C318"/>
      <c r="D318"/>
      <c r="E318"/>
      <c r="F318"/>
      <c r="G318" s="14"/>
      <c r="H318" s="566"/>
      <c r="I318"/>
      <c r="J318"/>
      <c r="L318"/>
    </row>
    <row r="319" spans="2:12">
      <c r="B319"/>
      <c r="C319"/>
      <c r="D319"/>
      <c r="E319"/>
      <c r="F319"/>
      <c r="G319" s="14"/>
      <c r="H319" s="566"/>
      <c r="I319"/>
      <c r="J319"/>
      <c r="L319"/>
    </row>
    <row r="320" spans="2:12">
      <c r="B320"/>
      <c r="C320"/>
      <c r="D320"/>
      <c r="E320"/>
      <c r="F320"/>
      <c r="G320" s="14"/>
      <c r="H320" s="566"/>
      <c r="I320"/>
      <c r="J320"/>
      <c r="L320"/>
    </row>
    <row r="321" spans="2:12">
      <c r="B321"/>
      <c r="C321"/>
      <c r="D321"/>
      <c r="E321"/>
      <c r="F321"/>
      <c r="G321" s="14"/>
      <c r="H321" s="566"/>
      <c r="I321"/>
      <c r="J321"/>
      <c r="L321"/>
    </row>
    <row r="322" spans="2:12">
      <c r="B322"/>
      <c r="C322"/>
      <c r="D322"/>
      <c r="E322"/>
      <c r="F322"/>
      <c r="G322" s="14"/>
      <c r="H322" s="566"/>
      <c r="I322"/>
      <c r="J322"/>
      <c r="L322"/>
    </row>
    <row r="323" spans="2:12">
      <c r="B323"/>
      <c r="C323"/>
      <c r="D323"/>
      <c r="E323"/>
      <c r="F323"/>
      <c r="G323" s="14"/>
      <c r="H323" s="566"/>
      <c r="I323"/>
      <c r="J323"/>
      <c r="L323"/>
    </row>
    <row r="324" spans="2:12">
      <c r="B324"/>
      <c r="C324"/>
      <c r="D324"/>
      <c r="E324"/>
      <c r="F324"/>
      <c r="G324" s="14"/>
      <c r="H324" s="566"/>
      <c r="I324"/>
      <c r="J324"/>
      <c r="L324"/>
    </row>
    <row r="325" spans="2:12">
      <c r="B325"/>
      <c r="C325"/>
      <c r="D325"/>
      <c r="E325"/>
      <c r="F325"/>
      <c r="G325" s="14"/>
      <c r="H325" s="566"/>
      <c r="I325"/>
      <c r="J325"/>
      <c r="L325"/>
    </row>
    <row r="326" spans="2:12">
      <c r="B326"/>
      <c r="C326"/>
      <c r="D326"/>
      <c r="E326"/>
      <c r="F326"/>
      <c r="G326" s="14"/>
      <c r="H326" s="566"/>
      <c r="I326"/>
      <c r="J326"/>
      <c r="L326"/>
    </row>
    <row r="327" spans="2:12">
      <c r="B327"/>
      <c r="C327"/>
      <c r="D327"/>
      <c r="E327"/>
      <c r="F327"/>
      <c r="G327" s="14"/>
      <c r="H327" s="566"/>
      <c r="I327"/>
      <c r="J327"/>
      <c r="L327"/>
    </row>
    <row r="328" spans="2:12">
      <c r="B328"/>
      <c r="C328"/>
      <c r="D328"/>
      <c r="E328"/>
      <c r="F328"/>
      <c r="G328" s="14"/>
      <c r="H328" s="566"/>
      <c r="I328"/>
      <c r="J328"/>
      <c r="L328"/>
    </row>
    <row r="329" spans="2:12">
      <c r="B329"/>
      <c r="C329"/>
      <c r="D329"/>
      <c r="E329"/>
      <c r="F329"/>
      <c r="G329" s="14"/>
      <c r="H329" s="566"/>
      <c r="I329"/>
      <c r="J329"/>
      <c r="L329"/>
    </row>
    <row r="330" spans="2:12">
      <c r="B330"/>
      <c r="C330"/>
      <c r="D330"/>
      <c r="E330"/>
      <c r="F330"/>
      <c r="G330" s="14"/>
      <c r="H330" s="566"/>
      <c r="I330"/>
      <c r="J330"/>
      <c r="L330"/>
    </row>
    <row r="331" spans="2:12">
      <c r="B331"/>
      <c r="C331"/>
      <c r="D331"/>
      <c r="E331"/>
      <c r="F331"/>
      <c r="G331" s="14"/>
      <c r="H331" s="566"/>
      <c r="I331"/>
      <c r="J331"/>
      <c r="L331"/>
    </row>
    <row r="332" spans="2:12">
      <c r="B332"/>
      <c r="C332"/>
      <c r="D332"/>
      <c r="E332"/>
      <c r="F332"/>
      <c r="G332" s="14"/>
      <c r="H332" s="566"/>
      <c r="I332"/>
      <c r="J332"/>
      <c r="L332"/>
    </row>
    <row r="333" spans="2:12">
      <c r="B333"/>
      <c r="C333"/>
      <c r="D333"/>
      <c r="E333"/>
      <c r="F333"/>
      <c r="G333" s="14"/>
      <c r="H333" s="566"/>
      <c r="I333"/>
      <c r="J333"/>
      <c r="L333"/>
    </row>
    <row r="334" spans="2:12">
      <c r="B334"/>
      <c r="C334"/>
      <c r="D334"/>
      <c r="E334"/>
      <c r="F334"/>
      <c r="G334" s="14"/>
      <c r="H334" s="566"/>
      <c r="I334"/>
      <c r="J334"/>
      <c r="L334"/>
    </row>
    <row r="335" spans="2:12">
      <c r="B335"/>
      <c r="C335"/>
      <c r="D335"/>
      <c r="E335"/>
      <c r="F335"/>
      <c r="G335" s="14"/>
      <c r="H335" s="566"/>
      <c r="I335"/>
      <c r="J335"/>
      <c r="L335"/>
    </row>
    <row r="336" spans="2:12">
      <c r="B336"/>
      <c r="C336"/>
      <c r="D336"/>
      <c r="E336"/>
      <c r="F336"/>
      <c r="G336" s="14"/>
      <c r="H336" s="566"/>
      <c r="I336"/>
      <c r="J336"/>
      <c r="L336"/>
    </row>
    <row r="337" spans="2:12">
      <c r="B337"/>
      <c r="C337"/>
      <c r="D337"/>
      <c r="E337"/>
      <c r="F337"/>
      <c r="G337" s="14"/>
      <c r="H337" s="566"/>
      <c r="I337"/>
      <c r="J337"/>
      <c r="L337"/>
    </row>
    <row r="338" spans="2:12">
      <c r="B338"/>
      <c r="C338"/>
      <c r="D338"/>
      <c r="E338"/>
      <c r="F338"/>
      <c r="G338" s="14"/>
      <c r="H338" s="566"/>
      <c r="I338"/>
      <c r="J338"/>
      <c r="L338"/>
    </row>
    <row r="339" spans="2:12">
      <c r="B339"/>
      <c r="C339"/>
      <c r="D339"/>
      <c r="E339"/>
      <c r="F339"/>
      <c r="G339" s="14"/>
      <c r="H339" s="566"/>
      <c r="I339"/>
      <c r="J339"/>
      <c r="L339"/>
    </row>
    <row r="340" spans="2:12">
      <c r="B340"/>
      <c r="C340"/>
      <c r="D340"/>
      <c r="E340"/>
      <c r="F340"/>
      <c r="G340" s="14"/>
      <c r="H340" s="566"/>
      <c r="I340"/>
      <c r="J340"/>
      <c r="L340"/>
    </row>
    <row r="341" spans="2:12">
      <c r="B341"/>
      <c r="C341"/>
      <c r="D341"/>
      <c r="E341"/>
      <c r="F341"/>
      <c r="G341" s="14"/>
      <c r="H341" s="566"/>
      <c r="I341"/>
      <c r="J341"/>
      <c r="L341"/>
    </row>
    <row r="342" spans="2:12">
      <c r="B342"/>
      <c r="C342"/>
      <c r="D342"/>
      <c r="E342"/>
      <c r="F342"/>
      <c r="G342" s="14"/>
      <c r="H342" s="566"/>
      <c r="I342"/>
      <c r="J342"/>
      <c r="L342"/>
    </row>
    <row r="343" spans="2:12">
      <c r="B343"/>
      <c r="C343"/>
      <c r="D343"/>
      <c r="E343"/>
      <c r="F343"/>
      <c r="G343" s="14"/>
      <c r="H343" s="566"/>
      <c r="I343"/>
      <c r="J343"/>
      <c r="L343"/>
    </row>
    <row r="344" spans="2:12">
      <c r="B344"/>
      <c r="C344"/>
      <c r="D344"/>
      <c r="E344"/>
      <c r="F344"/>
      <c r="G344" s="14"/>
      <c r="H344" s="566"/>
      <c r="I344"/>
      <c r="J344"/>
      <c r="L344"/>
    </row>
    <row r="345" spans="2:12">
      <c r="B345"/>
      <c r="C345"/>
      <c r="D345"/>
      <c r="E345"/>
      <c r="F345"/>
      <c r="G345" s="14"/>
      <c r="H345" s="566"/>
      <c r="I345"/>
      <c r="J345"/>
      <c r="L345"/>
    </row>
    <row r="346" spans="2:12">
      <c r="B346"/>
      <c r="C346"/>
      <c r="D346"/>
      <c r="E346"/>
      <c r="F346"/>
      <c r="G346" s="14"/>
      <c r="H346" s="566"/>
      <c r="I346"/>
      <c r="J346"/>
      <c r="L346"/>
    </row>
    <row r="347" spans="2:12">
      <c r="B347"/>
      <c r="C347"/>
      <c r="D347"/>
      <c r="E347"/>
      <c r="F347"/>
      <c r="G347" s="14"/>
      <c r="H347" s="566"/>
      <c r="I347"/>
      <c r="J347"/>
      <c r="L347"/>
    </row>
    <row r="348" spans="2:12">
      <c r="B348"/>
      <c r="C348"/>
      <c r="D348"/>
      <c r="E348"/>
      <c r="F348"/>
      <c r="G348" s="14"/>
      <c r="H348" s="566"/>
      <c r="I348"/>
      <c r="J348"/>
      <c r="L348"/>
    </row>
    <row r="349" spans="2:12">
      <c r="B349"/>
      <c r="C349"/>
      <c r="D349"/>
      <c r="E349"/>
      <c r="F349"/>
      <c r="G349" s="14"/>
      <c r="H349" s="566"/>
      <c r="I349"/>
      <c r="J349"/>
      <c r="L349"/>
    </row>
    <row r="350" spans="2:12">
      <c r="B350"/>
      <c r="C350"/>
      <c r="D350"/>
      <c r="E350"/>
      <c r="F350"/>
      <c r="G350" s="14"/>
      <c r="H350" s="566"/>
      <c r="I350"/>
      <c r="J350"/>
      <c r="L350"/>
    </row>
    <row r="351" spans="2:12">
      <c r="B351"/>
      <c r="C351"/>
      <c r="D351"/>
      <c r="E351"/>
      <c r="F351"/>
      <c r="G351" s="14"/>
      <c r="H351" s="566"/>
      <c r="I351"/>
      <c r="J351"/>
      <c r="L351"/>
    </row>
    <row r="352" spans="2:12">
      <c r="B352"/>
      <c r="C352"/>
      <c r="D352"/>
      <c r="E352"/>
      <c r="F352"/>
      <c r="G352" s="14"/>
      <c r="H352" s="566"/>
      <c r="I352"/>
      <c r="J352"/>
      <c r="L352"/>
    </row>
    <row r="353" spans="2:12">
      <c r="B353"/>
      <c r="C353"/>
      <c r="D353"/>
      <c r="E353"/>
      <c r="F353"/>
      <c r="G353" s="14"/>
      <c r="H353" s="566"/>
      <c r="I353"/>
      <c r="J353"/>
      <c r="L353"/>
    </row>
    <row r="354" spans="2:12">
      <c r="B354"/>
      <c r="C354"/>
      <c r="D354"/>
      <c r="E354"/>
      <c r="F354"/>
      <c r="G354" s="14"/>
      <c r="H354" s="566"/>
      <c r="I354"/>
      <c r="J354"/>
      <c r="L354"/>
    </row>
    <row r="355" spans="2:12">
      <c r="B355"/>
      <c r="C355"/>
      <c r="D355"/>
      <c r="E355"/>
      <c r="F355"/>
      <c r="G355" s="14"/>
      <c r="H355" s="566"/>
      <c r="I355"/>
      <c r="J355"/>
      <c r="L355"/>
    </row>
    <row r="356" spans="2:12">
      <c r="B356"/>
      <c r="C356"/>
      <c r="D356"/>
      <c r="E356"/>
      <c r="F356"/>
      <c r="G356" s="14"/>
      <c r="H356" s="566"/>
      <c r="I356"/>
      <c r="J356"/>
      <c r="L356"/>
    </row>
    <row r="357" spans="2:12">
      <c r="B357"/>
      <c r="C357"/>
      <c r="D357"/>
      <c r="E357"/>
      <c r="F357"/>
      <c r="G357" s="14"/>
      <c r="H357" s="566"/>
      <c r="I357"/>
      <c r="J357"/>
      <c r="L357"/>
    </row>
    <row r="358" spans="2:12">
      <c r="B358"/>
      <c r="C358"/>
      <c r="D358"/>
      <c r="E358"/>
      <c r="F358"/>
      <c r="G358" s="14"/>
      <c r="H358" s="566"/>
      <c r="I358"/>
      <c r="J358"/>
      <c r="L358"/>
    </row>
    <row r="359" spans="2:12">
      <c r="B359"/>
      <c r="C359"/>
      <c r="D359"/>
      <c r="E359"/>
      <c r="F359"/>
      <c r="G359" s="14"/>
      <c r="H359" s="566"/>
      <c r="I359"/>
      <c r="J359"/>
      <c r="L359"/>
    </row>
    <row r="360" spans="2:12">
      <c r="B360"/>
      <c r="C360"/>
      <c r="D360"/>
      <c r="E360"/>
      <c r="F360"/>
      <c r="G360" s="14"/>
      <c r="H360" s="566"/>
      <c r="I360"/>
      <c r="J360"/>
      <c r="L360"/>
    </row>
    <row r="361" spans="2:12">
      <c r="B361"/>
      <c r="C361"/>
      <c r="D361"/>
      <c r="E361"/>
      <c r="F361"/>
      <c r="G361" s="14"/>
      <c r="H361" s="566"/>
      <c r="I361"/>
      <c r="J361"/>
      <c r="L361"/>
    </row>
    <row r="362" spans="2:12">
      <c r="B362"/>
      <c r="C362"/>
      <c r="D362"/>
      <c r="E362"/>
      <c r="F362"/>
      <c r="G362" s="14"/>
      <c r="H362" s="566"/>
      <c r="I362"/>
      <c r="J362"/>
      <c r="L362"/>
    </row>
    <row r="363" spans="2:12">
      <c r="B363"/>
      <c r="C363"/>
      <c r="D363"/>
      <c r="E363"/>
      <c r="F363"/>
      <c r="G363" s="14"/>
      <c r="H363" s="566"/>
      <c r="I363"/>
      <c r="J363"/>
      <c r="L363"/>
    </row>
    <row r="364" spans="2:12">
      <c r="B364"/>
      <c r="C364"/>
      <c r="D364"/>
      <c r="E364"/>
      <c r="F364"/>
      <c r="G364" s="14"/>
      <c r="H364" s="566"/>
      <c r="I364"/>
      <c r="J364"/>
      <c r="L364"/>
    </row>
    <row r="365" spans="2:12">
      <c r="B365"/>
      <c r="C365"/>
      <c r="D365"/>
      <c r="E365"/>
      <c r="F365"/>
      <c r="G365" s="14"/>
      <c r="H365" s="566"/>
      <c r="I365"/>
      <c r="J365"/>
      <c r="L365"/>
    </row>
    <row r="366" spans="2:12">
      <c r="B366"/>
      <c r="C366"/>
      <c r="D366"/>
      <c r="E366"/>
      <c r="F366"/>
      <c r="G366" s="14"/>
      <c r="H366" s="566"/>
      <c r="I366"/>
      <c r="J366"/>
      <c r="L366"/>
    </row>
    <row r="367" spans="2:12">
      <c r="B367"/>
      <c r="C367"/>
      <c r="D367"/>
      <c r="E367"/>
      <c r="F367"/>
      <c r="G367" s="14"/>
      <c r="H367" s="566"/>
      <c r="I367"/>
      <c r="J367"/>
      <c r="L367"/>
    </row>
    <row r="368" spans="2:12">
      <c r="B368"/>
      <c r="C368"/>
      <c r="D368"/>
      <c r="E368"/>
      <c r="F368"/>
      <c r="G368" s="14"/>
      <c r="H368" s="566"/>
      <c r="I368"/>
      <c r="J368"/>
      <c r="L368"/>
    </row>
    <row r="369" spans="2:12">
      <c r="B369"/>
      <c r="C369"/>
      <c r="D369"/>
      <c r="E369"/>
      <c r="F369"/>
      <c r="G369" s="14"/>
      <c r="H369" s="566"/>
      <c r="I369"/>
      <c r="J369"/>
      <c r="L369"/>
    </row>
    <row r="370" spans="2:12">
      <c r="B370"/>
      <c r="C370"/>
      <c r="D370"/>
      <c r="E370"/>
      <c r="F370"/>
      <c r="G370" s="14"/>
      <c r="H370" s="566"/>
      <c r="I370"/>
      <c r="J370"/>
      <c r="L370"/>
    </row>
    <row r="371" spans="2:12">
      <c r="B371"/>
      <c r="C371"/>
      <c r="D371"/>
      <c r="E371"/>
      <c r="F371"/>
      <c r="G371" s="14"/>
      <c r="H371" s="566"/>
      <c r="I371"/>
      <c r="J371"/>
      <c r="L371"/>
    </row>
    <row r="372" spans="2:12">
      <c r="B372"/>
      <c r="C372"/>
      <c r="D372"/>
      <c r="E372"/>
      <c r="F372"/>
      <c r="G372" s="14"/>
      <c r="H372" s="566"/>
      <c r="I372"/>
      <c r="J372"/>
      <c r="L372"/>
    </row>
    <row r="373" spans="2:12">
      <c r="B373"/>
      <c r="C373"/>
      <c r="D373"/>
      <c r="E373"/>
      <c r="F373"/>
      <c r="G373" s="14"/>
      <c r="H373" s="566"/>
      <c r="I373"/>
      <c r="J373"/>
      <c r="L373"/>
    </row>
    <row r="374" spans="2:12">
      <c r="B374"/>
      <c r="C374"/>
      <c r="D374"/>
      <c r="E374"/>
      <c r="F374"/>
      <c r="G374" s="14"/>
      <c r="H374" s="566"/>
      <c r="I374"/>
      <c r="J374"/>
      <c r="L374"/>
    </row>
    <row r="375" spans="2:12">
      <c r="B375"/>
      <c r="C375"/>
      <c r="D375"/>
      <c r="E375"/>
      <c r="F375"/>
      <c r="G375" s="14"/>
      <c r="H375" s="566"/>
      <c r="I375"/>
      <c r="J375"/>
      <c r="L375"/>
    </row>
    <row r="376" spans="2:12">
      <c r="B376"/>
      <c r="C376"/>
      <c r="D376"/>
      <c r="E376"/>
      <c r="F376"/>
      <c r="G376" s="14"/>
      <c r="H376" s="566"/>
      <c r="I376"/>
      <c r="J376"/>
      <c r="L376"/>
    </row>
    <row r="377" spans="2:12">
      <c r="B377"/>
      <c r="C377"/>
      <c r="D377"/>
      <c r="E377"/>
      <c r="F377"/>
      <c r="G377" s="14"/>
      <c r="H377" s="566"/>
      <c r="I377"/>
      <c r="J377"/>
      <c r="L377"/>
    </row>
    <row r="378" spans="2:12">
      <c r="B378"/>
      <c r="C378"/>
      <c r="D378"/>
      <c r="E378"/>
      <c r="F378"/>
      <c r="G378" s="14"/>
      <c r="H378" s="566"/>
      <c r="I378"/>
      <c r="J378"/>
      <c r="L378"/>
    </row>
    <row r="379" spans="2:12">
      <c r="B379"/>
      <c r="C379"/>
      <c r="D379"/>
      <c r="E379"/>
      <c r="F379"/>
      <c r="G379" s="14"/>
      <c r="H379" s="566"/>
      <c r="I379"/>
      <c r="J379"/>
      <c r="L379"/>
    </row>
    <row r="380" spans="2:12">
      <c r="B380"/>
      <c r="C380"/>
      <c r="D380"/>
      <c r="E380"/>
      <c r="F380"/>
      <c r="G380" s="14"/>
      <c r="H380" s="566"/>
      <c r="I380"/>
      <c r="J380"/>
      <c r="L380"/>
    </row>
    <row r="381" spans="2:12">
      <c r="B381"/>
      <c r="C381"/>
      <c r="D381"/>
      <c r="E381"/>
      <c r="F381"/>
      <c r="G381" s="14"/>
      <c r="H381" s="566"/>
      <c r="I381"/>
      <c r="J381"/>
      <c r="L381"/>
    </row>
    <row r="382" spans="2:12">
      <c r="B382"/>
      <c r="C382"/>
      <c r="D382"/>
      <c r="E382"/>
      <c r="F382"/>
      <c r="G382" s="14"/>
      <c r="H382" s="566"/>
      <c r="I382"/>
      <c r="J382"/>
      <c r="L382"/>
    </row>
    <row r="383" spans="2:12">
      <c r="B383"/>
      <c r="C383"/>
      <c r="D383"/>
      <c r="E383"/>
      <c r="F383"/>
      <c r="G383" s="14"/>
      <c r="H383" s="566"/>
      <c r="I383"/>
      <c r="J383"/>
      <c r="L383"/>
    </row>
    <row r="384" spans="2:12">
      <c r="B384"/>
      <c r="C384"/>
      <c r="D384"/>
      <c r="E384"/>
      <c r="F384"/>
      <c r="G384" s="14"/>
      <c r="H384" s="566"/>
      <c r="I384"/>
      <c r="J384"/>
      <c r="L384"/>
    </row>
    <row r="385" spans="2:12">
      <c r="B385"/>
      <c r="C385"/>
      <c r="D385"/>
      <c r="E385"/>
      <c r="F385"/>
      <c r="G385" s="14"/>
      <c r="H385" s="566"/>
      <c r="I385"/>
      <c r="J385"/>
      <c r="L385"/>
    </row>
    <row r="386" spans="2:12">
      <c r="B386"/>
      <c r="C386"/>
      <c r="D386"/>
      <c r="E386"/>
      <c r="F386"/>
      <c r="G386" s="14"/>
      <c r="H386" s="566"/>
      <c r="I386"/>
      <c r="J386"/>
      <c r="L386"/>
    </row>
    <row r="387" spans="2:12">
      <c r="B387"/>
      <c r="C387"/>
      <c r="D387"/>
      <c r="E387"/>
      <c r="F387"/>
      <c r="G387" s="14"/>
      <c r="H387" s="566"/>
      <c r="I387"/>
      <c r="J387"/>
      <c r="L387"/>
    </row>
    <row r="388" spans="2:12">
      <c r="B388"/>
      <c r="C388"/>
      <c r="D388"/>
      <c r="E388"/>
      <c r="F388"/>
      <c r="G388" s="14"/>
      <c r="H388" s="566"/>
      <c r="I388"/>
      <c r="J388"/>
      <c r="L388"/>
    </row>
    <row r="389" spans="2:12">
      <c r="B389"/>
      <c r="C389"/>
      <c r="D389"/>
      <c r="E389"/>
      <c r="F389"/>
      <c r="G389" s="14"/>
      <c r="H389" s="566"/>
      <c r="I389"/>
      <c r="J389"/>
      <c r="L389"/>
    </row>
    <row r="390" spans="2:12">
      <c r="B390"/>
      <c r="C390"/>
      <c r="D390"/>
      <c r="E390"/>
      <c r="F390"/>
      <c r="G390" s="14"/>
      <c r="H390" s="566"/>
      <c r="I390"/>
      <c r="J390"/>
      <c r="L390"/>
    </row>
    <row r="391" spans="2:12">
      <c r="B391"/>
      <c r="C391"/>
      <c r="D391"/>
      <c r="E391"/>
      <c r="F391"/>
      <c r="G391" s="14"/>
      <c r="H391" s="566"/>
      <c r="I391"/>
      <c r="J391"/>
      <c r="L391"/>
    </row>
    <row r="392" spans="2:12">
      <c r="B392"/>
      <c r="C392"/>
      <c r="D392"/>
      <c r="E392"/>
      <c r="F392"/>
      <c r="G392" s="14"/>
      <c r="H392" s="566"/>
      <c r="I392"/>
      <c r="J392"/>
      <c r="L392"/>
    </row>
    <row r="393" spans="2:12">
      <c r="B393"/>
      <c r="C393"/>
      <c r="D393"/>
      <c r="E393"/>
      <c r="F393"/>
      <c r="G393" s="14"/>
      <c r="H393" s="566"/>
      <c r="I393"/>
      <c r="J393"/>
      <c r="L393"/>
    </row>
    <row r="394" spans="2:12">
      <c r="B394"/>
      <c r="C394"/>
      <c r="D394"/>
      <c r="E394"/>
      <c r="F394"/>
      <c r="G394" s="14"/>
      <c r="H394" s="566"/>
      <c r="I394"/>
      <c r="J394"/>
      <c r="L394"/>
    </row>
    <row r="395" spans="2:12">
      <c r="B395"/>
      <c r="C395"/>
      <c r="D395"/>
      <c r="E395"/>
      <c r="F395"/>
      <c r="G395" s="14"/>
      <c r="H395" s="566"/>
      <c r="I395"/>
      <c r="J395"/>
      <c r="L395"/>
    </row>
    <row r="396" spans="2:12">
      <c r="B396"/>
      <c r="C396"/>
      <c r="D396"/>
      <c r="E396"/>
      <c r="F396"/>
      <c r="G396" s="14"/>
      <c r="H396" s="566"/>
      <c r="I396"/>
      <c r="J396"/>
      <c r="L396"/>
    </row>
    <row r="397" spans="2:12">
      <c r="B397"/>
      <c r="C397"/>
      <c r="D397"/>
      <c r="E397"/>
      <c r="F397"/>
      <c r="G397" s="14"/>
      <c r="H397" s="566"/>
      <c r="I397"/>
      <c r="J397"/>
      <c r="L397"/>
    </row>
    <row r="398" spans="2:12">
      <c r="B398"/>
      <c r="C398"/>
      <c r="D398"/>
      <c r="E398"/>
      <c r="F398"/>
      <c r="G398" s="14"/>
      <c r="H398" s="566"/>
      <c r="I398"/>
      <c r="J398"/>
      <c r="L398"/>
    </row>
    <row r="399" spans="2:12">
      <c r="B399"/>
      <c r="C399"/>
      <c r="D399"/>
      <c r="E399"/>
      <c r="F399"/>
      <c r="G399" s="14"/>
      <c r="H399" s="566"/>
      <c r="I399"/>
      <c r="J399"/>
      <c r="L399"/>
    </row>
    <row r="400" spans="2:12">
      <c r="B400"/>
      <c r="C400"/>
      <c r="D400"/>
      <c r="E400"/>
      <c r="F400"/>
      <c r="G400" s="14"/>
      <c r="H400" s="566"/>
      <c r="I400"/>
      <c r="J400"/>
      <c r="L400"/>
    </row>
    <row r="401" spans="2:12">
      <c r="B401"/>
      <c r="C401"/>
      <c r="D401"/>
      <c r="E401"/>
      <c r="F401"/>
      <c r="G401" s="14"/>
      <c r="H401" s="566"/>
      <c r="I401"/>
      <c r="J401"/>
      <c r="L401"/>
    </row>
    <row r="402" spans="2:12">
      <c r="B402"/>
      <c r="C402"/>
      <c r="D402"/>
      <c r="E402"/>
      <c r="F402"/>
      <c r="G402" s="14"/>
      <c r="H402" s="566"/>
      <c r="I402"/>
      <c r="J402"/>
      <c r="L402"/>
    </row>
    <row r="403" spans="2:12">
      <c r="B403"/>
      <c r="C403"/>
      <c r="D403"/>
      <c r="E403"/>
      <c r="F403"/>
      <c r="G403" s="14"/>
      <c r="H403" s="566"/>
      <c r="I403"/>
      <c r="J403"/>
      <c r="L403"/>
    </row>
    <row r="404" spans="2:12">
      <c r="B404"/>
      <c r="C404"/>
      <c r="D404"/>
      <c r="E404"/>
      <c r="F404"/>
      <c r="G404" s="14"/>
      <c r="H404" s="566"/>
      <c r="I404"/>
      <c r="J404"/>
      <c r="L404"/>
    </row>
    <row r="405" spans="2:12">
      <c r="B405"/>
      <c r="C405"/>
      <c r="D405"/>
      <c r="E405"/>
      <c r="F405"/>
      <c r="G405" s="14"/>
      <c r="H405" s="566"/>
      <c r="I405"/>
      <c r="J405"/>
      <c r="L405"/>
    </row>
    <row r="406" spans="2:12">
      <c r="B406"/>
      <c r="C406"/>
      <c r="D406"/>
      <c r="E406"/>
      <c r="F406"/>
      <c r="G406" s="14"/>
      <c r="H406" s="566"/>
      <c r="I406"/>
      <c r="J406"/>
      <c r="L406"/>
    </row>
    <row r="407" spans="2:12">
      <c r="B407"/>
      <c r="C407"/>
      <c r="D407"/>
      <c r="E407"/>
      <c r="F407"/>
      <c r="G407" s="14"/>
      <c r="H407" s="566"/>
      <c r="I407"/>
      <c r="J407"/>
      <c r="L407"/>
    </row>
    <row r="408" spans="2:12">
      <c r="B408"/>
      <c r="C408"/>
      <c r="D408"/>
      <c r="E408"/>
      <c r="F408"/>
      <c r="G408" s="14"/>
      <c r="H408" s="566"/>
      <c r="I408"/>
      <c r="J408"/>
      <c r="L408"/>
    </row>
    <row r="409" spans="2:12">
      <c r="B409"/>
      <c r="C409"/>
      <c r="D409"/>
      <c r="E409"/>
      <c r="F409"/>
      <c r="G409" s="14"/>
      <c r="H409" s="566"/>
      <c r="I409"/>
      <c r="J409"/>
      <c r="L409"/>
    </row>
    <row r="410" spans="2:12">
      <c r="B410"/>
      <c r="C410"/>
      <c r="D410"/>
      <c r="E410"/>
      <c r="F410"/>
      <c r="G410" s="14"/>
      <c r="H410" s="566"/>
      <c r="I410"/>
      <c r="J410"/>
      <c r="L410"/>
    </row>
    <row r="411" spans="2:12">
      <c r="B411"/>
      <c r="C411"/>
      <c r="D411"/>
      <c r="E411"/>
      <c r="F411"/>
      <c r="G411" s="14"/>
      <c r="H411" s="566"/>
      <c r="I411"/>
      <c r="J411"/>
      <c r="L411"/>
    </row>
    <row r="412" spans="2:12">
      <c r="B412"/>
      <c r="C412"/>
      <c r="D412"/>
      <c r="E412"/>
      <c r="F412"/>
      <c r="G412" s="14"/>
      <c r="H412" s="566"/>
      <c r="I412"/>
      <c r="J412"/>
      <c r="L412"/>
    </row>
    <row r="413" spans="2:12">
      <c r="B413"/>
      <c r="C413"/>
      <c r="D413"/>
      <c r="E413"/>
      <c r="F413"/>
      <c r="G413" s="14"/>
      <c r="H413" s="566"/>
      <c r="I413"/>
      <c r="J413"/>
      <c r="L413"/>
    </row>
    <row r="414" spans="2:12">
      <c r="B414"/>
      <c r="C414"/>
      <c r="D414"/>
      <c r="E414"/>
      <c r="F414"/>
      <c r="G414" s="14"/>
      <c r="H414" s="566"/>
      <c r="I414"/>
      <c r="J414"/>
      <c r="L414"/>
    </row>
    <row r="415" spans="2:12">
      <c r="B415"/>
      <c r="C415"/>
      <c r="D415"/>
      <c r="E415"/>
      <c r="F415"/>
      <c r="G415" s="14"/>
      <c r="H415" s="566"/>
      <c r="I415"/>
      <c r="J415"/>
      <c r="L415"/>
    </row>
    <row r="416" spans="2:12">
      <c r="B416"/>
      <c r="C416"/>
      <c r="D416"/>
      <c r="E416"/>
      <c r="F416"/>
      <c r="G416" s="14"/>
      <c r="H416" s="566"/>
      <c r="I416"/>
      <c r="J416"/>
      <c r="L416"/>
    </row>
    <row r="417" spans="2:12">
      <c r="B417"/>
      <c r="C417"/>
      <c r="D417"/>
      <c r="E417"/>
      <c r="F417"/>
      <c r="G417" s="14"/>
      <c r="H417" s="566"/>
      <c r="I417"/>
      <c r="J417"/>
      <c r="L417"/>
    </row>
    <row r="418" spans="2:12">
      <c r="B418"/>
      <c r="C418"/>
      <c r="D418"/>
      <c r="E418"/>
      <c r="F418"/>
      <c r="G418" s="14"/>
      <c r="H418" s="566"/>
      <c r="I418"/>
      <c r="J418"/>
      <c r="L418"/>
    </row>
    <row r="419" spans="2:12">
      <c r="B419"/>
      <c r="C419"/>
      <c r="D419"/>
      <c r="E419"/>
      <c r="F419"/>
      <c r="G419" s="14"/>
      <c r="H419" s="566"/>
      <c r="I419"/>
      <c r="J419"/>
      <c r="L419"/>
    </row>
    <row r="420" spans="2:12">
      <c r="B420"/>
      <c r="C420"/>
      <c r="D420"/>
      <c r="E420"/>
      <c r="F420"/>
      <c r="G420" s="14"/>
      <c r="H420" s="566"/>
      <c r="I420"/>
      <c r="J420"/>
      <c r="L420"/>
    </row>
    <row r="421" spans="2:12">
      <c r="B421"/>
      <c r="C421"/>
      <c r="D421"/>
      <c r="E421"/>
      <c r="F421"/>
      <c r="G421" s="14"/>
      <c r="H421" s="566"/>
      <c r="I421"/>
      <c r="J421"/>
      <c r="L421"/>
    </row>
    <row r="422" spans="2:12">
      <c r="B422"/>
      <c r="C422"/>
      <c r="D422"/>
      <c r="E422"/>
      <c r="F422"/>
      <c r="G422" s="14"/>
      <c r="H422" s="566"/>
      <c r="I422"/>
      <c r="J422"/>
      <c r="L422"/>
    </row>
    <row r="423" spans="2:12">
      <c r="B423"/>
      <c r="C423"/>
      <c r="D423"/>
      <c r="E423"/>
      <c r="F423"/>
      <c r="G423" s="14"/>
      <c r="H423" s="566"/>
      <c r="I423"/>
      <c r="J423"/>
      <c r="L423"/>
    </row>
    <row r="424" spans="2:12">
      <c r="B424"/>
      <c r="C424"/>
      <c r="D424"/>
      <c r="E424"/>
      <c r="F424"/>
      <c r="G424" s="14"/>
      <c r="H424" s="566"/>
      <c r="I424"/>
      <c r="J424"/>
      <c r="L424"/>
    </row>
    <row r="425" spans="2:12">
      <c r="B425"/>
      <c r="C425"/>
      <c r="D425"/>
      <c r="E425"/>
      <c r="F425"/>
      <c r="G425" s="14"/>
      <c r="H425" s="566"/>
      <c r="I425"/>
      <c r="J425"/>
      <c r="L425"/>
    </row>
    <row r="426" spans="2:12">
      <c r="B426"/>
      <c r="C426"/>
      <c r="D426"/>
      <c r="E426"/>
      <c r="F426"/>
      <c r="G426" s="14"/>
      <c r="H426" s="566"/>
      <c r="I426"/>
      <c r="J426"/>
      <c r="L426"/>
    </row>
    <row r="427" spans="2:12">
      <c r="B427"/>
      <c r="C427"/>
      <c r="D427"/>
      <c r="E427"/>
      <c r="F427"/>
      <c r="G427" s="14"/>
      <c r="H427" s="566"/>
      <c r="I427"/>
      <c r="J427"/>
      <c r="L427"/>
    </row>
    <row r="428" spans="2:12">
      <c r="B428"/>
      <c r="C428"/>
      <c r="D428"/>
      <c r="E428"/>
      <c r="F428"/>
      <c r="G428" s="14"/>
      <c r="H428" s="566"/>
      <c r="I428"/>
      <c r="J428"/>
      <c r="L428"/>
    </row>
    <row r="429" spans="2:12">
      <c r="B429"/>
      <c r="C429"/>
      <c r="D429"/>
      <c r="E429"/>
      <c r="F429"/>
      <c r="G429" s="14"/>
      <c r="H429" s="566"/>
      <c r="I429"/>
      <c r="J429"/>
      <c r="L429"/>
    </row>
    <row r="430" spans="2:12">
      <c r="B430"/>
      <c r="C430"/>
      <c r="D430"/>
      <c r="E430"/>
      <c r="F430"/>
      <c r="G430" s="14"/>
      <c r="H430" s="566"/>
      <c r="I430"/>
      <c r="J430"/>
      <c r="L430"/>
    </row>
    <row r="431" spans="2:12">
      <c r="B431"/>
      <c r="C431"/>
      <c r="D431"/>
      <c r="E431"/>
      <c r="F431"/>
      <c r="G431" s="14"/>
      <c r="H431" s="566"/>
      <c r="I431"/>
      <c r="J431"/>
      <c r="L431"/>
    </row>
    <row r="432" spans="2:12">
      <c r="B432"/>
      <c r="C432"/>
      <c r="D432"/>
      <c r="E432"/>
      <c r="F432"/>
      <c r="G432" s="14"/>
      <c r="H432" s="566"/>
      <c r="I432"/>
      <c r="J432"/>
      <c r="L432"/>
    </row>
    <row r="433" spans="2:12">
      <c r="B433"/>
      <c r="C433"/>
      <c r="D433"/>
      <c r="E433"/>
      <c r="F433"/>
      <c r="G433" s="14"/>
      <c r="H433" s="566"/>
      <c r="I433"/>
      <c r="J433"/>
      <c r="L433"/>
    </row>
    <row r="434" spans="2:12">
      <c r="B434"/>
      <c r="C434"/>
      <c r="D434"/>
      <c r="E434"/>
      <c r="F434"/>
      <c r="G434" s="14"/>
      <c r="H434" s="566"/>
      <c r="I434"/>
      <c r="J434"/>
      <c r="L434"/>
    </row>
    <row r="435" spans="2:12">
      <c r="B435"/>
      <c r="C435"/>
      <c r="D435"/>
      <c r="E435"/>
      <c r="F435"/>
      <c r="G435" s="14"/>
      <c r="H435" s="566"/>
      <c r="I435"/>
      <c r="J435"/>
      <c r="L435"/>
    </row>
    <row r="436" spans="2:12">
      <c r="B436"/>
      <c r="C436"/>
      <c r="D436"/>
      <c r="E436"/>
      <c r="F436"/>
      <c r="G436" s="14"/>
      <c r="H436" s="566"/>
      <c r="I436"/>
      <c r="J436"/>
      <c r="L436"/>
    </row>
    <row r="437" spans="2:12">
      <c r="B437"/>
      <c r="C437"/>
      <c r="D437"/>
      <c r="E437"/>
      <c r="F437"/>
      <c r="G437" s="14"/>
      <c r="H437" s="566"/>
      <c r="I437"/>
      <c r="J437"/>
      <c r="L437"/>
    </row>
    <row r="438" spans="2:12">
      <c r="B438"/>
      <c r="C438"/>
      <c r="D438"/>
      <c r="E438"/>
      <c r="F438"/>
      <c r="G438" s="14"/>
      <c r="H438" s="566"/>
      <c r="I438"/>
      <c r="J438"/>
      <c r="L438"/>
    </row>
    <row r="439" spans="2:12">
      <c r="B439"/>
      <c r="C439"/>
      <c r="D439"/>
      <c r="E439"/>
      <c r="F439"/>
      <c r="G439" s="14"/>
      <c r="H439" s="566"/>
      <c r="I439"/>
      <c r="J439"/>
      <c r="L439"/>
    </row>
    <row r="440" spans="2:12">
      <c r="B440"/>
      <c r="C440"/>
      <c r="D440"/>
      <c r="E440"/>
      <c r="F440"/>
      <c r="G440" s="14"/>
      <c r="H440" s="566"/>
      <c r="I440"/>
      <c r="J440"/>
      <c r="L440"/>
    </row>
    <row r="441" spans="2:12">
      <c r="B441"/>
      <c r="C441"/>
      <c r="D441"/>
      <c r="E441"/>
      <c r="F441"/>
      <c r="G441" s="14"/>
      <c r="H441" s="566"/>
      <c r="I441"/>
      <c r="J441"/>
      <c r="L441"/>
    </row>
    <row r="442" spans="2:12">
      <c r="B442"/>
      <c r="C442"/>
      <c r="D442"/>
      <c r="E442"/>
      <c r="F442"/>
      <c r="G442" s="14"/>
      <c r="H442" s="566"/>
      <c r="I442"/>
      <c r="J442"/>
      <c r="L442"/>
    </row>
    <row r="443" spans="2:12">
      <c r="B443"/>
      <c r="C443"/>
      <c r="D443"/>
      <c r="E443"/>
      <c r="F443"/>
      <c r="G443" s="14"/>
      <c r="H443" s="566"/>
      <c r="I443"/>
      <c r="J443"/>
      <c r="L443"/>
    </row>
    <row r="444" spans="2:12">
      <c r="B444"/>
      <c r="C444"/>
      <c r="D444"/>
      <c r="E444"/>
      <c r="F444"/>
      <c r="G444" s="14"/>
      <c r="H444" s="566"/>
      <c r="I444"/>
      <c r="J444"/>
      <c r="L444"/>
    </row>
    <row r="445" spans="2:12">
      <c r="B445"/>
      <c r="C445"/>
      <c r="D445"/>
      <c r="E445"/>
      <c r="F445"/>
      <c r="G445" s="14"/>
      <c r="I445"/>
      <c r="J445"/>
      <c r="L445"/>
    </row>
    <row r="446" spans="2:12">
      <c r="B446"/>
      <c r="C446"/>
      <c r="D446"/>
      <c r="E446"/>
      <c r="F446"/>
      <c r="G446" s="14"/>
      <c r="I446"/>
      <c r="J446"/>
      <c r="L446"/>
    </row>
    <row r="447" spans="2:12">
      <c r="B447"/>
      <c r="C447"/>
      <c r="D447"/>
      <c r="E447"/>
      <c r="F447"/>
      <c r="G447" s="14"/>
      <c r="I447"/>
      <c r="J447"/>
      <c r="L447"/>
    </row>
    <row r="448" spans="2:12">
      <c r="B448"/>
      <c r="C448"/>
      <c r="D448"/>
      <c r="E448"/>
      <c r="F448"/>
      <c r="G448" s="14"/>
      <c r="I448"/>
      <c r="J448"/>
      <c r="L448"/>
    </row>
    <row r="449" spans="2:12">
      <c r="B449"/>
      <c r="C449"/>
      <c r="D449"/>
      <c r="E449"/>
      <c r="F449"/>
      <c r="G449" s="14"/>
      <c r="I449"/>
      <c r="J449"/>
      <c r="L449"/>
    </row>
    <row r="450" spans="2:12">
      <c r="B450"/>
      <c r="C450"/>
      <c r="D450"/>
      <c r="E450"/>
      <c r="F450"/>
      <c r="G450" s="14"/>
      <c r="I450"/>
      <c r="J450"/>
      <c r="L450"/>
    </row>
    <row r="451" spans="2:12">
      <c r="B451"/>
      <c r="C451"/>
      <c r="D451"/>
      <c r="E451"/>
      <c r="F451"/>
      <c r="G451" s="14"/>
      <c r="I451"/>
      <c r="J451"/>
      <c r="L451"/>
    </row>
    <row r="452" spans="2:12">
      <c r="B452"/>
      <c r="C452"/>
      <c r="D452"/>
      <c r="E452"/>
      <c r="F452"/>
      <c r="G452" s="14"/>
      <c r="I452"/>
      <c r="J452"/>
      <c r="L452"/>
    </row>
    <row r="453" spans="2:12">
      <c r="B453"/>
      <c r="C453"/>
      <c r="D453"/>
      <c r="E453"/>
      <c r="F453"/>
      <c r="G453" s="14"/>
      <c r="I453"/>
      <c r="J453"/>
      <c r="L453"/>
    </row>
    <row r="454" spans="2:12">
      <c r="B454"/>
      <c r="C454"/>
      <c r="D454"/>
      <c r="E454"/>
      <c r="F454"/>
      <c r="G454" s="14"/>
      <c r="I454"/>
      <c r="J454"/>
      <c r="L454"/>
    </row>
    <row r="455" spans="2:12">
      <c r="B455"/>
      <c r="C455"/>
      <c r="D455"/>
      <c r="E455"/>
      <c r="F455"/>
      <c r="G455" s="14"/>
      <c r="I455"/>
      <c r="J455"/>
      <c r="L455"/>
    </row>
    <row r="456" spans="2:12">
      <c r="B456"/>
      <c r="C456"/>
      <c r="D456"/>
      <c r="E456"/>
      <c r="F456"/>
      <c r="G456" s="14"/>
      <c r="I456"/>
      <c r="J456"/>
      <c r="L456"/>
    </row>
    <row r="457" spans="2:12">
      <c r="B457"/>
      <c r="C457"/>
      <c r="D457"/>
      <c r="E457"/>
      <c r="F457"/>
      <c r="G457" s="14"/>
      <c r="H457"/>
      <c r="I457"/>
      <c r="J457"/>
      <c r="L457"/>
    </row>
    <row r="458" spans="2:12">
      <c r="B458"/>
      <c r="C458"/>
      <c r="D458"/>
      <c r="E458"/>
      <c r="F458"/>
      <c r="G458" s="14"/>
      <c r="H458"/>
      <c r="I458"/>
      <c r="J458"/>
      <c r="L458"/>
    </row>
    <row r="459" spans="2:12">
      <c r="B459"/>
      <c r="C459"/>
      <c r="D459"/>
      <c r="E459"/>
      <c r="F459"/>
      <c r="G459" s="14"/>
      <c r="H459"/>
      <c r="I459"/>
      <c r="J459"/>
      <c r="L459"/>
    </row>
    <row r="460" spans="2:12">
      <c r="B460"/>
      <c r="C460"/>
      <c r="D460"/>
      <c r="E460"/>
      <c r="F460"/>
      <c r="G460" s="14"/>
      <c r="H460"/>
      <c r="I460"/>
      <c r="J460"/>
      <c r="L460"/>
    </row>
    <row r="461" spans="2:12">
      <c r="B461"/>
      <c r="C461"/>
      <c r="D461"/>
      <c r="E461"/>
      <c r="F461"/>
      <c r="G461" s="14"/>
      <c r="H461"/>
      <c r="I461"/>
      <c r="J461"/>
      <c r="L461"/>
    </row>
    <row r="462" spans="2:12">
      <c r="B462"/>
      <c r="C462"/>
      <c r="D462"/>
      <c r="E462"/>
      <c r="F462"/>
      <c r="G462" s="14"/>
      <c r="H462"/>
      <c r="I462"/>
      <c r="J462"/>
      <c r="L462"/>
    </row>
    <row r="463" spans="2:12">
      <c r="B463"/>
      <c r="C463"/>
      <c r="D463"/>
      <c r="E463"/>
      <c r="F463"/>
      <c r="G463" s="14"/>
      <c r="H463"/>
      <c r="I463"/>
      <c r="J463"/>
      <c r="L463"/>
    </row>
    <row r="464" spans="2:12">
      <c r="B464"/>
      <c r="C464"/>
      <c r="D464"/>
      <c r="E464"/>
      <c r="F464"/>
      <c r="G464" s="14"/>
      <c r="H464"/>
      <c r="I464"/>
      <c r="J464"/>
      <c r="L464"/>
    </row>
    <row r="465" spans="2:12">
      <c r="B465"/>
      <c r="C465"/>
      <c r="D465"/>
      <c r="E465"/>
      <c r="F465"/>
      <c r="G465" s="14"/>
      <c r="H465"/>
      <c r="I465"/>
      <c r="J465"/>
      <c r="L465"/>
    </row>
    <row r="466" spans="2:12">
      <c r="B466"/>
      <c r="C466"/>
      <c r="D466"/>
      <c r="E466"/>
      <c r="F466"/>
      <c r="G466" s="14"/>
      <c r="H466"/>
      <c r="I466"/>
      <c r="J466"/>
      <c r="L466"/>
    </row>
    <row r="467" spans="2:12">
      <c r="B467"/>
      <c r="C467"/>
      <c r="D467"/>
      <c r="E467"/>
      <c r="F467"/>
      <c r="G467" s="14"/>
      <c r="H467"/>
      <c r="I467"/>
      <c r="J467"/>
      <c r="L467"/>
    </row>
    <row r="468" spans="2:12">
      <c r="B468"/>
      <c r="C468"/>
      <c r="D468"/>
      <c r="E468"/>
      <c r="F468"/>
      <c r="G468" s="14"/>
      <c r="H468"/>
      <c r="I468"/>
      <c r="J468"/>
      <c r="L468"/>
    </row>
    <row r="469" spans="2:12">
      <c r="B469"/>
      <c r="C469"/>
      <c r="D469"/>
      <c r="E469"/>
      <c r="F469"/>
      <c r="G469" s="14"/>
      <c r="H469"/>
      <c r="I469"/>
      <c r="J469"/>
      <c r="L469"/>
    </row>
    <row r="470" spans="2:12">
      <c r="B470"/>
      <c r="C470"/>
      <c r="D470"/>
      <c r="E470"/>
      <c r="F470"/>
      <c r="G470" s="14"/>
      <c r="H470"/>
      <c r="I470"/>
      <c r="J470"/>
      <c r="L470"/>
    </row>
    <row r="471" spans="2:12">
      <c r="B471"/>
      <c r="C471"/>
      <c r="D471"/>
      <c r="E471"/>
      <c r="F471"/>
      <c r="G471" s="14"/>
      <c r="H471"/>
      <c r="I471"/>
      <c r="J471"/>
      <c r="L471"/>
    </row>
    <row r="472" spans="2:12">
      <c r="B472"/>
      <c r="C472"/>
      <c r="D472"/>
      <c r="E472"/>
      <c r="F472"/>
      <c r="G472" s="14"/>
      <c r="H472"/>
      <c r="I472"/>
      <c r="J472"/>
      <c r="L472"/>
    </row>
    <row r="473" spans="2:12">
      <c r="B473"/>
      <c r="C473"/>
      <c r="D473"/>
      <c r="E473"/>
      <c r="F473"/>
      <c r="G473" s="14"/>
      <c r="H473"/>
      <c r="I473"/>
      <c r="J473"/>
      <c r="L473"/>
    </row>
    <row r="474" spans="2:12">
      <c r="B474"/>
      <c r="C474"/>
      <c r="D474"/>
      <c r="E474"/>
      <c r="F474"/>
      <c r="G474" s="14"/>
      <c r="H474"/>
      <c r="I474"/>
      <c r="J474"/>
      <c r="L474"/>
    </row>
    <row r="475" spans="2:12">
      <c r="B475"/>
      <c r="C475"/>
      <c r="D475"/>
      <c r="E475"/>
      <c r="F475"/>
      <c r="G475" s="14"/>
      <c r="H475"/>
      <c r="I475"/>
      <c r="J475"/>
      <c r="L475"/>
    </row>
    <row r="476" spans="2:12">
      <c r="B476"/>
      <c r="C476"/>
      <c r="D476"/>
      <c r="E476"/>
      <c r="F476"/>
      <c r="G476" s="14"/>
      <c r="H476"/>
      <c r="I476"/>
      <c r="J476"/>
      <c r="L476"/>
    </row>
    <row r="477" spans="2:12">
      <c r="B477"/>
      <c r="C477"/>
      <c r="D477"/>
      <c r="E477"/>
      <c r="F477"/>
      <c r="G477" s="14"/>
      <c r="H477"/>
      <c r="I477"/>
      <c r="J477"/>
      <c r="L477"/>
    </row>
    <row r="478" spans="2:12">
      <c r="B478"/>
      <c r="C478"/>
      <c r="D478"/>
      <c r="E478"/>
      <c r="F478"/>
      <c r="G478" s="14"/>
      <c r="H478"/>
      <c r="I478"/>
      <c r="J478"/>
      <c r="L478"/>
    </row>
    <row r="479" spans="2:12">
      <c r="B479"/>
      <c r="C479"/>
      <c r="D479"/>
      <c r="E479"/>
      <c r="F479"/>
      <c r="G479" s="14"/>
      <c r="H479"/>
      <c r="I479"/>
      <c r="J479"/>
      <c r="L479"/>
    </row>
    <row r="480" spans="2:12">
      <c r="B480"/>
      <c r="C480"/>
      <c r="D480"/>
      <c r="E480"/>
      <c r="F480"/>
      <c r="G480" s="14"/>
      <c r="H480"/>
      <c r="I480"/>
      <c r="J480"/>
      <c r="L480"/>
    </row>
    <row r="481" spans="2:12">
      <c r="B481"/>
      <c r="C481"/>
      <c r="D481"/>
      <c r="E481"/>
      <c r="F481"/>
      <c r="G481" s="14"/>
      <c r="H481"/>
      <c r="I481"/>
      <c r="J481"/>
      <c r="L481"/>
    </row>
    <row r="482" spans="2:12">
      <c r="B482"/>
      <c r="C482"/>
      <c r="D482"/>
      <c r="E482"/>
      <c r="F482"/>
      <c r="G482" s="14"/>
      <c r="H482"/>
      <c r="I482"/>
      <c r="J482"/>
      <c r="L482"/>
    </row>
    <row r="483" spans="2:12">
      <c r="B483"/>
      <c r="C483"/>
      <c r="D483"/>
      <c r="E483"/>
      <c r="F483"/>
      <c r="G483" s="14"/>
      <c r="H483"/>
      <c r="I483"/>
      <c r="J483"/>
      <c r="L483"/>
    </row>
    <row r="484" spans="2:12">
      <c r="B484"/>
      <c r="C484"/>
      <c r="D484"/>
      <c r="E484"/>
      <c r="F484"/>
      <c r="G484" s="14"/>
      <c r="H484"/>
      <c r="I484"/>
      <c r="J484"/>
      <c r="L484"/>
    </row>
    <row r="485" spans="2:12">
      <c r="B485"/>
      <c r="C485"/>
      <c r="D485"/>
      <c r="E485"/>
      <c r="F485"/>
      <c r="G485" s="14"/>
      <c r="H485"/>
      <c r="I485"/>
      <c r="J485"/>
      <c r="L485"/>
    </row>
    <row r="486" spans="2:12">
      <c r="B486"/>
      <c r="C486"/>
      <c r="D486"/>
      <c r="E486"/>
      <c r="F486"/>
      <c r="G486" s="14"/>
      <c r="H486"/>
      <c r="I486"/>
      <c r="J486"/>
      <c r="L486"/>
    </row>
    <row r="487" spans="2:12">
      <c r="B487"/>
      <c r="C487"/>
      <c r="D487"/>
      <c r="E487"/>
      <c r="F487"/>
      <c r="G487" s="14"/>
      <c r="H487"/>
      <c r="I487"/>
      <c r="J487"/>
      <c r="L487"/>
    </row>
    <row r="488" spans="2:12">
      <c r="B488"/>
      <c r="C488"/>
      <c r="D488"/>
      <c r="E488"/>
      <c r="F488"/>
      <c r="G488" s="14"/>
      <c r="H488"/>
      <c r="I488"/>
      <c r="J488"/>
      <c r="L488"/>
    </row>
    <row r="489" spans="2:12">
      <c r="B489"/>
      <c r="C489"/>
      <c r="D489"/>
      <c r="E489"/>
      <c r="F489"/>
      <c r="G489" s="14"/>
      <c r="H489"/>
      <c r="I489"/>
      <c r="J489"/>
      <c r="L489"/>
    </row>
    <row r="490" spans="2:12">
      <c r="B490"/>
      <c r="C490"/>
      <c r="D490"/>
      <c r="E490"/>
      <c r="F490"/>
      <c r="G490" s="14"/>
      <c r="H490"/>
      <c r="I490"/>
      <c r="J490"/>
      <c r="L490"/>
    </row>
    <row r="491" spans="2:12">
      <c r="B491"/>
      <c r="C491"/>
      <c r="D491"/>
      <c r="E491"/>
      <c r="F491"/>
      <c r="G491" s="14"/>
      <c r="H491"/>
      <c r="I491"/>
      <c r="J491"/>
      <c r="L491"/>
    </row>
    <row r="492" spans="2:12">
      <c r="B492"/>
      <c r="C492"/>
      <c r="D492"/>
      <c r="E492"/>
      <c r="F492"/>
      <c r="G492" s="14"/>
      <c r="H492"/>
      <c r="I492"/>
      <c r="J492"/>
      <c r="L492"/>
    </row>
    <row r="493" spans="2:12">
      <c r="B493"/>
      <c r="C493"/>
      <c r="D493"/>
      <c r="E493"/>
      <c r="F493"/>
      <c r="G493" s="14"/>
      <c r="H493"/>
      <c r="I493"/>
      <c r="J493"/>
      <c r="L493"/>
    </row>
    <row r="494" spans="2:12">
      <c r="B494"/>
      <c r="C494"/>
      <c r="D494"/>
      <c r="E494"/>
      <c r="F494"/>
      <c r="G494" s="14"/>
      <c r="H494"/>
      <c r="I494"/>
      <c r="J494"/>
      <c r="L494"/>
    </row>
    <row r="495" spans="2:12">
      <c r="B495"/>
      <c r="C495"/>
      <c r="D495"/>
      <c r="E495"/>
      <c r="F495"/>
      <c r="G495" s="14"/>
      <c r="H495"/>
      <c r="I495"/>
      <c r="J495"/>
      <c r="L495"/>
    </row>
    <row r="496" spans="2:12">
      <c r="B496"/>
      <c r="C496"/>
      <c r="D496"/>
      <c r="E496"/>
      <c r="F496"/>
      <c r="G496" s="14"/>
      <c r="H496"/>
      <c r="I496"/>
      <c r="J496"/>
      <c r="L496"/>
    </row>
    <row r="497" spans="2:12">
      <c r="B497"/>
      <c r="C497"/>
      <c r="D497"/>
      <c r="E497"/>
      <c r="F497"/>
      <c r="G497" s="14"/>
      <c r="H497"/>
      <c r="I497"/>
      <c r="J497"/>
      <c r="L497"/>
    </row>
    <row r="498" spans="2:12">
      <c r="B498"/>
      <c r="C498"/>
      <c r="D498"/>
      <c r="E498"/>
      <c r="F498"/>
      <c r="G498" s="14"/>
      <c r="H498"/>
      <c r="I498"/>
      <c r="J498"/>
      <c r="L498"/>
    </row>
    <row r="499" spans="2:12">
      <c r="B499"/>
      <c r="C499"/>
      <c r="D499"/>
      <c r="E499"/>
      <c r="F499"/>
      <c r="G499" s="14"/>
      <c r="H499"/>
      <c r="I499"/>
      <c r="J499"/>
      <c r="L499"/>
    </row>
    <row r="500" spans="2:12">
      <c r="B500"/>
      <c r="C500"/>
      <c r="D500"/>
      <c r="E500"/>
      <c r="F500"/>
      <c r="G500" s="14"/>
      <c r="H500"/>
      <c r="I500"/>
      <c r="J500"/>
      <c r="L500"/>
    </row>
    <row r="501" spans="2:12">
      <c r="B501"/>
      <c r="C501"/>
      <c r="D501"/>
      <c r="E501"/>
      <c r="F501"/>
      <c r="G501" s="14"/>
      <c r="H501"/>
      <c r="I501"/>
      <c r="J501"/>
      <c r="L501"/>
    </row>
    <row r="502" spans="2:12">
      <c r="B502"/>
      <c r="C502"/>
      <c r="D502"/>
      <c r="E502"/>
      <c r="F502"/>
      <c r="G502" s="14"/>
      <c r="H502"/>
      <c r="I502"/>
      <c r="J502"/>
      <c r="L502"/>
    </row>
    <row r="503" spans="2:12">
      <c r="B503"/>
      <c r="C503"/>
      <c r="D503"/>
      <c r="E503"/>
      <c r="F503"/>
      <c r="G503" s="14"/>
      <c r="H503"/>
      <c r="I503"/>
      <c r="J503"/>
      <c r="L503"/>
    </row>
    <row r="504" spans="2:12">
      <c r="B504"/>
      <c r="C504"/>
      <c r="D504"/>
      <c r="E504"/>
      <c r="F504"/>
      <c r="G504" s="14"/>
      <c r="H504"/>
      <c r="I504"/>
      <c r="J504"/>
      <c r="L504"/>
    </row>
    <row r="505" spans="2:12">
      <c r="B505"/>
      <c r="C505"/>
      <c r="D505"/>
      <c r="E505"/>
      <c r="F505"/>
      <c r="G505" s="14"/>
      <c r="H505"/>
      <c r="I505"/>
      <c r="J505"/>
      <c r="L505"/>
    </row>
    <row r="506" spans="2:12">
      <c r="B506"/>
      <c r="C506"/>
      <c r="D506"/>
      <c r="E506"/>
      <c r="F506"/>
      <c r="G506" s="14"/>
      <c r="H506"/>
      <c r="I506"/>
      <c r="J506"/>
      <c r="L506"/>
    </row>
    <row r="507" spans="2:12">
      <c r="B507"/>
      <c r="C507"/>
      <c r="D507"/>
      <c r="E507"/>
      <c r="F507"/>
      <c r="G507" s="14"/>
      <c r="H507"/>
      <c r="I507"/>
      <c r="J507"/>
      <c r="L507"/>
    </row>
    <row r="508" spans="2:12">
      <c r="B508"/>
      <c r="C508"/>
      <c r="D508"/>
      <c r="E508"/>
      <c r="F508"/>
      <c r="G508" s="14"/>
      <c r="H508"/>
      <c r="I508"/>
      <c r="J508"/>
      <c r="L508"/>
    </row>
    <row r="509" spans="2:12">
      <c r="B509"/>
      <c r="C509"/>
      <c r="D509"/>
      <c r="E509"/>
      <c r="F509"/>
      <c r="G509" s="14"/>
      <c r="H509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</row>
  </sheetData>
  <phoneticPr fontId="3" type="noConversion"/>
  <conditionalFormatting sqref="G60:G72">
    <cfRule type="expression" dxfId="17" priority="2">
      <formula>AND(IF(E60&lt;&gt;0,1),IF(G60=0,1))</formula>
    </cfRule>
  </conditionalFormatting>
  <conditionalFormatting sqref="K60:K72">
    <cfRule type="expression" dxfId="16" priority="1">
      <formula>LEFT(A60,2)="TU"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2" tint="-0.249977111117893"/>
  </sheetPr>
  <dimension ref="A1:S838"/>
  <sheetViews>
    <sheetView topLeftCell="A73" zoomScale="115" zoomScaleNormal="115" workbookViewId="0">
      <selection activeCell="K94" sqref="K94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5.1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403</v>
      </c>
      <c r="B3" s="122">
        <v>44208</v>
      </c>
      <c r="C3" s="122"/>
      <c r="D3" s="536"/>
      <c r="E3" s="88">
        <v>0</v>
      </c>
      <c r="F3" s="122"/>
      <c r="G3" s="550">
        <v>-1475</v>
      </c>
      <c r="H3" s="475"/>
      <c r="I3" s="396">
        <v>99.855000000000004</v>
      </c>
      <c r="J3" s="129">
        <v>99.766000000000005</v>
      </c>
      <c r="K3" s="104">
        <f t="shared" ref="K3:K8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/>
      <c r="B4" s="122"/>
      <c r="C4" s="122"/>
      <c r="D4" s="536"/>
      <c r="E4" s="88"/>
      <c r="F4" s="122"/>
      <c r="G4" s="550"/>
      <c r="H4" s="475"/>
      <c r="I4" s="129"/>
      <c r="J4" s="129"/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/>
      <c r="B5" s="265"/>
      <c r="C5" s="265"/>
      <c r="D5" s="537"/>
      <c r="E5" s="266"/>
      <c r="F5" s="265"/>
      <c r="G5" s="551"/>
      <c r="H5" s="476"/>
      <c r="I5" s="268"/>
      <c r="J5" s="268"/>
      <c r="K5" s="269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/>
      <c r="B6" s="265"/>
      <c r="C6" s="265"/>
      <c r="D6" s="537"/>
      <c r="E6" s="266"/>
      <c r="F6" s="265"/>
      <c r="G6" s="551"/>
      <c r="H6" s="476"/>
      <c r="I6" s="268"/>
      <c r="J6" s="268"/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16" customFormat="1">
      <c r="A7" s="110"/>
      <c r="B7" s="113"/>
      <c r="C7" s="113"/>
      <c r="D7" s="538"/>
      <c r="E7" s="114"/>
      <c r="F7" s="113"/>
      <c r="G7" s="552"/>
      <c r="H7" s="477"/>
      <c r="I7" s="319"/>
      <c r="J7" s="319"/>
      <c r="K7" s="261">
        <f t="shared" si="0"/>
        <v>0</v>
      </c>
      <c r="L7" s="382"/>
      <c r="S7" s="320"/>
    </row>
    <row r="8" spans="1:19" s="116" customFormat="1">
      <c r="A8" s="110"/>
      <c r="B8" s="113"/>
      <c r="C8" s="113"/>
      <c r="D8" s="538"/>
      <c r="E8" s="114"/>
      <c r="F8" s="113"/>
      <c r="G8" s="552"/>
      <c r="H8" s="478"/>
      <c r="I8" s="319"/>
      <c r="J8" s="319"/>
      <c r="K8" s="261">
        <f t="shared" si="0"/>
        <v>0</v>
      </c>
      <c r="L8" s="382"/>
      <c r="S8" s="117"/>
    </row>
    <row r="9" spans="1:19" s="116" customFormat="1">
      <c r="A9" s="111" t="s">
        <v>166</v>
      </c>
      <c r="B9" s="313"/>
      <c r="C9" s="313"/>
      <c r="D9" s="539"/>
      <c r="E9" s="314">
        <f>SUM(E3:E8)</f>
        <v>0</v>
      </c>
      <c r="F9" s="313"/>
      <c r="G9" s="316">
        <f>SUM(G3:G8)</f>
        <v>-1475</v>
      </c>
      <c r="H9" s="479"/>
      <c r="I9" s="323"/>
      <c r="J9" s="318"/>
      <c r="K9" s="316">
        <f>SUM(K3:K8)</f>
        <v>0</v>
      </c>
      <c r="L9" s="383"/>
      <c r="S9" s="117"/>
    </row>
    <row r="10" spans="1:19" s="93" customFormat="1">
      <c r="A10" s="93" t="s">
        <v>163</v>
      </c>
      <c r="B10" s="97"/>
      <c r="C10" s="97"/>
      <c r="D10" s="540"/>
      <c r="E10" s="100"/>
      <c r="F10" s="97"/>
      <c r="H10" s="480"/>
      <c r="I10" s="99"/>
      <c r="J10" s="99"/>
      <c r="L10" s="377"/>
    </row>
    <row r="11" spans="1:19" s="93" customFormat="1">
      <c r="A11" s="206" t="s">
        <v>234</v>
      </c>
      <c r="B11" s="207" t="s">
        <v>7</v>
      </c>
      <c r="C11" s="207" t="s">
        <v>171</v>
      </c>
      <c r="D11" s="535" t="s">
        <v>170</v>
      </c>
      <c r="E11" s="208" t="s">
        <v>11</v>
      </c>
      <c r="F11" s="207" t="s">
        <v>2</v>
      </c>
      <c r="G11" s="209" t="s">
        <v>12</v>
      </c>
      <c r="H11" s="482" t="s">
        <v>18</v>
      </c>
      <c r="I11" s="209" t="s">
        <v>10</v>
      </c>
      <c r="J11" s="207" t="s">
        <v>216</v>
      </c>
      <c r="K11" s="260" t="s">
        <v>212</v>
      </c>
      <c r="L11" s="377"/>
      <c r="S11" s="131" t="s">
        <v>21</v>
      </c>
    </row>
    <row r="12" spans="1:19" s="102" customFormat="1">
      <c r="A12" s="87" t="s">
        <v>154</v>
      </c>
      <c r="B12" s="122">
        <v>38898</v>
      </c>
      <c r="C12" s="122"/>
      <c r="D12" s="536"/>
      <c r="E12" s="88">
        <v>0</v>
      </c>
      <c r="F12" s="122">
        <v>42505</v>
      </c>
      <c r="G12" s="124">
        <v>0</v>
      </c>
      <c r="H12" s="475" t="s">
        <v>23</v>
      </c>
      <c r="I12" s="129">
        <v>99.46875</v>
      </c>
      <c r="J12" s="129">
        <v>0</v>
      </c>
      <c r="K12" s="104">
        <f t="shared" ref="K12:K17" si="1">(J12-I12)*E12/100</f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87"/>
      <c r="B13" s="122"/>
      <c r="C13" s="122"/>
      <c r="D13" s="536"/>
      <c r="E13" s="88"/>
      <c r="F13" s="122"/>
      <c r="G13" s="124"/>
      <c r="H13" s="475"/>
      <c r="I13" s="129"/>
      <c r="J13" s="129"/>
      <c r="K13" s="104">
        <f t="shared" si="1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/>
      <c r="B14" s="265"/>
      <c r="C14" s="265"/>
      <c r="D14" s="537"/>
      <c r="E14" s="266"/>
      <c r="F14" s="265"/>
      <c r="G14" s="151"/>
      <c r="H14" s="476"/>
      <c r="I14" s="268"/>
      <c r="J14" s="268"/>
      <c r="K14" s="269">
        <f t="shared" si="1"/>
        <v>0</v>
      </c>
      <c r="L14" s="378"/>
      <c r="M14" s="93"/>
      <c r="N14" s="93"/>
      <c r="O14" s="93"/>
      <c r="P14" s="93"/>
      <c r="Q14" s="93"/>
      <c r="S14" s="103"/>
    </row>
    <row r="15" spans="1:19" s="102" customFormat="1">
      <c r="A15" s="262"/>
      <c r="B15" s="265"/>
      <c r="C15" s="265"/>
      <c r="D15" s="537"/>
      <c r="E15" s="266"/>
      <c r="F15" s="265"/>
      <c r="G15" s="151"/>
      <c r="H15" s="476"/>
      <c r="I15" s="268"/>
      <c r="J15" s="268"/>
      <c r="K15" s="269">
        <f t="shared" si="1"/>
        <v>0</v>
      </c>
      <c r="L15" s="378"/>
      <c r="M15" s="93"/>
      <c r="N15" s="93"/>
      <c r="O15" s="93"/>
      <c r="P15" s="93"/>
      <c r="Q15" s="93"/>
      <c r="S15" s="103"/>
    </row>
    <row r="16" spans="1:19" s="116" customFormat="1">
      <c r="A16" s="110"/>
      <c r="B16" s="113"/>
      <c r="C16" s="113"/>
      <c r="D16" s="538"/>
      <c r="E16" s="114"/>
      <c r="F16" s="113"/>
      <c r="G16" s="118"/>
      <c r="H16" s="477"/>
      <c r="I16" s="319"/>
      <c r="J16" s="319"/>
      <c r="K16" s="261">
        <f t="shared" si="1"/>
        <v>0</v>
      </c>
      <c r="L16" s="379"/>
      <c r="S16" s="320"/>
    </row>
    <row r="17" spans="1:19" s="116" customFormat="1">
      <c r="A17" s="110"/>
      <c r="B17" s="113"/>
      <c r="C17" s="113"/>
      <c r="D17" s="538"/>
      <c r="E17" s="114"/>
      <c r="F17" s="113"/>
      <c r="G17" s="118"/>
      <c r="H17" s="478"/>
      <c r="I17" s="319"/>
      <c r="J17" s="319"/>
      <c r="K17" s="261">
        <f t="shared" si="1"/>
        <v>0</v>
      </c>
      <c r="L17" s="380"/>
      <c r="S17" s="117"/>
    </row>
    <row r="18" spans="1:19" s="532" customFormat="1" ht="17.25" thickBot="1">
      <c r="A18" s="361" t="s">
        <v>166</v>
      </c>
      <c r="B18" s="363"/>
      <c r="C18" s="363"/>
      <c r="D18" s="541"/>
      <c r="E18" s="364">
        <f>SUM(E12:E17)</f>
        <v>0</v>
      </c>
      <c r="F18" s="363"/>
      <c r="G18" s="365">
        <f>SUM(G12:G17)</f>
        <v>0</v>
      </c>
      <c r="H18" s="481"/>
      <c r="I18" s="367"/>
      <c r="J18" s="366"/>
      <c r="K18" s="365">
        <f>SUM(K12:K17)</f>
        <v>0</v>
      </c>
      <c r="L18" s="531"/>
      <c r="S18" s="533"/>
    </row>
    <row r="19" spans="1:19" s="116" customFormat="1" ht="17.25" thickTop="1">
      <c r="A19" s="324" t="s">
        <v>164</v>
      </c>
      <c r="B19" s="313"/>
      <c r="C19" s="313"/>
      <c r="D19" s="539"/>
      <c r="E19" s="314"/>
      <c r="F19" s="313"/>
      <c r="G19" s="316"/>
      <c r="H19" s="479"/>
      <c r="I19" s="323"/>
      <c r="J19" s="318"/>
      <c r="K19" s="316"/>
      <c r="L19" s="380"/>
      <c r="S19" s="117"/>
    </row>
    <row r="20" spans="1:19" s="93" customFormat="1">
      <c r="A20" s="206" t="s">
        <v>99</v>
      </c>
      <c r="B20" s="207" t="s">
        <v>7</v>
      </c>
      <c r="C20" s="207" t="s">
        <v>171</v>
      </c>
      <c r="D20" s="535" t="s">
        <v>170</v>
      </c>
      <c r="E20" s="208" t="s">
        <v>11</v>
      </c>
      <c r="F20" s="207" t="s">
        <v>2</v>
      </c>
      <c r="G20" s="209" t="s">
        <v>12</v>
      </c>
      <c r="H20" s="482" t="s">
        <v>18</v>
      </c>
      <c r="I20" s="209" t="s">
        <v>10</v>
      </c>
      <c r="J20" s="207" t="s">
        <v>216</v>
      </c>
      <c r="K20" s="260" t="s">
        <v>212</v>
      </c>
      <c r="L20" s="377"/>
      <c r="M20"/>
      <c r="N20"/>
      <c r="O20"/>
      <c r="P20"/>
      <c r="Q20"/>
      <c r="S20" s="131" t="s">
        <v>21</v>
      </c>
    </row>
    <row r="21" spans="1:19" s="270" customFormat="1">
      <c r="A21" s="867" t="s">
        <v>629</v>
      </c>
      <c r="B21" s="863" t="s">
        <v>680</v>
      </c>
      <c r="C21" s="863" t="s">
        <v>339</v>
      </c>
      <c r="D21" s="868" t="s">
        <v>339</v>
      </c>
      <c r="E21" s="869">
        <v>1</v>
      </c>
      <c r="F21" s="870" t="s">
        <v>304</v>
      </c>
      <c r="G21" s="871">
        <v>-77</v>
      </c>
      <c r="H21" s="864" t="s">
        <v>681</v>
      </c>
      <c r="I21" s="865">
        <v>112.59375</v>
      </c>
      <c r="J21" s="295">
        <v>112.875</v>
      </c>
      <c r="K21" s="296">
        <f t="shared" ref="K21:K84" si="2">(J21-I21)*E21/100*100000</f>
        <v>281.25</v>
      </c>
      <c r="L21" s="381"/>
    </row>
    <row r="22" spans="1:19" s="270" customFormat="1">
      <c r="A22" s="867" t="s">
        <v>629</v>
      </c>
      <c r="B22" s="863" t="s">
        <v>680</v>
      </c>
      <c r="C22" s="863" t="s">
        <v>339</v>
      </c>
      <c r="D22" s="868" t="s">
        <v>339</v>
      </c>
      <c r="E22" s="869">
        <v>10</v>
      </c>
      <c r="F22" s="870" t="s">
        <v>304</v>
      </c>
      <c r="G22" s="871">
        <v>0</v>
      </c>
      <c r="H22" s="864" t="s">
        <v>689</v>
      </c>
      <c r="I22" s="865">
        <v>112.890625</v>
      </c>
      <c r="J22" s="295">
        <v>113</v>
      </c>
      <c r="K22" s="296">
        <f t="shared" si="2"/>
        <v>1093.75</v>
      </c>
      <c r="L22" s="381"/>
    </row>
    <row r="23" spans="1:19" s="270" customFormat="1">
      <c r="A23" s="867" t="s">
        <v>629</v>
      </c>
      <c r="B23" s="863" t="s">
        <v>680</v>
      </c>
      <c r="C23" s="863" t="s">
        <v>339</v>
      </c>
      <c r="D23" s="868" t="s">
        <v>339</v>
      </c>
      <c r="E23" s="869">
        <v>10</v>
      </c>
      <c r="F23" s="870" t="s">
        <v>304</v>
      </c>
      <c r="G23" s="871">
        <v>0</v>
      </c>
      <c r="H23" s="864" t="s">
        <v>690</v>
      </c>
      <c r="I23" s="865">
        <v>112.875</v>
      </c>
      <c r="J23" s="295">
        <v>112.890625</v>
      </c>
      <c r="K23" s="296">
        <f t="shared" si="2"/>
        <v>156.25</v>
      </c>
      <c r="L23" s="381"/>
    </row>
    <row r="24" spans="1:19" s="93" customFormat="1">
      <c r="A24" s="867" t="s">
        <v>629</v>
      </c>
      <c r="B24" s="863" t="s">
        <v>687</v>
      </c>
      <c r="C24" s="863" t="s">
        <v>339</v>
      </c>
      <c r="D24" s="868" t="s">
        <v>339</v>
      </c>
      <c r="E24" s="869">
        <v>-20</v>
      </c>
      <c r="F24" s="870" t="s">
        <v>304</v>
      </c>
      <c r="G24" s="871">
        <v>0</v>
      </c>
      <c r="H24" s="864" t="s">
        <v>697</v>
      </c>
      <c r="I24" s="865">
        <v>113.40625</v>
      </c>
      <c r="J24" s="295">
        <v>113.4375</v>
      </c>
      <c r="K24" s="296">
        <f t="shared" si="2"/>
        <v>-625</v>
      </c>
      <c r="L24" s="377"/>
    </row>
    <row r="25" spans="1:19" s="93" customFormat="1">
      <c r="A25" s="867" t="s">
        <v>629</v>
      </c>
      <c r="B25" s="863" t="s">
        <v>687</v>
      </c>
      <c r="C25" s="863" t="s">
        <v>339</v>
      </c>
      <c r="D25" s="868" t="s">
        <v>339</v>
      </c>
      <c r="E25" s="869">
        <v>-10</v>
      </c>
      <c r="F25" s="870" t="s">
        <v>304</v>
      </c>
      <c r="G25" s="871">
        <v>0</v>
      </c>
      <c r="H25" s="864" t="s">
        <v>698</v>
      </c>
      <c r="I25" s="865">
        <v>113.421875</v>
      </c>
      <c r="J25" s="295">
        <v>113.4375</v>
      </c>
      <c r="K25" s="296">
        <f t="shared" si="2"/>
        <v>-156.25</v>
      </c>
      <c r="L25" s="377"/>
    </row>
    <row r="26" spans="1:19" s="93" customFormat="1">
      <c r="A26" s="867" t="s">
        <v>629</v>
      </c>
      <c r="B26" s="863" t="s">
        <v>687</v>
      </c>
      <c r="C26" s="863" t="s">
        <v>339</v>
      </c>
      <c r="D26" s="868" t="s">
        <v>339</v>
      </c>
      <c r="E26" s="869">
        <v>-20</v>
      </c>
      <c r="F26" s="870" t="s">
        <v>304</v>
      </c>
      <c r="G26" s="871">
        <v>0</v>
      </c>
      <c r="H26" s="864" t="s">
        <v>699</v>
      </c>
      <c r="I26" s="865">
        <v>113.328125</v>
      </c>
      <c r="J26" s="295">
        <v>113.421875</v>
      </c>
      <c r="K26" s="296">
        <f t="shared" si="2"/>
        <v>-1875</v>
      </c>
      <c r="L26" s="377"/>
    </row>
    <row r="27" spans="1:19" s="93" customFormat="1">
      <c r="A27" s="867" t="s">
        <v>629</v>
      </c>
      <c r="B27" s="863" t="s">
        <v>687</v>
      </c>
      <c r="C27" s="863" t="s">
        <v>339</v>
      </c>
      <c r="D27" s="868" t="s">
        <v>339</v>
      </c>
      <c r="E27" s="869">
        <v>-10</v>
      </c>
      <c r="F27" s="870" t="s">
        <v>304</v>
      </c>
      <c r="G27" s="871">
        <v>0</v>
      </c>
      <c r="H27" s="864" t="s">
        <v>700</v>
      </c>
      <c r="I27" s="865">
        <v>113.4375</v>
      </c>
      <c r="J27" s="295">
        <v>113.421875</v>
      </c>
      <c r="K27" s="296">
        <f t="shared" si="2"/>
        <v>156.25</v>
      </c>
      <c r="L27" s="377"/>
    </row>
    <row r="28" spans="1:19" s="93" customFormat="1">
      <c r="A28" s="867" t="s">
        <v>629</v>
      </c>
      <c r="B28" s="863" t="s">
        <v>687</v>
      </c>
      <c r="C28" s="863" t="s">
        <v>339</v>
      </c>
      <c r="D28" s="868" t="s">
        <v>339</v>
      </c>
      <c r="E28" s="869">
        <v>-20</v>
      </c>
      <c r="F28" s="870" t="s">
        <v>304</v>
      </c>
      <c r="G28" s="871">
        <v>0</v>
      </c>
      <c r="H28" s="864" t="s">
        <v>701</v>
      </c>
      <c r="I28" s="865">
        <v>113.4375</v>
      </c>
      <c r="J28" s="295">
        <v>113.453125</v>
      </c>
      <c r="K28" s="296">
        <f t="shared" si="2"/>
        <v>-312.5</v>
      </c>
      <c r="L28" s="377"/>
    </row>
    <row r="29" spans="1:19" s="93" customFormat="1">
      <c r="A29" s="867" t="s">
        <v>629</v>
      </c>
      <c r="B29" s="863" t="s">
        <v>687</v>
      </c>
      <c r="C29" s="863" t="s">
        <v>339</v>
      </c>
      <c r="D29" s="868" t="s">
        <v>339</v>
      </c>
      <c r="E29" s="869">
        <v>20</v>
      </c>
      <c r="F29" s="870" t="s">
        <v>304</v>
      </c>
      <c r="G29" s="871">
        <v>0</v>
      </c>
      <c r="H29" s="864" t="s">
        <v>702</v>
      </c>
      <c r="I29" s="865">
        <v>113.4375</v>
      </c>
      <c r="J29" s="295">
        <v>113.234375</v>
      </c>
      <c r="K29" s="296">
        <f t="shared" si="2"/>
        <v>-4062.5</v>
      </c>
      <c r="L29" s="377"/>
    </row>
    <row r="30" spans="1:19" s="93" customFormat="1">
      <c r="A30" s="867" t="s">
        <v>629</v>
      </c>
      <c r="B30" s="863" t="s">
        <v>687</v>
      </c>
      <c r="C30" s="863" t="s">
        <v>339</v>
      </c>
      <c r="D30" s="868" t="s">
        <v>339</v>
      </c>
      <c r="E30" s="869">
        <v>10</v>
      </c>
      <c r="F30" s="870" t="s">
        <v>304</v>
      </c>
      <c r="G30" s="871">
        <v>0</v>
      </c>
      <c r="H30" s="864" t="s">
        <v>703</v>
      </c>
      <c r="I30" s="865">
        <v>113.28125</v>
      </c>
      <c r="J30" s="295">
        <v>113.234375</v>
      </c>
      <c r="K30" s="296">
        <f t="shared" si="2"/>
        <v>-468.75</v>
      </c>
      <c r="L30" s="377"/>
    </row>
    <row r="31" spans="1:19" s="93" customFormat="1">
      <c r="A31" s="867" t="s">
        <v>629</v>
      </c>
      <c r="B31" s="863" t="s">
        <v>687</v>
      </c>
      <c r="C31" s="863" t="s">
        <v>339</v>
      </c>
      <c r="D31" s="868" t="s">
        <v>339</v>
      </c>
      <c r="E31" s="869">
        <v>10</v>
      </c>
      <c r="F31" s="870" t="s">
        <v>304</v>
      </c>
      <c r="G31" s="871">
        <v>0</v>
      </c>
      <c r="H31" s="864" t="s">
        <v>704</v>
      </c>
      <c r="I31" s="865">
        <v>113.25</v>
      </c>
      <c r="J31" s="295">
        <v>113.234375</v>
      </c>
      <c r="K31" s="296">
        <f t="shared" si="2"/>
        <v>-156.25</v>
      </c>
      <c r="L31" s="377"/>
    </row>
    <row r="32" spans="1:19" s="93" customFormat="1">
      <c r="A32" s="867" t="s">
        <v>629</v>
      </c>
      <c r="B32" s="863" t="s">
        <v>687</v>
      </c>
      <c r="C32" s="863" t="s">
        <v>339</v>
      </c>
      <c r="D32" s="868" t="s">
        <v>339</v>
      </c>
      <c r="E32" s="869">
        <v>10</v>
      </c>
      <c r="F32" s="870" t="s">
        <v>304</v>
      </c>
      <c r="G32" s="871">
        <v>-770</v>
      </c>
      <c r="H32" s="864" t="s">
        <v>691</v>
      </c>
      <c r="I32" s="865">
        <v>113.265625</v>
      </c>
      <c r="J32" s="295">
        <v>113.078125</v>
      </c>
      <c r="K32" s="296">
        <f t="shared" si="2"/>
        <v>-1875</v>
      </c>
      <c r="L32" s="377"/>
    </row>
    <row r="33" spans="1:12" s="93" customFormat="1">
      <c r="A33" s="867" t="s">
        <v>629</v>
      </c>
      <c r="B33" s="863" t="s">
        <v>705</v>
      </c>
      <c r="C33" s="863" t="s">
        <v>339</v>
      </c>
      <c r="D33" s="868" t="s">
        <v>339</v>
      </c>
      <c r="E33" s="869">
        <v>10</v>
      </c>
      <c r="F33" s="870" t="s">
        <v>304</v>
      </c>
      <c r="G33" s="871">
        <v>0</v>
      </c>
      <c r="H33" s="864" t="s">
        <v>719</v>
      </c>
      <c r="I33" s="865">
        <v>112.796875</v>
      </c>
      <c r="J33" s="295">
        <v>112.90625</v>
      </c>
      <c r="K33" s="296">
        <f t="shared" si="2"/>
        <v>1093.75</v>
      </c>
      <c r="L33" s="377"/>
    </row>
    <row r="34" spans="1:12" s="93" customFormat="1">
      <c r="A34" s="867" t="s">
        <v>629</v>
      </c>
      <c r="B34" s="863" t="s">
        <v>705</v>
      </c>
      <c r="C34" s="863" t="s">
        <v>339</v>
      </c>
      <c r="D34" s="868" t="s">
        <v>339</v>
      </c>
      <c r="E34" s="869">
        <v>10</v>
      </c>
      <c r="F34" s="870" t="s">
        <v>304</v>
      </c>
      <c r="G34" s="871">
        <v>0</v>
      </c>
      <c r="H34" s="864" t="s">
        <v>720</v>
      </c>
      <c r="I34" s="865">
        <v>112.78125</v>
      </c>
      <c r="J34" s="295">
        <v>112.921875</v>
      </c>
      <c r="K34" s="296">
        <f t="shared" si="2"/>
        <v>1406.25</v>
      </c>
      <c r="L34" s="377"/>
    </row>
    <row r="35" spans="1:12" s="93" customFormat="1">
      <c r="A35" s="867" t="s">
        <v>629</v>
      </c>
      <c r="B35" s="863" t="s">
        <v>723</v>
      </c>
      <c r="C35" s="863" t="s">
        <v>339</v>
      </c>
      <c r="D35" s="868" t="s">
        <v>339</v>
      </c>
      <c r="E35" s="869">
        <v>-10</v>
      </c>
      <c r="F35" s="870" t="s">
        <v>304</v>
      </c>
      <c r="G35" s="871">
        <v>0</v>
      </c>
      <c r="H35" s="864" t="s">
        <v>731</v>
      </c>
      <c r="I35" s="865">
        <v>112.828125</v>
      </c>
      <c r="J35" s="295">
        <v>113.203125</v>
      </c>
      <c r="K35" s="296">
        <f t="shared" si="2"/>
        <v>-3750</v>
      </c>
      <c r="L35" s="377"/>
    </row>
    <row r="36" spans="1:12" s="93" customFormat="1">
      <c r="A36" s="867" t="s">
        <v>629</v>
      </c>
      <c r="B36" s="863" t="s">
        <v>705</v>
      </c>
      <c r="C36" s="863" t="s">
        <v>339</v>
      </c>
      <c r="D36" s="868" t="s">
        <v>339</v>
      </c>
      <c r="E36" s="869">
        <v>-10</v>
      </c>
      <c r="F36" s="870" t="s">
        <v>304</v>
      </c>
      <c r="G36" s="871">
        <v>770</v>
      </c>
      <c r="H36" s="864" t="s">
        <v>706</v>
      </c>
      <c r="I36" s="865">
        <v>113.21875</v>
      </c>
      <c r="J36" s="295">
        <v>114.25</v>
      </c>
      <c r="K36" s="296">
        <f t="shared" si="2"/>
        <v>-10312.5</v>
      </c>
      <c r="L36" s="377"/>
    </row>
    <row r="37" spans="1:12" s="93" customFormat="1">
      <c r="A37" s="867" t="s">
        <v>629</v>
      </c>
      <c r="B37" s="863" t="s">
        <v>705</v>
      </c>
      <c r="C37" s="863" t="s">
        <v>339</v>
      </c>
      <c r="D37" s="868" t="s">
        <v>339</v>
      </c>
      <c r="E37" s="869">
        <v>-10</v>
      </c>
      <c r="F37" s="870" t="s">
        <v>304</v>
      </c>
      <c r="G37" s="871">
        <v>770</v>
      </c>
      <c r="H37" s="864" t="s">
        <v>707</v>
      </c>
      <c r="I37" s="865">
        <v>113.171875</v>
      </c>
      <c r="J37" s="295">
        <v>114.25</v>
      </c>
      <c r="K37" s="296">
        <f t="shared" si="2"/>
        <v>-10781.25</v>
      </c>
      <c r="L37" s="377"/>
    </row>
    <row r="38" spans="1:12" s="93" customFormat="1">
      <c r="A38" s="867" t="s">
        <v>629</v>
      </c>
      <c r="B38" s="863" t="s">
        <v>705</v>
      </c>
      <c r="C38" s="863" t="s">
        <v>339</v>
      </c>
      <c r="D38" s="868" t="s">
        <v>339</v>
      </c>
      <c r="E38" s="869">
        <v>-10</v>
      </c>
      <c r="F38" s="870" t="s">
        <v>304</v>
      </c>
      <c r="G38" s="871">
        <v>770</v>
      </c>
      <c r="H38" s="864" t="s">
        <v>721</v>
      </c>
      <c r="I38" s="865">
        <v>112.9375</v>
      </c>
      <c r="J38" s="295">
        <v>114.25</v>
      </c>
      <c r="K38" s="296">
        <f t="shared" si="2"/>
        <v>-13125</v>
      </c>
      <c r="L38" s="377"/>
    </row>
    <row r="39" spans="1:12" s="93" customFormat="1">
      <c r="A39" s="867" t="s">
        <v>629</v>
      </c>
      <c r="B39" s="863" t="s">
        <v>732</v>
      </c>
      <c r="C39" s="863" t="s">
        <v>339</v>
      </c>
      <c r="D39" s="868" t="s">
        <v>339</v>
      </c>
      <c r="E39" s="869">
        <v>-20</v>
      </c>
      <c r="F39" s="870" t="s">
        <v>304</v>
      </c>
      <c r="G39" s="871">
        <v>0</v>
      </c>
      <c r="H39" s="864" t="s">
        <v>734</v>
      </c>
      <c r="I39" s="865">
        <v>114.25</v>
      </c>
      <c r="J39" s="295">
        <v>114.265625</v>
      </c>
      <c r="K39" s="296">
        <f t="shared" si="2"/>
        <v>-312.5</v>
      </c>
      <c r="L39" s="377"/>
    </row>
    <row r="40" spans="1:12" s="93" customFormat="1">
      <c r="A40" s="867" t="s">
        <v>629</v>
      </c>
      <c r="B40" s="863" t="s">
        <v>862</v>
      </c>
      <c r="C40" s="863" t="s">
        <v>339</v>
      </c>
      <c r="D40" s="868" t="s">
        <v>339</v>
      </c>
      <c r="E40" s="869">
        <v>10</v>
      </c>
      <c r="F40" s="870" t="s">
        <v>304</v>
      </c>
      <c r="G40" s="871">
        <v>0</v>
      </c>
      <c r="H40" s="864" t="s">
        <v>875</v>
      </c>
      <c r="I40" s="865">
        <v>114.890625</v>
      </c>
      <c r="J40" s="295">
        <v>114.8125</v>
      </c>
      <c r="K40" s="296">
        <f t="shared" si="2"/>
        <v>-781.25</v>
      </c>
      <c r="L40" s="377"/>
    </row>
    <row r="41" spans="1:12" s="93" customFormat="1">
      <c r="A41" s="867" t="s">
        <v>629</v>
      </c>
      <c r="B41" s="863" t="s">
        <v>876</v>
      </c>
      <c r="C41" s="863" t="s">
        <v>339</v>
      </c>
      <c r="D41" s="868" t="s">
        <v>339</v>
      </c>
      <c r="E41" s="869">
        <v>10</v>
      </c>
      <c r="F41" s="870" t="s">
        <v>304</v>
      </c>
      <c r="G41" s="871">
        <v>0</v>
      </c>
      <c r="H41" s="864" t="s">
        <v>884</v>
      </c>
      <c r="I41" s="865">
        <v>115.40625</v>
      </c>
      <c r="J41" s="295">
        <v>115.359375</v>
      </c>
      <c r="K41" s="296">
        <f t="shared" si="2"/>
        <v>-468.75</v>
      </c>
      <c r="L41" s="377"/>
    </row>
    <row r="42" spans="1:12" s="93" customFormat="1">
      <c r="A42" s="867" t="s">
        <v>629</v>
      </c>
      <c r="B42" s="863" t="s">
        <v>876</v>
      </c>
      <c r="C42" s="863" t="s">
        <v>339</v>
      </c>
      <c r="D42" s="868" t="s">
        <v>339</v>
      </c>
      <c r="E42" s="869">
        <v>10</v>
      </c>
      <c r="F42" s="870" t="s">
        <v>304</v>
      </c>
      <c r="G42" s="871">
        <v>0</v>
      </c>
      <c r="H42" s="864" t="s">
        <v>885</v>
      </c>
      <c r="I42" s="865">
        <v>115.890625</v>
      </c>
      <c r="J42" s="295">
        <v>115.359375</v>
      </c>
      <c r="K42" s="296">
        <f t="shared" si="2"/>
        <v>-5312.5</v>
      </c>
      <c r="L42" s="377"/>
    </row>
    <row r="43" spans="1:12" s="93" customFormat="1">
      <c r="A43" s="867" t="s">
        <v>629</v>
      </c>
      <c r="B43" s="863" t="s">
        <v>876</v>
      </c>
      <c r="C43" s="863" t="s">
        <v>339</v>
      </c>
      <c r="D43" s="868" t="s">
        <v>339</v>
      </c>
      <c r="E43" s="869">
        <v>5</v>
      </c>
      <c r="F43" s="870" t="s">
        <v>304</v>
      </c>
      <c r="G43" s="871">
        <v>0</v>
      </c>
      <c r="H43" s="864" t="s">
        <v>886</v>
      </c>
      <c r="I43" s="865">
        <v>115.625</v>
      </c>
      <c r="J43" s="295">
        <v>115.6875</v>
      </c>
      <c r="K43" s="296">
        <f t="shared" si="2"/>
        <v>312.5</v>
      </c>
      <c r="L43" s="377"/>
    </row>
    <row r="44" spans="1:12" s="93" customFormat="1">
      <c r="A44" s="867" t="s">
        <v>629</v>
      </c>
      <c r="B44" s="863" t="s">
        <v>876</v>
      </c>
      <c r="C44" s="863" t="s">
        <v>339</v>
      </c>
      <c r="D44" s="868" t="s">
        <v>339</v>
      </c>
      <c r="E44" s="869">
        <v>-5</v>
      </c>
      <c r="F44" s="870" t="s">
        <v>304</v>
      </c>
      <c r="G44" s="871">
        <v>0</v>
      </c>
      <c r="H44" s="864" t="s">
        <v>887</v>
      </c>
      <c r="I44" s="865">
        <v>115.78125</v>
      </c>
      <c r="J44" s="295">
        <v>115.453125</v>
      </c>
      <c r="K44" s="296">
        <f t="shared" si="2"/>
        <v>1640.625</v>
      </c>
      <c r="L44" s="377"/>
    </row>
    <row r="45" spans="1:12" s="93" customFormat="1">
      <c r="A45" s="867" t="s">
        <v>629</v>
      </c>
      <c r="B45" s="863" t="s">
        <v>876</v>
      </c>
      <c r="C45" s="863" t="s">
        <v>339</v>
      </c>
      <c r="D45" s="868" t="s">
        <v>339</v>
      </c>
      <c r="E45" s="869">
        <v>-5</v>
      </c>
      <c r="F45" s="870" t="s">
        <v>304</v>
      </c>
      <c r="G45" s="871">
        <v>0</v>
      </c>
      <c r="H45" s="864" t="s">
        <v>888</v>
      </c>
      <c r="I45" s="865">
        <v>115.546875</v>
      </c>
      <c r="J45" s="295">
        <v>115.453125</v>
      </c>
      <c r="K45" s="296">
        <f t="shared" si="2"/>
        <v>468.75</v>
      </c>
      <c r="L45" s="377"/>
    </row>
    <row r="46" spans="1:12" s="93" customFormat="1">
      <c r="A46" s="867" t="s">
        <v>629</v>
      </c>
      <c r="B46" s="863" t="s">
        <v>916</v>
      </c>
      <c r="C46" s="863" t="s">
        <v>339</v>
      </c>
      <c r="D46" s="868" t="s">
        <v>339</v>
      </c>
      <c r="E46" s="869">
        <v>-5</v>
      </c>
      <c r="F46" s="870" t="s">
        <v>304</v>
      </c>
      <c r="G46" s="871">
        <v>0</v>
      </c>
      <c r="H46" s="864" t="s">
        <v>929</v>
      </c>
      <c r="I46" s="865">
        <v>115.546875</v>
      </c>
      <c r="J46" s="295">
        <v>115.46875</v>
      </c>
      <c r="K46" s="296">
        <f t="shared" si="2"/>
        <v>390.625</v>
      </c>
      <c r="L46" s="377"/>
    </row>
    <row r="47" spans="1:12" s="93" customFormat="1">
      <c r="A47" s="867" t="s">
        <v>629</v>
      </c>
      <c r="B47" s="863" t="s">
        <v>916</v>
      </c>
      <c r="C47" s="863" t="s">
        <v>339</v>
      </c>
      <c r="D47" s="868" t="s">
        <v>339</v>
      </c>
      <c r="E47" s="869">
        <v>-5</v>
      </c>
      <c r="F47" s="870" t="s">
        <v>304</v>
      </c>
      <c r="G47" s="871">
        <v>0</v>
      </c>
      <c r="H47" s="864" t="s">
        <v>930</v>
      </c>
      <c r="I47" s="865">
        <v>114.4375</v>
      </c>
      <c r="J47" s="295">
        <v>114.390625</v>
      </c>
      <c r="K47" s="296">
        <f t="shared" si="2"/>
        <v>234.375</v>
      </c>
      <c r="L47" s="377"/>
    </row>
    <row r="48" spans="1:12" s="93" customFormat="1">
      <c r="A48" s="867" t="s">
        <v>629</v>
      </c>
      <c r="B48" s="863" t="s">
        <v>939</v>
      </c>
      <c r="C48" s="863" t="s">
        <v>339</v>
      </c>
      <c r="D48" s="868" t="s">
        <v>339</v>
      </c>
      <c r="E48" s="869">
        <v>-2</v>
      </c>
      <c r="F48" s="870" t="s">
        <v>304</v>
      </c>
      <c r="G48" s="871">
        <v>0</v>
      </c>
      <c r="H48" s="864" t="s">
        <v>946</v>
      </c>
      <c r="I48" s="865">
        <v>113.609375</v>
      </c>
      <c r="J48" s="295">
        <v>113.6875</v>
      </c>
      <c r="K48" s="296">
        <f t="shared" si="2"/>
        <v>-156.25</v>
      </c>
      <c r="L48" s="377"/>
    </row>
    <row r="49" spans="1:12" s="93" customFormat="1">
      <c r="A49" s="867" t="s">
        <v>629</v>
      </c>
      <c r="B49" s="863" t="s">
        <v>961</v>
      </c>
      <c r="C49" s="863" t="s">
        <v>339</v>
      </c>
      <c r="D49" s="868" t="s">
        <v>339</v>
      </c>
      <c r="E49" s="869">
        <v>1</v>
      </c>
      <c r="F49" s="870" t="s">
        <v>304</v>
      </c>
      <c r="G49" s="871">
        <v>0</v>
      </c>
      <c r="H49" s="864" t="s">
        <v>983</v>
      </c>
      <c r="I49" s="865">
        <v>113.734375</v>
      </c>
      <c r="J49" s="295">
        <v>113.59375</v>
      </c>
      <c r="K49" s="296">
        <f t="shared" si="2"/>
        <v>-140.625</v>
      </c>
      <c r="L49" s="377"/>
    </row>
    <row r="50" spans="1:12" s="93" customFormat="1">
      <c r="A50" s="867" t="s">
        <v>629</v>
      </c>
      <c r="B50" s="863" t="s">
        <v>961</v>
      </c>
      <c r="C50" s="863" t="s">
        <v>339</v>
      </c>
      <c r="D50" s="868" t="s">
        <v>339</v>
      </c>
      <c r="E50" s="869">
        <v>1</v>
      </c>
      <c r="F50" s="870" t="s">
        <v>304</v>
      </c>
      <c r="G50" s="871">
        <v>0</v>
      </c>
      <c r="H50" s="864" t="s">
        <v>984</v>
      </c>
      <c r="I50" s="865">
        <v>113.671875</v>
      </c>
      <c r="J50" s="295">
        <v>113.59375</v>
      </c>
      <c r="K50" s="296">
        <f t="shared" si="2"/>
        <v>-78.125</v>
      </c>
      <c r="L50" s="377"/>
    </row>
    <row r="51" spans="1:12" s="93" customFormat="1">
      <c r="A51" s="867" t="s">
        <v>629</v>
      </c>
      <c r="B51" s="863" t="s">
        <v>961</v>
      </c>
      <c r="C51" s="863" t="s">
        <v>339</v>
      </c>
      <c r="D51" s="868" t="s">
        <v>339</v>
      </c>
      <c r="E51" s="869">
        <v>1</v>
      </c>
      <c r="F51" s="870" t="s">
        <v>304</v>
      </c>
      <c r="G51" s="871">
        <v>0</v>
      </c>
      <c r="H51" s="864" t="s">
        <v>985</v>
      </c>
      <c r="I51" s="865">
        <v>113.609375</v>
      </c>
      <c r="J51" s="295">
        <v>113.125</v>
      </c>
      <c r="K51" s="296">
        <f t="shared" si="2"/>
        <v>-484.375</v>
      </c>
      <c r="L51" s="377"/>
    </row>
    <row r="52" spans="1:12" s="93" customFormat="1">
      <c r="A52" s="867" t="s">
        <v>629</v>
      </c>
      <c r="B52" s="863" t="s">
        <v>975</v>
      </c>
      <c r="C52" s="863" t="s">
        <v>339</v>
      </c>
      <c r="D52" s="868" t="s">
        <v>339</v>
      </c>
      <c r="E52" s="869">
        <v>1</v>
      </c>
      <c r="F52" s="870" t="s">
        <v>304</v>
      </c>
      <c r="G52" s="871">
        <v>0</v>
      </c>
      <c r="H52" s="864" t="s">
        <v>986</v>
      </c>
      <c r="I52" s="865">
        <v>113.0625</v>
      </c>
      <c r="J52" s="295">
        <v>113.09375</v>
      </c>
      <c r="K52" s="296">
        <f t="shared" si="2"/>
        <v>31.25</v>
      </c>
      <c r="L52" s="377"/>
    </row>
    <row r="53" spans="1:12" s="93" customFormat="1">
      <c r="A53" s="867" t="s">
        <v>629</v>
      </c>
      <c r="B53" s="863" t="s">
        <v>975</v>
      </c>
      <c r="C53" s="863" t="s">
        <v>339</v>
      </c>
      <c r="D53" s="868" t="s">
        <v>339</v>
      </c>
      <c r="E53" s="869">
        <v>1</v>
      </c>
      <c r="F53" s="870" t="s">
        <v>304</v>
      </c>
      <c r="G53" s="871">
        <v>0</v>
      </c>
      <c r="H53" s="864" t="s">
        <v>987</v>
      </c>
      <c r="I53" s="865">
        <v>113.0625</v>
      </c>
      <c r="J53" s="295">
        <v>113.046875</v>
      </c>
      <c r="K53" s="296">
        <f t="shared" si="2"/>
        <v>-15.625</v>
      </c>
      <c r="L53" s="377"/>
    </row>
    <row r="54" spans="1:12" s="93" customFormat="1">
      <c r="A54" s="867" t="s">
        <v>629</v>
      </c>
      <c r="B54" s="863" t="s">
        <v>961</v>
      </c>
      <c r="C54" s="863" t="s">
        <v>339</v>
      </c>
      <c r="D54" s="868" t="s">
        <v>339</v>
      </c>
      <c r="E54" s="869">
        <v>-1</v>
      </c>
      <c r="F54" s="870" t="s">
        <v>304</v>
      </c>
      <c r="G54" s="871">
        <v>77</v>
      </c>
      <c r="H54" s="864" t="s">
        <v>966</v>
      </c>
      <c r="I54" s="865">
        <v>113.546875</v>
      </c>
      <c r="J54" s="295">
        <v>113.046875</v>
      </c>
      <c r="K54" s="296">
        <f t="shared" si="2"/>
        <v>500</v>
      </c>
      <c r="L54" s="377"/>
    </row>
    <row r="55" spans="1:12" s="93" customFormat="1">
      <c r="A55" s="867" t="s">
        <v>629</v>
      </c>
      <c r="B55" s="863" t="s">
        <v>975</v>
      </c>
      <c r="C55" s="863" t="s">
        <v>339</v>
      </c>
      <c r="D55" s="868" t="s">
        <v>339</v>
      </c>
      <c r="E55" s="869">
        <v>1</v>
      </c>
      <c r="F55" s="870" t="s">
        <v>304</v>
      </c>
      <c r="G55" s="871">
        <v>-77</v>
      </c>
      <c r="H55" s="864" t="s">
        <v>988</v>
      </c>
      <c r="I55" s="865">
        <v>113.109375</v>
      </c>
      <c r="J55" s="295">
        <v>112.65625</v>
      </c>
      <c r="K55" s="296">
        <f t="shared" si="2"/>
        <v>-453.12499999999994</v>
      </c>
      <c r="L55" s="377"/>
    </row>
    <row r="56" spans="1:12" s="93" customFormat="1">
      <c r="A56" s="867" t="s">
        <v>629</v>
      </c>
      <c r="B56" s="863" t="s">
        <v>994</v>
      </c>
      <c r="C56" s="863" t="s">
        <v>339</v>
      </c>
      <c r="D56" s="868" t="s">
        <v>339</v>
      </c>
      <c r="E56" s="869">
        <v>-1</v>
      </c>
      <c r="F56" s="870" t="s">
        <v>304</v>
      </c>
      <c r="G56" s="871">
        <v>0</v>
      </c>
      <c r="H56" s="864" t="s">
        <v>1010</v>
      </c>
      <c r="I56" s="865">
        <v>112.96875</v>
      </c>
      <c r="J56" s="295">
        <v>112.640625</v>
      </c>
      <c r="K56" s="296">
        <f t="shared" si="2"/>
        <v>328.125</v>
      </c>
      <c r="L56" s="377"/>
    </row>
    <row r="57" spans="1:12" s="93" customFormat="1">
      <c r="A57" s="867" t="s">
        <v>629</v>
      </c>
      <c r="B57" s="863" t="s">
        <v>994</v>
      </c>
      <c r="C57" s="863" t="s">
        <v>339</v>
      </c>
      <c r="D57" s="868" t="s">
        <v>339</v>
      </c>
      <c r="E57" s="869">
        <v>-1</v>
      </c>
      <c r="F57" s="870" t="s">
        <v>304</v>
      </c>
      <c r="G57" s="871">
        <v>0</v>
      </c>
      <c r="H57" s="864" t="s">
        <v>1011</v>
      </c>
      <c r="I57" s="865">
        <v>112.5625</v>
      </c>
      <c r="J57" s="295">
        <v>112.640625</v>
      </c>
      <c r="K57" s="296">
        <f t="shared" si="2"/>
        <v>-78.125</v>
      </c>
      <c r="L57" s="377"/>
    </row>
    <row r="58" spans="1:12" s="93" customFormat="1">
      <c r="A58" s="867" t="s">
        <v>629</v>
      </c>
      <c r="B58" s="863" t="s">
        <v>994</v>
      </c>
      <c r="C58" s="863" t="s">
        <v>339</v>
      </c>
      <c r="D58" s="868" t="s">
        <v>339</v>
      </c>
      <c r="E58" s="869">
        <v>1</v>
      </c>
      <c r="F58" s="870" t="s">
        <v>304</v>
      </c>
      <c r="G58" s="871">
        <v>0</v>
      </c>
      <c r="H58" s="864" t="s">
        <v>1012</v>
      </c>
      <c r="I58" s="865">
        <v>112.796875</v>
      </c>
      <c r="J58" s="295">
        <v>112.71875</v>
      </c>
      <c r="K58" s="296">
        <f t="shared" si="2"/>
        <v>-78.125</v>
      </c>
      <c r="L58" s="377"/>
    </row>
    <row r="59" spans="1:12" s="270" customFormat="1">
      <c r="A59" s="867" t="s">
        <v>629</v>
      </c>
      <c r="B59" s="863" t="s">
        <v>994</v>
      </c>
      <c r="C59" s="863" t="s">
        <v>339</v>
      </c>
      <c r="D59" s="868" t="s">
        <v>339</v>
      </c>
      <c r="E59" s="869">
        <v>2</v>
      </c>
      <c r="F59" s="870" t="s">
        <v>304</v>
      </c>
      <c r="G59" s="871">
        <v>0</v>
      </c>
      <c r="H59" s="864" t="s">
        <v>1013</v>
      </c>
      <c r="I59" s="865">
        <v>112.640625</v>
      </c>
      <c r="J59" s="295">
        <v>112.71875</v>
      </c>
      <c r="K59" s="296">
        <f t="shared" si="2"/>
        <v>156.25</v>
      </c>
      <c r="L59" s="381"/>
    </row>
    <row r="60" spans="1:12" s="270" customFormat="1">
      <c r="A60" s="867" t="s">
        <v>629</v>
      </c>
      <c r="B60" s="863" t="s">
        <v>1005</v>
      </c>
      <c r="C60" s="863" t="s">
        <v>339</v>
      </c>
      <c r="D60" s="868" t="s">
        <v>339</v>
      </c>
      <c r="E60" s="869">
        <v>1</v>
      </c>
      <c r="F60" s="870" t="s">
        <v>304</v>
      </c>
      <c r="G60" s="871">
        <v>0</v>
      </c>
      <c r="H60" s="864" t="s">
        <v>1019</v>
      </c>
      <c r="I60" s="865">
        <v>112.328125</v>
      </c>
      <c r="J60" s="295">
        <v>112.015625</v>
      </c>
      <c r="K60" s="296">
        <f t="shared" si="2"/>
        <v>-312.5</v>
      </c>
      <c r="L60" s="381"/>
    </row>
    <row r="61" spans="1:12" s="270" customFormat="1">
      <c r="A61" s="867" t="s">
        <v>629</v>
      </c>
      <c r="B61" s="863" t="s">
        <v>1020</v>
      </c>
      <c r="C61" s="863" t="s">
        <v>339</v>
      </c>
      <c r="D61" s="868" t="s">
        <v>339</v>
      </c>
      <c r="E61" s="869">
        <v>1</v>
      </c>
      <c r="F61" s="870" t="s">
        <v>304</v>
      </c>
      <c r="G61" s="871">
        <v>0</v>
      </c>
      <c r="H61" s="864" t="s">
        <v>1021</v>
      </c>
      <c r="I61" s="865">
        <v>112.03125</v>
      </c>
      <c r="J61" s="295">
        <v>112.1875</v>
      </c>
      <c r="K61" s="296">
        <f t="shared" si="2"/>
        <v>156.25</v>
      </c>
      <c r="L61" s="381"/>
    </row>
    <row r="62" spans="1:12" s="270" customFormat="1">
      <c r="A62" s="867" t="s">
        <v>629</v>
      </c>
      <c r="B62" s="863" t="s">
        <v>1020</v>
      </c>
      <c r="C62" s="863" t="s">
        <v>339</v>
      </c>
      <c r="D62" s="868" t="s">
        <v>339</v>
      </c>
      <c r="E62" s="869">
        <v>2</v>
      </c>
      <c r="F62" s="870" t="s">
        <v>304</v>
      </c>
      <c r="G62" s="871">
        <v>0</v>
      </c>
      <c r="H62" s="864" t="s">
        <v>1032</v>
      </c>
      <c r="I62" s="865">
        <v>111.953125</v>
      </c>
      <c r="J62" s="295">
        <v>112.046875</v>
      </c>
      <c r="K62" s="296">
        <f t="shared" si="2"/>
        <v>187.5</v>
      </c>
      <c r="L62" s="381"/>
    </row>
    <row r="63" spans="1:12" s="270" customFormat="1">
      <c r="A63" s="867" t="s">
        <v>629</v>
      </c>
      <c r="B63" s="863" t="s">
        <v>1020</v>
      </c>
      <c r="C63" s="863" t="s">
        <v>339</v>
      </c>
      <c r="D63" s="868" t="s">
        <v>339</v>
      </c>
      <c r="E63" s="869">
        <v>2</v>
      </c>
      <c r="F63" s="870" t="s">
        <v>304</v>
      </c>
      <c r="G63" s="871">
        <v>0</v>
      </c>
      <c r="H63" s="864" t="s">
        <v>1033</v>
      </c>
      <c r="I63" s="865">
        <v>111.9375</v>
      </c>
      <c r="J63" s="295">
        <v>111.859375</v>
      </c>
      <c r="K63" s="296">
        <f t="shared" si="2"/>
        <v>-156.25</v>
      </c>
      <c r="L63" s="381"/>
    </row>
    <row r="64" spans="1:12" s="270" customFormat="1">
      <c r="A64" s="867" t="s">
        <v>629</v>
      </c>
      <c r="B64" s="863" t="s">
        <v>1020</v>
      </c>
      <c r="C64" s="863" t="s">
        <v>339</v>
      </c>
      <c r="D64" s="868" t="s">
        <v>339</v>
      </c>
      <c r="E64" s="869">
        <v>2</v>
      </c>
      <c r="F64" s="870" t="s">
        <v>304</v>
      </c>
      <c r="G64" s="871">
        <v>0</v>
      </c>
      <c r="H64" s="864" t="s">
        <v>1034</v>
      </c>
      <c r="I64" s="865">
        <v>111.703125</v>
      </c>
      <c r="J64" s="295">
        <v>111.421875</v>
      </c>
      <c r="K64" s="296">
        <f t="shared" si="2"/>
        <v>-562.5</v>
      </c>
      <c r="L64" s="381"/>
    </row>
    <row r="65" spans="1:12" s="270" customFormat="1">
      <c r="A65" s="867" t="s">
        <v>629</v>
      </c>
      <c r="B65" s="863" t="s">
        <v>1026</v>
      </c>
      <c r="C65" s="863" t="s">
        <v>339</v>
      </c>
      <c r="D65" s="868" t="s">
        <v>339</v>
      </c>
      <c r="E65" s="869">
        <v>2</v>
      </c>
      <c r="F65" s="870" t="s">
        <v>304</v>
      </c>
      <c r="G65" s="871">
        <v>0</v>
      </c>
      <c r="H65" s="864" t="s">
        <v>1035</v>
      </c>
      <c r="I65" s="865">
        <v>111.375</v>
      </c>
      <c r="J65" s="295">
        <v>111.296875</v>
      </c>
      <c r="K65" s="296">
        <f t="shared" si="2"/>
        <v>-156.25</v>
      </c>
      <c r="L65" s="381"/>
    </row>
    <row r="66" spans="1:12" s="270" customFormat="1">
      <c r="A66" s="867" t="s">
        <v>629</v>
      </c>
      <c r="B66" s="863" t="s">
        <v>1026</v>
      </c>
      <c r="C66" s="863" t="s">
        <v>339</v>
      </c>
      <c r="D66" s="868" t="s">
        <v>339</v>
      </c>
      <c r="E66" s="869">
        <v>-2</v>
      </c>
      <c r="F66" s="870" t="s">
        <v>304</v>
      </c>
      <c r="G66" s="871">
        <v>0</v>
      </c>
      <c r="H66" s="864" t="s">
        <v>1041</v>
      </c>
      <c r="I66" s="865">
        <v>111.484375</v>
      </c>
      <c r="J66" s="295">
        <v>111.421875</v>
      </c>
      <c r="K66" s="296">
        <f t="shared" si="2"/>
        <v>125</v>
      </c>
      <c r="L66" s="381"/>
    </row>
    <row r="67" spans="1:12" s="270" customFormat="1">
      <c r="A67" s="867" t="s">
        <v>629</v>
      </c>
      <c r="B67" s="863" t="s">
        <v>1049</v>
      </c>
      <c r="C67" s="863" t="s">
        <v>339</v>
      </c>
      <c r="D67" s="868" t="s">
        <v>339</v>
      </c>
      <c r="E67" s="869">
        <v>2</v>
      </c>
      <c r="F67" s="870" t="s">
        <v>304</v>
      </c>
      <c r="G67" s="871">
        <v>0</v>
      </c>
      <c r="H67" s="864" t="s">
        <v>1063</v>
      </c>
      <c r="I67" s="865">
        <v>110.984375</v>
      </c>
      <c r="J67" s="295">
        <v>111.109375</v>
      </c>
      <c r="K67" s="296">
        <f t="shared" si="2"/>
        <v>250</v>
      </c>
      <c r="L67" s="381"/>
    </row>
    <row r="68" spans="1:12" s="270" customFormat="1">
      <c r="A68" s="867" t="s">
        <v>629</v>
      </c>
      <c r="B68" s="863" t="s">
        <v>1049</v>
      </c>
      <c r="C68" s="863" t="s">
        <v>339</v>
      </c>
      <c r="D68" s="868" t="s">
        <v>339</v>
      </c>
      <c r="E68" s="869">
        <v>-2</v>
      </c>
      <c r="F68" s="870" t="s">
        <v>304</v>
      </c>
      <c r="G68" s="871">
        <v>154</v>
      </c>
      <c r="H68" s="864" t="s">
        <v>1058</v>
      </c>
      <c r="I68" s="865">
        <v>111.078125</v>
      </c>
      <c r="J68" s="295">
        <v>111.046875</v>
      </c>
      <c r="K68" s="296">
        <f t="shared" si="2"/>
        <v>62.5</v>
      </c>
      <c r="L68" s="381"/>
    </row>
    <row r="69" spans="1:12" s="270" customFormat="1">
      <c r="A69" s="867" t="s">
        <v>629</v>
      </c>
      <c r="B69" s="863" t="s">
        <v>1071</v>
      </c>
      <c r="C69" s="863" t="s">
        <v>339</v>
      </c>
      <c r="D69" s="868" t="s">
        <v>339</v>
      </c>
      <c r="E69" s="869">
        <v>2</v>
      </c>
      <c r="F69" s="870" t="s">
        <v>304</v>
      </c>
      <c r="G69" s="871">
        <v>-154</v>
      </c>
      <c r="H69" s="864" t="s">
        <v>1074</v>
      </c>
      <c r="I69" s="865">
        <v>111.453125</v>
      </c>
      <c r="J69" s="295">
        <v>111.234375</v>
      </c>
      <c r="K69" s="296">
        <f t="shared" si="2"/>
        <v>-437.50000000000006</v>
      </c>
      <c r="L69" s="381"/>
    </row>
    <row r="70" spans="1:12" s="270" customFormat="1">
      <c r="A70" s="867" t="s">
        <v>643</v>
      </c>
      <c r="B70" s="863" t="s">
        <v>1140</v>
      </c>
      <c r="C70" s="863" t="s">
        <v>339</v>
      </c>
      <c r="D70" s="868" t="s">
        <v>339</v>
      </c>
      <c r="E70" s="869">
        <v>2</v>
      </c>
      <c r="F70" s="870" t="s">
        <v>304</v>
      </c>
      <c r="G70" s="871">
        <v>0</v>
      </c>
      <c r="H70" s="864" t="s">
        <v>1141</v>
      </c>
      <c r="I70" s="865">
        <v>111.0625</v>
      </c>
      <c r="J70" s="295">
        <v>111.1875</v>
      </c>
      <c r="K70" s="296">
        <f t="shared" si="2"/>
        <v>250</v>
      </c>
      <c r="L70" s="381"/>
    </row>
    <row r="71" spans="1:12" s="270" customFormat="1">
      <c r="A71" s="867" t="s">
        <v>643</v>
      </c>
      <c r="B71" s="863" t="s">
        <v>1132</v>
      </c>
      <c r="C71" s="863" t="s">
        <v>339</v>
      </c>
      <c r="D71" s="868" t="s">
        <v>339</v>
      </c>
      <c r="E71" s="869">
        <v>-2</v>
      </c>
      <c r="F71" s="870" t="s">
        <v>304</v>
      </c>
      <c r="G71" s="871">
        <v>154</v>
      </c>
      <c r="H71" s="864" t="s">
        <v>1133</v>
      </c>
      <c r="I71" s="865">
        <v>111.203125</v>
      </c>
      <c r="J71" s="295">
        <v>111.296875</v>
      </c>
      <c r="K71" s="296">
        <f t="shared" si="2"/>
        <v>-187.5</v>
      </c>
      <c r="L71" s="381"/>
    </row>
    <row r="72" spans="1:12" s="270" customFormat="1">
      <c r="A72" s="867" t="s">
        <v>643</v>
      </c>
      <c r="B72" s="863" t="s">
        <v>1140</v>
      </c>
      <c r="C72" s="863" t="s">
        <v>339</v>
      </c>
      <c r="D72" s="868" t="s">
        <v>339</v>
      </c>
      <c r="E72" s="869">
        <v>-3</v>
      </c>
      <c r="F72" s="870" t="s">
        <v>304</v>
      </c>
      <c r="G72" s="871">
        <v>0</v>
      </c>
      <c r="H72" s="864" t="s">
        <v>1155</v>
      </c>
      <c r="I72" s="865">
        <v>111.28125</v>
      </c>
      <c r="J72" s="295">
        <v>110.859375</v>
      </c>
      <c r="K72" s="296">
        <f t="shared" si="2"/>
        <v>1265.625</v>
      </c>
      <c r="L72" s="381"/>
    </row>
    <row r="73" spans="1:12" s="270" customFormat="1">
      <c r="A73" s="867" t="s">
        <v>643</v>
      </c>
      <c r="B73" s="863" t="s">
        <v>1140</v>
      </c>
      <c r="C73" s="863" t="s">
        <v>339</v>
      </c>
      <c r="D73" s="868" t="s">
        <v>339</v>
      </c>
      <c r="E73" s="869">
        <v>-2</v>
      </c>
      <c r="F73" s="870" t="s">
        <v>304</v>
      </c>
      <c r="G73" s="871">
        <v>0</v>
      </c>
      <c r="H73" s="864" t="s">
        <v>1156</v>
      </c>
      <c r="I73" s="865">
        <v>110.96875</v>
      </c>
      <c r="J73" s="295">
        <v>110.859375</v>
      </c>
      <c r="K73" s="296">
        <f t="shared" si="2"/>
        <v>218.75000000000003</v>
      </c>
      <c r="L73" s="381"/>
    </row>
    <row r="74" spans="1:12" s="270" customFormat="1">
      <c r="A74" s="867" t="s">
        <v>643</v>
      </c>
      <c r="B74" s="863" t="s">
        <v>1140</v>
      </c>
      <c r="C74" s="863" t="s">
        <v>339</v>
      </c>
      <c r="D74" s="868" t="s">
        <v>339</v>
      </c>
      <c r="E74" s="869">
        <v>-5</v>
      </c>
      <c r="F74" s="870" t="s">
        <v>304</v>
      </c>
      <c r="G74" s="871">
        <v>0</v>
      </c>
      <c r="H74" s="864" t="s">
        <v>1156</v>
      </c>
      <c r="I74" s="865">
        <v>110.96875</v>
      </c>
      <c r="J74" s="295">
        <v>110.84375</v>
      </c>
      <c r="K74" s="296">
        <f t="shared" si="2"/>
        <v>625</v>
      </c>
      <c r="L74" s="381"/>
    </row>
    <row r="75" spans="1:12" s="270" customFormat="1">
      <c r="A75" s="867" t="s">
        <v>647</v>
      </c>
      <c r="B75" s="863" t="s">
        <v>1148</v>
      </c>
      <c r="C75" s="863" t="s">
        <v>339</v>
      </c>
      <c r="D75" s="868" t="s">
        <v>339</v>
      </c>
      <c r="E75" s="869">
        <v>-4</v>
      </c>
      <c r="F75" s="870" t="s">
        <v>304</v>
      </c>
      <c r="G75" s="871">
        <v>0</v>
      </c>
      <c r="H75" s="864" t="s">
        <v>1166</v>
      </c>
      <c r="I75" s="865">
        <v>106.2578125</v>
      </c>
      <c r="J75" s="295">
        <v>106.453125</v>
      </c>
      <c r="K75" s="296">
        <f t="shared" si="2"/>
        <v>-781.25</v>
      </c>
      <c r="L75" s="381"/>
    </row>
    <row r="76" spans="1:12" s="270" customFormat="1">
      <c r="A76" s="867" t="s">
        <v>647</v>
      </c>
      <c r="B76" s="863" t="s">
        <v>1148</v>
      </c>
      <c r="C76" s="863" t="s">
        <v>339</v>
      </c>
      <c r="D76" s="868" t="s">
        <v>339</v>
      </c>
      <c r="E76" s="869">
        <v>-5</v>
      </c>
      <c r="F76" s="870" t="s">
        <v>304</v>
      </c>
      <c r="G76" s="871">
        <v>0</v>
      </c>
      <c r="H76" s="864" t="s">
        <v>1167</v>
      </c>
      <c r="I76" s="865">
        <v>106.25</v>
      </c>
      <c r="J76" s="295">
        <v>106.4609375</v>
      </c>
      <c r="K76" s="296">
        <f t="shared" si="2"/>
        <v>-1054.6875</v>
      </c>
      <c r="L76" s="381"/>
    </row>
    <row r="77" spans="1:12" s="270" customFormat="1">
      <c r="A77" s="867" t="s">
        <v>647</v>
      </c>
      <c r="B77" s="863" t="s">
        <v>1148</v>
      </c>
      <c r="C77" s="863" t="s">
        <v>339</v>
      </c>
      <c r="D77" s="868" t="s">
        <v>339</v>
      </c>
      <c r="E77" s="869">
        <v>-1</v>
      </c>
      <c r="F77" s="870" t="s">
        <v>304</v>
      </c>
      <c r="G77" s="871">
        <v>0</v>
      </c>
      <c r="H77" s="864" t="s">
        <v>1166</v>
      </c>
      <c r="I77" s="865">
        <v>106.2578125</v>
      </c>
      <c r="J77" s="295">
        <v>106.4609375</v>
      </c>
      <c r="K77" s="296">
        <f t="shared" si="2"/>
        <v>-203.125</v>
      </c>
      <c r="L77" s="381"/>
    </row>
    <row r="78" spans="1:12" s="270" customFormat="1">
      <c r="A78" s="867" t="s">
        <v>643</v>
      </c>
      <c r="B78" s="863" t="s">
        <v>1148</v>
      </c>
      <c r="C78" s="863" t="s">
        <v>339</v>
      </c>
      <c r="D78" s="868" t="s">
        <v>339</v>
      </c>
      <c r="E78" s="869">
        <v>-5</v>
      </c>
      <c r="F78" s="870" t="s">
        <v>304</v>
      </c>
      <c r="G78" s="871">
        <v>0</v>
      </c>
      <c r="H78" s="864" t="s">
        <v>1168</v>
      </c>
      <c r="I78" s="865">
        <v>111.1875</v>
      </c>
      <c r="J78" s="295">
        <v>111.28125</v>
      </c>
      <c r="K78" s="296">
        <f t="shared" si="2"/>
        <v>-468.75</v>
      </c>
      <c r="L78" s="381"/>
    </row>
    <row r="79" spans="1:12" s="270" customFormat="1">
      <c r="A79" s="867" t="s">
        <v>643</v>
      </c>
      <c r="B79" s="863" t="s">
        <v>1164</v>
      </c>
      <c r="C79" s="863" t="s">
        <v>339</v>
      </c>
      <c r="D79" s="868" t="s">
        <v>339</v>
      </c>
      <c r="E79" s="869">
        <v>-3</v>
      </c>
      <c r="F79" s="870" t="s">
        <v>304</v>
      </c>
      <c r="G79" s="871">
        <v>0</v>
      </c>
      <c r="H79" s="864" t="s">
        <v>1169</v>
      </c>
      <c r="I79" s="865">
        <v>110.875</v>
      </c>
      <c r="J79" s="295">
        <v>110.8125</v>
      </c>
      <c r="K79" s="296">
        <f t="shared" si="2"/>
        <v>187.5</v>
      </c>
      <c r="L79" s="381"/>
    </row>
    <row r="80" spans="1:12" s="270" customFormat="1">
      <c r="A80" s="867" t="s">
        <v>643</v>
      </c>
      <c r="B80" s="863" t="s">
        <v>1174</v>
      </c>
      <c r="C80" s="863" t="s">
        <v>339</v>
      </c>
      <c r="D80" s="868" t="s">
        <v>339</v>
      </c>
      <c r="E80" s="869">
        <v>3</v>
      </c>
      <c r="F80" s="870" t="s">
        <v>304</v>
      </c>
      <c r="G80" s="871">
        <v>0</v>
      </c>
      <c r="H80" s="864" t="s">
        <v>1179</v>
      </c>
      <c r="I80" s="865">
        <v>112.34375</v>
      </c>
      <c r="J80" s="295">
        <v>111.953125</v>
      </c>
      <c r="K80" s="296">
        <f t="shared" si="2"/>
        <v>-1171.875</v>
      </c>
      <c r="L80" s="381"/>
    </row>
    <row r="81" spans="1:12" s="270" customFormat="1">
      <c r="A81" s="867" t="s">
        <v>643</v>
      </c>
      <c r="B81" s="863" t="s">
        <v>1174</v>
      </c>
      <c r="C81" s="863" t="s">
        <v>339</v>
      </c>
      <c r="D81" s="868" t="s">
        <v>339</v>
      </c>
      <c r="E81" s="869">
        <v>3</v>
      </c>
      <c r="F81" s="870" t="s">
        <v>304</v>
      </c>
      <c r="G81" s="871">
        <v>0</v>
      </c>
      <c r="H81" s="864" t="s">
        <v>1180</v>
      </c>
      <c r="I81" s="865">
        <v>112.25</v>
      </c>
      <c r="J81" s="295">
        <v>112.125</v>
      </c>
      <c r="K81" s="296">
        <f t="shared" si="2"/>
        <v>-375</v>
      </c>
      <c r="L81" s="381"/>
    </row>
    <row r="82" spans="1:12" s="270" customFormat="1">
      <c r="A82" s="867" t="s">
        <v>643</v>
      </c>
      <c r="B82" s="863" t="s">
        <v>1174</v>
      </c>
      <c r="C82" s="863" t="s">
        <v>339</v>
      </c>
      <c r="D82" s="868" t="s">
        <v>339</v>
      </c>
      <c r="E82" s="869">
        <v>-5</v>
      </c>
      <c r="F82" s="870" t="s">
        <v>304</v>
      </c>
      <c r="G82" s="871">
        <v>0</v>
      </c>
      <c r="H82" s="864" t="s">
        <v>1203</v>
      </c>
      <c r="I82" s="865">
        <v>112</v>
      </c>
      <c r="J82" s="295">
        <v>112.609375</v>
      </c>
      <c r="K82" s="296">
        <f t="shared" si="2"/>
        <v>-3046.875</v>
      </c>
      <c r="L82" s="381"/>
    </row>
    <row r="83" spans="1:12" s="270" customFormat="1">
      <c r="A83" s="867" t="s">
        <v>643</v>
      </c>
      <c r="B83" s="863" t="s">
        <v>1406</v>
      </c>
      <c r="C83" s="863" t="s">
        <v>339</v>
      </c>
      <c r="D83" s="868" t="s">
        <v>339</v>
      </c>
      <c r="E83" s="869">
        <v>-10</v>
      </c>
      <c r="F83" s="870" t="s">
        <v>304</v>
      </c>
      <c r="G83" s="871">
        <v>0</v>
      </c>
      <c r="H83" s="864" t="s">
        <v>1417</v>
      </c>
      <c r="I83" s="865">
        <v>116.296875</v>
      </c>
      <c r="J83" s="295">
        <v>116.53125</v>
      </c>
      <c r="K83" s="296">
        <f t="shared" si="2"/>
        <v>-2343.75</v>
      </c>
      <c r="L83" s="381"/>
    </row>
    <row r="84" spans="1:12" s="270" customFormat="1">
      <c r="A84" s="867" t="s">
        <v>643</v>
      </c>
      <c r="B84" s="863" t="s">
        <v>1406</v>
      </c>
      <c r="C84" s="863" t="s">
        <v>339</v>
      </c>
      <c r="D84" s="868" t="s">
        <v>339</v>
      </c>
      <c r="E84" s="869">
        <v>10</v>
      </c>
      <c r="F84" s="870" t="s">
        <v>304</v>
      </c>
      <c r="G84" s="871">
        <v>0</v>
      </c>
      <c r="H84" s="864" t="s">
        <v>1434</v>
      </c>
      <c r="I84" s="865">
        <v>116.734375</v>
      </c>
      <c r="J84" s="295">
        <v>116.890625</v>
      </c>
      <c r="K84" s="296">
        <f t="shared" si="2"/>
        <v>1562.5</v>
      </c>
      <c r="L84" s="381"/>
    </row>
    <row r="85" spans="1:12" s="270" customFormat="1">
      <c r="A85" s="867" t="s">
        <v>643</v>
      </c>
      <c r="B85" s="863" t="s">
        <v>1406</v>
      </c>
      <c r="C85" s="863" t="s">
        <v>339</v>
      </c>
      <c r="D85" s="868" t="s">
        <v>339</v>
      </c>
      <c r="E85" s="869">
        <v>10</v>
      </c>
      <c r="F85" s="870" t="s">
        <v>304</v>
      </c>
      <c r="G85" s="871">
        <v>0</v>
      </c>
      <c r="H85" s="864" t="s">
        <v>1435</v>
      </c>
      <c r="I85" s="865">
        <v>116.890625</v>
      </c>
      <c r="J85" s="295">
        <v>116.765625</v>
      </c>
      <c r="K85" s="296">
        <f t="shared" ref="K85:K208" si="3">(J85-I85)*E85/100*100000</f>
        <v>-1250</v>
      </c>
      <c r="L85" s="381"/>
    </row>
    <row r="86" spans="1:12" s="270" customFormat="1">
      <c r="A86" s="867" t="s">
        <v>643</v>
      </c>
      <c r="B86" s="863" t="s">
        <v>1450</v>
      </c>
      <c r="C86" s="863" t="s">
        <v>339</v>
      </c>
      <c r="D86" s="868" t="s">
        <v>339</v>
      </c>
      <c r="E86" s="869">
        <v>10</v>
      </c>
      <c r="F86" s="870" t="s">
        <v>304</v>
      </c>
      <c r="G86" s="871">
        <v>0</v>
      </c>
      <c r="H86" s="864" t="s">
        <v>1480</v>
      </c>
      <c r="I86" s="865">
        <v>115.203125</v>
      </c>
      <c r="J86" s="295">
        <v>114.734375</v>
      </c>
      <c r="K86" s="296">
        <f t="shared" si="3"/>
        <v>-4687.5</v>
      </c>
      <c r="L86" s="381"/>
    </row>
    <row r="87" spans="1:12" s="270" customFormat="1">
      <c r="A87" s="867" t="s">
        <v>643</v>
      </c>
      <c r="B87" s="863" t="s">
        <v>1472</v>
      </c>
      <c r="C87" s="863" t="s">
        <v>339</v>
      </c>
      <c r="D87" s="868" t="s">
        <v>339</v>
      </c>
      <c r="E87" s="869">
        <v>10</v>
      </c>
      <c r="F87" s="870" t="s">
        <v>304</v>
      </c>
      <c r="G87" s="871">
        <v>0</v>
      </c>
      <c r="H87" s="864" t="s">
        <v>1504</v>
      </c>
      <c r="I87" s="865">
        <v>114.703125</v>
      </c>
      <c r="J87" s="295">
        <v>114.859375</v>
      </c>
      <c r="K87" s="296">
        <f t="shared" si="3"/>
        <v>1562.5</v>
      </c>
      <c r="L87" s="381"/>
    </row>
    <row r="88" spans="1:12" s="270" customFormat="1">
      <c r="A88" s="867" t="s">
        <v>643</v>
      </c>
      <c r="B88" s="863" t="s">
        <v>1472</v>
      </c>
      <c r="C88" s="863" t="s">
        <v>339</v>
      </c>
      <c r="D88" s="868" t="s">
        <v>339</v>
      </c>
      <c r="E88" s="869">
        <v>10</v>
      </c>
      <c r="F88" s="870" t="s">
        <v>304</v>
      </c>
      <c r="G88" s="871">
        <v>0</v>
      </c>
      <c r="H88" s="864" t="s">
        <v>1505</v>
      </c>
      <c r="I88" s="865">
        <v>114.8125</v>
      </c>
      <c r="J88" s="295">
        <v>114.703125</v>
      </c>
      <c r="K88" s="296">
        <f t="shared" si="3"/>
        <v>-1093.75</v>
      </c>
      <c r="L88" s="381"/>
    </row>
    <row r="89" spans="1:12" s="270" customFormat="1">
      <c r="A89" s="867" t="s">
        <v>643</v>
      </c>
      <c r="B89" s="863" t="s">
        <v>1472</v>
      </c>
      <c r="C89" s="863" t="s">
        <v>339</v>
      </c>
      <c r="D89" s="868" t="s">
        <v>339</v>
      </c>
      <c r="E89" s="869">
        <v>10</v>
      </c>
      <c r="F89" s="870" t="s">
        <v>304</v>
      </c>
      <c r="G89" s="871">
        <v>0</v>
      </c>
      <c r="H89" s="864" t="s">
        <v>1506</v>
      </c>
      <c r="I89" s="865">
        <v>114.609375</v>
      </c>
      <c r="J89" s="295">
        <v>114.578125</v>
      </c>
      <c r="K89" s="296">
        <f t="shared" si="3"/>
        <v>-312.5</v>
      </c>
      <c r="L89" s="381"/>
    </row>
    <row r="90" spans="1:12" s="270" customFormat="1">
      <c r="A90" s="867" t="s">
        <v>643</v>
      </c>
      <c r="B90" s="863" t="s">
        <v>1472</v>
      </c>
      <c r="C90" s="863" t="s">
        <v>339</v>
      </c>
      <c r="D90" s="868" t="s">
        <v>339</v>
      </c>
      <c r="E90" s="869">
        <v>-10</v>
      </c>
      <c r="F90" s="870" t="s">
        <v>304</v>
      </c>
      <c r="G90" s="871">
        <v>770</v>
      </c>
      <c r="H90" s="864" t="s">
        <v>1481</v>
      </c>
      <c r="I90" s="865">
        <v>114.71875</v>
      </c>
      <c r="J90" s="295">
        <v>114.484375</v>
      </c>
      <c r="K90" s="296">
        <f t="shared" si="3"/>
        <v>2343.75</v>
      </c>
      <c r="L90" s="381"/>
    </row>
    <row r="91" spans="1:12" s="270" customFormat="1">
      <c r="A91" s="867" t="s">
        <v>643</v>
      </c>
      <c r="B91" s="863" t="s">
        <v>1515</v>
      </c>
      <c r="C91" s="863" t="s">
        <v>339</v>
      </c>
      <c r="D91" s="868" t="s">
        <v>339</v>
      </c>
      <c r="E91" s="869">
        <v>10</v>
      </c>
      <c r="F91" s="870" t="s">
        <v>304</v>
      </c>
      <c r="G91" s="871">
        <v>0</v>
      </c>
      <c r="H91" s="864" t="s">
        <v>1527</v>
      </c>
      <c r="I91" s="865">
        <v>114.390625</v>
      </c>
      <c r="J91" s="295">
        <v>114.53125</v>
      </c>
      <c r="K91" s="296">
        <f t="shared" si="3"/>
        <v>1406.25</v>
      </c>
      <c r="L91" s="381"/>
    </row>
    <row r="92" spans="1:12" s="270" customFormat="1">
      <c r="A92" s="867" t="s">
        <v>643</v>
      </c>
      <c r="B92" s="863" t="s">
        <v>1515</v>
      </c>
      <c r="C92" s="863" t="s">
        <v>339</v>
      </c>
      <c r="D92" s="868" t="s">
        <v>339</v>
      </c>
      <c r="E92" s="869">
        <v>10</v>
      </c>
      <c r="F92" s="870" t="s">
        <v>304</v>
      </c>
      <c r="G92" s="871">
        <v>0</v>
      </c>
      <c r="H92" s="864" t="s">
        <v>1528</v>
      </c>
      <c r="I92" s="865">
        <v>114.65625</v>
      </c>
      <c r="J92" s="295">
        <v>114.59375</v>
      </c>
      <c r="K92" s="296">
        <f t="shared" si="3"/>
        <v>-625</v>
      </c>
      <c r="L92" s="381"/>
    </row>
    <row r="93" spans="1:12" s="270" customFormat="1">
      <c r="A93" s="867" t="s">
        <v>643</v>
      </c>
      <c r="B93" s="863" t="s">
        <v>1537</v>
      </c>
      <c r="C93" s="863" t="s">
        <v>339</v>
      </c>
      <c r="D93" s="868" t="s">
        <v>339</v>
      </c>
      <c r="E93" s="869">
        <v>10</v>
      </c>
      <c r="F93" s="870" t="s">
        <v>304</v>
      </c>
      <c r="G93" s="871">
        <v>0</v>
      </c>
      <c r="H93" s="864" t="s">
        <v>1545</v>
      </c>
      <c r="I93" s="865">
        <v>114.484375</v>
      </c>
      <c r="J93" s="295">
        <v>114.65625</v>
      </c>
      <c r="K93" s="296">
        <f t="shared" si="3"/>
        <v>1718.7500000000002</v>
      </c>
      <c r="L93" s="381"/>
    </row>
    <row r="94" spans="1:12" s="270" customFormat="1">
      <c r="A94" s="867" t="s">
        <v>643</v>
      </c>
      <c r="B94" s="863" t="s">
        <v>1537</v>
      </c>
      <c r="C94" s="863" t="s">
        <v>339</v>
      </c>
      <c r="D94" s="868" t="s">
        <v>339</v>
      </c>
      <c r="E94" s="869">
        <v>10</v>
      </c>
      <c r="F94" s="870" t="s">
        <v>304</v>
      </c>
      <c r="G94" s="871">
        <v>0</v>
      </c>
      <c r="H94" s="864" t="s">
        <v>1546</v>
      </c>
      <c r="I94" s="865">
        <v>114.75</v>
      </c>
      <c r="J94" s="295">
        <v>114.6875</v>
      </c>
      <c r="K94" s="296">
        <f t="shared" si="3"/>
        <v>-625</v>
      </c>
      <c r="L94" s="381"/>
    </row>
    <row r="95" spans="1:12" s="270" customFormat="1">
      <c r="A95" s="867" t="s">
        <v>431</v>
      </c>
      <c r="B95" s="863"/>
      <c r="C95" s="863"/>
      <c r="D95" s="868"/>
      <c r="E95" s="869"/>
      <c r="F95" s="870"/>
      <c r="G95" s="871"/>
      <c r="H95" s="864"/>
      <c r="I95" s="865"/>
      <c r="J95" s="295"/>
      <c r="K95" s="296">
        <f t="shared" si="3"/>
        <v>0</v>
      </c>
      <c r="L95" s="381"/>
    </row>
    <row r="96" spans="1:12" s="270" customFormat="1">
      <c r="A96" s="867" t="s">
        <v>431</v>
      </c>
      <c r="B96" s="863"/>
      <c r="C96" s="863"/>
      <c r="D96" s="868"/>
      <c r="E96" s="869"/>
      <c r="F96" s="870"/>
      <c r="G96" s="871"/>
      <c r="H96" s="864"/>
      <c r="I96" s="865"/>
      <c r="J96" s="295"/>
      <c r="K96" s="296">
        <f t="shared" si="3"/>
        <v>0</v>
      </c>
      <c r="L96" s="381"/>
    </row>
    <row r="97" spans="1:12" s="270" customFormat="1">
      <c r="A97" s="867" t="s">
        <v>431</v>
      </c>
      <c r="B97" s="863"/>
      <c r="C97" s="863"/>
      <c r="D97" s="868"/>
      <c r="E97" s="869"/>
      <c r="F97" s="870"/>
      <c r="G97" s="871"/>
      <c r="H97" s="864"/>
      <c r="I97" s="865"/>
      <c r="J97" s="295"/>
      <c r="K97" s="296">
        <f t="shared" si="3"/>
        <v>0</v>
      </c>
      <c r="L97" s="381"/>
    </row>
    <row r="98" spans="1:12" s="270" customFormat="1">
      <c r="A98" s="867" t="s">
        <v>497</v>
      </c>
      <c r="B98" s="863"/>
      <c r="C98" s="863"/>
      <c r="D98" s="868"/>
      <c r="E98" s="869"/>
      <c r="F98" s="870"/>
      <c r="G98" s="871"/>
      <c r="H98" s="864"/>
      <c r="I98" s="865"/>
      <c r="J98" s="295"/>
      <c r="K98" s="296">
        <f t="shared" si="3"/>
        <v>0</v>
      </c>
      <c r="L98" s="381"/>
    </row>
    <row r="99" spans="1:12" s="270" customFormat="1">
      <c r="A99" s="867" t="s">
        <v>497</v>
      </c>
      <c r="B99" s="863"/>
      <c r="C99" s="863"/>
      <c r="D99" s="868"/>
      <c r="E99" s="869"/>
      <c r="F99" s="870"/>
      <c r="G99" s="871"/>
      <c r="H99" s="864"/>
      <c r="I99" s="865"/>
      <c r="J99" s="295"/>
      <c r="K99" s="296">
        <f t="shared" si="3"/>
        <v>0</v>
      </c>
      <c r="L99" s="381"/>
    </row>
    <row r="100" spans="1:12" s="270" customFormat="1">
      <c r="A100" s="867" t="s">
        <v>497</v>
      </c>
      <c r="B100" s="863"/>
      <c r="C100" s="863"/>
      <c r="D100" s="868"/>
      <c r="E100" s="869"/>
      <c r="F100" s="870"/>
      <c r="G100" s="871"/>
      <c r="H100" s="864"/>
      <c r="I100" s="865"/>
      <c r="J100" s="295"/>
      <c r="K100" s="296">
        <f t="shared" si="3"/>
        <v>0</v>
      </c>
      <c r="L100" s="381"/>
    </row>
    <row r="101" spans="1:12" s="270" customFormat="1">
      <c r="A101" s="867" t="s">
        <v>497</v>
      </c>
      <c r="B101" s="863"/>
      <c r="C101" s="863"/>
      <c r="D101" s="868"/>
      <c r="E101" s="869"/>
      <c r="F101" s="870"/>
      <c r="G101" s="871"/>
      <c r="H101" s="864"/>
      <c r="I101" s="865"/>
      <c r="J101" s="295"/>
      <c r="K101" s="296">
        <f t="shared" si="3"/>
        <v>0</v>
      </c>
      <c r="L101" s="381"/>
    </row>
    <row r="102" spans="1:12" s="270" customFormat="1">
      <c r="A102" s="867" t="s">
        <v>499</v>
      </c>
      <c r="B102" s="863"/>
      <c r="C102" s="863"/>
      <c r="D102" s="868"/>
      <c r="E102" s="869"/>
      <c r="F102" s="870"/>
      <c r="G102" s="871"/>
      <c r="H102" s="864"/>
      <c r="I102" s="865"/>
      <c r="J102" s="295"/>
      <c r="K102" s="296">
        <f t="shared" si="3"/>
        <v>0</v>
      </c>
      <c r="L102" s="381"/>
    </row>
    <row r="103" spans="1:12" s="270" customFormat="1">
      <c r="A103" s="867" t="s">
        <v>499</v>
      </c>
      <c r="B103" s="863"/>
      <c r="C103" s="863"/>
      <c r="D103" s="868"/>
      <c r="E103" s="869"/>
      <c r="F103" s="870"/>
      <c r="G103" s="871"/>
      <c r="H103" s="864"/>
      <c r="I103" s="865"/>
      <c r="J103" s="295"/>
      <c r="K103" s="296">
        <f t="shared" si="3"/>
        <v>0</v>
      </c>
      <c r="L103" s="381"/>
    </row>
    <row r="104" spans="1:12" s="270" customFormat="1">
      <c r="A104" s="867" t="s">
        <v>499</v>
      </c>
      <c r="B104" s="863"/>
      <c r="C104" s="863"/>
      <c r="D104" s="868"/>
      <c r="E104" s="869"/>
      <c r="F104" s="870"/>
      <c r="G104" s="871"/>
      <c r="H104" s="864"/>
      <c r="I104" s="865"/>
      <c r="J104" s="295"/>
      <c r="K104" s="296">
        <f t="shared" si="3"/>
        <v>0</v>
      </c>
      <c r="L104" s="381"/>
    </row>
    <row r="105" spans="1:12" s="270" customFormat="1">
      <c r="A105" s="867" t="s">
        <v>497</v>
      </c>
      <c r="B105" s="863"/>
      <c r="C105" s="863"/>
      <c r="D105" s="868"/>
      <c r="E105" s="869"/>
      <c r="F105" s="870"/>
      <c r="G105" s="871"/>
      <c r="H105" s="864"/>
      <c r="I105" s="865"/>
      <c r="J105" s="295"/>
      <c r="K105" s="296">
        <f t="shared" si="3"/>
        <v>0</v>
      </c>
      <c r="L105" s="381"/>
    </row>
    <row r="106" spans="1:12" s="270" customFormat="1">
      <c r="A106" s="867" t="s">
        <v>499</v>
      </c>
      <c r="B106" s="863"/>
      <c r="C106" s="863"/>
      <c r="D106" s="868"/>
      <c r="E106" s="869"/>
      <c r="F106" s="870"/>
      <c r="G106" s="871"/>
      <c r="H106" s="864"/>
      <c r="I106" s="865"/>
      <c r="J106" s="295"/>
      <c r="K106" s="296">
        <f t="shared" si="3"/>
        <v>0</v>
      </c>
      <c r="L106" s="381"/>
    </row>
    <row r="107" spans="1:12" s="270" customFormat="1">
      <c r="A107" s="867" t="s">
        <v>499</v>
      </c>
      <c r="B107" s="863"/>
      <c r="C107" s="863"/>
      <c r="D107" s="868"/>
      <c r="E107" s="869"/>
      <c r="F107" s="870"/>
      <c r="G107" s="871"/>
      <c r="H107" s="864"/>
      <c r="I107" s="865"/>
      <c r="J107" s="295"/>
      <c r="K107" s="296">
        <f t="shared" si="3"/>
        <v>0</v>
      </c>
      <c r="L107" s="381"/>
    </row>
    <row r="108" spans="1:12" s="270" customFormat="1">
      <c r="A108" s="867" t="s">
        <v>499</v>
      </c>
      <c r="B108" s="863"/>
      <c r="C108" s="863"/>
      <c r="D108" s="868"/>
      <c r="E108" s="869"/>
      <c r="F108" s="870"/>
      <c r="G108" s="871"/>
      <c r="H108" s="864"/>
      <c r="I108" s="865"/>
      <c r="J108" s="295"/>
      <c r="K108" s="296">
        <f t="shared" si="3"/>
        <v>0</v>
      </c>
      <c r="L108" s="381"/>
    </row>
    <row r="109" spans="1:12" s="270" customFormat="1">
      <c r="A109" s="867" t="s">
        <v>497</v>
      </c>
      <c r="B109" s="863"/>
      <c r="C109" s="863"/>
      <c r="D109" s="868"/>
      <c r="E109" s="869"/>
      <c r="F109" s="870"/>
      <c r="G109" s="871"/>
      <c r="H109" s="864"/>
      <c r="I109" s="865"/>
      <c r="J109" s="295"/>
      <c r="K109" s="296">
        <f t="shared" si="3"/>
        <v>0</v>
      </c>
      <c r="L109" s="381"/>
    </row>
    <row r="110" spans="1:12" s="270" customFormat="1">
      <c r="A110" s="867" t="s">
        <v>497</v>
      </c>
      <c r="B110" s="863"/>
      <c r="C110" s="863"/>
      <c r="D110" s="868"/>
      <c r="E110" s="869"/>
      <c r="F110" s="870"/>
      <c r="G110" s="871"/>
      <c r="H110" s="864"/>
      <c r="I110" s="865"/>
      <c r="J110" s="295"/>
      <c r="K110" s="296">
        <f t="shared" si="3"/>
        <v>0</v>
      </c>
      <c r="L110" s="381"/>
    </row>
    <row r="111" spans="1:12" s="270" customFormat="1">
      <c r="A111" s="867" t="s">
        <v>497</v>
      </c>
      <c r="B111" s="863"/>
      <c r="C111" s="863"/>
      <c r="D111" s="868"/>
      <c r="E111" s="869"/>
      <c r="F111" s="870"/>
      <c r="G111" s="871"/>
      <c r="H111" s="864"/>
      <c r="I111" s="865"/>
      <c r="J111" s="295"/>
      <c r="K111" s="296">
        <f t="shared" si="3"/>
        <v>0</v>
      </c>
      <c r="L111" s="381"/>
    </row>
    <row r="112" spans="1:12" s="270" customFormat="1">
      <c r="A112" s="867" t="s">
        <v>499</v>
      </c>
      <c r="B112" s="863"/>
      <c r="C112" s="863"/>
      <c r="D112" s="868"/>
      <c r="E112" s="869"/>
      <c r="F112" s="870"/>
      <c r="G112" s="871"/>
      <c r="H112" s="864"/>
      <c r="I112" s="865"/>
      <c r="J112" s="295"/>
      <c r="K112" s="296">
        <f t="shared" si="3"/>
        <v>0</v>
      </c>
      <c r="L112" s="381"/>
    </row>
    <row r="113" spans="1:12" s="270" customFormat="1">
      <c r="A113" s="867" t="s">
        <v>497</v>
      </c>
      <c r="B113" s="863"/>
      <c r="C113" s="863"/>
      <c r="D113" s="868"/>
      <c r="E113" s="869"/>
      <c r="F113" s="870"/>
      <c r="G113" s="871"/>
      <c r="H113" s="864"/>
      <c r="I113" s="865"/>
      <c r="J113" s="295"/>
      <c r="K113" s="296">
        <f t="shared" si="3"/>
        <v>0</v>
      </c>
      <c r="L113" s="381"/>
    </row>
    <row r="114" spans="1:12" s="270" customFormat="1">
      <c r="A114" s="867" t="s">
        <v>499</v>
      </c>
      <c r="B114" s="863"/>
      <c r="C114" s="863"/>
      <c r="D114" s="868"/>
      <c r="E114" s="869"/>
      <c r="F114" s="870"/>
      <c r="G114" s="871"/>
      <c r="H114" s="864"/>
      <c r="I114" s="865"/>
      <c r="J114" s="295"/>
      <c r="K114" s="296">
        <f t="shared" si="3"/>
        <v>0</v>
      </c>
      <c r="L114" s="381"/>
    </row>
    <row r="115" spans="1:12" s="270" customFormat="1">
      <c r="A115" s="867" t="s">
        <v>497</v>
      </c>
      <c r="B115" s="863"/>
      <c r="C115" s="863"/>
      <c r="D115" s="868"/>
      <c r="E115" s="869"/>
      <c r="F115" s="870"/>
      <c r="G115" s="871"/>
      <c r="H115" s="864"/>
      <c r="I115" s="865"/>
      <c r="J115" s="295"/>
      <c r="K115" s="296">
        <f t="shared" si="3"/>
        <v>0</v>
      </c>
      <c r="L115" s="381"/>
    </row>
    <row r="116" spans="1:12" s="270" customFormat="1">
      <c r="A116" s="867" t="s">
        <v>497</v>
      </c>
      <c r="B116" s="863"/>
      <c r="C116" s="863"/>
      <c r="D116" s="868"/>
      <c r="E116" s="869"/>
      <c r="F116" s="870"/>
      <c r="G116" s="871"/>
      <c r="H116" s="864"/>
      <c r="I116" s="865"/>
      <c r="J116" s="295"/>
      <c r="K116" s="296">
        <f t="shared" si="3"/>
        <v>0</v>
      </c>
      <c r="L116" s="381"/>
    </row>
    <row r="117" spans="1:12" s="270" customFormat="1">
      <c r="A117" s="867" t="s">
        <v>497</v>
      </c>
      <c r="B117" s="863"/>
      <c r="C117" s="863"/>
      <c r="D117" s="868"/>
      <c r="E117" s="869"/>
      <c r="F117" s="870"/>
      <c r="G117" s="871"/>
      <c r="H117" s="864"/>
      <c r="I117" s="865"/>
      <c r="J117" s="295"/>
      <c r="K117" s="296">
        <f t="shared" si="3"/>
        <v>0</v>
      </c>
      <c r="L117" s="381"/>
    </row>
    <row r="118" spans="1:12" s="270" customFormat="1">
      <c r="A118" s="867" t="s">
        <v>499</v>
      </c>
      <c r="B118" s="863"/>
      <c r="C118" s="863"/>
      <c r="D118" s="868"/>
      <c r="E118" s="869"/>
      <c r="F118" s="870"/>
      <c r="G118" s="871"/>
      <c r="H118" s="864"/>
      <c r="I118" s="865"/>
      <c r="J118" s="295"/>
      <c r="K118" s="296">
        <f t="shared" si="3"/>
        <v>0</v>
      </c>
      <c r="L118" s="381"/>
    </row>
    <row r="119" spans="1:12" s="270" customFormat="1">
      <c r="A119" s="867" t="s">
        <v>499</v>
      </c>
      <c r="B119" s="863"/>
      <c r="C119" s="863"/>
      <c r="D119" s="868"/>
      <c r="E119" s="869"/>
      <c r="F119" s="870"/>
      <c r="G119" s="871"/>
      <c r="H119" s="864"/>
      <c r="I119" s="865"/>
      <c r="J119" s="295"/>
      <c r="K119" s="296">
        <f t="shared" si="3"/>
        <v>0</v>
      </c>
      <c r="L119" s="381"/>
    </row>
    <row r="120" spans="1:12" s="270" customFormat="1">
      <c r="A120" s="867" t="s">
        <v>497</v>
      </c>
      <c r="B120" s="863"/>
      <c r="C120" s="863"/>
      <c r="D120" s="868"/>
      <c r="E120" s="869"/>
      <c r="F120" s="870"/>
      <c r="G120" s="871"/>
      <c r="H120" s="864"/>
      <c r="I120" s="865"/>
      <c r="J120" s="295"/>
      <c r="K120" s="296">
        <f t="shared" si="3"/>
        <v>0</v>
      </c>
      <c r="L120" s="381"/>
    </row>
    <row r="121" spans="1:12" s="270" customFormat="1">
      <c r="A121" s="867" t="s">
        <v>497</v>
      </c>
      <c r="B121" s="863"/>
      <c r="C121" s="863"/>
      <c r="D121" s="868"/>
      <c r="E121" s="869"/>
      <c r="F121" s="870"/>
      <c r="G121" s="871"/>
      <c r="H121" s="864"/>
      <c r="I121" s="865"/>
      <c r="J121" s="295"/>
      <c r="K121" s="296">
        <f t="shared" si="3"/>
        <v>0</v>
      </c>
      <c r="L121" s="381"/>
    </row>
    <row r="122" spans="1:12" s="270" customFormat="1">
      <c r="A122" s="867" t="s">
        <v>497</v>
      </c>
      <c r="B122" s="863"/>
      <c r="C122" s="863"/>
      <c r="D122" s="868"/>
      <c r="E122" s="869"/>
      <c r="F122" s="870"/>
      <c r="G122" s="871"/>
      <c r="H122" s="864"/>
      <c r="I122" s="865"/>
      <c r="J122" s="295"/>
      <c r="K122" s="296">
        <f t="shared" si="3"/>
        <v>0</v>
      </c>
      <c r="L122" s="381"/>
    </row>
    <row r="123" spans="1:12" s="270" customFormat="1">
      <c r="A123" s="867" t="s">
        <v>497</v>
      </c>
      <c r="B123" s="863"/>
      <c r="C123" s="863"/>
      <c r="D123" s="868"/>
      <c r="E123" s="869"/>
      <c r="F123" s="870"/>
      <c r="G123" s="871"/>
      <c r="H123" s="864"/>
      <c r="I123" s="865"/>
      <c r="J123" s="295"/>
      <c r="K123" s="296">
        <f t="shared" si="3"/>
        <v>0</v>
      </c>
      <c r="L123" s="381"/>
    </row>
    <row r="124" spans="1:12" s="270" customFormat="1">
      <c r="A124" s="867" t="s">
        <v>499</v>
      </c>
      <c r="B124" s="863"/>
      <c r="C124" s="863"/>
      <c r="D124" s="868"/>
      <c r="E124" s="869"/>
      <c r="F124" s="870"/>
      <c r="G124" s="871"/>
      <c r="H124" s="864"/>
      <c r="I124" s="865"/>
      <c r="J124" s="295"/>
      <c r="K124" s="296">
        <f t="shared" si="3"/>
        <v>0</v>
      </c>
      <c r="L124" s="381"/>
    </row>
    <row r="125" spans="1:12" s="270" customFormat="1">
      <c r="A125" s="867" t="s">
        <v>501</v>
      </c>
      <c r="B125" s="863"/>
      <c r="C125" s="863"/>
      <c r="D125" s="868"/>
      <c r="E125" s="869"/>
      <c r="F125" s="870"/>
      <c r="G125" s="871"/>
      <c r="H125" s="864"/>
      <c r="I125" s="865"/>
      <c r="J125" s="295"/>
      <c r="K125" s="296">
        <f t="shared" si="3"/>
        <v>0</v>
      </c>
      <c r="L125" s="381"/>
    </row>
    <row r="126" spans="1:12" s="270" customFormat="1">
      <c r="A126" s="867" t="s">
        <v>499</v>
      </c>
      <c r="B126" s="863"/>
      <c r="C126" s="863"/>
      <c r="D126" s="868"/>
      <c r="E126" s="869"/>
      <c r="F126" s="870"/>
      <c r="G126" s="871"/>
      <c r="H126" s="864"/>
      <c r="I126" s="865"/>
      <c r="J126" s="295"/>
      <c r="K126" s="296">
        <f t="shared" si="3"/>
        <v>0</v>
      </c>
      <c r="L126" s="381"/>
    </row>
    <row r="127" spans="1:12" s="270" customFormat="1">
      <c r="A127" s="867" t="s">
        <v>499</v>
      </c>
      <c r="B127" s="863"/>
      <c r="C127" s="863"/>
      <c r="D127" s="868"/>
      <c r="E127" s="869"/>
      <c r="F127" s="870"/>
      <c r="G127" s="871"/>
      <c r="H127" s="864"/>
      <c r="I127" s="865"/>
      <c r="J127" s="295"/>
      <c r="K127" s="296">
        <f t="shared" si="3"/>
        <v>0</v>
      </c>
      <c r="L127" s="381"/>
    </row>
    <row r="128" spans="1:12" s="270" customFormat="1">
      <c r="A128" s="867" t="s">
        <v>497</v>
      </c>
      <c r="B128" s="863"/>
      <c r="C128" s="863"/>
      <c r="D128" s="868"/>
      <c r="E128" s="869"/>
      <c r="F128" s="870"/>
      <c r="G128" s="871"/>
      <c r="H128" s="864"/>
      <c r="I128" s="865"/>
      <c r="J128" s="295"/>
      <c r="K128" s="296">
        <f t="shared" si="3"/>
        <v>0</v>
      </c>
      <c r="L128" s="381"/>
    </row>
    <row r="129" spans="1:12" s="270" customFormat="1">
      <c r="A129" s="867" t="s">
        <v>497</v>
      </c>
      <c r="B129" s="863"/>
      <c r="C129" s="863"/>
      <c r="D129" s="868"/>
      <c r="E129" s="869"/>
      <c r="F129" s="870"/>
      <c r="G129" s="871"/>
      <c r="H129" s="864"/>
      <c r="I129" s="865"/>
      <c r="J129" s="295"/>
      <c r="K129" s="296">
        <f t="shared" si="3"/>
        <v>0</v>
      </c>
      <c r="L129" s="381"/>
    </row>
    <row r="130" spans="1:12" s="270" customFormat="1">
      <c r="A130" s="867" t="s">
        <v>499</v>
      </c>
      <c r="B130" s="863"/>
      <c r="C130" s="863"/>
      <c r="D130" s="868"/>
      <c r="E130" s="869"/>
      <c r="F130" s="870"/>
      <c r="G130" s="871"/>
      <c r="H130" s="864"/>
      <c r="I130" s="865"/>
      <c r="J130" s="295"/>
      <c r="K130" s="296">
        <f t="shared" si="3"/>
        <v>0</v>
      </c>
      <c r="L130" s="381"/>
    </row>
    <row r="131" spans="1:12" s="270" customFormat="1">
      <c r="A131" s="867" t="s">
        <v>497</v>
      </c>
      <c r="B131" s="863"/>
      <c r="C131" s="863"/>
      <c r="D131" s="868"/>
      <c r="E131" s="869"/>
      <c r="F131" s="870"/>
      <c r="G131" s="871"/>
      <c r="H131" s="864"/>
      <c r="I131" s="865"/>
      <c r="J131" s="295"/>
      <c r="K131" s="296">
        <f t="shared" si="3"/>
        <v>0</v>
      </c>
      <c r="L131" s="381"/>
    </row>
    <row r="132" spans="1:12" s="270" customFormat="1">
      <c r="A132" s="867" t="s">
        <v>497</v>
      </c>
      <c r="B132" s="863"/>
      <c r="C132" s="863"/>
      <c r="D132" s="868"/>
      <c r="E132" s="869"/>
      <c r="F132" s="870"/>
      <c r="G132" s="871"/>
      <c r="H132" s="864"/>
      <c r="I132" s="865"/>
      <c r="J132" s="295"/>
      <c r="K132" s="296">
        <f t="shared" si="3"/>
        <v>0</v>
      </c>
      <c r="L132" s="381"/>
    </row>
    <row r="133" spans="1:12" s="270" customFormat="1">
      <c r="A133" s="867" t="s">
        <v>497</v>
      </c>
      <c r="B133" s="863"/>
      <c r="C133" s="863"/>
      <c r="D133" s="868"/>
      <c r="E133" s="869"/>
      <c r="F133" s="870"/>
      <c r="G133" s="871"/>
      <c r="H133" s="864"/>
      <c r="I133" s="865"/>
      <c r="J133" s="295"/>
      <c r="K133" s="296">
        <f t="shared" si="3"/>
        <v>0</v>
      </c>
      <c r="L133" s="381"/>
    </row>
    <row r="134" spans="1:12" s="270" customFormat="1">
      <c r="A134" s="867" t="s">
        <v>497</v>
      </c>
      <c r="B134" s="863"/>
      <c r="C134" s="863"/>
      <c r="D134" s="868"/>
      <c r="E134" s="869"/>
      <c r="F134" s="870"/>
      <c r="G134" s="871"/>
      <c r="H134" s="864"/>
      <c r="I134" s="865"/>
      <c r="J134" s="295"/>
      <c r="K134" s="296">
        <f t="shared" si="3"/>
        <v>0</v>
      </c>
      <c r="L134" s="381"/>
    </row>
    <row r="135" spans="1:12" s="270" customFormat="1">
      <c r="A135" s="867" t="s">
        <v>499</v>
      </c>
      <c r="B135" s="863"/>
      <c r="C135" s="863"/>
      <c r="D135" s="868"/>
      <c r="E135" s="869"/>
      <c r="F135" s="870"/>
      <c r="G135" s="871"/>
      <c r="H135" s="864"/>
      <c r="I135" s="865"/>
      <c r="J135" s="295"/>
      <c r="K135" s="296">
        <f t="shared" si="3"/>
        <v>0</v>
      </c>
      <c r="L135" s="381"/>
    </row>
    <row r="136" spans="1:12" s="270" customFormat="1">
      <c r="A136" s="867" t="s">
        <v>497</v>
      </c>
      <c r="B136" s="863"/>
      <c r="C136" s="863"/>
      <c r="D136" s="868"/>
      <c r="E136" s="869"/>
      <c r="F136" s="870"/>
      <c r="G136" s="871"/>
      <c r="H136" s="864"/>
      <c r="I136" s="865"/>
      <c r="J136" s="295"/>
      <c r="K136" s="296">
        <f t="shared" si="3"/>
        <v>0</v>
      </c>
      <c r="L136" s="381"/>
    </row>
    <row r="137" spans="1:12" s="270" customFormat="1">
      <c r="A137" s="867" t="s">
        <v>499</v>
      </c>
      <c r="B137" s="863"/>
      <c r="C137" s="863"/>
      <c r="D137" s="868"/>
      <c r="E137" s="869"/>
      <c r="F137" s="870"/>
      <c r="G137" s="871"/>
      <c r="H137" s="864"/>
      <c r="I137" s="865"/>
      <c r="J137" s="295"/>
      <c r="K137" s="296">
        <f t="shared" si="3"/>
        <v>0</v>
      </c>
      <c r="L137" s="381"/>
    </row>
    <row r="138" spans="1:12" s="270" customFormat="1">
      <c r="A138" s="867" t="s">
        <v>497</v>
      </c>
      <c r="B138" s="863"/>
      <c r="C138" s="863"/>
      <c r="D138" s="868"/>
      <c r="E138" s="869"/>
      <c r="F138" s="870"/>
      <c r="G138" s="871"/>
      <c r="H138" s="864"/>
      <c r="I138" s="865"/>
      <c r="J138" s="295"/>
      <c r="K138" s="296">
        <f t="shared" si="3"/>
        <v>0</v>
      </c>
      <c r="L138" s="381"/>
    </row>
    <row r="139" spans="1:12" s="270" customFormat="1">
      <c r="A139" s="867" t="s">
        <v>499</v>
      </c>
      <c r="B139" s="863"/>
      <c r="C139" s="863"/>
      <c r="D139" s="868"/>
      <c r="E139" s="869"/>
      <c r="F139" s="870"/>
      <c r="G139" s="871"/>
      <c r="H139" s="864"/>
      <c r="I139" s="865"/>
      <c r="J139" s="295"/>
      <c r="K139" s="296">
        <f t="shared" si="3"/>
        <v>0</v>
      </c>
      <c r="L139" s="381"/>
    </row>
    <row r="140" spans="1:12" s="270" customFormat="1">
      <c r="A140" s="867" t="s">
        <v>501</v>
      </c>
      <c r="B140" s="863"/>
      <c r="C140" s="863"/>
      <c r="D140" s="868"/>
      <c r="E140" s="869"/>
      <c r="F140" s="870"/>
      <c r="G140" s="871"/>
      <c r="H140" s="864"/>
      <c r="I140" s="865"/>
      <c r="J140" s="295"/>
      <c r="K140" s="296">
        <f t="shared" si="3"/>
        <v>0</v>
      </c>
      <c r="L140" s="381"/>
    </row>
    <row r="141" spans="1:12" s="270" customFormat="1">
      <c r="A141" s="867" t="s">
        <v>501</v>
      </c>
      <c r="B141" s="863"/>
      <c r="C141" s="863"/>
      <c r="D141" s="868"/>
      <c r="E141" s="869"/>
      <c r="F141" s="870"/>
      <c r="G141" s="871"/>
      <c r="H141" s="864"/>
      <c r="I141" s="865"/>
      <c r="J141" s="295"/>
      <c r="K141" s="296">
        <f t="shared" si="3"/>
        <v>0</v>
      </c>
      <c r="L141" s="381"/>
    </row>
    <row r="142" spans="1:12" s="270" customFormat="1">
      <c r="A142" s="867" t="s">
        <v>497</v>
      </c>
      <c r="B142" s="863"/>
      <c r="C142" s="863"/>
      <c r="D142" s="868"/>
      <c r="E142" s="869"/>
      <c r="F142" s="870"/>
      <c r="G142" s="871"/>
      <c r="H142" s="864"/>
      <c r="I142" s="865"/>
      <c r="J142" s="295"/>
      <c r="K142" s="296">
        <f t="shared" si="3"/>
        <v>0</v>
      </c>
      <c r="L142" s="381"/>
    </row>
    <row r="143" spans="1:12" s="270" customFormat="1">
      <c r="A143" s="867" t="s">
        <v>499</v>
      </c>
      <c r="B143" s="863"/>
      <c r="C143" s="863"/>
      <c r="D143" s="868"/>
      <c r="E143" s="869"/>
      <c r="F143" s="870"/>
      <c r="G143" s="871"/>
      <c r="H143" s="864"/>
      <c r="I143" s="865"/>
      <c r="J143" s="295"/>
      <c r="K143" s="296">
        <f t="shared" si="3"/>
        <v>0</v>
      </c>
      <c r="L143" s="381"/>
    </row>
    <row r="144" spans="1:12" s="270" customFormat="1">
      <c r="A144" s="867" t="s">
        <v>497</v>
      </c>
      <c r="B144" s="863"/>
      <c r="C144" s="863"/>
      <c r="D144" s="868"/>
      <c r="E144" s="869"/>
      <c r="F144" s="870"/>
      <c r="G144" s="871"/>
      <c r="H144" s="864"/>
      <c r="I144" s="865"/>
      <c r="J144" s="295"/>
      <c r="K144" s="296">
        <f t="shared" si="3"/>
        <v>0</v>
      </c>
      <c r="L144" s="381"/>
    </row>
    <row r="145" spans="1:12" s="270" customFormat="1">
      <c r="A145" s="867" t="s">
        <v>497</v>
      </c>
      <c r="B145" s="863"/>
      <c r="C145" s="863"/>
      <c r="D145" s="868"/>
      <c r="E145" s="869"/>
      <c r="F145" s="870"/>
      <c r="G145" s="871"/>
      <c r="H145" s="864"/>
      <c r="I145" s="865"/>
      <c r="J145" s="295"/>
      <c r="K145" s="296">
        <f t="shared" si="3"/>
        <v>0</v>
      </c>
      <c r="L145" s="381"/>
    </row>
    <row r="146" spans="1:12" s="270" customFormat="1">
      <c r="A146" s="867" t="s">
        <v>497</v>
      </c>
      <c r="B146" s="863"/>
      <c r="C146" s="863"/>
      <c r="D146" s="868"/>
      <c r="E146" s="869"/>
      <c r="F146" s="870"/>
      <c r="G146" s="871"/>
      <c r="H146" s="864"/>
      <c r="I146" s="865"/>
      <c r="J146" s="295"/>
      <c r="K146" s="296">
        <f t="shared" si="3"/>
        <v>0</v>
      </c>
      <c r="L146" s="381"/>
    </row>
    <row r="147" spans="1:12" s="270" customFormat="1">
      <c r="A147" s="867" t="s">
        <v>497</v>
      </c>
      <c r="B147" s="863"/>
      <c r="C147" s="863"/>
      <c r="D147" s="868"/>
      <c r="E147" s="869"/>
      <c r="F147" s="870"/>
      <c r="G147" s="871"/>
      <c r="H147" s="864"/>
      <c r="I147" s="865"/>
      <c r="J147" s="295"/>
      <c r="K147" s="296">
        <f t="shared" si="3"/>
        <v>0</v>
      </c>
      <c r="L147" s="381"/>
    </row>
    <row r="148" spans="1:12" s="270" customFormat="1">
      <c r="A148" s="867" t="s">
        <v>497</v>
      </c>
      <c r="B148" s="863"/>
      <c r="C148" s="863"/>
      <c r="D148" s="868"/>
      <c r="E148" s="869"/>
      <c r="F148" s="870"/>
      <c r="G148" s="871"/>
      <c r="H148" s="864"/>
      <c r="I148" s="865"/>
      <c r="J148" s="295"/>
      <c r="K148" s="296">
        <f t="shared" si="3"/>
        <v>0</v>
      </c>
      <c r="L148" s="381"/>
    </row>
    <row r="149" spans="1:12" s="270" customFormat="1">
      <c r="A149" s="867" t="s">
        <v>497</v>
      </c>
      <c r="B149" s="863"/>
      <c r="C149" s="863"/>
      <c r="D149" s="868"/>
      <c r="E149" s="869"/>
      <c r="F149" s="870"/>
      <c r="G149" s="871"/>
      <c r="H149" s="864"/>
      <c r="I149" s="865"/>
      <c r="J149" s="295"/>
      <c r="K149" s="296">
        <f t="shared" si="3"/>
        <v>0</v>
      </c>
      <c r="L149" s="381"/>
    </row>
    <row r="150" spans="1:12" s="270" customFormat="1">
      <c r="A150" s="867" t="s">
        <v>497</v>
      </c>
      <c r="B150" s="863"/>
      <c r="C150" s="863"/>
      <c r="D150" s="868"/>
      <c r="E150" s="869"/>
      <c r="F150" s="870"/>
      <c r="G150" s="871"/>
      <c r="H150" s="864"/>
      <c r="I150" s="865"/>
      <c r="J150" s="295"/>
      <c r="K150" s="296">
        <f t="shared" si="3"/>
        <v>0</v>
      </c>
      <c r="L150" s="381"/>
    </row>
    <row r="151" spans="1:12" s="270" customFormat="1">
      <c r="A151" s="867" t="s">
        <v>497</v>
      </c>
      <c r="B151" s="863"/>
      <c r="C151" s="863"/>
      <c r="D151" s="868"/>
      <c r="E151" s="869"/>
      <c r="F151" s="870"/>
      <c r="G151" s="871"/>
      <c r="H151" s="864"/>
      <c r="I151" s="865"/>
      <c r="J151" s="295"/>
      <c r="K151" s="296">
        <f t="shared" si="3"/>
        <v>0</v>
      </c>
      <c r="L151" s="381"/>
    </row>
    <row r="152" spans="1:12" s="270" customFormat="1">
      <c r="A152" s="867" t="s">
        <v>497</v>
      </c>
      <c r="B152" s="863"/>
      <c r="C152" s="863"/>
      <c r="D152" s="868"/>
      <c r="E152" s="869"/>
      <c r="F152" s="870"/>
      <c r="G152" s="871"/>
      <c r="H152" s="864"/>
      <c r="I152" s="865"/>
      <c r="J152" s="295"/>
      <c r="K152" s="296">
        <f t="shared" si="3"/>
        <v>0</v>
      </c>
      <c r="L152" s="381"/>
    </row>
    <row r="153" spans="1:12" s="270" customFormat="1">
      <c r="A153" s="867" t="s">
        <v>497</v>
      </c>
      <c r="B153" s="863"/>
      <c r="C153" s="863"/>
      <c r="D153" s="868"/>
      <c r="E153" s="869"/>
      <c r="F153" s="870"/>
      <c r="G153" s="871"/>
      <c r="H153" s="864"/>
      <c r="I153" s="865"/>
      <c r="J153" s="295"/>
      <c r="K153" s="296">
        <f t="shared" si="3"/>
        <v>0</v>
      </c>
      <c r="L153" s="381"/>
    </row>
    <row r="154" spans="1:12" s="270" customFormat="1">
      <c r="A154" s="867" t="s">
        <v>497</v>
      </c>
      <c r="B154" s="863"/>
      <c r="C154" s="863"/>
      <c r="D154" s="868"/>
      <c r="E154" s="869"/>
      <c r="F154" s="870"/>
      <c r="G154" s="871"/>
      <c r="H154" s="864"/>
      <c r="I154" s="865"/>
      <c r="J154" s="295"/>
      <c r="K154" s="296">
        <f t="shared" si="3"/>
        <v>0</v>
      </c>
      <c r="L154" s="381"/>
    </row>
    <row r="155" spans="1:12" s="270" customFormat="1">
      <c r="A155" s="867" t="s">
        <v>497</v>
      </c>
      <c r="B155" s="863"/>
      <c r="C155" s="863"/>
      <c r="D155" s="868"/>
      <c r="E155" s="869"/>
      <c r="F155" s="870"/>
      <c r="G155" s="871"/>
      <c r="H155" s="864"/>
      <c r="I155" s="865"/>
      <c r="J155" s="295"/>
      <c r="K155" s="296">
        <f t="shared" si="3"/>
        <v>0</v>
      </c>
      <c r="L155" s="381"/>
    </row>
    <row r="156" spans="1:12" s="270" customFormat="1">
      <c r="A156" s="867" t="s">
        <v>497</v>
      </c>
      <c r="B156" s="863"/>
      <c r="C156" s="863"/>
      <c r="D156" s="868"/>
      <c r="E156" s="869"/>
      <c r="F156" s="870"/>
      <c r="G156" s="871"/>
      <c r="H156" s="864"/>
      <c r="I156" s="865"/>
      <c r="J156" s="295"/>
      <c r="K156" s="296">
        <f t="shared" si="3"/>
        <v>0</v>
      </c>
      <c r="L156" s="381"/>
    </row>
    <row r="157" spans="1:12" s="270" customFormat="1">
      <c r="A157" s="867" t="s">
        <v>497</v>
      </c>
      <c r="B157" s="863"/>
      <c r="C157" s="863"/>
      <c r="D157" s="868"/>
      <c r="E157" s="869"/>
      <c r="F157" s="870"/>
      <c r="G157" s="871"/>
      <c r="H157" s="864"/>
      <c r="I157" s="865"/>
      <c r="J157" s="295"/>
      <c r="K157" s="296">
        <f t="shared" si="3"/>
        <v>0</v>
      </c>
      <c r="L157" s="381"/>
    </row>
    <row r="158" spans="1:12" s="270" customFormat="1">
      <c r="A158" s="867" t="s">
        <v>497</v>
      </c>
      <c r="B158" s="863"/>
      <c r="C158" s="863"/>
      <c r="D158" s="868"/>
      <c r="E158" s="869"/>
      <c r="F158" s="870"/>
      <c r="G158" s="871"/>
      <c r="H158" s="864"/>
      <c r="I158" s="865"/>
      <c r="J158" s="295"/>
      <c r="K158" s="296">
        <f t="shared" si="3"/>
        <v>0</v>
      </c>
      <c r="L158" s="381"/>
    </row>
    <row r="159" spans="1:12" s="270" customFormat="1">
      <c r="A159" s="867" t="s">
        <v>497</v>
      </c>
      <c r="B159" s="863"/>
      <c r="C159" s="863"/>
      <c r="D159" s="868"/>
      <c r="E159" s="869"/>
      <c r="F159" s="870"/>
      <c r="G159" s="871"/>
      <c r="H159" s="864"/>
      <c r="I159" s="865"/>
      <c r="J159" s="295"/>
      <c r="K159" s="296">
        <f t="shared" si="3"/>
        <v>0</v>
      </c>
      <c r="L159" s="381"/>
    </row>
    <row r="160" spans="1:12" s="270" customFormat="1">
      <c r="A160" s="867" t="s">
        <v>497</v>
      </c>
      <c r="B160" s="863"/>
      <c r="C160" s="863"/>
      <c r="D160" s="868"/>
      <c r="E160" s="869"/>
      <c r="F160" s="870"/>
      <c r="G160" s="871"/>
      <c r="H160" s="864"/>
      <c r="I160" s="865"/>
      <c r="J160" s="295"/>
      <c r="K160" s="296">
        <f t="shared" si="3"/>
        <v>0</v>
      </c>
      <c r="L160" s="381"/>
    </row>
    <row r="161" spans="1:12" s="270" customFormat="1">
      <c r="A161" s="867" t="s">
        <v>497</v>
      </c>
      <c r="B161" s="863"/>
      <c r="C161" s="863"/>
      <c r="D161" s="868"/>
      <c r="E161" s="869"/>
      <c r="F161" s="870"/>
      <c r="G161" s="871"/>
      <c r="H161" s="864"/>
      <c r="I161" s="865"/>
      <c r="J161" s="295"/>
      <c r="K161" s="296">
        <f t="shared" si="3"/>
        <v>0</v>
      </c>
      <c r="L161" s="381"/>
    </row>
    <row r="162" spans="1:12" s="270" customFormat="1">
      <c r="A162" s="867" t="s">
        <v>497</v>
      </c>
      <c r="B162" s="863"/>
      <c r="C162" s="863"/>
      <c r="D162" s="868"/>
      <c r="E162" s="869"/>
      <c r="F162" s="870"/>
      <c r="G162" s="871"/>
      <c r="H162" s="864"/>
      <c r="I162" s="865"/>
      <c r="J162" s="295"/>
      <c r="K162" s="296">
        <f t="shared" si="3"/>
        <v>0</v>
      </c>
      <c r="L162" s="381"/>
    </row>
    <row r="163" spans="1:12" s="270" customFormat="1">
      <c r="A163" s="867" t="s">
        <v>501</v>
      </c>
      <c r="B163" s="863"/>
      <c r="C163" s="863"/>
      <c r="D163" s="868"/>
      <c r="E163" s="869"/>
      <c r="F163" s="870"/>
      <c r="G163" s="871"/>
      <c r="H163" s="864"/>
      <c r="I163" s="865"/>
      <c r="J163" s="295"/>
      <c r="K163" s="296">
        <f t="shared" si="3"/>
        <v>0</v>
      </c>
      <c r="L163" s="381"/>
    </row>
    <row r="164" spans="1:12" s="270" customFormat="1">
      <c r="A164" s="867" t="s">
        <v>501</v>
      </c>
      <c r="B164" s="863"/>
      <c r="C164" s="863"/>
      <c r="D164" s="868"/>
      <c r="E164" s="869"/>
      <c r="F164" s="870"/>
      <c r="G164" s="871"/>
      <c r="H164" s="864"/>
      <c r="I164" s="865"/>
      <c r="J164" s="295"/>
      <c r="K164" s="296">
        <f t="shared" si="3"/>
        <v>0</v>
      </c>
      <c r="L164" s="381"/>
    </row>
    <row r="165" spans="1:12" s="270" customFormat="1">
      <c r="A165" s="867" t="s">
        <v>499</v>
      </c>
      <c r="B165" s="863"/>
      <c r="C165" s="863"/>
      <c r="D165" s="868"/>
      <c r="E165" s="869"/>
      <c r="F165" s="870"/>
      <c r="G165" s="871"/>
      <c r="H165" s="864"/>
      <c r="I165" s="865"/>
      <c r="J165" s="295"/>
      <c r="K165" s="296">
        <f t="shared" si="3"/>
        <v>0</v>
      </c>
      <c r="L165" s="381"/>
    </row>
    <row r="166" spans="1:12" s="270" customFormat="1">
      <c r="A166" s="867" t="s">
        <v>497</v>
      </c>
      <c r="B166" s="863"/>
      <c r="C166" s="863"/>
      <c r="D166" s="868"/>
      <c r="E166" s="869"/>
      <c r="F166" s="870"/>
      <c r="G166" s="871"/>
      <c r="H166" s="864"/>
      <c r="I166" s="865"/>
      <c r="J166" s="295"/>
      <c r="K166" s="296">
        <f t="shared" si="3"/>
        <v>0</v>
      </c>
      <c r="L166" s="381"/>
    </row>
    <row r="167" spans="1:12" s="270" customFormat="1">
      <c r="A167" s="867" t="s">
        <v>499</v>
      </c>
      <c r="B167" s="863"/>
      <c r="C167" s="863"/>
      <c r="D167" s="868"/>
      <c r="E167" s="869"/>
      <c r="F167" s="870"/>
      <c r="G167" s="871"/>
      <c r="H167" s="864"/>
      <c r="I167" s="865"/>
      <c r="J167" s="295"/>
      <c r="K167" s="296">
        <f t="shared" si="3"/>
        <v>0</v>
      </c>
      <c r="L167" s="381"/>
    </row>
    <row r="168" spans="1:12" s="270" customFormat="1">
      <c r="A168" s="867" t="s">
        <v>497</v>
      </c>
      <c r="B168" s="863"/>
      <c r="C168" s="863"/>
      <c r="D168" s="868"/>
      <c r="E168" s="869"/>
      <c r="F168" s="870"/>
      <c r="G168" s="871"/>
      <c r="H168" s="864"/>
      <c r="I168" s="865"/>
      <c r="J168" s="295"/>
      <c r="K168" s="296">
        <f t="shared" si="3"/>
        <v>0</v>
      </c>
      <c r="L168" s="381"/>
    </row>
    <row r="169" spans="1:12" s="270" customFormat="1">
      <c r="A169" s="867" t="s">
        <v>499</v>
      </c>
      <c r="B169" s="863"/>
      <c r="C169" s="863"/>
      <c r="D169" s="868"/>
      <c r="E169" s="869"/>
      <c r="F169" s="870"/>
      <c r="G169" s="871"/>
      <c r="H169" s="864"/>
      <c r="I169" s="865"/>
      <c r="J169" s="295"/>
      <c r="K169" s="296">
        <f t="shared" si="3"/>
        <v>0</v>
      </c>
      <c r="L169" s="381"/>
    </row>
    <row r="170" spans="1:12" s="270" customFormat="1">
      <c r="A170" s="867" t="s">
        <v>497</v>
      </c>
      <c r="B170" s="863"/>
      <c r="C170" s="863"/>
      <c r="D170" s="868"/>
      <c r="E170" s="869"/>
      <c r="F170" s="870"/>
      <c r="G170" s="871"/>
      <c r="H170" s="864"/>
      <c r="I170" s="865"/>
      <c r="J170" s="295"/>
      <c r="K170" s="296">
        <f t="shared" si="3"/>
        <v>0</v>
      </c>
      <c r="L170" s="381"/>
    </row>
    <row r="171" spans="1:12" s="270" customFormat="1">
      <c r="A171" s="867" t="s">
        <v>497</v>
      </c>
      <c r="B171" s="863"/>
      <c r="C171" s="863"/>
      <c r="D171" s="868"/>
      <c r="E171" s="869"/>
      <c r="F171" s="870"/>
      <c r="G171" s="871"/>
      <c r="H171" s="864"/>
      <c r="I171" s="865"/>
      <c r="J171" s="295"/>
      <c r="K171" s="296">
        <f t="shared" si="3"/>
        <v>0</v>
      </c>
      <c r="L171" s="381"/>
    </row>
    <row r="172" spans="1:12" s="270" customFormat="1">
      <c r="A172" s="867" t="s">
        <v>497</v>
      </c>
      <c r="B172" s="863"/>
      <c r="C172" s="863"/>
      <c r="D172" s="868"/>
      <c r="E172" s="869"/>
      <c r="F172" s="870"/>
      <c r="G172" s="871"/>
      <c r="H172" s="864"/>
      <c r="I172" s="865"/>
      <c r="J172" s="295"/>
      <c r="K172" s="296">
        <f t="shared" si="3"/>
        <v>0</v>
      </c>
      <c r="L172" s="381"/>
    </row>
    <row r="173" spans="1:12" s="270" customFormat="1">
      <c r="A173" s="867" t="s">
        <v>497</v>
      </c>
      <c r="B173" s="863"/>
      <c r="C173" s="863"/>
      <c r="D173" s="868"/>
      <c r="E173" s="869"/>
      <c r="F173" s="870"/>
      <c r="G173" s="871"/>
      <c r="H173" s="864"/>
      <c r="I173" s="865"/>
      <c r="J173" s="295"/>
      <c r="K173" s="296">
        <f t="shared" si="3"/>
        <v>0</v>
      </c>
      <c r="L173" s="381"/>
    </row>
    <row r="174" spans="1:12" s="270" customFormat="1">
      <c r="A174" s="867" t="s">
        <v>497</v>
      </c>
      <c r="B174" s="863"/>
      <c r="C174" s="863"/>
      <c r="D174" s="868"/>
      <c r="E174" s="869"/>
      <c r="F174" s="870"/>
      <c r="G174" s="871"/>
      <c r="H174" s="864"/>
      <c r="I174" s="865"/>
      <c r="J174" s="295"/>
      <c r="K174" s="296">
        <f t="shared" si="3"/>
        <v>0</v>
      </c>
      <c r="L174" s="381"/>
    </row>
    <row r="175" spans="1:12" s="270" customFormat="1">
      <c r="A175" s="867" t="s">
        <v>497</v>
      </c>
      <c r="B175" s="863"/>
      <c r="C175" s="863"/>
      <c r="D175" s="868"/>
      <c r="E175" s="869"/>
      <c r="F175" s="870"/>
      <c r="G175" s="871"/>
      <c r="H175" s="864"/>
      <c r="I175" s="865"/>
      <c r="J175" s="295"/>
      <c r="K175" s="296">
        <f t="shared" si="3"/>
        <v>0</v>
      </c>
      <c r="L175" s="381"/>
    </row>
    <row r="176" spans="1:12" s="270" customFormat="1">
      <c r="A176" s="867" t="s">
        <v>497</v>
      </c>
      <c r="B176" s="863"/>
      <c r="C176" s="863"/>
      <c r="D176" s="868"/>
      <c r="E176" s="869"/>
      <c r="F176" s="870"/>
      <c r="G176" s="871"/>
      <c r="H176" s="864"/>
      <c r="I176" s="865"/>
      <c r="J176" s="295"/>
      <c r="K176" s="296">
        <f t="shared" si="3"/>
        <v>0</v>
      </c>
      <c r="L176" s="381"/>
    </row>
    <row r="177" spans="1:12" s="270" customFormat="1">
      <c r="A177" s="867" t="s">
        <v>497</v>
      </c>
      <c r="B177" s="863"/>
      <c r="C177" s="863"/>
      <c r="D177" s="868"/>
      <c r="E177" s="869"/>
      <c r="F177" s="870"/>
      <c r="G177" s="871"/>
      <c r="H177" s="864"/>
      <c r="I177" s="865"/>
      <c r="J177" s="295"/>
      <c r="K177" s="296">
        <f t="shared" si="3"/>
        <v>0</v>
      </c>
      <c r="L177" s="381"/>
    </row>
    <row r="178" spans="1:12" s="270" customFormat="1">
      <c r="A178" s="867" t="s">
        <v>510</v>
      </c>
      <c r="B178" s="863"/>
      <c r="C178" s="863"/>
      <c r="D178" s="868"/>
      <c r="E178" s="869"/>
      <c r="F178" s="870"/>
      <c r="G178" s="871"/>
      <c r="H178" s="864"/>
      <c r="I178" s="865"/>
      <c r="J178" s="295"/>
      <c r="K178" s="296">
        <f t="shared" si="3"/>
        <v>0</v>
      </c>
      <c r="L178" s="381"/>
    </row>
    <row r="179" spans="1:12" s="270" customFormat="1">
      <c r="A179" s="867" t="s">
        <v>510</v>
      </c>
      <c r="B179" s="863"/>
      <c r="C179" s="863"/>
      <c r="D179" s="868"/>
      <c r="E179" s="869"/>
      <c r="F179" s="870"/>
      <c r="G179" s="871"/>
      <c r="H179" s="864"/>
      <c r="I179" s="865"/>
      <c r="J179" s="295"/>
      <c r="K179" s="296">
        <f t="shared" si="3"/>
        <v>0</v>
      </c>
      <c r="L179" s="381"/>
    </row>
    <row r="180" spans="1:12" s="270" customFormat="1">
      <c r="A180" s="867" t="s">
        <v>511</v>
      </c>
      <c r="B180" s="863"/>
      <c r="C180" s="863"/>
      <c r="D180" s="868"/>
      <c r="E180" s="869"/>
      <c r="F180" s="870"/>
      <c r="G180" s="871"/>
      <c r="H180" s="864"/>
      <c r="I180" s="865"/>
      <c r="J180" s="295"/>
      <c r="K180" s="296">
        <f t="shared" si="3"/>
        <v>0</v>
      </c>
      <c r="L180" s="381"/>
    </row>
    <row r="181" spans="1:12" s="270" customFormat="1">
      <c r="A181" s="867" t="s">
        <v>511</v>
      </c>
      <c r="B181" s="863"/>
      <c r="C181" s="863"/>
      <c r="D181" s="868"/>
      <c r="E181" s="869"/>
      <c r="F181" s="870"/>
      <c r="G181" s="871"/>
      <c r="H181" s="864"/>
      <c r="I181" s="865"/>
      <c r="J181" s="295"/>
      <c r="K181" s="296">
        <f t="shared" si="3"/>
        <v>0</v>
      </c>
      <c r="L181" s="381"/>
    </row>
    <row r="182" spans="1:12" s="270" customFormat="1">
      <c r="A182" s="867" t="s">
        <v>511</v>
      </c>
      <c r="B182" s="863"/>
      <c r="C182" s="863"/>
      <c r="D182" s="868"/>
      <c r="E182" s="869"/>
      <c r="F182" s="870"/>
      <c r="G182" s="871"/>
      <c r="H182" s="864"/>
      <c r="I182" s="865"/>
      <c r="J182" s="295"/>
      <c r="K182" s="296">
        <f t="shared" si="3"/>
        <v>0</v>
      </c>
      <c r="L182" s="381"/>
    </row>
    <row r="183" spans="1:12" s="270" customFormat="1">
      <c r="A183" s="867" t="s">
        <v>511</v>
      </c>
      <c r="B183" s="863"/>
      <c r="C183" s="863"/>
      <c r="D183" s="868"/>
      <c r="E183" s="869"/>
      <c r="F183" s="870"/>
      <c r="G183" s="871"/>
      <c r="H183" s="864"/>
      <c r="I183" s="865"/>
      <c r="J183" s="295"/>
      <c r="K183" s="296">
        <f t="shared" si="3"/>
        <v>0</v>
      </c>
      <c r="L183" s="381"/>
    </row>
    <row r="184" spans="1:12" s="270" customFormat="1">
      <c r="A184" s="867" t="s">
        <v>511</v>
      </c>
      <c r="B184" s="863"/>
      <c r="C184" s="863"/>
      <c r="D184" s="868"/>
      <c r="E184" s="869"/>
      <c r="F184" s="870"/>
      <c r="G184" s="871"/>
      <c r="H184" s="864"/>
      <c r="I184" s="865"/>
      <c r="J184" s="295"/>
      <c r="K184" s="296">
        <f t="shared" si="3"/>
        <v>0</v>
      </c>
      <c r="L184" s="381"/>
    </row>
    <row r="185" spans="1:12" s="270" customFormat="1">
      <c r="A185" s="867" t="s">
        <v>510</v>
      </c>
      <c r="B185" s="863"/>
      <c r="C185" s="863"/>
      <c r="D185" s="868"/>
      <c r="E185" s="869"/>
      <c r="F185" s="870"/>
      <c r="G185" s="871"/>
      <c r="H185" s="864"/>
      <c r="I185" s="865"/>
      <c r="J185" s="295"/>
      <c r="K185" s="296">
        <f t="shared" si="3"/>
        <v>0</v>
      </c>
      <c r="L185" s="381"/>
    </row>
    <row r="186" spans="1:12" s="270" customFormat="1">
      <c r="A186" s="867" t="s">
        <v>511</v>
      </c>
      <c r="B186" s="863"/>
      <c r="C186" s="863"/>
      <c r="D186" s="868"/>
      <c r="E186" s="869"/>
      <c r="F186" s="870"/>
      <c r="G186" s="871"/>
      <c r="H186" s="864"/>
      <c r="I186" s="865"/>
      <c r="J186" s="295"/>
      <c r="K186" s="296">
        <f t="shared" si="3"/>
        <v>0</v>
      </c>
      <c r="L186" s="381"/>
    </row>
    <row r="187" spans="1:12" s="270" customFormat="1">
      <c r="A187" s="867" t="s">
        <v>511</v>
      </c>
      <c r="B187" s="863"/>
      <c r="C187" s="863"/>
      <c r="D187" s="868"/>
      <c r="E187" s="869"/>
      <c r="F187" s="870"/>
      <c r="G187" s="871"/>
      <c r="H187" s="864"/>
      <c r="I187" s="865"/>
      <c r="J187" s="295"/>
      <c r="K187" s="296">
        <f t="shared" si="3"/>
        <v>0</v>
      </c>
      <c r="L187" s="381"/>
    </row>
    <row r="188" spans="1:12" s="270" customFormat="1">
      <c r="A188" s="867" t="s">
        <v>511</v>
      </c>
      <c r="B188" s="863"/>
      <c r="C188" s="863"/>
      <c r="D188" s="868"/>
      <c r="E188" s="869"/>
      <c r="F188" s="870"/>
      <c r="G188" s="871"/>
      <c r="H188" s="864"/>
      <c r="I188" s="865"/>
      <c r="J188" s="295"/>
      <c r="K188" s="296">
        <f t="shared" si="3"/>
        <v>0</v>
      </c>
      <c r="L188" s="381"/>
    </row>
    <row r="189" spans="1:12" s="270" customFormat="1">
      <c r="A189" s="867" t="s">
        <v>511</v>
      </c>
      <c r="B189" s="863"/>
      <c r="C189" s="863"/>
      <c r="D189" s="868"/>
      <c r="E189" s="869"/>
      <c r="F189" s="870"/>
      <c r="G189" s="871"/>
      <c r="H189" s="864"/>
      <c r="I189" s="865"/>
      <c r="J189" s="295"/>
      <c r="K189" s="296">
        <f t="shared" si="3"/>
        <v>0</v>
      </c>
      <c r="L189" s="381"/>
    </row>
    <row r="190" spans="1:12" s="270" customFormat="1">
      <c r="A190" s="867" t="s">
        <v>511</v>
      </c>
      <c r="B190" s="863"/>
      <c r="C190" s="863"/>
      <c r="D190" s="868"/>
      <c r="E190" s="869"/>
      <c r="F190" s="870"/>
      <c r="G190" s="871"/>
      <c r="H190" s="864"/>
      <c r="I190" s="865"/>
      <c r="J190" s="295"/>
      <c r="K190" s="296">
        <f t="shared" si="3"/>
        <v>0</v>
      </c>
      <c r="L190" s="381"/>
    </row>
    <row r="191" spans="1:12" s="270" customFormat="1">
      <c r="A191" s="867" t="s">
        <v>526</v>
      </c>
      <c r="B191" s="863"/>
      <c r="C191" s="863"/>
      <c r="D191" s="868"/>
      <c r="E191" s="869"/>
      <c r="F191" s="870"/>
      <c r="G191" s="871"/>
      <c r="H191" s="864"/>
      <c r="I191" s="865"/>
      <c r="J191" s="295"/>
      <c r="K191" s="296">
        <f t="shared" si="3"/>
        <v>0</v>
      </c>
      <c r="L191" s="381"/>
    </row>
    <row r="192" spans="1:12" s="270" customFormat="1">
      <c r="A192" s="867"/>
      <c r="B192" s="863"/>
      <c r="C192" s="863"/>
      <c r="D192" s="868"/>
      <c r="E192" s="869"/>
      <c r="F192" s="870"/>
      <c r="G192" s="871"/>
      <c r="H192" s="864"/>
      <c r="I192" s="865"/>
      <c r="J192" s="295"/>
      <c r="K192" s="296">
        <f t="shared" si="3"/>
        <v>0</v>
      </c>
      <c r="L192" s="381"/>
    </row>
    <row r="193" spans="1:12" s="270" customFormat="1">
      <c r="A193" s="867"/>
      <c r="B193" s="863"/>
      <c r="C193" s="863"/>
      <c r="D193" s="868"/>
      <c r="E193" s="869"/>
      <c r="F193" s="870"/>
      <c r="G193" s="871"/>
      <c r="H193" s="864"/>
      <c r="I193" s="865"/>
      <c r="J193" s="295"/>
      <c r="K193" s="296">
        <f t="shared" si="3"/>
        <v>0</v>
      </c>
      <c r="L193" s="381"/>
    </row>
    <row r="194" spans="1:12" s="270" customFormat="1">
      <c r="A194" s="867"/>
      <c r="B194" s="863"/>
      <c r="C194" s="863"/>
      <c r="D194" s="868"/>
      <c r="E194" s="869"/>
      <c r="F194" s="870"/>
      <c r="G194" s="871"/>
      <c r="H194" s="864"/>
      <c r="I194" s="865"/>
      <c r="J194" s="295"/>
      <c r="K194" s="296">
        <f t="shared" si="3"/>
        <v>0</v>
      </c>
      <c r="L194" s="381"/>
    </row>
    <row r="195" spans="1:12" s="270" customFormat="1">
      <c r="A195" s="867"/>
      <c r="B195" s="863"/>
      <c r="C195" s="863"/>
      <c r="D195" s="868"/>
      <c r="E195" s="869"/>
      <c r="F195" s="870"/>
      <c r="G195" s="871"/>
      <c r="H195" s="864"/>
      <c r="I195" s="865"/>
      <c r="J195" s="295"/>
      <c r="K195" s="296">
        <f t="shared" si="3"/>
        <v>0</v>
      </c>
      <c r="L195" s="381"/>
    </row>
    <row r="196" spans="1:12" s="270" customFormat="1">
      <c r="A196" s="867"/>
      <c r="B196" s="863"/>
      <c r="C196" s="863"/>
      <c r="D196" s="868"/>
      <c r="E196" s="869"/>
      <c r="F196" s="870"/>
      <c r="G196" s="871"/>
      <c r="H196" s="864"/>
      <c r="I196" s="865"/>
      <c r="J196" s="295"/>
      <c r="K196" s="296">
        <f t="shared" si="3"/>
        <v>0</v>
      </c>
      <c r="L196" s="381"/>
    </row>
    <row r="197" spans="1:12" s="270" customFormat="1">
      <c r="A197" s="867"/>
      <c r="B197" s="863"/>
      <c r="C197" s="863"/>
      <c r="D197" s="868"/>
      <c r="E197" s="869"/>
      <c r="F197" s="870"/>
      <c r="G197" s="871"/>
      <c r="H197" s="864"/>
      <c r="I197" s="865"/>
      <c r="J197" s="295"/>
      <c r="K197" s="296">
        <f t="shared" si="3"/>
        <v>0</v>
      </c>
      <c r="L197" s="381"/>
    </row>
    <row r="198" spans="1:12" s="270" customFormat="1">
      <c r="A198" s="867"/>
      <c r="B198" s="863"/>
      <c r="C198" s="863"/>
      <c r="D198" s="868"/>
      <c r="E198" s="869"/>
      <c r="F198" s="870"/>
      <c r="G198" s="871"/>
      <c r="H198" s="864"/>
      <c r="I198" s="865"/>
      <c r="J198" s="295"/>
      <c r="K198" s="296">
        <f t="shared" si="3"/>
        <v>0</v>
      </c>
      <c r="L198" s="381"/>
    </row>
    <row r="199" spans="1:12" s="270" customFormat="1">
      <c r="A199" s="867"/>
      <c r="B199" s="863"/>
      <c r="C199" s="863"/>
      <c r="D199" s="868"/>
      <c r="E199" s="869"/>
      <c r="F199" s="870"/>
      <c r="G199" s="871"/>
      <c r="H199" s="864"/>
      <c r="I199" s="865"/>
      <c r="J199" s="295"/>
      <c r="K199" s="296">
        <f t="shared" si="3"/>
        <v>0</v>
      </c>
      <c r="L199" s="381"/>
    </row>
    <row r="200" spans="1:12" s="270" customFormat="1">
      <c r="A200" s="867"/>
      <c r="B200" s="863"/>
      <c r="C200" s="863"/>
      <c r="D200" s="868"/>
      <c r="E200" s="869"/>
      <c r="F200" s="870"/>
      <c r="G200" s="871"/>
      <c r="H200" s="864"/>
      <c r="I200" s="865"/>
      <c r="J200" s="295"/>
      <c r="K200" s="296">
        <f t="shared" si="3"/>
        <v>0</v>
      </c>
      <c r="L200" s="381"/>
    </row>
    <row r="201" spans="1:12" s="270" customFormat="1">
      <c r="A201" s="867"/>
      <c r="B201" s="863"/>
      <c r="C201" s="863"/>
      <c r="D201" s="868"/>
      <c r="E201" s="869"/>
      <c r="F201" s="870"/>
      <c r="G201" s="871"/>
      <c r="H201" s="864"/>
      <c r="I201" s="865"/>
      <c r="J201" s="295"/>
      <c r="K201" s="296">
        <f t="shared" si="3"/>
        <v>0</v>
      </c>
      <c r="L201" s="381"/>
    </row>
    <row r="202" spans="1:12" s="270" customFormat="1">
      <c r="A202" s="867"/>
      <c r="B202" s="863"/>
      <c r="C202" s="863"/>
      <c r="D202" s="868"/>
      <c r="E202" s="869"/>
      <c r="F202" s="870"/>
      <c r="G202" s="871"/>
      <c r="H202" s="864"/>
      <c r="I202" s="865"/>
      <c r="J202" s="295"/>
      <c r="K202" s="296">
        <f t="shared" si="3"/>
        <v>0</v>
      </c>
      <c r="L202" s="381"/>
    </row>
    <row r="203" spans="1:12" s="270" customFormat="1">
      <c r="A203" s="867"/>
      <c r="B203" s="863"/>
      <c r="C203" s="863"/>
      <c r="D203" s="868"/>
      <c r="E203" s="869"/>
      <c r="F203" s="870"/>
      <c r="G203" s="871"/>
      <c r="H203" s="864"/>
      <c r="I203" s="865"/>
      <c r="J203" s="295"/>
      <c r="K203" s="296">
        <f t="shared" si="3"/>
        <v>0</v>
      </c>
      <c r="L203" s="381"/>
    </row>
    <row r="204" spans="1:12" s="270" customFormat="1">
      <c r="A204" s="867"/>
      <c r="B204" s="863"/>
      <c r="C204" s="863"/>
      <c r="D204" s="868"/>
      <c r="E204" s="869"/>
      <c r="F204" s="870"/>
      <c r="G204" s="871"/>
      <c r="H204" s="864"/>
      <c r="I204" s="865"/>
      <c r="J204" s="295"/>
      <c r="K204" s="296">
        <f t="shared" si="3"/>
        <v>0</v>
      </c>
      <c r="L204" s="381"/>
    </row>
    <row r="205" spans="1:12" s="270" customFormat="1">
      <c r="A205" s="867"/>
      <c r="B205" s="863"/>
      <c r="C205" s="863"/>
      <c r="D205" s="868"/>
      <c r="E205" s="869"/>
      <c r="F205" s="870"/>
      <c r="G205" s="871"/>
      <c r="H205" s="864"/>
      <c r="I205" s="865"/>
      <c r="J205" s="295"/>
      <c r="K205" s="296">
        <f t="shared" si="3"/>
        <v>0</v>
      </c>
      <c r="L205" s="381"/>
    </row>
    <row r="206" spans="1:12" s="270" customFormat="1">
      <c r="A206" s="867"/>
      <c r="B206" s="863"/>
      <c r="C206" s="863"/>
      <c r="D206" s="868"/>
      <c r="E206" s="869"/>
      <c r="F206" s="870"/>
      <c r="G206" s="871"/>
      <c r="H206" s="864"/>
      <c r="I206" s="865"/>
      <c r="J206" s="295"/>
      <c r="K206" s="296">
        <f t="shared" si="3"/>
        <v>0</v>
      </c>
      <c r="L206" s="381"/>
    </row>
    <row r="207" spans="1:12" s="270" customFormat="1">
      <c r="A207" s="867"/>
      <c r="B207" s="863"/>
      <c r="C207" s="863"/>
      <c r="D207" s="868"/>
      <c r="E207" s="869"/>
      <c r="F207" s="870"/>
      <c r="G207" s="871"/>
      <c r="H207" s="864"/>
      <c r="I207" s="865"/>
      <c r="J207" s="295"/>
      <c r="K207" s="296">
        <f t="shared" si="3"/>
        <v>0</v>
      </c>
      <c r="L207" s="381"/>
    </row>
    <row r="208" spans="1:12" s="270" customFormat="1">
      <c r="A208" s="867"/>
      <c r="B208" s="863"/>
      <c r="C208" s="863"/>
      <c r="D208" s="868"/>
      <c r="E208" s="869"/>
      <c r="F208" s="870"/>
      <c r="G208" s="871"/>
      <c r="H208" s="864"/>
      <c r="I208" s="865"/>
      <c r="J208" s="295"/>
      <c r="K208" s="296">
        <f t="shared" si="3"/>
        <v>0</v>
      </c>
      <c r="L208" s="381" t="s">
        <v>347</v>
      </c>
    </row>
    <row r="209" spans="1:17" s="270" customFormat="1">
      <c r="A209" s="349" t="s">
        <v>166</v>
      </c>
      <c r="B209" s="350"/>
      <c r="C209" s="351"/>
      <c r="D209" s="545"/>
      <c r="E209" s="352">
        <f>SUM(E21:E208)</f>
        <v>33</v>
      </c>
      <c r="F209" s="353"/>
      <c r="G209" s="352">
        <f>SUM(G21:G208)</f>
        <v>2387</v>
      </c>
      <c r="H209" s="486"/>
      <c r="I209" s="356"/>
      <c r="J209" s="357"/>
      <c r="K209" s="358">
        <f>SUM(K21:K208)+L209</f>
        <v>-55539.0625</v>
      </c>
      <c r="L209" s="381"/>
    </row>
    <row r="210" spans="1:17" s="93" customFormat="1">
      <c r="A210" s="359" t="s">
        <v>169</v>
      </c>
      <c r="B210" s="113"/>
      <c r="C210" s="274"/>
      <c r="D210" s="538"/>
      <c r="E210" s="114"/>
      <c r="F210" s="192"/>
      <c r="G210" s="118"/>
      <c r="H210" s="478"/>
      <c r="I210" s="125"/>
      <c r="J210" s="360"/>
      <c r="K210" s="261"/>
      <c r="L210" s="377"/>
      <c r="M210"/>
      <c r="N210"/>
      <c r="O210"/>
      <c r="P210"/>
      <c r="Q210"/>
    </row>
    <row r="211" spans="1:17">
      <c r="A211" s="206" t="s">
        <v>99</v>
      </c>
      <c r="B211" s="207" t="s">
        <v>7</v>
      </c>
      <c r="C211" s="207" t="s">
        <v>171</v>
      </c>
      <c r="D211" s="535" t="s">
        <v>170</v>
      </c>
      <c r="E211" s="208" t="s">
        <v>11</v>
      </c>
      <c r="F211" s="207" t="s">
        <v>2</v>
      </c>
      <c r="G211" s="209" t="s">
        <v>12</v>
      </c>
      <c r="H211" s="482" t="s">
        <v>18</v>
      </c>
      <c r="I211" s="209" t="s">
        <v>10</v>
      </c>
      <c r="J211" s="207" t="s">
        <v>216</v>
      </c>
      <c r="K211" s="260" t="s">
        <v>212</v>
      </c>
    </row>
    <row r="212" spans="1:17">
      <c r="A212" s="325"/>
      <c r="B212" s="328"/>
      <c r="C212" s="328"/>
      <c r="D212" s="542"/>
      <c r="E212" s="330"/>
      <c r="F212" s="331"/>
      <c r="G212" s="332"/>
      <c r="H212" s="561"/>
      <c r="I212" s="335"/>
      <c r="J212" s="335"/>
      <c r="K212" s="336">
        <f t="shared" ref="K212:K218" si="4">(J212-I212)*E212/100</f>
        <v>0</v>
      </c>
    </row>
    <row r="213" spans="1:17">
      <c r="A213" s="325"/>
      <c r="B213" s="328"/>
      <c r="C213" s="328"/>
      <c r="D213" s="542"/>
      <c r="E213" s="330"/>
      <c r="F213" s="331"/>
      <c r="G213" s="332"/>
      <c r="H213" s="561"/>
      <c r="I213" s="335"/>
      <c r="J213" s="335"/>
      <c r="K213" s="336">
        <f t="shared" si="4"/>
        <v>0</v>
      </c>
    </row>
    <row r="214" spans="1:17">
      <c r="A214" s="325"/>
      <c r="B214" s="328"/>
      <c r="C214" s="328"/>
      <c r="D214" s="542"/>
      <c r="E214" s="330"/>
      <c r="F214" s="331"/>
      <c r="G214" s="332"/>
      <c r="H214" s="561"/>
      <c r="I214" s="335"/>
      <c r="J214" s="335"/>
      <c r="K214" s="336">
        <f t="shared" si="4"/>
        <v>0</v>
      </c>
    </row>
    <row r="215" spans="1:17">
      <c r="A215" s="337" t="s">
        <v>167</v>
      </c>
      <c r="B215" s="340">
        <v>39090</v>
      </c>
      <c r="C215" s="341"/>
      <c r="D215" s="543"/>
      <c r="E215" s="342">
        <v>0</v>
      </c>
      <c r="F215" s="343" t="s">
        <v>78</v>
      </c>
      <c r="G215" s="344">
        <v>0</v>
      </c>
      <c r="H215" s="562" t="s">
        <v>21</v>
      </c>
      <c r="I215" s="347">
        <v>108.77</v>
      </c>
      <c r="J215" s="347">
        <v>0</v>
      </c>
      <c r="K215" s="348">
        <f t="shared" si="4"/>
        <v>0</v>
      </c>
    </row>
    <row r="216" spans="1:17">
      <c r="A216" s="337" t="s">
        <v>167</v>
      </c>
      <c r="B216" s="340">
        <v>38954</v>
      </c>
      <c r="C216" s="341"/>
      <c r="D216" s="543"/>
      <c r="E216" s="342">
        <v>0</v>
      </c>
      <c r="F216" s="343" t="s">
        <v>78</v>
      </c>
      <c r="G216" s="344">
        <v>0</v>
      </c>
      <c r="H216" s="562"/>
      <c r="I216" s="347">
        <v>109.88</v>
      </c>
      <c r="J216" s="347">
        <v>0</v>
      </c>
      <c r="K216" s="348">
        <f t="shared" si="4"/>
        <v>0</v>
      </c>
    </row>
    <row r="217" spans="1:17">
      <c r="A217" s="285" t="s">
        <v>168</v>
      </c>
      <c r="B217" s="288">
        <v>39220</v>
      </c>
      <c r="C217" s="289" t="s">
        <v>21</v>
      </c>
      <c r="D217" s="544"/>
      <c r="E217" s="290">
        <v>0</v>
      </c>
      <c r="F217" s="291" t="s">
        <v>78</v>
      </c>
      <c r="G217" s="292">
        <v>0</v>
      </c>
      <c r="H217" s="554" t="s">
        <v>21</v>
      </c>
      <c r="I217" s="295">
        <v>102.55500000000001</v>
      </c>
      <c r="J217" s="295">
        <v>0</v>
      </c>
      <c r="K217" s="296">
        <f t="shared" si="4"/>
        <v>0</v>
      </c>
    </row>
    <row r="218" spans="1:17">
      <c r="A218" s="285" t="s">
        <v>168</v>
      </c>
      <c r="B218" s="288">
        <v>39224</v>
      </c>
      <c r="C218" s="289" t="s">
        <v>21</v>
      </c>
      <c r="D218" s="544"/>
      <c r="E218" s="290">
        <v>0</v>
      </c>
      <c r="F218" s="291" t="s">
        <v>78</v>
      </c>
      <c r="G218" s="292">
        <v>0</v>
      </c>
      <c r="H218" s="554"/>
      <c r="I218" s="295">
        <v>102.89</v>
      </c>
      <c r="J218" s="295">
        <v>0</v>
      </c>
      <c r="K218" s="296">
        <f t="shared" si="4"/>
        <v>0</v>
      </c>
    </row>
    <row r="219" spans="1:17">
      <c r="A219" s="349" t="s">
        <v>166</v>
      </c>
      <c r="B219" s="350"/>
      <c r="C219" s="351"/>
      <c r="D219" s="545"/>
      <c r="E219" s="352">
        <f>SUM(E212:E218)</f>
        <v>0</v>
      </c>
      <c r="F219" s="353"/>
      <c r="G219" s="354">
        <f>SUM(G212:G218)</f>
        <v>0</v>
      </c>
      <c r="H219" s="563"/>
      <c r="I219" s="356"/>
      <c r="J219" s="357"/>
      <c r="K219" s="358">
        <f>SUM(K212:K218)</f>
        <v>0</v>
      </c>
    </row>
    <row r="220" spans="1:17">
      <c r="A220" s="716" t="s">
        <v>414</v>
      </c>
      <c r="B220" s="108"/>
      <c r="C220" s="275"/>
      <c r="D220" s="546"/>
      <c r="E220" s="70"/>
      <c r="F220" s="203"/>
      <c r="G220" s="105"/>
      <c r="H220" s="487"/>
      <c r="I220" s="204"/>
      <c r="J220" s="205"/>
      <c r="K220" s="106"/>
    </row>
    <row r="221" spans="1:17">
      <c r="A221" s="206" t="s">
        <v>99</v>
      </c>
      <c r="B221" s="207" t="s">
        <v>7</v>
      </c>
      <c r="C221" s="207" t="s">
        <v>171</v>
      </c>
      <c r="D221" s="535" t="s">
        <v>170</v>
      </c>
      <c r="E221" s="208" t="s">
        <v>11</v>
      </c>
      <c r="F221" s="207" t="s">
        <v>2</v>
      </c>
      <c r="G221" s="209" t="s">
        <v>12</v>
      </c>
      <c r="H221" s="482" t="s">
        <v>18</v>
      </c>
      <c r="I221" s="209" t="s">
        <v>10</v>
      </c>
      <c r="J221" s="207" t="s">
        <v>216</v>
      </c>
      <c r="K221" s="260" t="s">
        <v>212</v>
      </c>
    </row>
    <row r="222" spans="1:17">
      <c r="A222" s="325"/>
      <c r="B222" s="328"/>
      <c r="C222" s="329"/>
      <c r="D222" s="542"/>
      <c r="E222" s="330"/>
      <c r="F222" s="331"/>
      <c r="G222" s="332"/>
      <c r="H222" s="483"/>
      <c r="I222" s="335">
        <v>135.12</v>
      </c>
      <c r="J222" s="335">
        <v>0</v>
      </c>
      <c r="K222" s="336">
        <f>(J222-I222)*E222/100</f>
        <v>0</v>
      </c>
    </row>
    <row r="223" spans="1:17">
      <c r="A223" s="337"/>
      <c r="B223" s="340"/>
      <c r="C223" s="341"/>
      <c r="D223" s="543"/>
      <c r="E223" s="342"/>
      <c r="F223" s="343"/>
      <c r="G223" s="344"/>
      <c r="H223" s="484"/>
      <c r="I223" s="347">
        <v>108.77</v>
      </c>
      <c r="J223" s="347">
        <v>0</v>
      </c>
      <c r="K223" s="348">
        <f>(J223-I223)*E223/100</f>
        <v>0</v>
      </c>
    </row>
    <row r="224" spans="1:17">
      <c r="A224" s="337"/>
      <c r="B224" s="340"/>
      <c r="C224" s="341"/>
      <c r="D224" s="543"/>
      <c r="E224" s="342"/>
      <c r="F224" s="343"/>
      <c r="G224" s="344"/>
      <c r="H224" s="484"/>
      <c r="I224" s="347">
        <v>109.88</v>
      </c>
      <c r="J224" s="347">
        <v>0</v>
      </c>
      <c r="K224" s="348">
        <f>(J224-I224)*E224/100</f>
        <v>0</v>
      </c>
    </row>
    <row r="225" spans="1:11">
      <c r="A225" s="285"/>
      <c r="B225" s="288"/>
      <c r="C225" s="289"/>
      <c r="D225" s="544"/>
      <c r="E225" s="290"/>
      <c r="F225" s="291"/>
      <c r="G225" s="292"/>
      <c r="H225" s="485"/>
      <c r="I225" s="295">
        <v>102.55500000000001</v>
      </c>
      <c r="J225" s="295">
        <v>0</v>
      </c>
      <c r="K225" s="296">
        <f>(J225-I225)*E225/100</f>
        <v>0</v>
      </c>
    </row>
    <row r="226" spans="1:11">
      <c r="A226" s="285"/>
      <c r="B226" s="288"/>
      <c r="C226" s="289"/>
      <c r="D226" s="544"/>
      <c r="E226" s="290"/>
      <c r="F226" s="291"/>
      <c r="G226" s="292"/>
      <c r="H226" s="485"/>
      <c r="I226" s="295">
        <v>102.89</v>
      </c>
      <c r="J226" s="295">
        <v>0</v>
      </c>
      <c r="K226" s="296">
        <f>(J226-I226)*E226/100</f>
        <v>0</v>
      </c>
    </row>
    <row r="227" spans="1:11">
      <c r="A227" s="349" t="s">
        <v>166</v>
      </c>
      <c r="B227" s="350"/>
      <c r="C227" s="351"/>
      <c r="D227" s="545"/>
      <c r="E227" s="352">
        <f>SUM(E222:E226)</f>
        <v>0</v>
      </c>
      <c r="F227" s="353"/>
      <c r="G227" s="354">
        <f>SUM(G222:G226)</f>
        <v>0</v>
      </c>
      <c r="H227" s="486"/>
      <c r="I227" s="356"/>
      <c r="J227" s="357"/>
      <c r="K227" s="358">
        <f>SUM(K222:K226)</f>
        <v>0</v>
      </c>
    </row>
    <row r="228" spans="1:11">
      <c r="A228" s="716" t="s">
        <v>321</v>
      </c>
      <c r="B228" s="108"/>
      <c r="C228" s="275"/>
      <c r="D228" s="546"/>
      <c r="E228" s="70"/>
      <c r="F228" s="203"/>
      <c r="G228" s="105"/>
      <c r="H228" s="487"/>
      <c r="I228" s="204"/>
      <c r="J228" s="205"/>
      <c r="K228" s="106"/>
    </row>
    <row r="229" spans="1:11">
      <c r="A229" s="206" t="s">
        <v>99</v>
      </c>
      <c r="B229" s="207" t="s">
        <v>7</v>
      </c>
      <c r="C229" s="207" t="s">
        <v>171</v>
      </c>
      <c r="D229" s="535" t="s">
        <v>170</v>
      </c>
      <c r="E229" s="208" t="s">
        <v>11</v>
      </c>
      <c r="F229" s="207" t="s">
        <v>2</v>
      </c>
      <c r="G229" s="209" t="s">
        <v>12</v>
      </c>
      <c r="H229" s="482" t="s">
        <v>18</v>
      </c>
      <c r="I229" s="209" t="s">
        <v>10</v>
      </c>
      <c r="J229" s="207" t="s">
        <v>216</v>
      </c>
      <c r="K229" s="260" t="s">
        <v>212</v>
      </c>
    </row>
    <row r="230" spans="1:11">
      <c r="A230" s="325" t="s">
        <v>413</v>
      </c>
      <c r="B230" s="328">
        <v>44195</v>
      </c>
      <c r="C230" s="329"/>
      <c r="D230" s="542"/>
      <c r="E230" s="330">
        <v>0</v>
      </c>
      <c r="F230" s="331"/>
      <c r="G230" s="332">
        <v>-7630</v>
      </c>
      <c r="H230" s="483"/>
      <c r="I230" s="335">
        <v>100.2431</v>
      </c>
      <c r="J230" s="335">
        <v>100.2963</v>
      </c>
      <c r="K230" s="336">
        <f t="shared" ref="K230:K247" si="5">(J230-I230)*E230/100</f>
        <v>0</v>
      </c>
    </row>
    <row r="231" spans="1:11">
      <c r="A231" s="325"/>
      <c r="B231" s="328"/>
      <c r="C231" s="329"/>
      <c r="D231" s="542"/>
      <c r="E231" s="330"/>
      <c r="F231" s="331"/>
      <c r="G231" s="332"/>
      <c r="H231" s="483"/>
      <c r="I231" s="335"/>
      <c r="J231" s="335"/>
      <c r="K231" s="336">
        <f t="shared" si="5"/>
        <v>0</v>
      </c>
    </row>
    <row r="232" spans="1:11">
      <c r="A232" s="337"/>
      <c r="B232" s="340"/>
      <c r="C232" s="341"/>
      <c r="D232" s="543"/>
      <c r="E232" s="342"/>
      <c r="F232" s="343"/>
      <c r="G232" s="344"/>
      <c r="H232" s="484"/>
      <c r="I232" s="347"/>
      <c r="J232" s="347"/>
      <c r="K232" s="348">
        <f t="shared" si="5"/>
        <v>0</v>
      </c>
    </row>
    <row r="233" spans="1:11">
      <c r="A233" s="337"/>
      <c r="B233" s="340"/>
      <c r="C233" s="341"/>
      <c r="D233" s="543"/>
      <c r="E233" s="342"/>
      <c r="F233" s="343"/>
      <c r="G233" s="344"/>
      <c r="H233" s="484"/>
      <c r="I233" s="347"/>
      <c r="J233" s="347"/>
      <c r="K233" s="348">
        <f t="shared" si="5"/>
        <v>0</v>
      </c>
    </row>
    <row r="234" spans="1:11">
      <c r="A234" s="337"/>
      <c r="B234" s="340"/>
      <c r="C234" s="341"/>
      <c r="D234" s="543"/>
      <c r="E234" s="342"/>
      <c r="F234" s="343"/>
      <c r="G234" s="344"/>
      <c r="H234" s="484"/>
      <c r="I234" s="347"/>
      <c r="J234" s="347"/>
      <c r="K234" s="348">
        <f t="shared" si="5"/>
        <v>0</v>
      </c>
    </row>
    <row r="235" spans="1:11">
      <c r="A235" s="337"/>
      <c r="B235" s="340"/>
      <c r="C235" s="341"/>
      <c r="D235" s="543"/>
      <c r="E235" s="342"/>
      <c r="F235" s="343"/>
      <c r="G235" s="344"/>
      <c r="H235" s="484"/>
      <c r="I235" s="347"/>
      <c r="J235" s="347"/>
      <c r="K235" s="348">
        <f t="shared" si="5"/>
        <v>0</v>
      </c>
    </row>
    <row r="236" spans="1:11">
      <c r="A236" s="337"/>
      <c r="B236" s="340"/>
      <c r="C236" s="341"/>
      <c r="D236" s="543"/>
      <c r="E236" s="342"/>
      <c r="F236" s="343"/>
      <c r="G236" s="344"/>
      <c r="H236" s="484"/>
      <c r="I236" s="347"/>
      <c r="J236" s="347"/>
      <c r="K236" s="348">
        <f t="shared" si="5"/>
        <v>0</v>
      </c>
    </row>
    <row r="237" spans="1:11">
      <c r="A237" s="337"/>
      <c r="B237" s="340"/>
      <c r="C237" s="341"/>
      <c r="D237" s="543"/>
      <c r="E237" s="342"/>
      <c r="F237" s="343"/>
      <c r="G237" s="344"/>
      <c r="H237" s="484"/>
      <c r="I237" s="347"/>
      <c r="J237" s="347"/>
      <c r="K237" s="348">
        <f t="shared" si="5"/>
        <v>0</v>
      </c>
    </row>
    <row r="238" spans="1:11">
      <c r="A238" s="337"/>
      <c r="B238" s="340"/>
      <c r="C238" s="341"/>
      <c r="D238" s="543"/>
      <c r="E238" s="342"/>
      <c r="F238" s="343"/>
      <c r="G238" s="344"/>
      <c r="H238" s="484"/>
      <c r="I238" s="347"/>
      <c r="J238" s="347"/>
      <c r="K238" s="348">
        <f t="shared" si="5"/>
        <v>0</v>
      </c>
    </row>
    <row r="239" spans="1:11">
      <c r="A239" s="337"/>
      <c r="B239" s="340"/>
      <c r="C239" s="341"/>
      <c r="D239" s="543"/>
      <c r="E239" s="342"/>
      <c r="F239" s="343"/>
      <c r="G239" s="344"/>
      <c r="H239" s="484"/>
      <c r="I239" s="347"/>
      <c r="J239" s="347"/>
      <c r="K239" s="348">
        <f t="shared" si="5"/>
        <v>0</v>
      </c>
    </row>
    <row r="240" spans="1:11">
      <c r="A240" s="337"/>
      <c r="B240" s="340"/>
      <c r="C240" s="341"/>
      <c r="D240" s="543"/>
      <c r="E240" s="342"/>
      <c r="F240" s="343"/>
      <c r="G240" s="344"/>
      <c r="H240" s="484"/>
      <c r="I240" s="347"/>
      <c r="J240" s="347"/>
      <c r="K240" s="348">
        <f t="shared" si="5"/>
        <v>0</v>
      </c>
    </row>
    <row r="241" spans="1:11">
      <c r="A241" s="337"/>
      <c r="B241" s="340"/>
      <c r="C241" s="341"/>
      <c r="D241" s="543"/>
      <c r="E241" s="342"/>
      <c r="F241" s="343"/>
      <c r="G241" s="344"/>
      <c r="H241" s="484"/>
      <c r="I241" s="347"/>
      <c r="J241" s="347"/>
      <c r="K241" s="348">
        <f t="shared" si="5"/>
        <v>0</v>
      </c>
    </row>
    <row r="242" spans="1:11">
      <c r="A242" s="337"/>
      <c r="B242" s="340"/>
      <c r="C242" s="341"/>
      <c r="D242" s="543"/>
      <c r="E242" s="342"/>
      <c r="F242" s="343"/>
      <c r="G242" s="344"/>
      <c r="H242" s="484"/>
      <c r="I242" s="347"/>
      <c r="J242" s="347"/>
      <c r="K242" s="348">
        <f t="shared" si="5"/>
        <v>0</v>
      </c>
    </row>
    <row r="243" spans="1:11">
      <c r="A243" s="337"/>
      <c r="B243" s="340"/>
      <c r="C243" s="341"/>
      <c r="D243" s="543"/>
      <c r="E243" s="342"/>
      <c r="F243" s="343"/>
      <c r="G243" s="344"/>
      <c r="H243" s="484"/>
      <c r="I243" s="347"/>
      <c r="J243" s="347"/>
      <c r="K243" s="348">
        <f t="shared" si="5"/>
        <v>0</v>
      </c>
    </row>
    <row r="244" spans="1:11">
      <c r="A244" s="337"/>
      <c r="B244" s="340"/>
      <c r="C244" s="341"/>
      <c r="D244" s="543"/>
      <c r="E244" s="342"/>
      <c r="F244" s="343"/>
      <c r="G244" s="344"/>
      <c r="H244" s="484"/>
      <c r="I244" s="347"/>
      <c r="J244" s="347"/>
      <c r="K244" s="348">
        <f t="shared" si="5"/>
        <v>0</v>
      </c>
    </row>
    <row r="245" spans="1:11">
      <c r="A245" s="337"/>
      <c r="B245" s="340"/>
      <c r="C245" s="341"/>
      <c r="D245" s="543"/>
      <c r="E245" s="342"/>
      <c r="F245" s="343"/>
      <c r="G245" s="344"/>
      <c r="H245" s="484"/>
      <c r="I245" s="347"/>
      <c r="J245" s="347"/>
      <c r="K245" s="348">
        <f t="shared" si="5"/>
        <v>0</v>
      </c>
    </row>
    <row r="246" spans="1:11">
      <c r="A246" s="285"/>
      <c r="B246" s="288"/>
      <c r="C246" s="289"/>
      <c r="D246" s="544"/>
      <c r="E246" s="290"/>
      <c r="F246" s="291"/>
      <c r="G246" s="292"/>
      <c r="H246" s="485"/>
      <c r="I246" s="295"/>
      <c r="J246" s="295"/>
      <c r="K246" s="296">
        <f t="shared" si="5"/>
        <v>0</v>
      </c>
    </row>
    <row r="247" spans="1:11">
      <c r="A247" s="285"/>
      <c r="B247" s="288"/>
      <c r="C247" s="289"/>
      <c r="D247" s="544"/>
      <c r="E247" s="290"/>
      <c r="F247" s="291"/>
      <c r="G247" s="292"/>
      <c r="H247" s="485"/>
      <c r="I247" s="295"/>
      <c r="J247" s="295"/>
      <c r="K247" s="296">
        <f t="shared" si="5"/>
        <v>0</v>
      </c>
    </row>
    <row r="248" spans="1:11">
      <c r="A248" s="111" t="s">
        <v>166</v>
      </c>
      <c r="B248" s="313"/>
      <c r="C248" s="313"/>
      <c r="D248" s="539"/>
      <c r="E248" s="314">
        <f>SUM(E230:E247)</f>
        <v>0</v>
      </c>
      <c r="F248" s="314"/>
      <c r="G248" s="316">
        <f>SUM(G230:G247)</f>
        <v>-7630</v>
      </c>
      <c r="H248" s="479"/>
      <c r="I248" s="323"/>
      <c r="J248" s="318"/>
      <c r="K248" s="316">
        <f>SUM(K230:K247)</f>
        <v>0</v>
      </c>
    </row>
    <row r="249" spans="1:11">
      <c r="G249" s="14"/>
      <c r="H249" s="488"/>
    </row>
    <row r="250" spans="1:11">
      <c r="G250" s="14"/>
      <c r="H250" s="488"/>
    </row>
    <row r="251" spans="1:11">
      <c r="G251" s="14"/>
      <c r="H251" s="488"/>
    </row>
    <row r="252" spans="1:11">
      <c r="G252" s="14"/>
      <c r="H252" s="488"/>
    </row>
    <row r="253" spans="1:11">
      <c r="G253" s="14"/>
      <c r="H253" s="488"/>
    </row>
    <row r="254" spans="1:11">
      <c r="G254" s="14"/>
      <c r="H254" s="488"/>
    </row>
    <row r="255" spans="1:11">
      <c r="G255" s="14"/>
      <c r="H255" s="488"/>
    </row>
    <row r="256" spans="1:11">
      <c r="G256" s="14"/>
      <c r="H256" s="488"/>
    </row>
    <row r="257" spans="7:8">
      <c r="G257" s="14"/>
      <c r="H257" s="488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  <c r="H431" s="489"/>
    </row>
    <row r="432" spans="7:8">
      <c r="G432" s="14"/>
      <c r="H432" s="489"/>
    </row>
    <row r="433" spans="7:8">
      <c r="G433" s="14"/>
      <c r="H433" s="489"/>
    </row>
    <row r="434" spans="7:8">
      <c r="G434" s="14"/>
      <c r="H434" s="489"/>
    </row>
    <row r="435" spans="7:8">
      <c r="G435" s="14"/>
      <c r="H435" s="489"/>
    </row>
    <row r="436" spans="7:8">
      <c r="G436" s="14"/>
      <c r="H436" s="489"/>
    </row>
    <row r="437" spans="7:8">
      <c r="G437" s="14"/>
      <c r="H437" s="489"/>
    </row>
    <row r="438" spans="7:8">
      <c r="G438" s="14"/>
      <c r="H438" s="489"/>
    </row>
    <row r="439" spans="7:8">
      <c r="G439" s="14"/>
      <c r="H439" s="489"/>
    </row>
    <row r="440" spans="7:8">
      <c r="G440" s="14"/>
      <c r="H440" s="489"/>
    </row>
    <row r="441" spans="7:8">
      <c r="G441" s="14"/>
      <c r="H441" s="489"/>
    </row>
    <row r="442" spans="7:8">
      <c r="G442" s="14"/>
      <c r="H442" s="489"/>
    </row>
    <row r="443" spans="7:8">
      <c r="G443" s="14"/>
      <c r="H443" s="489"/>
    </row>
    <row r="444" spans="7:8">
      <c r="G444" s="14"/>
      <c r="H444" s="489"/>
    </row>
    <row r="445" spans="7:8">
      <c r="G445" s="14"/>
      <c r="H445" s="489"/>
    </row>
    <row r="446" spans="7:8">
      <c r="G446" s="14"/>
      <c r="H446" s="489"/>
    </row>
    <row r="447" spans="7:8">
      <c r="G447" s="14"/>
      <c r="H447" s="489"/>
    </row>
    <row r="448" spans="7:8">
      <c r="G448" s="14"/>
      <c r="H448" s="489"/>
    </row>
    <row r="449" spans="7:8">
      <c r="G449" s="14"/>
      <c r="H449" s="489"/>
    </row>
    <row r="450" spans="7:8">
      <c r="G450" s="14"/>
      <c r="H450" s="489"/>
    </row>
    <row r="451" spans="7:8">
      <c r="G451" s="14"/>
      <c r="H451" s="489"/>
    </row>
    <row r="452" spans="7:8">
      <c r="G452" s="14"/>
      <c r="H452" s="489"/>
    </row>
    <row r="453" spans="7:8">
      <c r="G453" s="14"/>
      <c r="H453" s="489"/>
    </row>
    <row r="454" spans="7:8">
      <c r="G454" s="14"/>
      <c r="H454" s="489"/>
    </row>
    <row r="455" spans="7:8">
      <c r="G455" s="14"/>
      <c r="H455" s="489"/>
    </row>
    <row r="456" spans="7:8">
      <c r="G456" s="14"/>
      <c r="H456" s="489"/>
    </row>
    <row r="457" spans="7:8">
      <c r="G457" s="14"/>
      <c r="H457" s="489"/>
    </row>
    <row r="458" spans="7:8">
      <c r="G458" s="14"/>
      <c r="H458" s="489"/>
    </row>
    <row r="459" spans="7:8">
      <c r="G459" s="14"/>
      <c r="H459" s="489"/>
    </row>
    <row r="460" spans="7:8">
      <c r="G460" s="14"/>
      <c r="H460" s="489"/>
    </row>
    <row r="461" spans="7:8">
      <c r="G461" s="14"/>
      <c r="H461" s="489"/>
    </row>
    <row r="462" spans="7:8">
      <c r="G462" s="14"/>
      <c r="H462" s="489"/>
    </row>
    <row r="463" spans="7:8">
      <c r="G463" s="14"/>
      <c r="H463" s="489"/>
    </row>
    <row r="464" spans="7:8">
      <c r="G464" s="14"/>
      <c r="H464" s="489"/>
    </row>
    <row r="465" spans="7:8">
      <c r="G465" s="14"/>
      <c r="H465" s="489"/>
    </row>
    <row r="466" spans="7:8">
      <c r="G466" s="14"/>
      <c r="H466" s="489"/>
    </row>
    <row r="467" spans="7:8">
      <c r="G467" s="14"/>
      <c r="H467" s="489"/>
    </row>
    <row r="468" spans="7:8">
      <c r="G468" s="14"/>
      <c r="H468" s="489"/>
    </row>
    <row r="469" spans="7:8">
      <c r="G469" s="14"/>
      <c r="H469" s="489"/>
    </row>
    <row r="470" spans="7:8">
      <c r="G470" s="14"/>
      <c r="H470" s="489"/>
    </row>
    <row r="471" spans="7:8">
      <c r="G471" s="14"/>
      <c r="H471" s="489"/>
    </row>
    <row r="472" spans="7:8">
      <c r="G472" s="14"/>
      <c r="H472" s="489"/>
    </row>
    <row r="473" spans="7:8">
      <c r="G473" s="14"/>
      <c r="H473" s="489"/>
    </row>
    <row r="474" spans="7:8">
      <c r="G474" s="14"/>
      <c r="H474" s="489"/>
    </row>
    <row r="475" spans="7:8">
      <c r="G475" s="14"/>
      <c r="H475" s="489"/>
    </row>
    <row r="476" spans="7:8">
      <c r="G476" s="14"/>
      <c r="H476" s="489"/>
    </row>
    <row r="477" spans="7:8">
      <c r="G477" s="14"/>
      <c r="H477" s="489"/>
    </row>
    <row r="478" spans="7:8">
      <c r="G478" s="14"/>
      <c r="H478" s="489"/>
    </row>
    <row r="479" spans="7:8">
      <c r="G479" s="14"/>
      <c r="H479" s="489"/>
    </row>
    <row r="480" spans="7:8">
      <c r="G480" s="14"/>
      <c r="H480" s="489"/>
    </row>
    <row r="481" spans="7:8">
      <c r="G481" s="14"/>
      <c r="H481" s="489"/>
    </row>
    <row r="482" spans="7:8">
      <c r="G482" s="14"/>
      <c r="H482" s="489"/>
    </row>
    <row r="483" spans="7:8">
      <c r="G483" s="14"/>
      <c r="H483" s="489"/>
    </row>
    <row r="484" spans="7:8">
      <c r="G484" s="14"/>
      <c r="H484" s="489"/>
    </row>
    <row r="485" spans="7:8">
      <c r="G485" s="14"/>
      <c r="H485" s="489"/>
    </row>
    <row r="486" spans="7:8">
      <c r="G486" s="14"/>
      <c r="H486" s="489"/>
    </row>
    <row r="487" spans="7:8">
      <c r="G487" s="14"/>
      <c r="H487" s="489"/>
    </row>
    <row r="488" spans="7:8">
      <c r="G488" s="14"/>
      <c r="H488" s="489"/>
    </row>
    <row r="489" spans="7:8">
      <c r="G489" s="14"/>
      <c r="H489" s="489"/>
    </row>
    <row r="490" spans="7:8">
      <c r="G490" s="14"/>
      <c r="H490" s="489"/>
    </row>
    <row r="491" spans="7:8">
      <c r="G491" s="14"/>
      <c r="H491" s="489"/>
    </row>
    <row r="492" spans="7:8">
      <c r="G492" s="14"/>
      <c r="H492" s="489"/>
    </row>
    <row r="493" spans="7:8">
      <c r="G493" s="14"/>
      <c r="H493" s="489"/>
    </row>
    <row r="494" spans="7:8">
      <c r="G494" s="14"/>
      <c r="H494" s="489"/>
    </row>
    <row r="495" spans="7:8">
      <c r="G495" s="14"/>
      <c r="H495" s="489"/>
    </row>
    <row r="496" spans="7:8">
      <c r="G496" s="14"/>
      <c r="H496" s="489"/>
    </row>
    <row r="497" spans="7:8">
      <c r="G497" s="14"/>
      <c r="H497" s="489"/>
    </row>
    <row r="498" spans="7:8">
      <c r="G498" s="14"/>
      <c r="H498" s="489"/>
    </row>
    <row r="499" spans="7:8">
      <c r="G499" s="14"/>
      <c r="H499" s="489"/>
    </row>
    <row r="500" spans="7:8">
      <c r="G500" s="14"/>
      <c r="H500" s="489"/>
    </row>
    <row r="501" spans="7:8">
      <c r="G501" s="14"/>
      <c r="H501" s="489"/>
    </row>
    <row r="502" spans="7:8">
      <c r="G502" s="14"/>
      <c r="H502" s="489"/>
    </row>
    <row r="503" spans="7:8">
      <c r="G503" s="14"/>
      <c r="H503" s="489"/>
    </row>
    <row r="504" spans="7:8">
      <c r="G504" s="14"/>
      <c r="H504" s="489"/>
    </row>
    <row r="505" spans="7:8">
      <c r="G505" s="14"/>
      <c r="H505" s="489"/>
    </row>
    <row r="506" spans="7:8">
      <c r="G506" s="14"/>
      <c r="H506" s="489"/>
    </row>
    <row r="507" spans="7:8">
      <c r="G507" s="14"/>
      <c r="H507" s="489"/>
    </row>
    <row r="508" spans="7:8">
      <c r="G508" s="14"/>
      <c r="H508" s="489"/>
    </row>
    <row r="509" spans="7:8">
      <c r="G509" s="14"/>
      <c r="H509" s="489"/>
    </row>
    <row r="510" spans="7:8">
      <c r="G510" s="14"/>
      <c r="H510" s="489"/>
    </row>
    <row r="511" spans="7:8">
      <c r="G511" s="14"/>
      <c r="H511" s="489"/>
    </row>
    <row r="512" spans="7:8">
      <c r="G512" s="14"/>
      <c r="H512" s="489"/>
    </row>
    <row r="513" spans="7:8">
      <c r="G513" s="14"/>
      <c r="H513" s="489"/>
    </row>
    <row r="514" spans="7:8">
      <c r="G514" s="14"/>
      <c r="H514" s="489"/>
    </row>
    <row r="515" spans="7:8">
      <c r="G515" s="14"/>
      <c r="H515" s="489"/>
    </row>
    <row r="516" spans="7:8">
      <c r="G516" s="14"/>
      <c r="H516" s="489"/>
    </row>
    <row r="517" spans="7:8">
      <c r="G517" s="14"/>
      <c r="H517" s="489"/>
    </row>
    <row r="518" spans="7:8">
      <c r="G518" s="14"/>
      <c r="H518" s="489"/>
    </row>
    <row r="519" spans="7:8">
      <c r="G519" s="14"/>
      <c r="H519" s="489"/>
    </row>
    <row r="520" spans="7:8">
      <c r="G520" s="14"/>
      <c r="H520" s="489"/>
    </row>
    <row r="521" spans="7:8">
      <c r="G521" s="14"/>
      <c r="H521" s="489"/>
    </row>
    <row r="522" spans="7:8">
      <c r="G522" s="14"/>
      <c r="H522" s="489"/>
    </row>
    <row r="523" spans="7:8">
      <c r="G523" s="14"/>
      <c r="H523" s="489"/>
    </row>
    <row r="524" spans="7:8">
      <c r="G524" s="14"/>
      <c r="H524" s="489"/>
    </row>
    <row r="525" spans="7:8">
      <c r="G525" s="14"/>
      <c r="H525" s="489"/>
    </row>
    <row r="526" spans="7:8">
      <c r="G526" s="14"/>
      <c r="H526" s="489"/>
    </row>
    <row r="527" spans="7:8">
      <c r="G527" s="14"/>
      <c r="H527" s="489"/>
    </row>
    <row r="528" spans="7:8">
      <c r="G528" s="14"/>
      <c r="H528" s="489"/>
    </row>
    <row r="529" spans="7:8">
      <c r="G529" s="14"/>
      <c r="H529" s="489"/>
    </row>
    <row r="530" spans="7:8">
      <c r="G530" s="14"/>
      <c r="H530" s="489"/>
    </row>
    <row r="531" spans="7:8">
      <c r="G531" s="14"/>
      <c r="H531" s="489"/>
    </row>
    <row r="532" spans="7:8">
      <c r="G532" s="14"/>
      <c r="H532" s="489"/>
    </row>
    <row r="533" spans="7:8">
      <c r="G533" s="14"/>
      <c r="H533" s="489"/>
    </row>
    <row r="534" spans="7:8">
      <c r="G534" s="14"/>
      <c r="H534" s="489"/>
    </row>
    <row r="535" spans="7:8">
      <c r="G535" s="14"/>
      <c r="H535" s="489"/>
    </row>
    <row r="536" spans="7:8">
      <c r="G536" s="14"/>
      <c r="H536" s="489"/>
    </row>
    <row r="537" spans="7:8">
      <c r="G537" s="14"/>
      <c r="H537" s="489"/>
    </row>
    <row r="538" spans="7:8">
      <c r="G538" s="14"/>
      <c r="H538" s="489"/>
    </row>
    <row r="539" spans="7:8">
      <c r="G539" s="14"/>
      <c r="H539" s="489"/>
    </row>
    <row r="540" spans="7:8">
      <c r="G540" s="14"/>
      <c r="H540" s="489"/>
    </row>
    <row r="541" spans="7:8">
      <c r="G541" s="14"/>
      <c r="H541" s="489"/>
    </row>
    <row r="542" spans="7:8">
      <c r="G542" s="14"/>
      <c r="H542" s="489"/>
    </row>
    <row r="543" spans="7:8">
      <c r="G543" s="14"/>
      <c r="H543" s="489"/>
    </row>
    <row r="544" spans="7:8">
      <c r="G544" s="14"/>
      <c r="H544" s="489"/>
    </row>
    <row r="545" spans="7:8">
      <c r="G545" s="14"/>
      <c r="H545" s="489"/>
    </row>
    <row r="546" spans="7:8">
      <c r="G546" s="14"/>
      <c r="H546" s="489"/>
    </row>
    <row r="547" spans="7:8">
      <c r="G547" s="14"/>
      <c r="H547" s="489"/>
    </row>
    <row r="548" spans="7:8">
      <c r="G548" s="14"/>
      <c r="H548" s="489"/>
    </row>
    <row r="549" spans="7:8">
      <c r="G549" s="14"/>
      <c r="H549" s="489"/>
    </row>
    <row r="550" spans="7:8">
      <c r="G550" s="14"/>
      <c r="H550" s="489"/>
    </row>
    <row r="551" spans="7:8">
      <c r="G551" s="14"/>
      <c r="H551" s="489"/>
    </row>
    <row r="552" spans="7:8">
      <c r="G552" s="14"/>
      <c r="H552" s="489"/>
    </row>
    <row r="553" spans="7:8">
      <c r="G553" s="14"/>
      <c r="H553" s="489"/>
    </row>
    <row r="554" spans="7:8">
      <c r="G554" s="14"/>
      <c r="H554" s="489"/>
    </row>
    <row r="555" spans="7:8">
      <c r="G555" s="14"/>
      <c r="H555" s="489"/>
    </row>
    <row r="556" spans="7:8">
      <c r="G556" s="14"/>
      <c r="H556" s="489"/>
    </row>
    <row r="557" spans="7:8">
      <c r="G557" s="14"/>
      <c r="H557" s="489"/>
    </row>
    <row r="558" spans="7:8">
      <c r="G558" s="14"/>
      <c r="H558" s="489"/>
    </row>
    <row r="559" spans="7:8">
      <c r="G559" s="14"/>
      <c r="H559" s="489"/>
    </row>
    <row r="560" spans="7:8">
      <c r="G560" s="14"/>
      <c r="H560" s="489"/>
    </row>
    <row r="561" spans="7:8">
      <c r="G561" s="14"/>
      <c r="H561" s="489"/>
    </row>
    <row r="562" spans="7:8">
      <c r="G562" s="14"/>
      <c r="H562" s="489"/>
    </row>
    <row r="563" spans="7:8">
      <c r="G563" s="14"/>
      <c r="H563" s="489"/>
    </row>
    <row r="564" spans="7:8">
      <c r="G564" s="14"/>
      <c r="H564" s="489"/>
    </row>
    <row r="565" spans="7:8">
      <c r="G565" s="14"/>
      <c r="H565" s="489"/>
    </row>
    <row r="566" spans="7:8">
      <c r="G566" s="14"/>
      <c r="H566" s="489"/>
    </row>
    <row r="567" spans="7:8">
      <c r="G567" s="14"/>
      <c r="H567" s="489"/>
    </row>
    <row r="568" spans="7:8">
      <c r="G568" s="14"/>
      <c r="H568" s="489"/>
    </row>
    <row r="569" spans="7:8">
      <c r="G569" s="14"/>
      <c r="H569" s="489"/>
    </row>
    <row r="570" spans="7:8">
      <c r="G570" s="14"/>
      <c r="H570" s="489"/>
    </row>
    <row r="571" spans="7:8">
      <c r="G571" s="14"/>
      <c r="H571" s="489"/>
    </row>
    <row r="572" spans="7:8">
      <c r="G572" s="14"/>
      <c r="H572" s="489"/>
    </row>
    <row r="573" spans="7:8">
      <c r="G573" s="14"/>
      <c r="H573" s="489"/>
    </row>
    <row r="574" spans="7:8">
      <c r="G574" s="14"/>
      <c r="H574" s="489"/>
    </row>
    <row r="575" spans="7:8">
      <c r="G575" s="14"/>
      <c r="H575" s="489"/>
    </row>
    <row r="576" spans="7:8">
      <c r="G576" s="14"/>
      <c r="H576" s="489"/>
    </row>
    <row r="577" spans="7:8">
      <c r="G577" s="14"/>
      <c r="H577" s="489"/>
    </row>
    <row r="578" spans="7:8">
      <c r="G578" s="14"/>
      <c r="H578" s="489"/>
    </row>
    <row r="579" spans="7:8">
      <c r="G579" s="14"/>
      <c r="H579" s="489"/>
    </row>
    <row r="580" spans="7:8">
      <c r="G580" s="14"/>
      <c r="H580" s="489"/>
    </row>
    <row r="581" spans="7:8">
      <c r="G581" s="14"/>
      <c r="H581" s="489"/>
    </row>
    <row r="582" spans="7:8">
      <c r="G582" s="14"/>
      <c r="H582" s="489"/>
    </row>
    <row r="583" spans="7:8">
      <c r="G583" s="14"/>
      <c r="H583" s="489"/>
    </row>
    <row r="584" spans="7:8">
      <c r="G584" s="14"/>
      <c r="H584" s="489"/>
    </row>
    <row r="585" spans="7:8">
      <c r="G585" s="14"/>
      <c r="H585" s="489"/>
    </row>
    <row r="586" spans="7:8">
      <c r="G586" s="14"/>
      <c r="H586" s="489"/>
    </row>
    <row r="587" spans="7:8">
      <c r="G587" s="14"/>
      <c r="H587" s="489"/>
    </row>
    <row r="588" spans="7:8">
      <c r="G588" s="14"/>
      <c r="H588" s="489"/>
    </row>
    <row r="589" spans="7:8">
      <c r="G589" s="14"/>
      <c r="H589" s="489"/>
    </row>
    <row r="590" spans="7:8">
      <c r="G590" s="14"/>
      <c r="H590" s="489"/>
    </row>
    <row r="591" spans="7:8">
      <c r="G591" s="14"/>
    </row>
    <row r="592" spans="7:8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  <row r="679" spans="7:7">
      <c r="G679" s="14"/>
    </row>
    <row r="680" spans="7:7">
      <c r="G680" s="14"/>
    </row>
    <row r="681" spans="7:7">
      <c r="G681" s="14"/>
    </row>
    <row r="682" spans="7:7">
      <c r="G682" s="14"/>
    </row>
    <row r="683" spans="7:7">
      <c r="G683" s="14"/>
    </row>
    <row r="684" spans="7:7">
      <c r="G684" s="14"/>
    </row>
    <row r="685" spans="7:7">
      <c r="G685" s="14"/>
    </row>
    <row r="686" spans="7:7">
      <c r="G686" s="14"/>
    </row>
    <row r="687" spans="7:7">
      <c r="G687" s="14"/>
    </row>
    <row r="688" spans="7:7">
      <c r="G688" s="14"/>
    </row>
    <row r="689" spans="7:7">
      <c r="G689" s="14"/>
    </row>
    <row r="690" spans="7:7">
      <c r="G690" s="14"/>
    </row>
    <row r="691" spans="7:7">
      <c r="G691" s="14"/>
    </row>
    <row r="692" spans="7:7">
      <c r="G692" s="14"/>
    </row>
    <row r="693" spans="7:7">
      <c r="G693" s="14"/>
    </row>
    <row r="694" spans="7:7">
      <c r="G694" s="14"/>
    </row>
    <row r="695" spans="7:7">
      <c r="G695" s="14"/>
    </row>
    <row r="696" spans="7:7">
      <c r="G696" s="14"/>
    </row>
    <row r="697" spans="7:7">
      <c r="G697" s="14"/>
    </row>
    <row r="698" spans="7:7">
      <c r="G698" s="14"/>
    </row>
    <row r="699" spans="7:7">
      <c r="G699" s="14"/>
    </row>
    <row r="700" spans="7:7">
      <c r="G700" s="14"/>
    </row>
    <row r="701" spans="7:7">
      <c r="G701" s="14"/>
    </row>
    <row r="702" spans="7:7">
      <c r="G702" s="14"/>
    </row>
    <row r="703" spans="7:7">
      <c r="G703" s="14"/>
    </row>
    <row r="704" spans="7:7">
      <c r="G704" s="14"/>
    </row>
    <row r="705" spans="7:7">
      <c r="G705" s="14"/>
    </row>
    <row r="706" spans="7:7">
      <c r="G706" s="14"/>
    </row>
    <row r="707" spans="7:7">
      <c r="G707" s="14"/>
    </row>
    <row r="708" spans="7:7">
      <c r="G708" s="14"/>
    </row>
    <row r="709" spans="7:7">
      <c r="G709" s="14"/>
    </row>
    <row r="710" spans="7:7">
      <c r="G710" s="14"/>
    </row>
    <row r="711" spans="7:7">
      <c r="G711" s="14"/>
    </row>
    <row r="712" spans="7:7">
      <c r="G712" s="14"/>
    </row>
    <row r="713" spans="7:7">
      <c r="G713" s="14"/>
    </row>
    <row r="714" spans="7:7">
      <c r="G714" s="14"/>
    </row>
    <row r="715" spans="7:7">
      <c r="G715" s="14"/>
    </row>
    <row r="716" spans="7:7">
      <c r="G716" s="14"/>
    </row>
    <row r="717" spans="7:7">
      <c r="G717" s="14"/>
    </row>
    <row r="718" spans="7:7">
      <c r="G718" s="14"/>
    </row>
    <row r="719" spans="7:7">
      <c r="G719" s="14"/>
    </row>
    <row r="720" spans="7:7">
      <c r="G720" s="14"/>
    </row>
    <row r="721" spans="7:7">
      <c r="G721" s="14"/>
    </row>
    <row r="722" spans="7:7">
      <c r="G722" s="14"/>
    </row>
    <row r="723" spans="7:7">
      <c r="G723" s="14"/>
    </row>
    <row r="724" spans="7:7">
      <c r="G724" s="14"/>
    </row>
    <row r="725" spans="7:7">
      <c r="G725" s="14"/>
    </row>
    <row r="726" spans="7:7">
      <c r="G726" s="14"/>
    </row>
    <row r="727" spans="7:7">
      <c r="G727" s="14"/>
    </row>
    <row r="728" spans="7:7">
      <c r="G728" s="14"/>
    </row>
    <row r="729" spans="7:7">
      <c r="G729" s="14"/>
    </row>
    <row r="730" spans="7:7">
      <c r="G730" s="14"/>
    </row>
    <row r="731" spans="7:7">
      <c r="G731" s="14"/>
    </row>
    <row r="732" spans="7:7">
      <c r="G732" s="14"/>
    </row>
    <row r="733" spans="7:7">
      <c r="G733" s="14"/>
    </row>
    <row r="734" spans="7:7">
      <c r="G734" s="14"/>
    </row>
    <row r="735" spans="7:7">
      <c r="G735" s="14"/>
    </row>
    <row r="736" spans="7:7">
      <c r="G736" s="14"/>
    </row>
    <row r="737" spans="7:7">
      <c r="G737" s="14"/>
    </row>
    <row r="738" spans="7:7">
      <c r="G738" s="14"/>
    </row>
    <row r="739" spans="7:7">
      <c r="G739" s="14"/>
    </row>
    <row r="740" spans="7:7">
      <c r="G740" s="14"/>
    </row>
    <row r="741" spans="7:7">
      <c r="G741" s="14"/>
    </row>
    <row r="742" spans="7:7">
      <c r="G742" s="14"/>
    </row>
    <row r="743" spans="7:7">
      <c r="G743" s="14"/>
    </row>
    <row r="744" spans="7:7">
      <c r="G744" s="14"/>
    </row>
    <row r="745" spans="7:7">
      <c r="G745" s="14"/>
    </row>
    <row r="746" spans="7:7">
      <c r="G746" s="14"/>
    </row>
    <row r="747" spans="7:7">
      <c r="G747" s="14"/>
    </row>
    <row r="748" spans="7:7">
      <c r="G748" s="14"/>
    </row>
    <row r="749" spans="7:7">
      <c r="G749" s="14"/>
    </row>
    <row r="750" spans="7:7">
      <c r="G750" s="14"/>
    </row>
    <row r="751" spans="7:7">
      <c r="G751" s="14"/>
    </row>
    <row r="752" spans="7:7">
      <c r="G752" s="14"/>
    </row>
    <row r="753" spans="7:7">
      <c r="G753" s="14"/>
    </row>
    <row r="754" spans="7:7">
      <c r="G754" s="14"/>
    </row>
    <row r="755" spans="7:7">
      <c r="G755" s="14"/>
    </row>
    <row r="756" spans="7:7">
      <c r="G756" s="14"/>
    </row>
    <row r="757" spans="7:7">
      <c r="G757" s="14"/>
    </row>
    <row r="758" spans="7:7">
      <c r="G758" s="14"/>
    </row>
    <row r="759" spans="7:7">
      <c r="G759" s="14"/>
    </row>
    <row r="760" spans="7:7">
      <c r="G760" s="14"/>
    </row>
    <row r="761" spans="7:7">
      <c r="G761" s="14"/>
    </row>
    <row r="762" spans="7:7">
      <c r="G762" s="14"/>
    </row>
    <row r="763" spans="7:7">
      <c r="G763" s="14"/>
    </row>
    <row r="764" spans="7:7">
      <c r="G764" s="14"/>
    </row>
    <row r="765" spans="7:7">
      <c r="G765" s="14"/>
    </row>
    <row r="766" spans="7:7">
      <c r="G766" s="14"/>
    </row>
    <row r="767" spans="7:7">
      <c r="G767" s="14"/>
    </row>
    <row r="768" spans="7:7">
      <c r="G768" s="14"/>
    </row>
    <row r="769" spans="7:7">
      <c r="G769" s="14"/>
    </row>
    <row r="770" spans="7:7">
      <c r="G770" s="14"/>
    </row>
    <row r="771" spans="7:7">
      <c r="G771" s="14"/>
    </row>
    <row r="772" spans="7:7">
      <c r="G772" s="14"/>
    </row>
    <row r="773" spans="7:7">
      <c r="G773" s="14"/>
    </row>
    <row r="774" spans="7:7">
      <c r="G774" s="14"/>
    </row>
    <row r="775" spans="7:7">
      <c r="G775" s="14"/>
    </row>
    <row r="776" spans="7:7">
      <c r="G776" s="14"/>
    </row>
    <row r="777" spans="7:7">
      <c r="G777" s="14"/>
    </row>
    <row r="778" spans="7:7">
      <c r="G778" s="14"/>
    </row>
    <row r="779" spans="7:7">
      <c r="G779" s="14"/>
    </row>
    <row r="780" spans="7:7">
      <c r="G780" s="14"/>
    </row>
    <row r="781" spans="7:7">
      <c r="G781" s="14"/>
    </row>
    <row r="782" spans="7:7">
      <c r="G782" s="14"/>
    </row>
    <row r="783" spans="7:7">
      <c r="G783" s="14"/>
    </row>
    <row r="784" spans="7:7">
      <c r="G784" s="14"/>
    </row>
    <row r="785" spans="7:7">
      <c r="G785" s="14"/>
    </row>
    <row r="786" spans="7:7">
      <c r="G786" s="14"/>
    </row>
    <row r="787" spans="7:7">
      <c r="G787" s="14"/>
    </row>
    <row r="788" spans="7:7">
      <c r="G788" s="14"/>
    </row>
    <row r="789" spans="7:7">
      <c r="G789" s="14"/>
    </row>
    <row r="790" spans="7:7">
      <c r="G790" s="14"/>
    </row>
    <row r="791" spans="7:7">
      <c r="G791" s="14"/>
    </row>
    <row r="792" spans="7:7">
      <c r="G792" s="14"/>
    </row>
    <row r="793" spans="7:7">
      <c r="G793" s="14"/>
    </row>
    <row r="794" spans="7:7">
      <c r="G794" s="14"/>
    </row>
    <row r="795" spans="7:7">
      <c r="G795" s="14"/>
    </row>
    <row r="796" spans="7:7">
      <c r="G796" s="14"/>
    </row>
    <row r="797" spans="7:7">
      <c r="G797" s="14"/>
    </row>
    <row r="798" spans="7:7">
      <c r="G798" s="14"/>
    </row>
    <row r="799" spans="7:7">
      <c r="G799" s="14"/>
    </row>
    <row r="800" spans="7:7">
      <c r="G800" s="14"/>
    </row>
    <row r="801" spans="7:7">
      <c r="G801" s="14"/>
    </row>
    <row r="802" spans="7:7">
      <c r="G802" s="14"/>
    </row>
    <row r="803" spans="7:7">
      <c r="G803" s="14"/>
    </row>
    <row r="804" spans="7:7">
      <c r="G804" s="14"/>
    </row>
    <row r="805" spans="7:7">
      <c r="G805" s="14"/>
    </row>
    <row r="806" spans="7:7">
      <c r="G806" s="14"/>
    </row>
    <row r="807" spans="7:7">
      <c r="G807" s="14"/>
    </row>
    <row r="808" spans="7:7">
      <c r="G808" s="14"/>
    </row>
    <row r="809" spans="7:7">
      <c r="G809" s="14"/>
    </row>
    <row r="810" spans="7:7">
      <c r="G810" s="14"/>
    </row>
    <row r="811" spans="7:7">
      <c r="G811" s="14"/>
    </row>
    <row r="812" spans="7:7">
      <c r="G812" s="14"/>
    </row>
    <row r="813" spans="7:7">
      <c r="G813" s="14"/>
    </row>
    <row r="814" spans="7:7">
      <c r="G814" s="14"/>
    </row>
    <row r="815" spans="7:7">
      <c r="G815" s="14"/>
    </row>
    <row r="816" spans="7:7">
      <c r="G816" s="14"/>
    </row>
    <row r="817" spans="7:7">
      <c r="G817" s="14"/>
    </row>
    <row r="818" spans="7:7">
      <c r="G818" s="14"/>
    </row>
    <row r="819" spans="7:7">
      <c r="G819" s="14"/>
    </row>
    <row r="820" spans="7:7">
      <c r="G820" s="14"/>
    </row>
    <row r="821" spans="7:7">
      <c r="G821" s="14"/>
    </row>
    <row r="822" spans="7:7">
      <c r="G822" s="14"/>
    </row>
    <row r="823" spans="7:7">
      <c r="G823" s="14"/>
    </row>
    <row r="824" spans="7:7">
      <c r="G824" s="14"/>
    </row>
    <row r="825" spans="7:7">
      <c r="G825" s="14"/>
    </row>
    <row r="826" spans="7:7">
      <c r="G826" s="14"/>
    </row>
    <row r="827" spans="7:7">
      <c r="G827" s="14"/>
    </row>
    <row r="828" spans="7:7">
      <c r="G828" s="14"/>
    </row>
    <row r="829" spans="7:7">
      <c r="G829" s="14"/>
    </row>
    <row r="830" spans="7:7">
      <c r="G830" s="14"/>
    </row>
    <row r="831" spans="7:7">
      <c r="G831" s="14"/>
    </row>
    <row r="832" spans="7:7">
      <c r="G832" s="14"/>
    </row>
    <row r="833" spans="7:7">
      <c r="G833" s="14"/>
    </row>
    <row r="834" spans="7:7">
      <c r="G834" s="14"/>
    </row>
    <row r="835" spans="7:7">
      <c r="G835" s="14"/>
    </row>
    <row r="836" spans="7:7">
      <c r="G836" s="14"/>
    </row>
    <row r="837" spans="7:7">
      <c r="G837" s="14"/>
    </row>
    <row r="838" spans="7:7">
      <c r="G838" s="14"/>
    </row>
  </sheetData>
  <phoneticPr fontId="3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0000"/>
  </sheetPr>
  <dimension ref="A1:S705"/>
  <sheetViews>
    <sheetView topLeftCell="A61" zoomScale="115" zoomScaleNormal="115" workbookViewId="0">
      <selection activeCell="G50" sqref="G50"/>
    </sheetView>
  </sheetViews>
  <sheetFormatPr defaultRowHeight="16.5"/>
  <cols>
    <col min="1" max="1" width="14.625" bestFit="1" customWidth="1"/>
    <col min="2" max="2" width="17.125" style="14" bestFit="1" customWidth="1"/>
    <col min="3" max="3" width="9.25" style="14" bestFit="1" customWidth="1"/>
    <col min="4" max="4" width="16.125" style="534" bestFit="1" customWidth="1"/>
    <col min="5" max="5" width="10.125" style="2" bestFit="1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319</v>
      </c>
      <c r="F1" s="2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307</v>
      </c>
      <c r="S2" s="131" t="s">
        <v>21</v>
      </c>
    </row>
    <row r="3" spans="1:19" s="102" customFormat="1">
      <c r="A3" s="690" t="s">
        <v>354</v>
      </c>
      <c r="B3" s="691">
        <v>43938</v>
      </c>
      <c r="C3" s="691"/>
      <c r="D3" s="692"/>
      <c r="E3" s="693">
        <v>0</v>
      </c>
      <c r="F3" s="693"/>
      <c r="G3" s="694">
        <f>-LOOKUP(A3,'market px'!K$2:K$497,'market px'!M$2:M$497)*E3/1000000</f>
        <v>0</v>
      </c>
      <c r="H3" s="695" t="s">
        <v>356</v>
      </c>
      <c r="I3" s="696">
        <v>104.2499</v>
      </c>
      <c r="J3" s="697">
        <f>LOOKUP(A3,'market px'!K$2:K$497,'market px'!P$2:$P$497)</f>
        <v>0</v>
      </c>
      <c r="K3" s="698">
        <f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690"/>
      <c r="B4" s="691"/>
      <c r="C4" s="691"/>
      <c r="D4" s="692"/>
      <c r="E4" s="693"/>
      <c r="F4" s="693"/>
      <c r="G4" s="694"/>
      <c r="H4" s="695"/>
      <c r="I4" s="696"/>
      <c r="J4" s="697"/>
      <c r="K4" s="698"/>
      <c r="L4" s="693"/>
      <c r="M4" s="93"/>
      <c r="N4" s="93"/>
      <c r="O4" s="93"/>
      <c r="P4" s="93"/>
      <c r="Q4" s="93"/>
      <c r="S4" s="103"/>
    </row>
    <row r="5" spans="1:19" s="102" customFormat="1">
      <c r="A5" s="690"/>
      <c r="B5" s="691"/>
      <c r="C5" s="691"/>
      <c r="D5" s="692"/>
      <c r="E5" s="693"/>
      <c r="F5" s="693"/>
      <c r="G5" s="694"/>
      <c r="H5" s="695"/>
      <c r="I5" s="696"/>
      <c r="J5" s="697"/>
      <c r="K5" s="698"/>
      <c r="L5" s="693"/>
      <c r="M5" s="93"/>
      <c r="N5" s="93"/>
      <c r="O5" s="93"/>
      <c r="P5" s="93"/>
      <c r="Q5" s="93"/>
      <c r="S5" s="103"/>
    </row>
    <row r="6" spans="1:19" s="116" customFormat="1">
      <c r="A6" s="690"/>
      <c r="B6" s="691"/>
      <c r="C6" s="691"/>
      <c r="D6" s="699"/>
      <c r="E6" s="693"/>
      <c r="F6" s="693"/>
      <c r="G6" s="694"/>
      <c r="H6" s="695"/>
      <c r="I6" s="696"/>
      <c r="J6" s="697"/>
      <c r="K6" s="698"/>
      <c r="L6" s="693"/>
      <c r="S6" s="320"/>
    </row>
    <row r="7" spans="1:19" s="116" customFormat="1">
      <c r="A7" s="690"/>
      <c r="B7" s="691"/>
      <c r="C7" s="691"/>
      <c r="D7" s="699"/>
      <c r="E7" s="693"/>
      <c r="F7" s="693"/>
      <c r="G7" s="694"/>
      <c r="H7" s="695"/>
      <c r="I7" s="696"/>
      <c r="J7" s="697"/>
      <c r="K7" s="698"/>
      <c r="L7" s="693"/>
      <c r="S7" s="117"/>
    </row>
    <row r="8" spans="1:19" s="116" customFormat="1">
      <c r="A8" s="690"/>
      <c r="B8" s="691"/>
      <c r="C8" s="691"/>
      <c r="D8" s="699"/>
      <c r="E8" s="693"/>
      <c r="F8" s="693"/>
      <c r="G8" s="694"/>
      <c r="H8" s="695"/>
      <c r="I8" s="696"/>
      <c r="J8" s="697"/>
      <c r="K8" s="698"/>
      <c r="L8" s="693"/>
      <c r="S8" s="117"/>
    </row>
    <row r="9" spans="1:19" s="93" customFormat="1">
      <c r="A9" s="690"/>
      <c r="B9" s="700"/>
      <c r="C9" s="691"/>
      <c r="D9" s="701"/>
      <c r="E9" s="702"/>
      <c r="F9" s="693"/>
      <c r="G9" s="694"/>
      <c r="H9" s="703"/>
      <c r="I9" s="704"/>
      <c r="J9" s="697"/>
      <c r="K9" s="698"/>
      <c r="L9" s="693"/>
    </row>
    <row r="10" spans="1:19" s="93" customFormat="1">
      <c r="A10" s="690"/>
      <c r="B10" s="700"/>
      <c r="C10" s="691"/>
      <c r="D10" s="701"/>
      <c r="E10" s="702"/>
      <c r="F10" s="693"/>
      <c r="G10" s="694"/>
      <c r="H10" s="703"/>
      <c r="I10" s="704"/>
      <c r="J10" s="697"/>
      <c r="K10" s="698"/>
      <c r="L10" s="693"/>
      <c r="S10" s="131" t="s">
        <v>21</v>
      </c>
    </row>
    <row r="11" spans="1:19" s="102" customFormat="1">
      <c r="A11" s="690"/>
      <c r="B11" s="700"/>
      <c r="C11" s="700"/>
      <c r="D11" s="701"/>
      <c r="E11" s="705"/>
      <c r="F11" s="693"/>
      <c r="G11" s="694"/>
      <c r="H11" s="706"/>
      <c r="I11" s="704"/>
      <c r="J11" s="697"/>
      <c r="K11" s="698"/>
      <c r="L11" s="693"/>
      <c r="M11" s="93"/>
      <c r="N11" s="93"/>
      <c r="O11" s="93"/>
      <c r="P11" s="93"/>
      <c r="Q11" s="93"/>
      <c r="S11" s="103"/>
    </row>
    <row r="12" spans="1:19" s="102" customFormat="1">
      <c r="A12" s="111" t="s">
        <v>166</v>
      </c>
      <c r="B12" s="313"/>
      <c r="C12" s="313"/>
      <c r="D12" s="539"/>
      <c r="E12" s="314">
        <f>SUM(E3:E11)</f>
        <v>0</v>
      </c>
      <c r="F12" s="314"/>
      <c r="G12" s="316">
        <f>SUM(G3:G11)</f>
        <v>0</v>
      </c>
      <c r="H12" s="479"/>
      <c r="I12" s="323"/>
      <c r="J12" s="318"/>
      <c r="K12" s="316">
        <f>SUM(K3:K11)</f>
        <v>0</v>
      </c>
      <c r="L12" s="316"/>
      <c r="M12" s="93"/>
      <c r="N12" s="93"/>
      <c r="O12" s="93"/>
      <c r="P12" s="93"/>
      <c r="Q12" s="93"/>
      <c r="S12" s="103"/>
    </row>
    <row r="13" spans="1:19">
      <c r="A13" t="s">
        <v>162</v>
      </c>
    </row>
    <row r="14" spans="1:19" s="93" customFormat="1">
      <c r="A14" s="206" t="s">
        <v>234</v>
      </c>
      <c r="B14" s="207" t="s">
        <v>176</v>
      </c>
      <c r="C14" s="207" t="s">
        <v>171</v>
      </c>
      <c r="D14" s="535" t="s">
        <v>170</v>
      </c>
      <c r="E14" s="208" t="s">
        <v>11</v>
      </c>
      <c r="F14" s="207" t="s">
        <v>2</v>
      </c>
      <c r="G14" s="209" t="s">
        <v>12</v>
      </c>
      <c r="H14" s="482" t="s">
        <v>18</v>
      </c>
      <c r="I14" s="209" t="s">
        <v>210</v>
      </c>
      <c r="J14" s="207" t="s">
        <v>211</v>
      </c>
      <c r="K14" s="260" t="s">
        <v>212</v>
      </c>
      <c r="L14" s="377"/>
      <c r="S14" s="131" t="s">
        <v>21</v>
      </c>
    </row>
    <row r="15" spans="1:19" s="102" customFormat="1">
      <c r="A15" s="87" t="s">
        <v>388</v>
      </c>
      <c r="B15" s="122">
        <v>44148</v>
      </c>
      <c r="C15" s="122"/>
      <c r="D15" s="536"/>
      <c r="E15" s="88">
        <v>0</v>
      </c>
      <c r="F15" s="122">
        <v>44941</v>
      </c>
      <c r="G15" s="550">
        <f>-LOOKUP(A15,'market px'!K$2:K$497,'market px'!M$2:M$497)*E15/1000000</f>
        <v>0</v>
      </c>
      <c r="H15" s="475" t="s">
        <v>23</v>
      </c>
      <c r="I15" s="396">
        <v>100.047275</v>
      </c>
      <c r="J15" s="396">
        <f>VLOOKUP('Pete-UR'!A15,'market px'!K$2:P$43,6)</f>
        <v>102.9756</v>
      </c>
      <c r="K15" s="104">
        <f t="shared" ref="K15:K20" si="0">(J15-I15)*E15/100</f>
        <v>0</v>
      </c>
      <c r="L15" s="382"/>
      <c r="M15" s="93"/>
      <c r="N15" s="93"/>
      <c r="O15" s="93"/>
      <c r="P15" s="93"/>
      <c r="Q15" s="93"/>
      <c r="S15" s="103"/>
    </row>
    <row r="16" spans="1:19" s="102" customFormat="1">
      <c r="A16" s="87" t="s">
        <v>388</v>
      </c>
      <c r="B16" s="122">
        <v>44169</v>
      </c>
      <c r="C16" s="122"/>
      <c r="D16" s="536"/>
      <c r="E16" s="88">
        <v>0</v>
      </c>
      <c r="F16" s="122">
        <v>44941</v>
      </c>
      <c r="G16" s="550">
        <f>-LOOKUP(A16,'market px'!K$2:K$497,'market px'!M$2:M$497)*E16/1000000</f>
        <v>0</v>
      </c>
      <c r="H16" s="475" t="s">
        <v>23</v>
      </c>
      <c r="I16" s="129">
        <v>99.719149999999999</v>
      </c>
      <c r="J16" s="396">
        <f>VLOOKUP('Pete-UR'!A16,'market px'!K$2:P$43,6)</f>
        <v>102.9756</v>
      </c>
      <c r="K16" s="104">
        <f t="shared" si="0"/>
        <v>0</v>
      </c>
      <c r="L16" s="382"/>
      <c r="M16" s="93"/>
      <c r="N16" s="93"/>
      <c r="O16" s="93"/>
      <c r="P16" s="93"/>
      <c r="Q16" s="93"/>
      <c r="S16" s="103"/>
    </row>
    <row r="17" spans="1:19" s="102" customFormat="1">
      <c r="A17" s="262" t="s">
        <v>301</v>
      </c>
      <c r="B17" s="265">
        <v>38839</v>
      </c>
      <c r="C17" s="265"/>
      <c r="D17" s="537"/>
      <c r="E17" s="266">
        <f>1000000*0</f>
        <v>0</v>
      </c>
      <c r="F17" s="265">
        <v>39568</v>
      </c>
      <c r="G17" s="551">
        <f>-LOOKUP(A17,'market px'!K$2:K$497,'market px'!M$2:M$497)*E17/1000000</f>
        <v>0</v>
      </c>
      <c r="H17" s="476"/>
      <c r="I17" s="268">
        <v>99.875</v>
      </c>
      <c r="J17" s="396">
        <f>VLOOKUP('Pete-UR'!A17,'market px'!K4:P45,6)</f>
        <v>97.667400000000001</v>
      </c>
      <c r="K17" s="269">
        <f t="shared" si="0"/>
        <v>0</v>
      </c>
      <c r="L17" s="382"/>
      <c r="M17" s="93"/>
      <c r="N17" s="93"/>
      <c r="O17" s="93"/>
      <c r="P17" s="93"/>
      <c r="Q17" s="93"/>
      <c r="S17" s="103"/>
    </row>
    <row r="18" spans="1:19" s="102" customFormat="1">
      <c r="A18" s="262" t="s">
        <v>301</v>
      </c>
      <c r="B18" s="265">
        <v>38839</v>
      </c>
      <c r="C18" s="265"/>
      <c r="D18" s="537"/>
      <c r="E18" s="266">
        <f>1000000*0</f>
        <v>0</v>
      </c>
      <c r="F18" s="265">
        <v>39568</v>
      </c>
      <c r="G18" s="551">
        <f>-LOOKUP(A18,'market px'!K$2:K$497,'market px'!M$2:M$497)*E18/1000000</f>
        <v>0</v>
      </c>
      <c r="H18" s="476" t="s">
        <v>21</v>
      </c>
      <c r="I18" s="268">
        <v>99.875</v>
      </c>
      <c r="J18" s="396">
        <f>VLOOKUP('Pete-UR'!A18,'market px'!K5:P46,6)</f>
        <v>98.219200000000001</v>
      </c>
      <c r="K18" s="269">
        <f t="shared" si="0"/>
        <v>0</v>
      </c>
      <c r="L18" s="382"/>
      <c r="M18" s="93"/>
      <c r="N18" s="93"/>
      <c r="O18" s="93"/>
      <c r="P18" s="93"/>
      <c r="Q18" s="93"/>
      <c r="S18" s="103"/>
    </row>
    <row r="19" spans="1:19" s="116" customFormat="1">
      <c r="A19" s="110" t="s">
        <v>301</v>
      </c>
      <c r="B19" s="113">
        <v>38839</v>
      </c>
      <c r="C19" s="113"/>
      <c r="D19" s="538"/>
      <c r="E19" s="114">
        <f>1000000*0</f>
        <v>0</v>
      </c>
      <c r="F19" s="113">
        <v>39568</v>
      </c>
      <c r="G19" s="552">
        <f>-LOOKUP(A19,'market px'!K$2:K$497,'market px'!M$2:M$497)*E19/1000000</f>
        <v>0</v>
      </c>
      <c r="H19" s="477" t="s">
        <v>23</v>
      </c>
      <c r="I19" s="319">
        <v>99.875</v>
      </c>
      <c r="J19" s="396">
        <f>VLOOKUP('Pete-UR'!A19,'market px'!K6:P47,6)</f>
        <v>98.219200000000001</v>
      </c>
      <c r="K19" s="261">
        <f t="shared" si="0"/>
        <v>0</v>
      </c>
      <c r="L19" s="382"/>
      <c r="S19" s="320"/>
    </row>
    <row r="20" spans="1:19" s="116" customFormat="1">
      <c r="A20" s="110" t="s">
        <v>301</v>
      </c>
      <c r="B20" s="113">
        <v>38839</v>
      </c>
      <c r="C20" s="113"/>
      <c r="D20" s="538"/>
      <c r="E20" s="114">
        <f>1000000*0</f>
        <v>0</v>
      </c>
      <c r="F20" s="113">
        <v>42019</v>
      </c>
      <c r="G20" s="552">
        <f>-LOOKUP(A20,'market px'!K$2:K$497,'market px'!M$2:M$497)*E20/1000000</f>
        <v>0</v>
      </c>
      <c r="H20" s="478" t="s">
        <v>23</v>
      </c>
      <c r="I20" s="319">
        <v>99.875</v>
      </c>
      <c r="J20" s="396">
        <f>VLOOKUP('Pete-UR'!A20,'market px'!K7:P48,6)</f>
        <v>98.219200000000001</v>
      </c>
      <c r="K20" s="261">
        <f t="shared" si="0"/>
        <v>0</v>
      </c>
      <c r="L20" s="382"/>
      <c r="S20" s="117"/>
    </row>
    <row r="21" spans="1:19" s="116" customFormat="1">
      <c r="A21" s="111" t="s">
        <v>166</v>
      </c>
      <c r="B21" s="313"/>
      <c r="C21" s="313"/>
      <c r="D21" s="539"/>
      <c r="E21" s="314">
        <f>SUM(E15:E20)</f>
        <v>0</v>
      </c>
      <c r="F21" s="313"/>
      <c r="G21" s="316">
        <f>SUM(G15:G20)</f>
        <v>0</v>
      </c>
      <c r="H21" s="479"/>
      <c r="I21" s="323"/>
      <c r="J21" s="318"/>
      <c r="K21" s="316">
        <f>SUM(K15:K20)</f>
        <v>0</v>
      </c>
      <c r="L21" s="383"/>
      <c r="S21" s="117"/>
    </row>
    <row r="22" spans="1:19" s="93" customFormat="1">
      <c r="A22" s="93" t="s">
        <v>163</v>
      </c>
      <c r="B22" s="97"/>
      <c r="C22" s="97"/>
      <c r="D22" s="540"/>
      <c r="E22" s="100"/>
      <c r="F22" s="97"/>
      <c r="H22" s="480"/>
      <c r="I22" s="99"/>
      <c r="J22" s="99"/>
      <c r="L22" s="377"/>
    </row>
    <row r="23" spans="1:19" s="93" customFormat="1">
      <c r="A23" s="206" t="s">
        <v>234</v>
      </c>
      <c r="B23" s="207" t="s">
        <v>7</v>
      </c>
      <c r="C23" s="207" t="s">
        <v>171</v>
      </c>
      <c r="D23" s="535" t="s">
        <v>170</v>
      </c>
      <c r="E23" s="208" t="s">
        <v>11</v>
      </c>
      <c r="F23" s="207" t="s">
        <v>2</v>
      </c>
      <c r="G23" s="209" t="s">
        <v>12</v>
      </c>
      <c r="H23" s="482" t="s">
        <v>18</v>
      </c>
      <c r="I23" s="209" t="s">
        <v>213</v>
      </c>
      <c r="J23" s="207" t="s">
        <v>214</v>
      </c>
      <c r="K23" s="260" t="s">
        <v>215</v>
      </c>
      <c r="L23" s="377"/>
      <c r="S23" s="131" t="s">
        <v>21</v>
      </c>
    </row>
    <row r="24" spans="1:19" s="102" customFormat="1">
      <c r="A24" s="87" t="s">
        <v>301</v>
      </c>
      <c r="B24" s="122">
        <v>38898</v>
      </c>
      <c r="C24" s="122"/>
      <c r="D24" s="536"/>
      <c r="E24" s="88">
        <f t="shared" ref="E24:E29" si="1">1000000*0</f>
        <v>0</v>
      </c>
      <c r="F24" s="122">
        <v>42505</v>
      </c>
      <c r="G24" s="550">
        <f>-LOOKUP(A24,'market px'!K$2:K$497,'market px'!M$2:M$497)*E24/1000000</f>
        <v>0</v>
      </c>
      <c r="H24" s="475" t="s">
        <v>23</v>
      </c>
      <c r="I24" s="129">
        <v>99.46875</v>
      </c>
      <c r="J24" s="396">
        <f>LOOKUP(A24,'market px'!K$2:K$497,'market px'!P$2:$P$497)</f>
        <v>98.219200000000001</v>
      </c>
      <c r="K24" s="104">
        <f t="shared" ref="K24:K29" si="2">(J24-I24)*E24/100</f>
        <v>0</v>
      </c>
      <c r="L24" s="378"/>
      <c r="M24" s="93"/>
      <c r="N24" s="93"/>
      <c r="O24" s="93"/>
      <c r="P24" s="93"/>
      <c r="Q24" s="93"/>
      <c r="S24" s="103"/>
    </row>
    <row r="25" spans="1:19" s="102" customFormat="1">
      <c r="A25" s="87" t="s">
        <v>301</v>
      </c>
      <c r="B25" s="122">
        <v>38853</v>
      </c>
      <c r="C25" s="122"/>
      <c r="D25" s="536"/>
      <c r="E25" s="88">
        <f t="shared" si="1"/>
        <v>0</v>
      </c>
      <c r="F25" s="122">
        <v>42505</v>
      </c>
      <c r="G25" s="550">
        <f>-LOOKUP(A25,'market px'!K$2:K$497,'market px'!M$2:M$497)*E25/1000000</f>
        <v>0</v>
      </c>
      <c r="H25" s="475" t="s">
        <v>23</v>
      </c>
      <c r="I25" s="129">
        <v>95.90234375</v>
      </c>
      <c r="J25" s="129">
        <f>LOOKUP(A25,'market px'!K$2:K$497,'market px'!P$2:$P$497)</f>
        <v>98.219200000000001</v>
      </c>
      <c r="K25" s="104">
        <f t="shared" si="2"/>
        <v>0</v>
      </c>
      <c r="L25" s="378"/>
      <c r="M25" s="93"/>
      <c r="N25" s="93"/>
      <c r="O25" s="93"/>
      <c r="P25" s="93"/>
      <c r="Q25" s="93"/>
      <c r="S25" s="103"/>
    </row>
    <row r="26" spans="1:19" s="102" customFormat="1">
      <c r="A26" s="262" t="s">
        <v>301</v>
      </c>
      <c r="B26" s="265">
        <v>38839</v>
      </c>
      <c r="C26" s="265"/>
      <c r="D26" s="537"/>
      <c r="E26" s="266">
        <f t="shared" si="1"/>
        <v>0</v>
      </c>
      <c r="F26" s="265">
        <v>39568</v>
      </c>
      <c r="G26" s="551">
        <f>-LOOKUP(A26,'market px'!K$2:K$497,'market px'!M$2:M$497)*E26/1000000</f>
        <v>0</v>
      </c>
      <c r="H26" s="476"/>
      <c r="I26" s="268">
        <v>99.875</v>
      </c>
      <c r="J26" s="268">
        <f>LOOKUP(A26,'market px'!K$2:K$497,'market px'!P$2:$P$497)</f>
        <v>98.219200000000001</v>
      </c>
      <c r="K26" s="269">
        <f t="shared" si="2"/>
        <v>0</v>
      </c>
      <c r="L26" s="378"/>
      <c r="M26" s="93"/>
      <c r="N26" s="93"/>
      <c r="O26" s="93"/>
      <c r="P26" s="93"/>
      <c r="Q26" s="93"/>
      <c r="S26" s="103"/>
    </row>
    <row r="27" spans="1:19" s="102" customFormat="1">
      <c r="A27" s="262" t="s">
        <v>301</v>
      </c>
      <c r="B27" s="265">
        <v>38839</v>
      </c>
      <c r="C27" s="265"/>
      <c r="D27" s="537"/>
      <c r="E27" s="266">
        <f t="shared" si="1"/>
        <v>0</v>
      </c>
      <c r="F27" s="265">
        <v>39568</v>
      </c>
      <c r="G27" s="551">
        <f>-LOOKUP(A27,'market px'!K$2:K$497,'market px'!M$2:M$497)*E27/1000000</f>
        <v>0</v>
      </c>
      <c r="H27" s="476" t="s">
        <v>21</v>
      </c>
      <c r="I27" s="268">
        <v>99.875</v>
      </c>
      <c r="J27" s="268">
        <f>LOOKUP(A27,'market px'!K$2:K$497,'market px'!P$2:$P$497)</f>
        <v>98.219200000000001</v>
      </c>
      <c r="K27" s="269">
        <f t="shared" si="2"/>
        <v>0</v>
      </c>
      <c r="L27" s="378"/>
      <c r="M27" s="93"/>
      <c r="N27" s="93"/>
      <c r="O27" s="93"/>
      <c r="P27" s="93"/>
      <c r="Q27" s="93"/>
      <c r="S27" s="103"/>
    </row>
    <row r="28" spans="1:19" s="116" customFormat="1">
      <c r="A28" s="110" t="s">
        <v>301</v>
      </c>
      <c r="B28" s="113">
        <v>38839</v>
      </c>
      <c r="C28" s="113"/>
      <c r="D28" s="538"/>
      <c r="E28" s="114">
        <f t="shared" si="1"/>
        <v>0</v>
      </c>
      <c r="F28" s="113">
        <v>39568</v>
      </c>
      <c r="G28" s="552">
        <f>-LOOKUP(A28,'market px'!K$2:K$497,'market px'!M$2:M$497)*E28/1000000</f>
        <v>0</v>
      </c>
      <c r="H28" s="477" t="s">
        <v>23</v>
      </c>
      <c r="I28" s="319">
        <v>99.875</v>
      </c>
      <c r="J28" s="319">
        <f>LOOKUP(A28,'market px'!K$2:K$497,'market px'!P$2:$P$497)</f>
        <v>98.219200000000001</v>
      </c>
      <c r="K28" s="261">
        <f t="shared" si="2"/>
        <v>0</v>
      </c>
      <c r="L28" s="379"/>
      <c r="S28" s="320"/>
    </row>
    <row r="29" spans="1:19" s="116" customFormat="1">
      <c r="A29" s="110" t="s">
        <v>301</v>
      </c>
      <c r="B29" s="113">
        <v>38839</v>
      </c>
      <c r="C29" s="113"/>
      <c r="D29" s="538"/>
      <c r="E29" s="114">
        <f t="shared" si="1"/>
        <v>0</v>
      </c>
      <c r="F29" s="113">
        <v>42019</v>
      </c>
      <c r="G29" s="552">
        <f>-LOOKUP(A29,'market px'!K$2:K$497,'market px'!M$2:M$497)*E29/1000000</f>
        <v>0</v>
      </c>
      <c r="H29" s="478" t="s">
        <v>23</v>
      </c>
      <c r="I29" s="319">
        <v>99.875</v>
      </c>
      <c r="J29" s="319">
        <f>LOOKUP(A29,'market px'!K$2:K$497,'market px'!P$2:$P$497)</f>
        <v>98.219200000000001</v>
      </c>
      <c r="K29" s="261">
        <f t="shared" si="2"/>
        <v>0</v>
      </c>
      <c r="L29" s="380"/>
      <c r="S29" s="117"/>
    </row>
    <row r="30" spans="1:19" s="532" customFormat="1" ht="17.25" thickBot="1">
      <c r="A30" s="361" t="s">
        <v>166</v>
      </c>
      <c r="B30" s="363"/>
      <c r="C30" s="363"/>
      <c r="D30" s="541"/>
      <c r="E30" s="364">
        <f>SUM(E24:E29)</f>
        <v>0</v>
      </c>
      <c r="F30" s="363"/>
      <c r="G30" s="365">
        <f>SUM(G24:G29)</f>
        <v>0</v>
      </c>
      <c r="H30" s="481"/>
      <c r="I30" s="367"/>
      <c r="J30" s="366"/>
      <c r="K30" s="365">
        <f>SUM(K24:K29)</f>
        <v>0</v>
      </c>
      <c r="L30" s="531"/>
      <c r="S30" s="533"/>
    </row>
    <row r="31" spans="1:19" s="116" customFormat="1" ht="17.25" thickTop="1">
      <c r="A31" s="324" t="s">
        <v>164</v>
      </c>
      <c r="B31" s="313"/>
      <c r="C31" s="313"/>
      <c r="D31" s="539"/>
      <c r="E31" s="314"/>
      <c r="F31" s="313"/>
      <c r="G31" s="316"/>
      <c r="H31" s="479"/>
      <c r="I31" s="323"/>
      <c r="J31" s="318"/>
      <c r="K31" s="316"/>
      <c r="L31" s="380"/>
      <c r="S31" s="117"/>
    </row>
    <row r="32" spans="1:19" s="93" customFormat="1">
      <c r="A32" s="782" t="s">
        <v>99</v>
      </c>
      <c r="B32" s="783" t="s">
        <v>7</v>
      </c>
      <c r="C32" s="783" t="s">
        <v>171</v>
      </c>
      <c r="D32" s="784" t="s">
        <v>170</v>
      </c>
      <c r="E32" s="785" t="s">
        <v>11</v>
      </c>
      <c r="F32" s="783" t="s">
        <v>2</v>
      </c>
      <c r="G32" s="786" t="s">
        <v>12</v>
      </c>
      <c r="H32" s="787" t="s">
        <v>18</v>
      </c>
      <c r="I32" s="786" t="s">
        <v>213</v>
      </c>
      <c r="J32" s="783" t="s">
        <v>214</v>
      </c>
      <c r="K32" s="788" t="s">
        <v>215</v>
      </c>
      <c r="L32" s="377"/>
      <c r="M32"/>
      <c r="N32"/>
      <c r="O32"/>
      <c r="P32"/>
      <c r="Q32"/>
      <c r="S32" s="131" t="s">
        <v>21</v>
      </c>
    </row>
    <row r="33" spans="1:12" s="270" customFormat="1">
      <c r="A33" s="325" t="s">
        <v>1088</v>
      </c>
      <c r="B33" s="333" t="s">
        <v>1552</v>
      </c>
      <c r="C33" s="333" t="s">
        <v>339</v>
      </c>
      <c r="D33" s="819" t="s">
        <v>339</v>
      </c>
      <c r="E33" s="926">
        <v>-30</v>
      </c>
      <c r="F33" s="333" t="s">
        <v>304</v>
      </c>
      <c r="G33" s="332">
        <f t="shared" ref="G33:G39" si="3">-77*E33</f>
        <v>2310</v>
      </c>
      <c r="H33" s="334" t="s">
        <v>1558</v>
      </c>
      <c r="I33" s="820">
        <v>103.25</v>
      </c>
      <c r="J33" s="335">
        <f>_xlfn.IFNA(VLOOKUP(A33,'market px'!$B$2:$F$20,5,FALSE),0)</f>
        <v>103.8671875</v>
      </c>
      <c r="K33" s="845">
        <f t="shared" ref="K33:K84" si="4">IF(LEFT(A33,2)="TU",(J33-I33)*E33/100*100000*2,(J33-I33)*E33/100*100000)</f>
        <v>-37031.25</v>
      </c>
      <c r="L33" s="381"/>
    </row>
    <row r="34" spans="1:12" s="270" customFormat="1">
      <c r="A34" s="325" t="s">
        <v>1088</v>
      </c>
      <c r="B34" s="333" t="s">
        <v>1552</v>
      </c>
      <c r="C34" s="333" t="s">
        <v>339</v>
      </c>
      <c r="D34" s="819" t="s">
        <v>339</v>
      </c>
      <c r="E34" s="926">
        <v>-30</v>
      </c>
      <c r="F34" s="333" t="s">
        <v>304</v>
      </c>
      <c r="G34" s="332">
        <f t="shared" si="3"/>
        <v>2310</v>
      </c>
      <c r="H34" s="334" t="s">
        <v>1559</v>
      </c>
      <c r="I34" s="820">
        <v>103.3125</v>
      </c>
      <c r="J34" s="335">
        <f>_xlfn.IFNA(VLOOKUP(A34,'market px'!$B$2:$F$20,5,FALSE),0)</f>
        <v>103.8671875</v>
      </c>
      <c r="K34" s="845">
        <f t="shared" si="4"/>
        <v>-33281.25</v>
      </c>
      <c r="L34" s="381"/>
    </row>
    <row r="35" spans="1:12" s="270" customFormat="1">
      <c r="A35" s="325" t="s">
        <v>1088</v>
      </c>
      <c r="B35" s="333" t="s">
        <v>1540</v>
      </c>
      <c r="C35" s="333" t="s">
        <v>339</v>
      </c>
      <c r="D35" s="819" t="s">
        <v>339</v>
      </c>
      <c r="E35" s="926">
        <v>-10</v>
      </c>
      <c r="F35" s="333" t="s">
        <v>304</v>
      </c>
      <c r="G35" s="332">
        <f t="shared" si="3"/>
        <v>770</v>
      </c>
      <c r="H35" s="334" t="s">
        <v>1560</v>
      </c>
      <c r="I35" s="820">
        <v>103.546875</v>
      </c>
      <c r="J35" s="335">
        <f>_xlfn.IFNA(VLOOKUP(A35,'market px'!$B$2:$F$20,5,FALSE),0)</f>
        <v>103.8671875</v>
      </c>
      <c r="K35" s="845">
        <f t="shared" si="4"/>
        <v>-6406.2499999999991</v>
      </c>
      <c r="L35" s="381"/>
    </row>
    <row r="36" spans="1:12" s="270" customFormat="1">
      <c r="A36" s="325" t="s">
        <v>1088</v>
      </c>
      <c r="B36" s="333" t="s">
        <v>1540</v>
      </c>
      <c r="C36" s="333" t="s">
        <v>339</v>
      </c>
      <c r="D36" s="819" t="s">
        <v>339</v>
      </c>
      <c r="E36" s="926">
        <v>-10</v>
      </c>
      <c r="F36" s="333" t="s">
        <v>304</v>
      </c>
      <c r="G36" s="332">
        <f t="shared" si="3"/>
        <v>770</v>
      </c>
      <c r="H36" s="334" t="s">
        <v>1561</v>
      </c>
      <c r="I36" s="820">
        <v>103.546875</v>
      </c>
      <c r="J36" s="335">
        <f>_xlfn.IFNA(VLOOKUP(A36,'market px'!$B$2:$F$20,5,FALSE),0)</f>
        <v>103.8671875</v>
      </c>
      <c r="K36" s="845">
        <f t="shared" si="4"/>
        <v>-6406.2499999999991</v>
      </c>
      <c r="L36" s="381"/>
    </row>
    <row r="37" spans="1:12" s="270" customFormat="1">
      <c r="A37" s="325" t="s">
        <v>1088</v>
      </c>
      <c r="B37" s="333" t="s">
        <v>1540</v>
      </c>
      <c r="C37" s="333" t="s">
        <v>339</v>
      </c>
      <c r="D37" s="819" t="s">
        <v>339</v>
      </c>
      <c r="E37" s="926">
        <v>-20</v>
      </c>
      <c r="F37" s="333" t="s">
        <v>304</v>
      </c>
      <c r="G37" s="332">
        <f t="shared" si="3"/>
        <v>1540</v>
      </c>
      <c r="H37" s="334" t="s">
        <v>1562</v>
      </c>
      <c r="I37" s="820">
        <v>103.625</v>
      </c>
      <c r="J37" s="335">
        <f>_xlfn.IFNA(VLOOKUP(A37,'market px'!$B$2:$F$20,5,FALSE),0)</f>
        <v>103.8671875</v>
      </c>
      <c r="K37" s="845">
        <f t="shared" si="4"/>
        <v>-9687.5</v>
      </c>
      <c r="L37" s="381"/>
    </row>
    <row r="38" spans="1:12" s="270" customFormat="1">
      <c r="A38" s="325" t="s">
        <v>643</v>
      </c>
      <c r="B38" s="333" t="s">
        <v>1097</v>
      </c>
      <c r="C38" s="333" t="s">
        <v>339</v>
      </c>
      <c r="D38" s="819" t="s">
        <v>339</v>
      </c>
      <c r="E38" s="872">
        <v>0</v>
      </c>
      <c r="F38" s="333" t="s">
        <v>304</v>
      </c>
      <c r="G38" s="332">
        <f t="shared" si="3"/>
        <v>0</v>
      </c>
      <c r="H38" s="334" t="s">
        <v>1098</v>
      </c>
      <c r="I38" s="820">
        <v>111.375</v>
      </c>
      <c r="J38" s="335">
        <f>_xlfn.IFNA(VLOOKUP(A38,'market px'!$B$2:$F$20,5,FALSE),0)</f>
        <v>116.65625</v>
      </c>
      <c r="K38" s="845">
        <f t="shared" si="4"/>
        <v>0</v>
      </c>
      <c r="L38" s="381"/>
    </row>
    <row r="39" spans="1:12" s="270" customFormat="1">
      <c r="A39" s="325" t="s">
        <v>643</v>
      </c>
      <c r="B39" s="333" t="s">
        <v>1097</v>
      </c>
      <c r="C39" s="333" t="s">
        <v>339</v>
      </c>
      <c r="D39" s="819" t="s">
        <v>339</v>
      </c>
      <c r="E39" s="872">
        <v>0</v>
      </c>
      <c r="F39" s="333" t="s">
        <v>304</v>
      </c>
      <c r="G39" s="332">
        <f t="shared" si="3"/>
        <v>0</v>
      </c>
      <c r="H39" s="334" t="s">
        <v>1099</v>
      </c>
      <c r="I39" s="820">
        <v>111.3125</v>
      </c>
      <c r="J39" s="335">
        <f>_xlfn.IFNA(VLOOKUP(A39,'market px'!$B$2:$F$20,5,FALSE),0)</f>
        <v>116.65625</v>
      </c>
      <c r="K39" s="845">
        <f t="shared" si="4"/>
        <v>0</v>
      </c>
      <c r="L39" s="381"/>
    </row>
    <row r="40" spans="1:12" s="270" customFormat="1">
      <c r="A40" s="325" t="s">
        <v>1088</v>
      </c>
      <c r="B40" s="333" t="s">
        <v>1101</v>
      </c>
      <c r="C40" s="333" t="s">
        <v>339</v>
      </c>
      <c r="D40" s="819" t="s">
        <v>339</v>
      </c>
      <c r="E40" s="872">
        <v>0</v>
      </c>
      <c r="F40" s="333" t="s">
        <v>304</v>
      </c>
      <c r="G40" s="332">
        <f t="shared" ref="G40:G72" si="5">-18.6*2*E40</f>
        <v>0</v>
      </c>
      <c r="H40" s="334" t="s">
        <v>1107</v>
      </c>
      <c r="I40" s="820">
        <v>101.59375</v>
      </c>
      <c r="J40" s="335">
        <f>_xlfn.IFNA(VLOOKUP(A40,'market px'!$B$2:$F$20,5,FALSE),0)</f>
        <v>103.8671875</v>
      </c>
      <c r="K40" s="845">
        <f t="shared" si="4"/>
        <v>0</v>
      </c>
      <c r="L40" s="381"/>
    </row>
    <row r="41" spans="1:12" s="270" customFormat="1">
      <c r="A41" s="325" t="s">
        <v>1088</v>
      </c>
      <c r="B41" s="333" t="s">
        <v>1101</v>
      </c>
      <c r="C41" s="333" t="s">
        <v>339</v>
      </c>
      <c r="D41" s="819" t="s">
        <v>339</v>
      </c>
      <c r="E41" s="872">
        <v>0</v>
      </c>
      <c r="F41" s="333" t="s">
        <v>304</v>
      </c>
      <c r="G41" s="332">
        <f t="shared" si="5"/>
        <v>0</v>
      </c>
      <c r="H41" s="334" t="s">
        <v>1108</v>
      </c>
      <c r="I41" s="820">
        <v>101.625</v>
      </c>
      <c r="J41" s="335">
        <f>_xlfn.IFNA(VLOOKUP(A41,'market px'!$B$2:$F$20,5,FALSE),0)</f>
        <v>103.8671875</v>
      </c>
      <c r="K41" s="845">
        <f t="shared" si="4"/>
        <v>0</v>
      </c>
      <c r="L41" s="381"/>
    </row>
    <row r="42" spans="1:12" s="270" customFormat="1">
      <c r="A42" s="325" t="s">
        <v>639</v>
      </c>
      <c r="B42" s="333" t="s">
        <v>876</v>
      </c>
      <c r="C42" s="333" t="s">
        <v>339</v>
      </c>
      <c r="D42" s="819" t="s">
        <v>339</v>
      </c>
      <c r="E42" s="872">
        <v>0</v>
      </c>
      <c r="F42" s="333" t="s">
        <v>304</v>
      </c>
      <c r="G42" s="332">
        <f t="shared" si="5"/>
        <v>0</v>
      </c>
      <c r="H42" s="334" t="s">
        <v>893</v>
      </c>
      <c r="I42" s="820">
        <v>103.109375</v>
      </c>
      <c r="J42" s="335">
        <f>_xlfn.IFNA(VLOOKUP(A42,'market px'!$B$2:$F$20,5,FALSE),0)</f>
        <v>101.76953125</v>
      </c>
      <c r="K42" s="845">
        <f t="shared" si="4"/>
        <v>0</v>
      </c>
      <c r="L42" s="381"/>
    </row>
    <row r="43" spans="1:12" s="270" customFormat="1">
      <c r="A43" s="325" t="s">
        <v>639</v>
      </c>
      <c r="B43" s="333" t="s">
        <v>876</v>
      </c>
      <c r="C43" s="333" t="s">
        <v>339</v>
      </c>
      <c r="D43" s="819" t="s">
        <v>339</v>
      </c>
      <c r="E43" s="872">
        <v>0</v>
      </c>
      <c r="F43" s="333" t="s">
        <v>304</v>
      </c>
      <c r="G43" s="332">
        <f t="shared" si="5"/>
        <v>0</v>
      </c>
      <c r="H43" s="334" t="s">
        <v>894</v>
      </c>
      <c r="I43" s="820">
        <v>103.10546875</v>
      </c>
      <c r="J43" s="335">
        <f>_xlfn.IFNA(VLOOKUP(A43,'market px'!$B$2:$F$20,5,FALSE),0)</f>
        <v>101.76953125</v>
      </c>
      <c r="K43" s="845">
        <f t="shared" ref="K43:K67" si="6">IF(LEFT(A43,2)="TU",(J43-I43)*E43/100*100000*2,(J43-I43)*E43/100*100000)</f>
        <v>0</v>
      </c>
      <c r="L43" s="381"/>
    </row>
    <row r="44" spans="1:12" s="270" customFormat="1">
      <c r="A44" s="325" t="s">
        <v>639</v>
      </c>
      <c r="B44" s="333" t="s">
        <v>876</v>
      </c>
      <c r="C44" s="333" t="s">
        <v>339</v>
      </c>
      <c r="D44" s="819" t="s">
        <v>339</v>
      </c>
      <c r="E44" s="872">
        <v>0</v>
      </c>
      <c r="F44" s="333" t="s">
        <v>304</v>
      </c>
      <c r="G44" s="332">
        <f t="shared" si="5"/>
        <v>0</v>
      </c>
      <c r="H44" s="334" t="s">
        <v>895</v>
      </c>
      <c r="I44" s="820">
        <v>103.1015625</v>
      </c>
      <c r="J44" s="335">
        <f>_xlfn.IFNA(VLOOKUP(A44,'market px'!$B$2:$F$20,5,FALSE),0)</f>
        <v>101.76953125</v>
      </c>
      <c r="K44" s="845">
        <f t="shared" si="6"/>
        <v>0</v>
      </c>
      <c r="L44" s="381"/>
    </row>
    <row r="45" spans="1:12" s="270" customFormat="1">
      <c r="A45" s="325" t="s">
        <v>639</v>
      </c>
      <c r="B45" s="333" t="s">
        <v>876</v>
      </c>
      <c r="C45" s="333" t="s">
        <v>339</v>
      </c>
      <c r="D45" s="819" t="s">
        <v>339</v>
      </c>
      <c r="E45" s="872">
        <v>0</v>
      </c>
      <c r="F45" s="333" t="s">
        <v>304</v>
      </c>
      <c r="G45" s="332">
        <f t="shared" si="5"/>
        <v>0</v>
      </c>
      <c r="H45" s="334" t="s">
        <v>896</v>
      </c>
      <c r="I45" s="820">
        <v>103.09765625</v>
      </c>
      <c r="J45" s="335">
        <f>_xlfn.IFNA(VLOOKUP(A45,'market px'!$B$2:$F$20,5,FALSE),0)</f>
        <v>101.76953125</v>
      </c>
      <c r="K45" s="845">
        <f t="shared" si="6"/>
        <v>0</v>
      </c>
      <c r="L45" s="381"/>
    </row>
    <row r="46" spans="1:12" s="270" customFormat="1">
      <c r="A46" s="325" t="s">
        <v>639</v>
      </c>
      <c r="B46" s="333" t="s">
        <v>876</v>
      </c>
      <c r="C46" s="333" t="s">
        <v>339</v>
      </c>
      <c r="D46" s="819" t="s">
        <v>339</v>
      </c>
      <c r="E46" s="872">
        <v>0</v>
      </c>
      <c r="F46" s="333" t="s">
        <v>304</v>
      </c>
      <c r="G46" s="332">
        <f t="shared" si="5"/>
        <v>0</v>
      </c>
      <c r="H46" s="334" t="s">
        <v>897</v>
      </c>
      <c r="I46" s="820">
        <v>103.09375</v>
      </c>
      <c r="J46" s="335">
        <f>_xlfn.IFNA(VLOOKUP(A46,'market px'!$B$2:$F$20,5,FALSE),0)</f>
        <v>101.76953125</v>
      </c>
      <c r="K46" s="845">
        <f t="shared" si="6"/>
        <v>0</v>
      </c>
      <c r="L46" s="381"/>
    </row>
    <row r="47" spans="1:12" s="270" customFormat="1">
      <c r="A47" s="325" t="s">
        <v>639</v>
      </c>
      <c r="B47" s="333" t="s">
        <v>876</v>
      </c>
      <c r="C47" s="333" t="s">
        <v>339</v>
      </c>
      <c r="D47" s="819" t="s">
        <v>339</v>
      </c>
      <c r="E47" s="872">
        <v>0</v>
      </c>
      <c r="F47" s="333" t="s">
        <v>304</v>
      </c>
      <c r="G47" s="332">
        <f t="shared" si="5"/>
        <v>0</v>
      </c>
      <c r="H47" s="334" t="s">
        <v>898</v>
      </c>
      <c r="I47" s="820">
        <v>103.08984375</v>
      </c>
      <c r="J47" s="335">
        <f>_xlfn.IFNA(VLOOKUP(A47,'market px'!$B$2:$F$20,5,FALSE),0)</f>
        <v>101.76953125</v>
      </c>
      <c r="K47" s="845">
        <f t="shared" si="6"/>
        <v>0</v>
      </c>
      <c r="L47" s="381"/>
    </row>
    <row r="48" spans="1:12" s="270" customFormat="1">
      <c r="A48" s="325" t="s">
        <v>639</v>
      </c>
      <c r="B48" s="333" t="s">
        <v>876</v>
      </c>
      <c r="C48" s="333" t="s">
        <v>339</v>
      </c>
      <c r="D48" s="819" t="s">
        <v>339</v>
      </c>
      <c r="E48" s="872">
        <v>0</v>
      </c>
      <c r="F48" s="333" t="s">
        <v>304</v>
      </c>
      <c r="G48" s="332">
        <f t="shared" si="5"/>
        <v>0</v>
      </c>
      <c r="H48" s="334" t="s">
        <v>899</v>
      </c>
      <c r="I48" s="820">
        <v>103.0859375</v>
      </c>
      <c r="J48" s="335">
        <f>_xlfn.IFNA(VLOOKUP(A48,'market px'!$B$2:$F$20,5,FALSE),0)</f>
        <v>101.76953125</v>
      </c>
      <c r="K48" s="845">
        <f t="shared" si="6"/>
        <v>0</v>
      </c>
      <c r="L48" s="381"/>
    </row>
    <row r="49" spans="1:12" s="270" customFormat="1">
      <c r="A49" s="325" t="s">
        <v>639</v>
      </c>
      <c r="B49" s="333" t="s">
        <v>876</v>
      </c>
      <c r="C49" s="333" t="s">
        <v>339</v>
      </c>
      <c r="D49" s="819" t="s">
        <v>339</v>
      </c>
      <c r="E49" s="872">
        <v>0</v>
      </c>
      <c r="F49" s="333" t="s">
        <v>304</v>
      </c>
      <c r="G49" s="332">
        <f t="shared" si="5"/>
        <v>0</v>
      </c>
      <c r="H49" s="334" t="s">
        <v>900</v>
      </c>
      <c r="I49" s="820">
        <v>103.08203125</v>
      </c>
      <c r="J49" s="335">
        <f>_xlfn.IFNA(VLOOKUP(A49,'market px'!$B$2:$F$20,5,FALSE),0)</f>
        <v>101.76953125</v>
      </c>
      <c r="K49" s="845">
        <f t="shared" si="6"/>
        <v>0</v>
      </c>
      <c r="L49" s="381"/>
    </row>
    <row r="50" spans="1:12" s="270" customFormat="1">
      <c r="A50" s="325" t="s">
        <v>639</v>
      </c>
      <c r="B50" s="333" t="s">
        <v>876</v>
      </c>
      <c r="C50" s="333" t="s">
        <v>339</v>
      </c>
      <c r="D50" s="819" t="s">
        <v>339</v>
      </c>
      <c r="E50" s="872">
        <v>0</v>
      </c>
      <c r="F50" s="333" t="s">
        <v>304</v>
      </c>
      <c r="G50" s="332">
        <f t="shared" si="5"/>
        <v>0</v>
      </c>
      <c r="H50" s="334" t="s">
        <v>901</v>
      </c>
      <c r="I50" s="820">
        <v>103.078125</v>
      </c>
      <c r="J50" s="335">
        <f>_xlfn.IFNA(VLOOKUP(A50,'market px'!$B$2:$F$20,5,FALSE),0)</f>
        <v>101.76953125</v>
      </c>
      <c r="K50" s="845">
        <f t="shared" si="6"/>
        <v>0</v>
      </c>
      <c r="L50" s="381"/>
    </row>
    <row r="51" spans="1:12" s="270" customFormat="1">
      <c r="A51" s="325" t="s">
        <v>639</v>
      </c>
      <c r="B51" s="333" t="s">
        <v>876</v>
      </c>
      <c r="C51" s="333" t="s">
        <v>339</v>
      </c>
      <c r="D51" s="819" t="s">
        <v>339</v>
      </c>
      <c r="E51" s="872">
        <v>0</v>
      </c>
      <c r="F51" s="333" t="s">
        <v>304</v>
      </c>
      <c r="G51" s="332">
        <f t="shared" si="5"/>
        <v>0</v>
      </c>
      <c r="H51" s="334" t="s">
        <v>902</v>
      </c>
      <c r="I51" s="820">
        <v>103.07421875</v>
      </c>
      <c r="J51" s="335">
        <f>_xlfn.IFNA(VLOOKUP(A51,'market px'!$B$2:$F$20,5,FALSE),0)</f>
        <v>101.76953125</v>
      </c>
      <c r="K51" s="845">
        <f t="shared" si="6"/>
        <v>0</v>
      </c>
      <c r="L51" s="381"/>
    </row>
    <row r="52" spans="1:12" s="270" customFormat="1">
      <c r="A52" s="325" t="s">
        <v>639</v>
      </c>
      <c r="B52" s="333" t="s">
        <v>876</v>
      </c>
      <c r="C52" s="333" t="s">
        <v>339</v>
      </c>
      <c r="D52" s="819" t="s">
        <v>339</v>
      </c>
      <c r="E52" s="872">
        <v>0</v>
      </c>
      <c r="F52" s="333" t="s">
        <v>304</v>
      </c>
      <c r="G52" s="332">
        <f t="shared" si="5"/>
        <v>0</v>
      </c>
      <c r="H52" s="334" t="s">
        <v>903</v>
      </c>
      <c r="I52" s="820">
        <v>103.0703125</v>
      </c>
      <c r="J52" s="335">
        <f>_xlfn.IFNA(VLOOKUP(A52,'market px'!$B$2:$F$20,5,FALSE),0)</f>
        <v>101.76953125</v>
      </c>
      <c r="K52" s="845">
        <f t="shared" si="6"/>
        <v>0</v>
      </c>
      <c r="L52" s="381"/>
    </row>
    <row r="53" spans="1:12" s="270" customFormat="1">
      <c r="A53" s="325" t="s">
        <v>639</v>
      </c>
      <c r="B53" s="333" t="s">
        <v>876</v>
      </c>
      <c r="C53" s="333" t="s">
        <v>339</v>
      </c>
      <c r="D53" s="819" t="s">
        <v>339</v>
      </c>
      <c r="E53" s="872">
        <v>0</v>
      </c>
      <c r="F53" s="333" t="s">
        <v>304</v>
      </c>
      <c r="G53" s="332">
        <f t="shared" si="5"/>
        <v>0</v>
      </c>
      <c r="H53" s="334" t="s">
        <v>904</v>
      </c>
      <c r="I53" s="820">
        <v>103.06640625</v>
      </c>
      <c r="J53" s="335">
        <f>_xlfn.IFNA(VLOOKUP(A53,'market px'!$B$2:$F$20,5,FALSE),0)</f>
        <v>101.76953125</v>
      </c>
      <c r="K53" s="845">
        <f t="shared" si="6"/>
        <v>0</v>
      </c>
      <c r="L53" s="381"/>
    </row>
    <row r="54" spans="1:12" s="270" customFormat="1">
      <c r="A54" s="325" t="s">
        <v>639</v>
      </c>
      <c r="B54" s="333" t="s">
        <v>876</v>
      </c>
      <c r="C54" s="333" t="s">
        <v>339</v>
      </c>
      <c r="D54" s="819" t="s">
        <v>339</v>
      </c>
      <c r="E54" s="872">
        <v>0</v>
      </c>
      <c r="F54" s="333" t="s">
        <v>304</v>
      </c>
      <c r="G54" s="332">
        <f t="shared" si="5"/>
        <v>0</v>
      </c>
      <c r="H54" s="334" t="s">
        <v>905</v>
      </c>
      <c r="I54" s="820">
        <v>103.0625</v>
      </c>
      <c r="J54" s="335">
        <f>_xlfn.IFNA(VLOOKUP(A54,'market px'!$B$2:$F$20,5,FALSE),0)</f>
        <v>101.76953125</v>
      </c>
      <c r="K54" s="845">
        <f t="shared" si="6"/>
        <v>0</v>
      </c>
      <c r="L54" s="381"/>
    </row>
    <row r="55" spans="1:12" s="270" customFormat="1">
      <c r="A55" s="325" t="s">
        <v>639</v>
      </c>
      <c r="B55" s="333" t="s">
        <v>876</v>
      </c>
      <c r="C55" s="333" t="s">
        <v>339</v>
      </c>
      <c r="D55" s="819" t="s">
        <v>339</v>
      </c>
      <c r="E55" s="872">
        <v>0</v>
      </c>
      <c r="F55" s="333" t="s">
        <v>304</v>
      </c>
      <c r="G55" s="332">
        <f t="shared" si="5"/>
        <v>0</v>
      </c>
      <c r="H55" s="334" t="s">
        <v>906</v>
      </c>
      <c r="I55" s="820">
        <v>103.05859375</v>
      </c>
      <c r="J55" s="335">
        <f>_xlfn.IFNA(VLOOKUP(A55,'market px'!$B$2:$F$20,5,FALSE),0)</f>
        <v>101.76953125</v>
      </c>
      <c r="K55" s="845">
        <f t="shared" si="6"/>
        <v>0</v>
      </c>
      <c r="L55" s="381"/>
    </row>
    <row r="56" spans="1:12" s="270" customFormat="1">
      <c r="A56" s="325" t="s">
        <v>639</v>
      </c>
      <c r="B56" s="333" t="s">
        <v>876</v>
      </c>
      <c r="C56" s="333" t="s">
        <v>339</v>
      </c>
      <c r="D56" s="819" t="s">
        <v>339</v>
      </c>
      <c r="E56" s="872">
        <v>0</v>
      </c>
      <c r="F56" s="333" t="s">
        <v>304</v>
      </c>
      <c r="G56" s="332">
        <f t="shared" si="5"/>
        <v>0</v>
      </c>
      <c r="H56" s="334" t="s">
        <v>907</v>
      </c>
      <c r="I56" s="820">
        <v>103.0546875</v>
      </c>
      <c r="J56" s="335">
        <f>_xlfn.IFNA(VLOOKUP(A56,'market px'!$B$2:$F$20,5,FALSE),0)</f>
        <v>101.76953125</v>
      </c>
      <c r="K56" s="845">
        <f t="shared" si="6"/>
        <v>0</v>
      </c>
      <c r="L56" s="381"/>
    </row>
    <row r="57" spans="1:12" s="270" customFormat="1">
      <c r="A57" s="325" t="s">
        <v>639</v>
      </c>
      <c r="B57" s="333" t="s">
        <v>876</v>
      </c>
      <c r="C57" s="333" t="s">
        <v>339</v>
      </c>
      <c r="D57" s="819" t="s">
        <v>339</v>
      </c>
      <c r="E57" s="872">
        <v>0</v>
      </c>
      <c r="F57" s="333" t="s">
        <v>304</v>
      </c>
      <c r="G57" s="332">
        <f t="shared" si="5"/>
        <v>0</v>
      </c>
      <c r="H57" s="334" t="s">
        <v>908</v>
      </c>
      <c r="I57" s="820">
        <v>103.05078125</v>
      </c>
      <c r="J57" s="335">
        <f>_xlfn.IFNA(VLOOKUP(A57,'market px'!$B$2:$F$20,5,FALSE),0)</f>
        <v>101.76953125</v>
      </c>
      <c r="K57" s="845">
        <f t="shared" si="6"/>
        <v>0</v>
      </c>
      <c r="L57" s="381"/>
    </row>
    <row r="58" spans="1:12" s="270" customFormat="1">
      <c r="A58" s="325" t="s">
        <v>639</v>
      </c>
      <c r="B58" s="333" t="s">
        <v>876</v>
      </c>
      <c r="C58" s="333" t="s">
        <v>339</v>
      </c>
      <c r="D58" s="819" t="s">
        <v>339</v>
      </c>
      <c r="E58" s="872">
        <v>0</v>
      </c>
      <c r="F58" s="333" t="s">
        <v>304</v>
      </c>
      <c r="G58" s="332">
        <f t="shared" si="5"/>
        <v>0</v>
      </c>
      <c r="H58" s="334" t="s">
        <v>909</v>
      </c>
      <c r="I58" s="820">
        <v>103.046875</v>
      </c>
      <c r="J58" s="335">
        <f>_xlfn.IFNA(VLOOKUP(A58,'market px'!$B$2:$F$20,5,FALSE),0)</f>
        <v>101.76953125</v>
      </c>
      <c r="K58" s="845">
        <f t="shared" si="6"/>
        <v>0</v>
      </c>
      <c r="L58" s="381"/>
    </row>
    <row r="59" spans="1:12" s="270" customFormat="1">
      <c r="A59" s="325" t="s">
        <v>1088</v>
      </c>
      <c r="B59" s="333" t="s">
        <v>1263</v>
      </c>
      <c r="C59" s="333" t="s">
        <v>339</v>
      </c>
      <c r="D59" s="819" t="s">
        <v>339</v>
      </c>
      <c r="E59" s="872">
        <v>0</v>
      </c>
      <c r="F59" s="333" t="s">
        <v>304</v>
      </c>
      <c r="G59" s="332">
        <f t="shared" si="5"/>
        <v>0</v>
      </c>
      <c r="H59" s="334" t="s">
        <v>1331</v>
      </c>
      <c r="I59" s="820">
        <v>103.375</v>
      </c>
      <c r="J59" s="335">
        <f>_xlfn.IFNA(VLOOKUP(A59,'market px'!$B$2:$F$20,5,FALSE),0)</f>
        <v>103.8671875</v>
      </c>
      <c r="K59" s="845">
        <f t="shared" si="6"/>
        <v>0</v>
      </c>
      <c r="L59" s="381"/>
    </row>
    <row r="60" spans="1:12" s="270" customFormat="1">
      <c r="A60" s="325" t="s">
        <v>1088</v>
      </c>
      <c r="B60" s="333" t="s">
        <v>1263</v>
      </c>
      <c r="C60" s="333" t="s">
        <v>339</v>
      </c>
      <c r="D60" s="819" t="s">
        <v>339</v>
      </c>
      <c r="E60" s="872">
        <v>0</v>
      </c>
      <c r="F60" s="333" t="s">
        <v>304</v>
      </c>
      <c r="G60" s="332">
        <f t="shared" si="5"/>
        <v>0</v>
      </c>
      <c r="H60" s="334" t="s">
        <v>1332</v>
      </c>
      <c r="I60" s="820">
        <v>103.53125</v>
      </c>
      <c r="J60" s="335">
        <f>_xlfn.IFNA(VLOOKUP(A60,'market px'!$B$2:$F$20,5,FALSE),0)</f>
        <v>103.8671875</v>
      </c>
      <c r="K60" s="845">
        <f t="shared" si="6"/>
        <v>0</v>
      </c>
      <c r="L60" s="381"/>
    </row>
    <row r="61" spans="1:12" s="270" customFormat="1">
      <c r="A61" s="325" t="s">
        <v>1088</v>
      </c>
      <c r="B61" s="333" t="s">
        <v>1263</v>
      </c>
      <c r="C61" s="333" t="s">
        <v>339</v>
      </c>
      <c r="D61" s="819" t="s">
        <v>339</v>
      </c>
      <c r="E61" s="872">
        <v>0</v>
      </c>
      <c r="F61" s="333" t="s">
        <v>304</v>
      </c>
      <c r="G61" s="332">
        <f t="shared" si="5"/>
        <v>0</v>
      </c>
      <c r="H61" s="334" t="s">
        <v>1333</v>
      </c>
      <c r="I61" s="820">
        <v>103.6875</v>
      </c>
      <c r="J61" s="335">
        <f>_xlfn.IFNA(VLOOKUP(A61,'market px'!$B$2:$F$20,5,FALSE),0)</f>
        <v>103.8671875</v>
      </c>
      <c r="K61" s="845">
        <f t="shared" si="6"/>
        <v>0</v>
      </c>
      <c r="L61" s="381"/>
    </row>
    <row r="62" spans="1:12" s="270" customFormat="1">
      <c r="A62" s="325" t="s">
        <v>1088</v>
      </c>
      <c r="B62" s="333" t="s">
        <v>1263</v>
      </c>
      <c r="C62" s="333" t="s">
        <v>339</v>
      </c>
      <c r="D62" s="819" t="s">
        <v>339</v>
      </c>
      <c r="E62" s="872">
        <v>0</v>
      </c>
      <c r="F62" s="333" t="s">
        <v>304</v>
      </c>
      <c r="G62" s="332">
        <f t="shared" si="5"/>
        <v>0</v>
      </c>
      <c r="H62" s="334" t="s">
        <v>1334</v>
      </c>
      <c r="I62" s="820">
        <v>103.84375</v>
      </c>
      <c r="J62" s="335">
        <f>_xlfn.IFNA(VLOOKUP(A62,'market px'!$B$2:$F$20,5,FALSE),0)</f>
        <v>103.8671875</v>
      </c>
      <c r="K62" s="845">
        <f t="shared" si="6"/>
        <v>0</v>
      </c>
      <c r="L62" s="381"/>
    </row>
    <row r="63" spans="1:12" s="270" customFormat="1">
      <c r="A63" s="325" t="s">
        <v>639</v>
      </c>
      <c r="B63" s="333" t="s">
        <v>876</v>
      </c>
      <c r="C63" s="333" t="s">
        <v>339</v>
      </c>
      <c r="D63" s="819" t="s">
        <v>339</v>
      </c>
      <c r="E63" s="872">
        <v>0</v>
      </c>
      <c r="F63" s="333" t="s">
        <v>304</v>
      </c>
      <c r="G63" s="332">
        <f t="shared" si="5"/>
        <v>0</v>
      </c>
      <c r="H63" s="334" t="s">
        <v>914</v>
      </c>
      <c r="I63" s="820">
        <v>103.02734375</v>
      </c>
      <c r="J63" s="335">
        <f>_xlfn.IFNA(VLOOKUP(A63,'market px'!$B$2:$F$20,5,FALSE),0)</f>
        <v>101.76953125</v>
      </c>
      <c r="K63" s="845">
        <f t="shared" si="6"/>
        <v>0</v>
      </c>
      <c r="L63" s="381"/>
    </row>
    <row r="64" spans="1:12" s="270" customFormat="1">
      <c r="A64" s="325" t="s">
        <v>639</v>
      </c>
      <c r="B64" s="333" t="s">
        <v>876</v>
      </c>
      <c r="C64" s="333" t="s">
        <v>339</v>
      </c>
      <c r="D64" s="819" t="s">
        <v>339</v>
      </c>
      <c r="E64" s="872">
        <v>0</v>
      </c>
      <c r="F64" s="333" t="s">
        <v>304</v>
      </c>
      <c r="G64" s="332">
        <f t="shared" si="5"/>
        <v>0</v>
      </c>
      <c r="H64" s="334" t="s">
        <v>915</v>
      </c>
      <c r="I64" s="820">
        <v>103.0234375</v>
      </c>
      <c r="J64" s="335">
        <f>_xlfn.IFNA(VLOOKUP(A64,'market px'!$B$2:$F$20,5,FALSE),0)</f>
        <v>101.76953125</v>
      </c>
      <c r="K64" s="845">
        <f t="shared" si="6"/>
        <v>0</v>
      </c>
      <c r="L64" s="381"/>
    </row>
    <row r="65" spans="1:12" s="270" customFormat="1">
      <c r="A65" s="325" t="s">
        <v>1088</v>
      </c>
      <c r="B65" s="333" t="s">
        <v>1352</v>
      </c>
      <c r="C65" s="333" t="s">
        <v>339</v>
      </c>
      <c r="D65" s="819" t="s">
        <v>339</v>
      </c>
      <c r="E65" s="872">
        <v>0</v>
      </c>
      <c r="F65" s="333" t="s">
        <v>304</v>
      </c>
      <c r="G65" s="332">
        <f t="shared" si="5"/>
        <v>0</v>
      </c>
      <c r="H65" s="334" t="s">
        <v>1360</v>
      </c>
      <c r="I65" s="820">
        <v>103.625</v>
      </c>
      <c r="J65" s="335">
        <f>_xlfn.IFNA(VLOOKUP(A65,'market px'!$B$2:$F$20,5,FALSE),0)</f>
        <v>103.8671875</v>
      </c>
      <c r="K65" s="845">
        <f t="shared" si="6"/>
        <v>0</v>
      </c>
      <c r="L65" s="381"/>
    </row>
    <row r="66" spans="1:12" s="270" customFormat="1">
      <c r="A66" s="325" t="s">
        <v>1088</v>
      </c>
      <c r="B66" s="333" t="s">
        <v>1352</v>
      </c>
      <c r="C66" s="333" t="s">
        <v>339</v>
      </c>
      <c r="D66" s="819" t="s">
        <v>339</v>
      </c>
      <c r="E66" s="872">
        <v>0</v>
      </c>
      <c r="F66" s="333" t="s">
        <v>304</v>
      </c>
      <c r="G66" s="332">
        <f t="shared" si="5"/>
        <v>0</v>
      </c>
      <c r="H66" s="334" t="s">
        <v>1361</v>
      </c>
      <c r="I66" s="820">
        <v>103.703125</v>
      </c>
      <c r="J66" s="335">
        <f>_xlfn.IFNA(VLOOKUP(A66,'market px'!$B$2:$F$20,5,FALSE),0)</f>
        <v>103.8671875</v>
      </c>
      <c r="K66" s="845">
        <f t="shared" si="6"/>
        <v>0</v>
      </c>
      <c r="L66" s="381"/>
    </row>
    <row r="67" spans="1:12" s="270" customFormat="1">
      <c r="A67" s="325" t="s">
        <v>1088</v>
      </c>
      <c r="B67" s="333" t="s">
        <v>1388</v>
      </c>
      <c r="C67" s="333" t="s">
        <v>339</v>
      </c>
      <c r="D67" s="819" t="s">
        <v>339</v>
      </c>
      <c r="E67" s="872">
        <v>0</v>
      </c>
      <c r="F67" s="333" t="s">
        <v>304</v>
      </c>
      <c r="G67" s="332">
        <f t="shared" si="5"/>
        <v>0</v>
      </c>
      <c r="H67" s="334" t="s">
        <v>1420</v>
      </c>
      <c r="I67" s="820">
        <v>103.65625</v>
      </c>
      <c r="J67" s="335">
        <f>_xlfn.IFNA(VLOOKUP(A67,'market px'!$B$2:$F$20,5,FALSE),0)</f>
        <v>103.8671875</v>
      </c>
      <c r="K67" s="845">
        <f t="shared" si="6"/>
        <v>0</v>
      </c>
      <c r="L67" s="381"/>
    </row>
    <row r="68" spans="1:12" s="270" customFormat="1">
      <c r="A68" s="325" t="s">
        <v>1088</v>
      </c>
      <c r="B68" s="333" t="s">
        <v>1406</v>
      </c>
      <c r="C68" s="333" t="s">
        <v>339</v>
      </c>
      <c r="D68" s="819" t="s">
        <v>339</v>
      </c>
      <c r="E68" s="872">
        <v>0</v>
      </c>
      <c r="F68" s="333" t="s">
        <v>304</v>
      </c>
      <c r="G68" s="332">
        <f t="shared" si="5"/>
        <v>0</v>
      </c>
      <c r="H68" s="334" t="s">
        <v>1421</v>
      </c>
      <c r="I68" s="820">
        <v>104</v>
      </c>
      <c r="J68" s="335">
        <f>_xlfn.IFNA(VLOOKUP(A68,'market px'!$B$2:$F$20,5,FALSE),0)</f>
        <v>103.8671875</v>
      </c>
      <c r="K68" s="845">
        <f t="shared" si="4"/>
        <v>0</v>
      </c>
      <c r="L68" s="381"/>
    </row>
    <row r="69" spans="1:12" s="270" customFormat="1">
      <c r="A69" s="325" t="s">
        <v>1088</v>
      </c>
      <c r="B69" s="333" t="s">
        <v>1388</v>
      </c>
      <c r="C69" s="333" t="s">
        <v>339</v>
      </c>
      <c r="D69" s="819" t="s">
        <v>339</v>
      </c>
      <c r="E69" s="872">
        <v>0</v>
      </c>
      <c r="F69" s="333" t="s">
        <v>304</v>
      </c>
      <c r="G69" s="332">
        <f t="shared" si="5"/>
        <v>0</v>
      </c>
      <c r="H69" s="334" t="s">
        <v>1401</v>
      </c>
      <c r="I69" s="820">
        <v>103.65625</v>
      </c>
      <c r="J69" s="335">
        <f>_xlfn.IFNA(VLOOKUP(A69,'market px'!$B$2:$F$20,5,FALSE),0)</f>
        <v>103.8671875</v>
      </c>
      <c r="K69" s="845">
        <f t="shared" si="4"/>
        <v>0</v>
      </c>
      <c r="L69" s="381"/>
    </row>
    <row r="70" spans="1:12" s="270" customFormat="1">
      <c r="A70" s="325" t="s">
        <v>1088</v>
      </c>
      <c r="B70" s="333" t="s">
        <v>1388</v>
      </c>
      <c r="C70" s="333" t="s">
        <v>339</v>
      </c>
      <c r="D70" s="819" t="s">
        <v>339</v>
      </c>
      <c r="E70" s="872">
        <v>0</v>
      </c>
      <c r="F70" s="333" t="s">
        <v>304</v>
      </c>
      <c r="G70" s="332">
        <f t="shared" si="5"/>
        <v>0</v>
      </c>
      <c r="H70" s="334" t="s">
        <v>1402</v>
      </c>
      <c r="I70" s="820">
        <v>103.625</v>
      </c>
      <c r="J70" s="335">
        <f>_xlfn.IFNA(VLOOKUP(A70,'market px'!$B$2:$F$20,5,FALSE),0)</f>
        <v>103.8671875</v>
      </c>
      <c r="K70" s="845">
        <f t="shared" si="4"/>
        <v>0</v>
      </c>
      <c r="L70" s="381"/>
    </row>
    <row r="71" spans="1:12" s="270" customFormat="1">
      <c r="A71" s="325" t="s">
        <v>1088</v>
      </c>
      <c r="B71" s="333" t="s">
        <v>1388</v>
      </c>
      <c r="C71" s="333" t="s">
        <v>339</v>
      </c>
      <c r="D71" s="819" t="s">
        <v>339</v>
      </c>
      <c r="E71" s="872">
        <v>0</v>
      </c>
      <c r="F71" s="333" t="s">
        <v>304</v>
      </c>
      <c r="G71" s="332">
        <f t="shared" si="5"/>
        <v>0</v>
      </c>
      <c r="H71" s="334" t="s">
        <v>1403</v>
      </c>
      <c r="I71" s="820">
        <v>103.5625</v>
      </c>
      <c r="J71" s="335">
        <f>_xlfn.IFNA(VLOOKUP(A71,'market px'!$B$2:$F$20,5,FALSE),0)</f>
        <v>103.8671875</v>
      </c>
      <c r="K71" s="845">
        <f t="shared" si="4"/>
        <v>0</v>
      </c>
      <c r="L71" s="381"/>
    </row>
    <row r="72" spans="1:12" s="270" customFormat="1">
      <c r="A72" s="325" t="s">
        <v>1088</v>
      </c>
      <c r="B72" s="333" t="s">
        <v>1388</v>
      </c>
      <c r="C72" s="333" t="s">
        <v>339</v>
      </c>
      <c r="D72" s="819" t="s">
        <v>339</v>
      </c>
      <c r="E72" s="872">
        <v>0</v>
      </c>
      <c r="F72" s="333" t="s">
        <v>304</v>
      </c>
      <c r="G72" s="332">
        <f t="shared" si="5"/>
        <v>0</v>
      </c>
      <c r="H72" s="334" t="s">
        <v>1404</v>
      </c>
      <c r="I72" s="820">
        <v>103.625</v>
      </c>
      <c r="J72" s="335">
        <f>_xlfn.IFNA(VLOOKUP(A72,'market px'!$B$2:$F$20,5,FALSE),0)</f>
        <v>103.8671875</v>
      </c>
      <c r="K72" s="845">
        <f t="shared" si="4"/>
        <v>0</v>
      </c>
      <c r="L72" s="381"/>
    </row>
    <row r="73" spans="1:12" s="270" customFormat="1">
      <c r="A73" s="325" t="s">
        <v>629</v>
      </c>
      <c r="B73" s="333" t="s">
        <v>996</v>
      </c>
      <c r="C73" s="333" t="s">
        <v>339</v>
      </c>
      <c r="D73" s="819" t="s">
        <v>339</v>
      </c>
      <c r="E73" s="872">
        <v>0</v>
      </c>
      <c r="F73" s="333" t="s">
        <v>304</v>
      </c>
      <c r="G73" s="332">
        <f t="shared" ref="G73" si="7">-77*E73</f>
        <v>0</v>
      </c>
      <c r="H73" s="334" t="s">
        <v>998</v>
      </c>
      <c r="I73" s="820">
        <v>112.671875</v>
      </c>
      <c r="J73" s="335">
        <f>_xlfn.IFNA(VLOOKUP(A73,'market px'!$B$2:$F$20,5,FALSE),0)</f>
        <v>111.28125</v>
      </c>
      <c r="K73" s="845">
        <f t="shared" si="4"/>
        <v>0</v>
      </c>
      <c r="L73" s="381"/>
    </row>
    <row r="74" spans="1:12" s="270" customFormat="1">
      <c r="A74" s="325" t="s">
        <v>639</v>
      </c>
      <c r="B74" s="333" t="s">
        <v>952</v>
      </c>
      <c r="C74" s="333" t="s">
        <v>339</v>
      </c>
      <c r="D74" s="819" t="s">
        <v>339</v>
      </c>
      <c r="E74" s="872">
        <v>0</v>
      </c>
      <c r="F74" s="333" t="s">
        <v>304</v>
      </c>
      <c r="G74" s="332">
        <f t="shared" ref="G74" si="8">-18.6*2*E74</f>
        <v>0</v>
      </c>
      <c r="H74" s="334" t="s">
        <v>967</v>
      </c>
      <c r="I74" s="820">
        <v>102.30859375</v>
      </c>
      <c r="J74" s="335">
        <f>_xlfn.IFNA(VLOOKUP(A74,'market px'!$B$2:$F$20,5,FALSE),0)</f>
        <v>101.76953125</v>
      </c>
      <c r="K74" s="845">
        <f t="shared" si="4"/>
        <v>0</v>
      </c>
      <c r="L74" s="381"/>
    </row>
    <row r="75" spans="1:12" s="270" customFormat="1">
      <c r="A75" s="325" t="s">
        <v>647</v>
      </c>
      <c r="B75" s="333" t="s">
        <v>1148</v>
      </c>
      <c r="C75" s="333" t="s">
        <v>339</v>
      </c>
      <c r="D75" s="819" t="s">
        <v>339</v>
      </c>
      <c r="E75" s="872">
        <v>0</v>
      </c>
      <c r="F75" s="333" t="s">
        <v>304</v>
      </c>
      <c r="G75" s="332">
        <f t="shared" ref="G75:G79" si="9">-42.7*E75</f>
        <v>0</v>
      </c>
      <c r="H75" s="334" t="s">
        <v>1170</v>
      </c>
      <c r="I75" s="820">
        <v>106.578125</v>
      </c>
      <c r="J75" s="335">
        <f>_xlfn.IFNA(VLOOKUP(A75,'market px'!$B$2:$F$20,5,FALSE),0)</f>
        <v>110.8515625</v>
      </c>
      <c r="K75" s="845">
        <f t="shared" si="4"/>
        <v>0</v>
      </c>
      <c r="L75" s="381"/>
    </row>
    <row r="76" spans="1:12" s="270" customFormat="1">
      <c r="A76" s="325" t="s">
        <v>647</v>
      </c>
      <c r="B76" s="333" t="s">
        <v>1406</v>
      </c>
      <c r="C76" s="333" t="s">
        <v>339</v>
      </c>
      <c r="D76" s="819" t="s">
        <v>339</v>
      </c>
      <c r="E76" s="872">
        <v>0</v>
      </c>
      <c r="F76" s="333" t="s">
        <v>304</v>
      </c>
      <c r="G76" s="332">
        <f t="shared" si="9"/>
        <v>0</v>
      </c>
      <c r="H76" s="334" t="s">
        <v>1419</v>
      </c>
      <c r="I76" s="820">
        <v>110.859375</v>
      </c>
      <c r="J76" s="335">
        <f>_xlfn.IFNA(VLOOKUP(A76,'market px'!$B$2:$F$20,5,FALSE),0)</f>
        <v>110.8515625</v>
      </c>
      <c r="K76" s="845">
        <f t="shared" si="4"/>
        <v>0</v>
      </c>
      <c r="L76" s="381"/>
    </row>
    <row r="77" spans="1:12" s="270" customFormat="1">
      <c r="A77" s="325" t="s">
        <v>634</v>
      </c>
      <c r="B77" s="333" t="s">
        <v>617</v>
      </c>
      <c r="C77" s="333" t="s">
        <v>339</v>
      </c>
      <c r="D77" s="819" t="s">
        <v>339</v>
      </c>
      <c r="E77" s="872">
        <v>0</v>
      </c>
      <c r="F77" s="333" t="s">
        <v>304</v>
      </c>
      <c r="G77" s="332">
        <f t="shared" si="9"/>
        <v>0</v>
      </c>
      <c r="H77" s="334" t="s">
        <v>620</v>
      </c>
      <c r="I77" s="820">
        <v>107.953125</v>
      </c>
      <c r="J77" s="335">
        <f>_xlfn.IFNA(VLOOKUP(A77,'market px'!$B$2:$F$20,5,FALSE),0)</f>
        <v>106.828125</v>
      </c>
      <c r="K77" s="845">
        <f t="shared" si="4"/>
        <v>0</v>
      </c>
      <c r="L77" s="381"/>
    </row>
    <row r="78" spans="1:12" s="270" customFormat="1">
      <c r="A78" s="325" t="s">
        <v>634</v>
      </c>
      <c r="B78" s="333" t="s">
        <v>617</v>
      </c>
      <c r="C78" s="333" t="s">
        <v>339</v>
      </c>
      <c r="D78" s="819" t="s">
        <v>339</v>
      </c>
      <c r="E78" s="872">
        <v>0</v>
      </c>
      <c r="F78" s="333" t="s">
        <v>304</v>
      </c>
      <c r="G78" s="332">
        <f t="shared" si="9"/>
        <v>0</v>
      </c>
      <c r="H78" s="334" t="s">
        <v>621</v>
      </c>
      <c r="I78" s="820">
        <v>107.953125</v>
      </c>
      <c r="J78" s="335">
        <f>_xlfn.IFNA(VLOOKUP(A78,'market px'!$B$2:$F$20,5,FALSE),0)</f>
        <v>106.828125</v>
      </c>
      <c r="K78" s="845">
        <f t="shared" si="4"/>
        <v>0</v>
      </c>
      <c r="L78" s="381"/>
    </row>
    <row r="79" spans="1:12" s="270" customFormat="1">
      <c r="A79" s="325" t="s">
        <v>631</v>
      </c>
      <c r="B79" s="333" t="s">
        <v>630</v>
      </c>
      <c r="C79" s="333" t="s">
        <v>339</v>
      </c>
      <c r="D79" s="819" t="s">
        <v>339</v>
      </c>
      <c r="E79" s="872">
        <v>0</v>
      </c>
      <c r="F79" s="333" t="s">
        <v>304</v>
      </c>
      <c r="G79" s="332">
        <f t="shared" si="9"/>
        <v>0</v>
      </c>
      <c r="H79" s="334" t="s">
        <v>632</v>
      </c>
      <c r="I79" s="820">
        <v>107.953125</v>
      </c>
      <c r="J79" s="335">
        <f>_xlfn.IFNA(VLOOKUP(A79,'market px'!$B$2:$F$20,5,FALSE),0)</f>
        <v>106.828125</v>
      </c>
      <c r="K79" s="845">
        <f t="shared" si="4"/>
        <v>0</v>
      </c>
      <c r="L79" s="381"/>
    </row>
    <row r="80" spans="1:12" s="270" customFormat="1">
      <c r="A80" s="325" t="s">
        <v>643</v>
      </c>
      <c r="B80" s="333" t="s">
        <v>1406</v>
      </c>
      <c r="C80" s="333" t="s">
        <v>339</v>
      </c>
      <c r="D80" s="819" t="s">
        <v>339</v>
      </c>
      <c r="E80" s="872">
        <v>10</v>
      </c>
      <c r="F80" s="333" t="s">
        <v>304</v>
      </c>
      <c r="G80" s="332">
        <f t="shared" ref="G80:G82" si="10">-77*E80</f>
        <v>-770</v>
      </c>
      <c r="H80" s="334" t="s">
        <v>1447</v>
      </c>
      <c r="I80" s="820">
        <v>116.9375</v>
      </c>
      <c r="J80" s="335">
        <f>_xlfn.IFNA(VLOOKUP(A80,'market px'!$B$2:$F$20,5,FALSE),0)</f>
        <v>116.65625</v>
      </c>
      <c r="K80" s="845">
        <f t="shared" si="4"/>
        <v>-2812.5</v>
      </c>
      <c r="L80" s="381"/>
    </row>
    <row r="81" spans="1:19" s="270" customFormat="1">
      <c r="A81" s="325" t="s">
        <v>643</v>
      </c>
      <c r="B81" s="333" t="s">
        <v>1406</v>
      </c>
      <c r="C81" s="333" t="s">
        <v>339</v>
      </c>
      <c r="D81" s="819" t="s">
        <v>339</v>
      </c>
      <c r="E81" s="872">
        <v>10</v>
      </c>
      <c r="F81" s="333" t="s">
        <v>304</v>
      </c>
      <c r="G81" s="332">
        <f t="shared" si="10"/>
        <v>-770</v>
      </c>
      <c r="H81" s="334" t="s">
        <v>1448</v>
      </c>
      <c r="I81" s="820">
        <v>116.8125</v>
      </c>
      <c r="J81" s="335">
        <f>_xlfn.IFNA(VLOOKUP(A81,'market px'!$B$2:$F$20,5,FALSE),0)</f>
        <v>116.65625</v>
      </c>
      <c r="K81" s="845">
        <f t="shared" si="4"/>
        <v>-1562.5</v>
      </c>
      <c r="L81" s="381"/>
    </row>
    <row r="82" spans="1:19" s="270" customFormat="1">
      <c r="A82" s="325" t="s">
        <v>643</v>
      </c>
      <c r="B82" s="333" t="s">
        <v>1406</v>
      </c>
      <c r="C82" s="333" t="s">
        <v>339</v>
      </c>
      <c r="D82" s="819" t="s">
        <v>339</v>
      </c>
      <c r="E82" s="872">
        <v>10</v>
      </c>
      <c r="F82" s="333" t="s">
        <v>304</v>
      </c>
      <c r="G82" s="332">
        <f t="shared" si="10"/>
        <v>-770</v>
      </c>
      <c r="H82" s="334" t="s">
        <v>1449</v>
      </c>
      <c r="I82" s="820">
        <v>116.6875</v>
      </c>
      <c r="J82" s="335">
        <f>_xlfn.IFNA(VLOOKUP(A82,'market px'!$B$2:$F$20,5,FALSE),0)</f>
        <v>116.65625</v>
      </c>
      <c r="K82" s="845">
        <f t="shared" si="4"/>
        <v>-312.5</v>
      </c>
      <c r="L82" s="381"/>
    </row>
    <row r="83" spans="1:19" s="270" customFormat="1">
      <c r="A83" s="325" t="s">
        <v>529</v>
      </c>
      <c r="B83" s="333" t="s">
        <v>546</v>
      </c>
      <c r="C83" s="333" t="s">
        <v>339</v>
      </c>
      <c r="D83" s="819" t="s">
        <v>339</v>
      </c>
      <c r="E83" s="872">
        <v>0</v>
      </c>
      <c r="F83" s="333" t="s">
        <v>304</v>
      </c>
      <c r="G83" s="332">
        <f t="shared" ref="G83:G84" si="11">-18.6*2*E83</f>
        <v>0</v>
      </c>
      <c r="H83" s="334" t="s">
        <v>547</v>
      </c>
      <c r="I83" s="820">
        <v>0</v>
      </c>
      <c r="J83" s="335">
        <f>_xlfn.IFNA(VLOOKUP(A83,'market px'!$B$2:$F$20,5,FALSE),0)</f>
        <v>0</v>
      </c>
      <c r="K83" s="845">
        <f>IF(LEFT(A83,2)="TU",(J83-I83)*E83/100*100000*2,(J83-I83)*E83/100*100000)</f>
        <v>0</v>
      </c>
      <c r="L83" s="381"/>
    </row>
    <row r="84" spans="1:19" s="270" customFormat="1">
      <c r="A84" s="325" t="s">
        <v>529</v>
      </c>
      <c r="B84" s="333" t="s">
        <v>546</v>
      </c>
      <c r="C84" s="333" t="s">
        <v>339</v>
      </c>
      <c r="D84" s="819" t="s">
        <v>339</v>
      </c>
      <c r="E84" s="872">
        <v>0</v>
      </c>
      <c r="F84" s="333" t="s">
        <v>304</v>
      </c>
      <c r="G84" s="332">
        <f t="shared" si="11"/>
        <v>0</v>
      </c>
      <c r="H84" s="334" t="s">
        <v>548</v>
      </c>
      <c r="I84" s="820">
        <v>0</v>
      </c>
      <c r="J84" s="335">
        <f>_xlfn.IFNA(VLOOKUP(A84,'market px'!$B$2:$F$20,5,FALSE),0)</f>
        <v>0</v>
      </c>
      <c r="K84" s="845">
        <f t="shared" si="4"/>
        <v>0</v>
      </c>
      <c r="L84" s="381"/>
    </row>
    <row r="85" spans="1:19" s="270" customFormat="1">
      <c r="A85" s="325"/>
      <c r="B85" s="333"/>
      <c r="C85" s="333"/>
      <c r="D85" s="819"/>
      <c r="E85" s="872">
        <v>0</v>
      </c>
      <c r="F85" s="333"/>
      <c r="G85" s="332"/>
      <c r="H85" s="334"/>
      <c r="I85" s="820"/>
      <c r="J85" s="335"/>
      <c r="K85" s="845"/>
      <c r="L85" s="381"/>
    </row>
    <row r="86" spans="1:19" s="270" customFormat="1">
      <c r="A86" s="325"/>
      <c r="B86" s="333"/>
      <c r="C86" s="333"/>
      <c r="D86" s="819"/>
      <c r="E86" s="872"/>
      <c r="F86" s="333"/>
      <c r="G86" s="332"/>
      <c r="H86" s="334"/>
      <c r="I86" s="820"/>
      <c r="J86" s="335"/>
      <c r="K86" s="845"/>
      <c r="L86" s="381"/>
    </row>
    <row r="87" spans="1:19" s="270" customFormat="1">
      <c r="A87" s="325"/>
      <c r="B87" s="333"/>
      <c r="C87" s="333"/>
      <c r="D87" s="819"/>
      <c r="E87" s="872"/>
      <c r="F87" s="333"/>
      <c r="G87" s="332"/>
      <c r="H87" s="334"/>
      <c r="I87" s="820"/>
      <c r="J87" s="335"/>
      <c r="K87" s="845"/>
      <c r="L87" s="381"/>
    </row>
    <row r="88" spans="1:19" s="270" customFormat="1">
      <c r="A88" s="789" t="s">
        <v>166</v>
      </c>
      <c r="B88" s="790"/>
      <c r="C88" s="791"/>
      <c r="D88" s="792"/>
      <c r="E88" s="873">
        <f>SUM(E33:E87)</f>
        <v>-70</v>
      </c>
      <c r="F88" s="793"/>
      <c r="G88" s="794">
        <f>SUM(G33:G87)</f>
        <v>5390</v>
      </c>
      <c r="H88" s="795"/>
      <c r="I88" s="796"/>
      <c r="J88" s="797"/>
      <c r="K88" s="798">
        <f>SUM(K33:K87)</f>
        <v>-97500</v>
      </c>
      <c r="L88" s="381"/>
    </row>
    <row r="89" spans="1:19" s="270" customFormat="1">
      <c r="A89" s="359" t="s">
        <v>169</v>
      </c>
      <c r="B89" s="113"/>
      <c r="C89" s="274"/>
      <c r="D89" s="538"/>
      <c r="E89" s="114"/>
      <c r="F89" s="192"/>
      <c r="G89" s="118"/>
      <c r="H89" s="478"/>
      <c r="I89" s="125"/>
      <c r="J89" s="360"/>
      <c r="K89" s="261"/>
      <c r="L89" s="381"/>
    </row>
    <row r="90" spans="1:19" s="270" customFormat="1">
      <c r="A90" s="206" t="s">
        <v>99</v>
      </c>
      <c r="B90" s="207" t="s">
        <v>7</v>
      </c>
      <c r="C90" s="207" t="s">
        <v>171</v>
      </c>
      <c r="D90" s="535" t="s">
        <v>170</v>
      </c>
      <c r="E90" s="208" t="s">
        <v>11</v>
      </c>
      <c r="F90" s="207" t="s">
        <v>2</v>
      </c>
      <c r="G90" s="209" t="s">
        <v>12</v>
      </c>
      <c r="H90" s="482" t="s">
        <v>18</v>
      </c>
      <c r="I90" s="209" t="s">
        <v>213</v>
      </c>
      <c r="J90" s="207" t="s">
        <v>214</v>
      </c>
      <c r="K90" s="260" t="s">
        <v>215</v>
      </c>
      <c r="L90" s="381"/>
    </row>
    <row r="91" spans="1:19" s="270" customFormat="1">
      <c r="A91" s="325" t="s">
        <v>336</v>
      </c>
      <c r="B91" s="328">
        <v>43697</v>
      </c>
      <c r="C91" s="329"/>
      <c r="D91" s="542"/>
      <c r="E91" s="330">
        <v>0</v>
      </c>
      <c r="F91" s="330" t="s">
        <v>304</v>
      </c>
      <c r="G91" s="332">
        <f>-VLOOKUP(A91,'market px'!G$2:H$20,2,FALSE)*E91/1000000</f>
        <v>0</v>
      </c>
      <c r="H91" s="483"/>
      <c r="I91" s="335">
        <v>178.62</v>
      </c>
      <c r="J91" s="335">
        <f>VLOOKUP(A91,'market px'!$G$2:$I$20,3,FALSE)</f>
        <v>177.66</v>
      </c>
      <c r="K91" s="336">
        <f>(J91-I91)*E91/100*100000</f>
        <v>0</v>
      </c>
      <c r="L91" s="381"/>
    </row>
    <row r="92" spans="1:19" s="270" customFormat="1">
      <c r="A92" s="325" t="s">
        <v>284</v>
      </c>
      <c r="B92" s="328">
        <v>40835</v>
      </c>
      <c r="C92" s="329"/>
      <c r="D92" s="542"/>
      <c r="E92" s="330">
        <f>100000*0</f>
        <v>0</v>
      </c>
      <c r="F92" s="331" t="s">
        <v>135</v>
      </c>
      <c r="G92" s="332">
        <f>-VLOOKUP(A92,'market px'!G$2:H$20,2,FALSE)*E92/1000000</f>
        <v>0</v>
      </c>
      <c r="H92" s="483"/>
      <c r="I92" s="335">
        <v>135.12</v>
      </c>
      <c r="J92" s="335">
        <f>VLOOKUP(A92,'market px'!$G$2:$I$20,3,FALSE)</f>
        <v>117.91</v>
      </c>
      <c r="K92" s="336">
        <f>(J92-I92)*E92/100</f>
        <v>0</v>
      </c>
      <c r="L92" s="381"/>
    </row>
    <row r="93" spans="1:19" s="270" customFormat="1">
      <c r="A93" s="337" t="s">
        <v>285</v>
      </c>
      <c r="B93" s="340">
        <v>39090</v>
      </c>
      <c r="C93" s="341"/>
      <c r="D93" s="543"/>
      <c r="E93" s="342">
        <f>-100000*0</f>
        <v>0</v>
      </c>
      <c r="F93" s="343" t="s">
        <v>135</v>
      </c>
      <c r="G93" s="344">
        <f>-VLOOKUP(A93,'market px'!G$2:H$20,2,FALSE)*E93/1000000</f>
        <v>0</v>
      </c>
      <c r="H93" s="484" t="s">
        <v>21</v>
      </c>
      <c r="I93" s="347">
        <v>108.77</v>
      </c>
      <c r="J93" s="347">
        <f>VLOOKUP(A93,'market px'!$G$2:$I$20,3,FALSE)</f>
        <v>117.91</v>
      </c>
      <c r="K93" s="348">
        <f>(J93-I93)*E93/100</f>
        <v>0</v>
      </c>
      <c r="L93" s="381"/>
    </row>
    <row r="94" spans="1:19" s="270" customFormat="1">
      <c r="A94" s="337" t="s">
        <v>285</v>
      </c>
      <c r="B94" s="340">
        <v>38954</v>
      </c>
      <c r="C94" s="341"/>
      <c r="D94" s="543"/>
      <c r="E94" s="342">
        <f>-100000*0</f>
        <v>0</v>
      </c>
      <c r="F94" s="343" t="s">
        <v>135</v>
      </c>
      <c r="G94" s="344">
        <f>-VLOOKUP(A94,'market px'!G$2:H$20,2,FALSE)*E94/1000000</f>
        <v>0</v>
      </c>
      <c r="H94" s="484"/>
      <c r="I94" s="347">
        <v>109.88</v>
      </c>
      <c r="J94" s="347">
        <f>VLOOKUP(A94,'market px'!$G$2:$I$20,3,FALSE)</f>
        <v>117.91</v>
      </c>
      <c r="K94" s="348">
        <f>(J94-I94)*E94/100</f>
        <v>0</v>
      </c>
      <c r="L94" s="381"/>
    </row>
    <row r="95" spans="1:19" s="270" customFormat="1">
      <c r="A95" s="285" t="s">
        <v>286</v>
      </c>
      <c r="B95" s="288">
        <v>39220</v>
      </c>
      <c r="C95" s="289" t="s">
        <v>21</v>
      </c>
      <c r="D95" s="544"/>
      <c r="E95" s="290">
        <f>100000*0</f>
        <v>0</v>
      </c>
      <c r="F95" s="291" t="s">
        <v>135</v>
      </c>
      <c r="G95" s="292">
        <f>-VLOOKUP(A95,'market px'!G$2:H$20,2,FALSE)*E95/1000000</f>
        <v>0</v>
      </c>
      <c r="H95" s="485" t="s">
        <v>23</v>
      </c>
      <c r="I95" s="295">
        <v>102.55500000000001</v>
      </c>
      <c r="J95" s="295">
        <f>VLOOKUP(A95,'market px'!$G$2:$I$20,3,FALSE)</f>
        <v>108.84</v>
      </c>
      <c r="K95" s="296">
        <f>(J95-I95)*E95/100</f>
        <v>0</v>
      </c>
      <c r="L95" s="381"/>
    </row>
    <row r="96" spans="1:19" s="93" customFormat="1">
      <c r="A96" s="285" t="s">
        <v>286</v>
      </c>
      <c r="B96" s="288">
        <v>39224</v>
      </c>
      <c r="C96" s="289" t="s">
        <v>21</v>
      </c>
      <c r="D96" s="544"/>
      <c r="E96" s="290">
        <f>100000*0</f>
        <v>0</v>
      </c>
      <c r="F96" s="291" t="s">
        <v>135</v>
      </c>
      <c r="G96" s="292">
        <f>-VLOOKUP(A96,'market px'!G$2:H$20,2,FALSE)*E96/1000000</f>
        <v>0</v>
      </c>
      <c r="H96" s="485"/>
      <c r="I96" s="295">
        <v>102.89</v>
      </c>
      <c r="J96" s="295">
        <f>VLOOKUP(A96,'market px'!$G$2:$I$20,3,FALSE)</f>
        <v>108.84</v>
      </c>
      <c r="K96" s="296">
        <f>(J96-I96)*E96/100</f>
        <v>0</v>
      </c>
      <c r="L96" s="377"/>
      <c r="S96" s="131" t="s">
        <v>21</v>
      </c>
    </row>
    <row r="97" spans="1:17" s="93" customFormat="1">
      <c r="A97" s="349" t="s">
        <v>166</v>
      </c>
      <c r="B97" s="350"/>
      <c r="C97" s="351"/>
      <c r="D97" s="545"/>
      <c r="E97" s="352">
        <f>SUM(E91:E96)</f>
        <v>0</v>
      </c>
      <c r="F97" s="353"/>
      <c r="G97" s="354">
        <f>SUM(G91:G96)</f>
        <v>0</v>
      </c>
      <c r="H97" s="486"/>
      <c r="I97" s="356"/>
      <c r="J97" s="357"/>
      <c r="K97" s="358">
        <f>SUM(K91:K96)</f>
        <v>0</v>
      </c>
      <c r="L97" s="377"/>
    </row>
    <row r="98" spans="1:17" s="93" customFormat="1">
      <c r="A98" s="65"/>
      <c r="B98" s="108"/>
      <c r="C98" s="275"/>
      <c r="D98" s="546"/>
      <c r="E98" s="70"/>
      <c r="F98" s="203"/>
      <c r="G98" s="105"/>
      <c r="H98" s="487"/>
      <c r="I98" s="204"/>
      <c r="J98" s="205"/>
      <c r="K98" s="106"/>
      <c r="L98" s="377"/>
    </row>
    <row r="99" spans="1:17" s="93" customFormat="1">
      <c r="A99"/>
      <c r="B99" s="14"/>
      <c r="C99" s="14"/>
      <c r="D99" s="534"/>
      <c r="E99" s="2"/>
      <c r="F99" s="14"/>
      <c r="G99" s="14"/>
      <c r="H99" s="488"/>
      <c r="I99" s="44"/>
      <c r="J99" s="44"/>
      <c r="K99"/>
      <c r="L99" s="377"/>
    </row>
    <row r="100" spans="1:17" s="270" customFormat="1">
      <c r="A100"/>
      <c r="B100" s="14"/>
      <c r="C100" s="14"/>
      <c r="D100" s="534"/>
      <c r="E100" s="2"/>
      <c r="F100" s="14"/>
      <c r="G100" s="14"/>
      <c r="H100" s="488"/>
      <c r="I100" s="44"/>
      <c r="J100" s="44"/>
      <c r="K100"/>
      <c r="L100" s="381"/>
    </row>
    <row r="101" spans="1:17" s="270" customFormat="1">
      <c r="A101"/>
      <c r="B101" s="14"/>
      <c r="C101" s="14"/>
      <c r="D101" s="534"/>
      <c r="E101" s="2"/>
      <c r="F101" s="14"/>
      <c r="G101" s="14"/>
      <c r="H101" s="488"/>
      <c r="I101" s="44"/>
      <c r="J101" s="44"/>
      <c r="K101"/>
      <c r="L101" s="381"/>
    </row>
    <row r="102" spans="1:17" s="270" customFormat="1">
      <c r="A102"/>
      <c r="B102" s="14"/>
      <c r="C102" s="14"/>
      <c r="D102" s="534"/>
      <c r="E102" s="2"/>
      <c r="F102" s="14"/>
      <c r="G102" s="14"/>
      <c r="H102" s="488"/>
      <c r="I102" s="44"/>
      <c r="J102" s="44"/>
      <c r="K102"/>
      <c r="L102" s="381"/>
    </row>
    <row r="103" spans="1:17" s="270" customFormat="1">
      <c r="A103"/>
      <c r="B103" s="14"/>
      <c r="C103" s="14"/>
      <c r="D103" s="534"/>
      <c r="E103" s="2"/>
      <c r="F103" s="14"/>
      <c r="G103" s="14"/>
      <c r="H103" s="488"/>
      <c r="I103" s="44"/>
      <c r="J103" s="44"/>
      <c r="K103"/>
      <c r="L103" s="381"/>
    </row>
    <row r="104" spans="1:17" s="93" customFormat="1">
      <c r="A104"/>
      <c r="B104" s="14"/>
      <c r="C104" s="14"/>
      <c r="D104" s="534"/>
      <c r="E104" s="2"/>
      <c r="F104" s="14"/>
      <c r="G104" s="14"/>
      <c r="H104" s="488"/>
      <c r="I104" s="44"/>
      <c r="J104" s="44"/>
      <c r="K104"/>
      <c r="L104" s="377"/>
      <c r="M104"/>
      <c r="N104"/>
      <c r="O104"/>
      <c r="P104"/>
      <c r="Q104"/>
    </row>
    <row r="105" spans="1:17">
      <c r="G105" s="14"/>
      <c r="H105" s="488"/>
    </row>
    <row r="106" spans="1:17">
      <c r="G106" s="14"/>
      <c r="H106" s="488"/>
    </row>
    <row r="107" spans="1:17">
      <c r="G107" s="14"/>
      <c r="H107" s="488"/>
    </row>
    <row r="108" spans="1:17">
      <c r="G108" s="14"/>
      <c r="H108" s="488"/>
    </row>
    <row r="109" spans="1:17">
      <c r="G109" s="14"/>
      <c r="H109" s="488"/>
    </row>
    <row r="110" spans="1:17">
      <c r="G110" s="14"/>
      <c r="H110" s="488"/>
    </row>
    <row r="111" spans="1:17">
      <c r="G111" s="14"/>
      <c r="H111" s="488"/>
    </row>
    <row r="112" spans="1:17">
      <c r="G112" s="14"/>
      <c r="H112" s="488"/>
    </row>
    <row r="113" spans="7:8">
      <c r="G113" s="14"/>
      <c r="H113" s="488"/>
    </row>
    <row r="114" spans="7:8">
      <c r="G114" s="14"/>
      <c r="H114" s="488"/>
    </row>
    <row r="115" spans="7:8">
      <c r="G115" s="14"/>
      <c r="H115" s="488"/>
    </row>
    <row r="116" spans="7:8">
      <c r="G116" s="14"/>
      <c r="H116" s="488"/>
    </row>
    <row r="117" spans="7:8">
      <c r="G117" s="14"/>
      <c r="H117" s="488"/>
    </row>
    <row r="118" spans="7:8">
      <c r="G118" s="14"/>
      <c r="H118" s="488"/>
    </row>
    <row r="119" spans="7:8">
      <c r="G119" s="14"/>
      <c r="H119" s="488"/>
    </row>
    <row r="120" spans="7:8">
      <c r="G120" s="14"/>
      <c r="H120" s="488"/>
    </row>
    <row r="121" spans="7:8">
      <c r="G121" s="14"/>
      <c r="H121" s="488"/>
    </row>
    <row r="122" spans="7:8">
      <c r="G122" s="14"/>
      <c r="H122" s="488"/>
    </row>
    <row r="123" spans="7:8">
      <c r="G123" s="14"/>
      <c r="H123" s="488"/>
    </row>
    <row r="124" spans="7:8">
      <c r="G124" s="14"/>
      <c r="H124" s="488"/>
    </row>
    <row r="125" spans="7:8">
      <c r="G125" s="14"/>
      <c r="H125" s="489"/>
    </row>
    <row r="126" spans="7:8">
      <c r="G126" s="14"/>
      <c r="H126" s="489"/>
    </row>
    <row r="127" spans="7:8">
      <c r="G127" s="14"/>
      <c r="H127" s="489"/>
    </row>
    <row r="128" spans="7:8">
      <c r="G128" s="14"/>
      <c r="H128" s="489"/>
    </row>
    <row r="129" spans="7:8">
      <c r="G129" s="14"/>
      <c r="H129" s="489"/>
    </row>
    <row r="130" spans="7:8">
      <c r="G130" s="14"/>
      <c r="H130" s="489"/>
    </row>
    <row r="131" spans="7:8">
      <c r="G131" s="14"/>
      <c r="H131" s="489"/>
    </row>
    <row r="132" spans="7:8">
      <c r="G132" s="14"/>
      <c r="H132" s="489"/>
    </row>
    <row r="133" spans="7:8">
      <c r="G133" s="14"/>
      <c r="H133" s="489"/>
    </row>
    <row r="134" spans="7:8">
      <c r="G134" s="14"/>
      <c r="H134" s="489"/>
    </row>
    <row r="135" spans="7:8">
      <c r="G135" s="14"/>
      <c r="H135" s="489"/>
    </row>
    <row r="136" spans="7:8">
      <c r="G136" s="14"/>
      <c r="H136" s="489"/>
    </row>
    <row r="137" spans="7:8">
      <c r="G137" s="14"/>
      <c r="H137" s="489"/>
    </row>
    <row r="138" spans="7:8">
      <c r="G138" s="14"/>
      <c r="H138" s="489"/>
    </row>
    <row r="139" spans="7:8">
      <c r="G139" s="14"/>
      <c r="H139" s="489"/>
    </row>
    <row r="140" spans="7:8">
      <c r="G140" s="14"/>
      <c r="H140" s="489"/>
    </row>
    <row r="141" spans="7:8">
      <c r="G141" s="14"/>
      <c r="H141" s="489"/>
    </row>
    <row r="142" spans="7:8">
      <c r="G142" s="14"/>
      <c r="H142" s="489"/>
    </row>
    <row r="143" spans="7:8">
      <c r="G143" s="14"/>
      <c r="H143" s="489"/>
    </row>
    <row r="144" spans="7:8">
      <c r="G144" s="14"/>
      <c r="H144" s="489"/>
    </row>
    <row r="145" spans="7:8">
      <c r="G145" s="14"/>
      <c r="H145" s="489"/>
    </row>
    <row r="146" spans="7:8">
      <c r="G146" s="14"/>
      <c r="H146" s="489"/>
    </row>
    <row r="147" spans="7:8">
      <c r="G147" s="14"/>
      <c r="H147" s="489"/>
    </row>
    <row r="148" spans="7:8">
      <c r="G148" s="14"/>
      <c r="H148" s="489"/>
    </row>
    <row r="149" spans="7:8">
      <c r="G149" s="14"/>
      <c r="H149" s="489"/>
    </row>
    <row r="150" spans="7:8">
      <c r="G150" s="14"/>
      <c r="H150" s="489"/>
    </row>
    <row r="151" spans="7:8">
      <c r="G151" s="14"/>
      <c r="H151" s="489"/>
    </row>
    <row r="152" spans="7:8">
      <c r="G152" s="14"/>
      <c r="H152" s="489"/>
    </row>
    <row r="153" spans="7:8">
      <c r="G153" s="14"/>
      <c r="H153" s="489"/>
    </row>
    <row r="154" spans="7:8">
      <c r="G154" s="14"/>
      <c r="H154" s="489"/>
    </row>
    <row r="155" spans="7:8">
      <c r="G155" s="14"/>
      <c r="H155" s="489"/>
    </row>
    <row r="156" spans="7:8">
      <c r="G156" s="14"/>
      <c r="H156" s="489"/>
    </row>
    <row r="157" spans="7:8">
      <c r="G157" s="14"/>
      <c r="H157" s="489"/>
    </row>
    <row r="158" spans="7:8">
      <c r="G158" s="14"/>
      <c r="H158" s="489"/>
    </row>
    <row r="159" spans="7:8">
      <c r="G159" s="14"/>
      <c r="H159" s="489"/>
    </row>
    <row r="160" spans="7:8">
      <c r="G160" s="14"/>
      <c r="H160" s="489"/>
    </row>
    <row r="161" spans="7:8">
      <c r="G161" s="14"/>
      <c r="H161" s="489"/>
    </row>
    <row r="162" spans="7:8">
      <c r="G162" s="14"/>
      <c r="H162" s="489"/>
    </row>
    <row r="163" spans="7:8">
      <c r="G163" s="14"/>
      <c r="H163" s="489"/>
    </row>
    <row r="164" spans="7:8">
      <c r="G164" s="14"/>
      <c r="H164" s="489"/>
    </row>
    <row r="165" spans="7:8">
      <c r="G165" s="14"/>
      <c r="H165" s="489"/>
    </row>
    <row r="166" spans="7:8">
      <c r="G166" s="14"/>
      <c r="H166" s="489"/>
    </row>
    <row r="167" spans="7:8">
      <c r="G167" s="14"/>
      <c r="H167" s="489"/>
    </row>
    <row r="168" spans="7:8">
      <c r="G168" s="14"/>
      <c r="H168" s="489"/>
    </row>
    <row r="169" spans="7:8">
      <c r="G169" s="14"/>
      <c r="H169" s="489"/>
    </row>
    <row r="170" spans="7:8">
      <c r="G170" s="14"/>
      <c r="H170" s="489"/>
    </row>
    <row r="171" spans="7:8">
      <c r="G171" s="14"/>
      <c r="H171" s="489"/>
    </row>
    <row r="172" spans="7:8">
      <c r="G172" s="14"/>
      <c r="H172" s="489"/>
    </row>
    <row r="173" spans="7:8">
      <c r="G173" s="14"/>
      <c r="H173" s="489"/>
    </row>
    <row r="174" spans="7:8">
      <c r="G174" s="14"/>
      <c r="H174" s="489"/>
    </row>
    <row r="175" spans="7:8">
      <c r="G175" s="14"/>
      <c r="H175" s="489"/>
    </row>
    <row r="176" spans="7:8">
      <c r="G176" s="14"/>
      <c r="H176" s="489"/>
    </row>
    <row r="177" spans="7:8">
      <c r="G177" s="14"/>
      <c r="H177" s="489"/>
    </row>
    <row r="178" spans="7:8">
      <c r="G178" s="14"/>
      <c r="H178" s="489"/>
    </row>
    <row r="179" spans="7:8">
      <c r="G179" s="14"/>
      <c r="H179" s="489"/>
    </row>
    <row r="180" spans="7:8">
      <c r="G180" s="14"/>
      <c r="H180" s="489"/>
    </row>
    <row r="181" spans="7:8">
      <c r="G181" s="14"/>
      <c r="H181" s="489"/>
    </row>
    <row r="182" spans="7:8">
      <c r="G182" s="14"/>
      <c r="H182" s="489"/>
    </row>
    <row r="183" spans="7:8">
      <c r="G183" s="14"/>
      <c r="H183" s="489"/>
    </row>
    <row r="184" spans="7:8">
      <c r="G184" s="14"/>
      <c r="H184" s="489"/>
    </row>
    <row r="185" spans="7:8">
      <c r="G185" s="14"/>
      <c r="H185" s="489"/>
    </row>
    <row r="186" spans="7:8">
      <c r="G186" s="14"/>
      <c r="H186" s="489"/>
    </row>
    <row r="187" spans="7:8">
      <c r="G187" s="14"/>
      <c r="H187" s="489"/>
    </row>
    <row r="188" spans="7:8">
      <c r="G188" s="14"/>
      <c r="H188" s="489"/>
    </row>
    <row r="189" spans="7:8">
      <c r="G189" s="14"/>
      <c r="H189" s="489"/>
    </row>
    <row r="190" spans="7:8">
      <c r="G190" s="14"/>
      <c r="H190" s="489"/>
    </row>
    <row r="191" spans="7:8">
      <c r="G191" s="14"/>
      <c r="H191" s="489"/>
    </row>
    <row r="192" spans="7:8">
      <c r="G192" s="14"/>
      <c r="H192" s="489"/>
    </row>
    <row r="193" spans="7:8">
      <c r="G193" s="14"/>
      <c r="H193" s="489"/>
    </row>
    <row r="194" spans="7:8">
      <c r="G194" s="14"/>
      <c r="H194" s="489"/>
    </row>
    <row r="195" spans="7:8">
      <c r="G195" s="14"/>
      <c r="H195" s="489"/>
    </row>
    <row r="196" spans="7:8">
      <c r="G196" s="14"/>
      <c r="H196" s="489"/>
    </row>
    <row r="197" spans="7:8">
      <c r="G197" s="14"/>
      <c r="H197" s="489"/>
    </row>
    <row r="198" spans="7:8">
      <c r="G198" s="14"/>
      <c r="H198" s="489"/>
    </row>
    <row r="199" spans="7:8">
      <c r="G199" s="14"/>
      <c r="H199" s="489"/>
    </row>
    <row r="200" spans="7:8">
      <c r="G200" s="14"/>
      <c r="H200" s="489"/>
    </row>
    <row r="201" spans="7:8">
      <c r="G201" s="14"/>
      <c r="H201" s="489"/>
    </row>
    <row r="202" spans="7:8">
      <c r="G202" s="14"/>
      <c r="H202" s="489"/>
    </row>
    <row r="203" spans="7:8">
      <c r="G203" s="14"/>
      <c r="H203" s="489"/>
    </row>
    <row r="204" spans="7:8">
      <c r="G204" s="14"/>
      <c r="H204" s="489"/>
    </row>
    <row r="205" spans="7:8">
      <c r="G205" s="14"/>
      <c r="H205" s="489"/>
    </row>
    <row r="206" spans="7:8">
      <c r="G206" s="14"/>
      <c r="H206" s="489"/>
    </row>
    <row r="207" spans="7:8">
      <c r="G207" s="14"/>
      <c r="H207" s="489"/>
    </row>
    <row r="208" spans="7:8">
      <c r="G208" s="14"/>
      <c r="H208" s="489"/>
    </row>
    <row r="209" spans="7:8">
      <c r="G209" s="14"/>
      <c r="H209" s="489"/>
    </row>
    <row r="210" spans="7:8">
      <c r="G210" s="14"/>
      <c r="H210" s="489"/>
    </row>
    <row r="211" spans="7:8">
      <c r="G211" s="14"/>
      <c r="H211" s="489"/>
    </row>
    <row r="212" spans="7:8">
      <c r="G212" s="14"/>
      <c r="H212" s="489"/>
    </row>
    <row r="213" spans="7:8">
      <c r="G213" s="14"/>
      <c r="H213" s="489"/>
    </row>
    <row r="214" spans="7:8">
      <c r="G214" s="14"/>
      <c r="H214" s="489"/>
    </row>
    <row r="215" spans="7:8">
      <c r="G215" s="14"/>
      <c r="H215" s="489"/>
    </row>
    <row r="216" spans="7:8">
      <c r="G216" s="14"/>
      <c r="H216" s="489"/>
    </row>
    <row r="217" spans="7:8">
      <c r="G217" s="14"/>
      <c r="H217" s="489"/>
    </row>
    <row r="218" spans="7:8">
      <c r="G218" s="14"/>
      <c r="H218" s="489"/>
    </row>
    <row r="219" spans="7:8">
      <c r="G219" s="14"/>
      <c r="H219" s="489"/>
    </row>
    <row r="220" spans="7:8">
      <c r="G220" s="14"/>
      <c r="H220" s="489"/>
    </row>
    <row r="221" spans="7:8">
      <c r="G221" s="14"/>
      <c r="H221" s="489"/>
    </row>
    <row r="222" spans="7:8">
      <c r="G222" s="14"/>
      <c r="H222" s="489"/>
    </row>
    <row r="223" spans="7:8">
      <c r="G223" s="14"/>
      <c r="H223" s="489"/>
    </row>
    <row r="224" spans="7:8">
      <c r="G224" s="14"/>
      <c r="H224" s="489"/>
    </row>
    <row r="225" spans="7:8">
      <c r="G225" s="14"/>
      <c r="H225" s="489"/>
    </row>
    <row r="226" spans="7:8">
      <c r="G226" s="14"/>
      <c r="H226" s="489"/>
    </row>
    <row r="227" spans="7:8">
      <c r="G227" s="14"/>
      <c r="H227" s="489"/>
    </row>
    <row r="228" spans="7:8">
      <c r="G228" s="14"/>
      <c r="H228" s="489"/>
    </row>
    <row r="229" spans="7:8">
      <c r="G229" s="14"/>
      <c r="H229" s="489"/>
    </row>
    <row r="230" spans="7:8">
      <c r="G230" s="14"/>
      <c r="H230" s="489"/>
    </row>
    <row r="231" spans="7:8">
      <c r="G231" s="14"/>
      <c r="H231" s="489"/>
    </row>
    <row r="232" spans="7:8">
      <c r="G232" s="14"/>
      <c r="H232" s="489"/>
    </row>
    <row r="233" spans="7:8">
      <c r="G233" s="14"/>
      <c r="H233" s="489"/>
    </row>
    <row r="234" spans="7:8">
      <c r="G234" s="14"/>
      <c r="H234" s="489"/>
    </row>
    <row r="235" spans="7:8">
      <c r="G235" s="14"/>
      <c r="H235" s="489"/>
    </row>
    <row r="236" spans="7:8">
      <c r="G236" s="14"/>
      <c r="H236" s="489"/>
    </row>
    <row r="237" spans="7:8">
      <c r="G237" s="14"/>
      <c r="H237" s="489"/>
    </row>
    <row r="238" spans="7:8">
      <c r="G238" s="14"/>
      <c r="H238" s="489"/>
    </row>
    <row r="239" spans="7:8">
      <c r="G239" s="14"/>
      <c r="H239" s="489"/>
    </row>
    <row r="240" spans="7:8">
      <c r="G240" s="14"/>
      <c r="H240" s="489"/>
    </row>
    <row r="241" spans="7:8">
      <c r="G241" s="14"/>
      <c r="H241" s="489"/>
    </row>
    <row r="242" spans="7:8">
      <c r="G242" s="14"/>
      <c r="H242" s="489"/>
    </row>
    <row r="243" spans="7:8">
      <c r="G243" s="14"/>
      <c r="H243" s="489"/>
    </row>
    <row r="244" spans="7:8">
      <c r="G244" s="14"/>
      <c r="H244" s="489"/>
    </row>
    <row r="245" spans="7:8">
      <c r="G245" s="14"/>
      <c r="H245" s="489"/>
    </row>
    <row r="246" spans="7:8">
      <c r="G246" s="14"/>
      <c r="H246" s="489"/>
    </row>
    <row r="247" spans="7:8">
      <c r="G247" s="14"/>
      <c r="H247" s="489"/>
    </row>
    <row r="248" spans="7:8">
      <c r="G248" s="14"/>
      <c r="H248" s="489"/>
    </row>
    <row r="249" spans="7:8">
      <c r="G249" s="14"/>
      <c r="H249" s="489"/>
    </row>
    <row r="250" spans="7:8">
      <c r="G250" s="14"/>
      <c r="H250" s="489"/>
    </row>
    <row r="251" spans="7:8">
      <c r="G251" s="14"/>
      <c r="H251" s="489"/>
    </row>
    <row r="252" spans="7:8">
      <c r="G252" s="14"/>
      <c r="H252" s="489"/>
    </row>
    <row r="253" spans="7:8">
      <c r="G253" s="14"/>
      <c r="H253" s="489"/>
    </row>
    <row r="254" spans="7:8">
      <c r="G254" s="14"/>
      <c r="H254" s="489"/>
    </row>
    <row r="255" spans="7:8">
      <c r="G255" s="14"/>
      <c r="H255" s="489"/>
    </row>
    <row r="256" spans="7:8">
      <c r="G256" s="14"/>
      <c r="H256" s="489"/>
    </row>
    <row r="257" spans="7:8">
      <c r="G257" s="14"/>
      <c r="H257" s="489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  <c r="H431" s="489"/>
    </row>
    <row r="432" spans="7:8">
      <c r="G432" s="14"/>
      <c r="H432" s="489"/>
    </row>
    <row r="433" spans="7:8">
      <c r="G433" s="14"/>
      <c r="H433" s="489"/>
    </row>
    <row r="434" spans="7:8">
      <c r="G434" s="14"/>
      <c r="H434" s="489"/>
    </row>
    <row r="435" spans="7:8">
      <c r="G435" s="14"/>
      <c r="H435" s="489"/>
    </row>
    <row r="436" spans="7:8">
      <c r="G436" s="14"/>
      <c r="H436" s="489"/>
    </row>
    <row r="437" spans="7:8">
      <c r="G437" s="14"/>
      <c r="H437" s="489"/>
    </row>
    <row r="438" spans="7:8">
      <c r="G438" s="14"/>
      <c r="H438" s="489"/>
    </row>
    <row r="439" spans="7:8">
      <c r="G439" s="14"/>
      <c r="H439" s="489"/>
    </row>
    <row r="440" spans="7:8">
      <c r="G440" s="14"/>
      <c r="H440" s="489"/>
    </row>
    <row r="441" spans="7:8">
      <c r="G441" s="14"/>
      <c r="H441" s="489"/>
    </row>
    <row r="442" spans="7:8">
      <c r="G442" s="14"/>
      <c r="H442" s="489"/>
    </row>
    <row r="443" spans="7:8">
      <c r="G443" s="14"/>
      <c r="H443" s="489"/>
    </row>
    <row r="444" spans="7:8">
      <c r="G444" s="14"/>
      <c r="H444" s="489"/>
    </row>
    <row r="445" spans="7:8">
      <c r="G445" s="14"/>
      <c r="H445" s="489"/>
    </row>
    <row r="446" spans="7:8">
      <c r="G446" s="14"/>
      <c r="H446" s="489"/>
    </row>
    <row r="447" spans="7:8">
      <c r="G447" s="14"/>
      <c r="H447" s="489"/>
    </row>
    <row r="448" spans="7:8">
      <c r="G448" s="14"/>
      <c r="H448" s="489"/>
    </row>
    <row r="449" spans="7:8">
      <c r="G449" s="14"/>
      <c r="H449" s="489"/>
    </row>
    <row r="450" spans="7:8">
      <c r="G450" s="14"/>
      <c r="H450" s="489"/>
    </row>
    <row r="451" spans="7:8">
      <c r="G451" s="14"/>
      <c r="H451" s="489"/>
    </row>
    <row r="452" spans="7:8">
      <c r="G452" s="14"/>
      <c r="H452" s="489"/>
    </row>
    <row r="453" spans="7:8">
      <c r="G453" s="14"/>
      <c r="H453" s="489"/>
    </row>
    <row r="454" spans="7:8">
      <c r="G454" s="14"/>
      <c r="H454" s="489"/>
    </row>
    <row r="455" spans="7:8">
      <c r="G455" s="14"/>
      <c r="H455" s="489"/>
    </row>
    <row r="456" spans="7:8">
      <c r="G456" s="14"/>
      <c r="H456" s="489"/>
    </row>
    <row r="457" spans="7:8">
      <c r="G457" s="14"/>
      <c r="H457" s="489"/>
    </row>
    <row r="458" spans="7:8">
      <c r="G458" s="14"/>
    </row>
    <row r="459" spans="7:8">
      <c r="G459" s="14"/>
    </row>
    <row r="460" spans="7:8">
      <c r="G460" s="14"/>
    </row>
    <row r="461" spans="7:8">
      <c r="G461" s="14"/>
    </row>
    <row r="462" spans="7:8">
      <c r="G462" s="14"/>
    </row>
    <row r="463" spans="7:8">
      <c r="G463" s="14"/>
    </row>
    <row r="464" spans="7:8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  <row r="679" spans="7:7">
      <c r="G679" s="14"/>
    </row>
    <row r="680" spans="7:7">
      <c r="G680" s="14"/>
    </row>
    <row r="681" spans="7:7">
      <c r="G681" s="14"/>
    </row>
    <row r="682" spans="7:7">
      <c r="G682" s="14"/>
    </row>
    <row r="683" spans="7:7">
      <c r="G683" s="14"/>
    </row>
    <row r="684" spans="7:7">
      <c r="G684" s="14"/>
    </row>
    <row r="685" spans="7:7">
      <c r="G685" s="14"/>
    </row>
    <row r="686" spans="7:7">
      <c r="G686" s="14"/>
    </row>
    <row r="687" spans="7:7">
      <c r="G687" s="14"/>
    </row>
    <row r="688" spans="7:7">
      <c r="G688" s="14"/>
    </row>
    <row r="689" spans="7:7">
      <c r="G689" s="14"/>
    </row>
    <row r="690" spans="7:7">
      <c r="G690" s="14"/>
    </row>
    <row r="691" spans="7:7">
      <c r="G691" s="14"/>
    </row>
    <row r="692" spans="7:7">
      <c r="G692" s="14"/>
    </row>
    <row r="693" spans="7:7">
      <c r="G693" s="14"/>
    </row>
    <row r="694" spans="7:7">
      <c r="G694" s="14"/>
    </row>
    <row r="695" spans="7:7">
      <c r="G695" s="14"/>
    </row>
    <row r="696" spans="7:7">
      <c r="G696" s="14"/>
    </row>
    <row r="697" spans="7:7">
      <c r="G697" s="14"/>
    </row>
    <row r="698" spans="7:7">
      <c r="G698" s="14"/>
    </row>
    <row r="699" spans="7:7">
      <c r="G699" s="14"/>
    </row>
    <row r="700" spans="7:7">
      <c r="G700" s="14"/>
    </row>
    <row r="701" spans="7:7">
      <c r="G701" s="14"/>
    </row>
    <row r="702" spans="7:7">
      <c r="G702" s="14"/>
    </row>
    <row r="703" spans="7:7">
      <c r="G703" s="14"/>
    </row>
    <row r="704" spans="7:7">
      <c r="G704" s="14"/>
    </row>
    <row r="705" spans="7:7">
      <c r="G705" s="14"/>
    </row>
  </sheetData>
  <phoneticPr fontId="3" type="noConversion"/>
  <conditionalFormatting sqref="G83:G87 G33:G74">
    <cfRule type="expression" dxfId="15" priority="4">
      <formula>AND(IF(E33&lt;&gt;0,1),IF(G33=0,1))</formula>
    </cfRule>
  </conditionalFormatting>
  <conditionalFormatting sqref="K33:K87">
    <cfRule type="expression" dxfId="14" priority="3">
      <formula>LEFT(A33,2)="TU"</formula>
    </cfRule>
  </conditionalFormatting>
  <conditionalFormatting sqref="G75:G79">
    <cfRule type="expression" dxfId="13" priority="2">
      <formula>AND(IF(E75&lt;&gt;0,1),IF(G75=0,1))</formula>
    </cfRule>
  </conditionalFormatting>
  <conditionalFormatting sqref="G80:G82">
    <cfRule type="expression" dxfId="12" priority="1">
      <formula>AND(IF(E80&lt;&gt;0,1),IF(G80=0,1))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0000"/>
  </sheetPr>
  <dimension ref="A1:S1101"/>
  <sheetViews>
    <sheetView topLeftCell="A259" zoomScale="115" zoomScaleNormal="115" workbookViewId="0">
      <selection activeCell="H281" sqref="H281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3.125" style="534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388</v>
      </c>
      <c r="B3" s="122">
        <v>44148</v>
      </c>
      <c r="C3" s="122"/>
      <c r="D3" s="536"/>
      <c r="E3" s="88">
        <v>0</v>
      </c>
      <c r="F3" s="122">
        <v>44941</v>
      </c>
      <c r="G3" s="550">
        <v>0</v>
      </c>
      <c r="H3" s="475" t="s">
        <v>289</v>
      </c>
      <c r="I3" s="396">
        <v>100.047275</v>
      </c>
      <c r="J3" s="129">
        <v>97.894131250000001</v>
      </c>
      <c r="K3" s="104">
        <f t="shared" ref="K3:K10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388</v>
      </c>
      <c r="B4" s="122">
        <v>44169</v>
      </c>
      <c r="C4" s="122"/>
      <c r="D4" s="536"/>
      <c r="E4" s="88">
        <v>0</v>
      </c>
      <c r="F4" s="122">
        <v>44941</v>
      </c>
      <c r="G4" s="550">
        <v>0</v>
      </c>
      <c r="H4" s="475" t="s">
        <v>289</v>
      </c>
      <c r="I4" s="129">
        <v>99.719149999999999</v>
      </c>
      <c r="J4" s="129">
        <v>97.894131250000001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87"/>
      <c r="B5" s="122"/>
      <c r="C5" s="122"/>
      <c r="D5" s="536"/>
      <c r="E5" s="88"/>
      <c r="F5" s="122"/>
      <c r="G5" s="550"/>
      <c r="H5" s="475"/>
      <c r="I5" s="129"/>
      <c r="J5" s="129"/>
      <c r="K5" s="104"/>
      <c r="L5" s="382"/>
      <c r="M5" s="93"/>
      <c r="N5" s="93"/>
      <c r="O5" s="93"/>
      <c r="P5" s="93"/>
      <c r="Q5" s="93"/>
      <c r="S5" s="103"/>
    </row>
    <row r="6" spans="1:19" s="102" customFormat="1">
      <c r="A6" s="87" t="s">
        <v>492</v>
      </c>
      <c r="B6" s="122"/>
      <c r="C6" s="122"/>
      <c r="D6" s="536"/>
      <c r="E6" s="88"/>
      <c r="F6" s="122"/>
      <c r="G6" s="550"/>
      <c r="H6" s="475"/>
      <c r="I6" s="129"/>
      <c r="J6" s="129"/>
      <c r="K6" s="104"/>
      <c r="L6" s="382"/>
      <c r="M6" s="93"/>
      <c r="N6" s="93"/>
      <c r="O6" s="93"/>
      <c r="P6" s="93"/>
      <c r="Q6" s="93"/>
      <c r="S6" s="103"/>
    </row>
    <row r="7" spans="1:19" s="102" customFormat="1">
      <c r="A7" s="262" t="s">
        <v>158</v>
      </c>
      <c r="B7" s="265">
        <v>38839</v>
      </c>
      <c r="C7" s="265"/>
      <c r="D7" s="537"/>
      <c r="E7" s="266">
        <v>0</v>
      </c>
      <c r="F7" s="265">
        <v>39568</v>
      </c>
      <c r="G7" s="551">
        <v>0</v>
      </c>
      <c r="H7" s="476"/>
      <c r="I7" s="268">
        <v>99.875</v>
      </c>
      <c r="J7" s="268">
        <v>0</v>
      </c>
      <c r="K7" s="269">
        <f t="shared" si="0"/>
        <v>0</v>
      </c>
      <c r="L7" s="382"/>
      <c r="M7" s="93"/>
      <c r="N7" s="93"/>
      <c r="O7" s="93"/>
      <c r="P7" s="93"/>
      <c r="Q7" s="93"/>
      <c r="S7" s="103"/>
    </row>
    <row r="8" spans="1:19" s="102" customFormat="1">
      <c r="A8" s="262" t="s">
        <v>159</v>
      </c>
      <c r="B8" s="265">
        <v>38839</v>
      </c>
      <c r="C8" s="265"/>
      <c r="D8" s="537"/>
      <c r="E8" s="266">
        <v>0</v>
      </c>
      <c r="F8" s="265">
        <v>39568</v>
      </c>
      <c r="G8" s="551">
        <v>0</v>
      </c>
      <c r="H8" s="476" t="s">
        <v>21</v>
      </c>
      <c r="I8" s="268">
        <v>99.875</v>
      </c>
      <c r="J8" s="268">
        <v>0</v>
      </c>
      <c r="K8" s="269">
        <f t="shared" si="0"/>
        <v>0</v>
      </c>
      <c r="L8" s="382"/>
      <c r="M8" s="93"/>
      <c r="N8" s="93"/>
      <c r="O8" s="93"/>
      <c r="P8" s="93"/>
      <c r="Q8" s="93"/>
      <c r="S8" s="103"/>
    </row>
    <row r="9" spans="1:19" s="116" customFormat="1">
      <c r="A9" s="110" t="s">
        <v>160</v>
      </c>
      <c r="B9" s="113">
        <v>38839</v>
      </c>
      <c r="C9" s="113"/>
      <c r="D9" s="538"/>
      <c r="E9" s="114">
        <v>0</v>
      </c>
      <c r="F9" s="113">
        <v>39568</v>
      </c>
      <c r="G9" s="552">
        <v>0</v>
      </c>
      <c r="H9" s="477" t="s">
        <v>23</v>
      </c>
      <c r="I9" s="319">
        <v>99.875</v>
      </c>
      <c r="J9" s="319">
        <v>0</v>
      </c>
      <c r="K9" s="261">
        <f t="shared" si="0"/>
        <v>0</v>
      </c>
      <c r="L9" s="382"/>
      <c r="S9" s="320"/>
    </row>
    <row r="10" spans="1:19" s="116" customFormat="1">
      <c r="A10" s="110" t="s">
        <v>160</v>
      </c>
      <c r="B10" s="113">
        <v>38839</v>
      </c>
      <c r="C10" s="113"/>
      <c r="D10" s="538"/>
      <c r="E10" s="114">
        <v>0</v>
      </c>
      <c r="F10" s="113">
        <v>42019</v>
      </c>
      <c r="G10" s="552">
        <v>0</v>
      </c>
      <c r="H10" s="478" t="s">
        <v>23</v>
      </c>
      <c r="I10" s="319">
        <v>99.875</v>
      </c>
      <c r="J10" s="319">
        <v>0</v>
      </c>
      <c r="K10" s="261">
        <f t="shared" si="0"/>
        <v>0</v>
      </c>
      <c r="L10" s="382"/>
      <c r="S10" s="117"/>
    </row>
    <row r="11" spans="1:19" s="116" customFormat="1">
      <c r="A11" s="111" t="s">
        <v>166</v>
      </c>
      <c r="B11" s="313"/>
      <c r="C11" s="313"/>
      <c r="D11" s="539"/>
      <c r="E11" s="314">
        <f>SUM(E3:E10)</f>
        <v>0</v>
      </c>
      <c r="F11" s="313"/>
      <c r="G11" s="316">
        <f>SUM(G3:G10)</f>
        <v>0</v>
      </c>
      <c r="H11" s="479"/>
      <c r="I11" s="323"/>
      <c r="J11" s="318"/>
      <c r="K11" s="316">
        <f>SUM(K7:K10)</f>
        <v>0</v>
      </c>
      <c r="L11" s="383"/>
      <c r="S11" s="117"/>
    </row>
    <row r="12" spans="1:19">
      <c r="A12" t="s">
        <v>357</v>
      </c>
    </row>
    <row r="13" spans="1:19" s="93" customFormat="1">
      <c r="A13" s="206" t="s">
        <v>234</v>
      </c>
      <c r="B13" s="207" t="s">
        <v>7</v>
      </c>
      <c r="C13" s="207" t="s">
        <v>171</v>
      </c>
      <c r="D13" s="535" t="s">
        <v>170</v>
      </c>
      <c r="E13" s="208" t="s">
        <v>11</v>
      </c>
      <c r="F13" s="207" t="s">
        <v>2</v>
      </c>
      <c r="G13" s="209" t="s">
        <v>12</v>
      </c>
      <c r="H13" s="482" t="s">
        <v>18</v>
      </c>
      <c r="I13" s="209" t="s">
        <v>210</v>
      </c>
      <c r="J13" s="207" t="s">
        <v>216</v>
      </c>
      <c r="K13" s="260" t="s">
        <v>212</v>
      </c>
      <c r="L13" s="377"/>
      <c r="S13" s="131" t="s">
        <v>21</v>
      </c>
    </row>
    <row r="14" spans="1:19" s="102" customFormat="1">
      <c r="A14" s="87"/>
      <c r="B14" s="122"/>
      <c r="C14" s="122"/>
      <c r="D14" s="536"/>
      <c r="E14" s="88"/>
      <c r="F14" s="122"/>
      <c r="G14" s="550"/>
      <c r="H14" s="475"/>
      <c r="I14" s="396"/>
      <c r="J14" s="129"/>
      <c r="K14" s="104">
        <f t="shared" ref="K14:K19" si="1">(J14-I14)*E14/100</f>
        <v>0</v>
      </c>
      <c r="L14" s="382"/>
      <c r="M14" s="93"/>
      <c r="N14" s="93"/>
      <c r="O14" s="93"/>
      <c r="P14" s="93"/>
      <c r="Q14" s="93"/>
      <c r="S14" s="103"/>
    </row>
    <row r="15" spans="1:19" s="102" customFormat="1">
      <c r="A15" s="87"/>
      <c r="B15" s="122"/>
      <c r="C15" s="122"/>
      <c r="D15" s="536"/>
      <c r="E15" s="88"/>
      <c r="F15" s="122"/>
      <c r="G15" s="550"/>
      <c r="H15" s="475"/>
      <c r="I15" s="129"/>
      <c r="J15" s="129"/>
      <c r="K15" s="104">
        <f t="shared" si="1"/>
        <v>0</v>
      </c>
      <c r="L15" s="382"/>
      <c r="M15" s="93"/>
      <c r="N15" s="93"/>
      <c r="O15" s="93"/>
      <c r="P15" s="93"/>
      <c r="Q15" s="93"/>
      <c r="S15" s="103"/>
    </row>
    <row r="16" spans="1:19" s="102" customFormat="1">
      <c r="A16" s="262"/>
      <c r="B16" s="265"/>
      <c r="C16" s="265"/>
      <c r="D16" s="537"/>
      <c r="E16" s="266"/>
      <c r="F16" s="265"/>
      <c r="G16" s="551"/>
      <c r="H16" s="476"/>
      <c r="I16" s="268"/>
      <c r="J16" s="268"/>
      <c r="K16" s="269">
        <f t="shared" si="1"/>
        <v>0</v>
      </c>
      <c r="L16" s="382"/>
      <c r="M16" s="93"/>
      <c r="N16" s="93"/>
      <c r="O16" s="93"/>
      <c r="P16" s="93"/>
      <c r="Q16" s="93"/>
      <c r="S16" s="103"/>
    </row>
    <row r="17" spans="1:19" s="102" customFormat="1">
      <c r="A17" s="262"/>
      <c r="B17" s="265"/>
      <c r="C17" s="265"/>
      <c r="D17" s="537"/>
      <c r="E17" s="266"/>
      <c r="F17" s="265"/>
      <c r="G17" s="551"/>
      <c r="H17" s="476"/>
      <c r="I17" s="268"/>
      <c r="J17" s="268"/>
      <c r="K17" s="269">
        <f t="shared" si="1"/>
        <v>0</v>
      </c>
      <c r="L17" s="382"/>
      <c r="M17" s="93"/>
      <c r="N17" s="93"/>
      <c r="O17" s="93"/>
      <c r="P17" s="93"/>
      <c r="Q17" s="93"/>
      <c r="S17" s="103"/>
    </row>
    <row r="18" spans="1:19" s="116" customFormat="1">
      <c r="A18" s="110"/>
      <c r="B18" s="113"/>
      <c r="C18" s="113"/>
      <c r="D18" s="538"/>
      <c r="E18" s="114"/>
      <c r="F18" s="113"/>
      <c r="G18" s="552"/>
      <c r="H18" s="477"/>
      <c r="I18" s="319"/>
      <c r="J18" s="319"/>
      <c r="K18" s="261">
        <f t="shared" si="1"/>
        <v>0</v>
      </c>
      <c r="L18" s="382"/>
      <c r="S18" s="320"/>
    </row>
    <row r="19" spans="1:19" s="116" customFormat="1">
      <c r="A19" s="110"/>
      <c r="B19" s="113"/>
      <c r="C19" s="113"/>
      <c r="D19" s="538"/>
      <c r="E19" s="114"/>
      <c r="F19" s="113"/>
      <c r="G19" s="552"/>
      <c r="H19" s="478"/>
      <c r="I19" s="319"/>
      <c r="J19" s="319"/>
      <c r="K19" s="261">
        <f t="shared" si="1"/>
        <v>0</v>
      </c>
      <c r="L19" s="382"/>
      <c r="S19" s="117"/>
    </row>
    <row r="20" spans="1:19" s="116" customFormat="1">
      <c r="A20" s="111" t="s">
        <v>166</v>
      </c>
      <c r="B20" s="313"/>
      <c r="C20" s="313"/>
      <c r="D20" s="539"/>
      <c r="E20" s="314">
        <f>SUM(E14:E19)</f>
        <v>0</v>
      </c>
      <c r="F20" s="313"/>
      <c r="G20" s="316">
        <f>SUM(G14:G19)</f>
        <v>0</v>
      </c>
      <c r="H20" s="479"/>
      <c r="I20" s="323"/>
      <c r="J20" s="318"/>
      <c r="K20" s="316">
        <f>SUM(K14:K19)</f>
        <v>0</v>
      </c>
      <c r="L20" s="383"/>
      <c r="S20" s="117"/>
    </row>
    <row r="21" spans="1:19" s="93" customFormat="1">
      <c r="A21" s="93" t="s">
        <v>163</v>
      </c>
      <c r="B21" s="97"/>
      <c r="C21" s="97"/>
      <c r="D21" s="540"/>
      <c r="E21" s="100"/>
      <c r="F21" s="97"/>
      <c r="H21" s="480"/>
      <c r="I21" s="99"/>
      <c r="J21" s="99"/>
      <c r="L21" s="377"/>
    </row>
    <row r="22" spans="1:19" s="93" customFormat="1">
      <c r="A22" s="206" t="s">
        <v>234</v>
      </c>
      <c r="B22" s="207" t="s">
        <v>7</v>
      </c>
      <c r="C22" s="207" t="s">
        <v>171</v>
      </c>
      <c r="D22" s="535" t="s">
        <v>170</v>
      </c>
      <c r="E22" s="208" t="s">
        <v>11</v>
      </c>
      <c r="F22" s="207" t="s">
        <v>2</v>
      </c>
      <c r="G22" s="209" t="s">
        <v>12</v>
      </c>
      <c r="H22" s="482" t="s">
        <v>18</v>
      </c>
      <c r="I22" s="209" t="s">
        <v>210</v>
      </c>
      <c r="J22" s="207" t="s">
        <v>216</v>
      </c>
      <c r="K22" s="260" t="s">
        <v>212</v>
      </c>
      <c r="L22" s="377"/>
      <c r="S22" s="131" t="s">
        <v>21</v>
      </c>
    </row>
    <row r="23" spans="1:19" s="102" customFormat="1">
      <c r="A23" s="87" t="s">
        <v>154</v>
      </c>
      <c r="B23" s="122">
        <v>38898</v>
      </c>
      <c r="C23" s="122"/>
      <c r="D23" s="536"/>
      <c r="E23" s="88">
        <v>0</v>
      </c>
      <c r="F23" s="122">
        <v>42505</v>
      </c>
      <c r="G23" s="124">
        <v>0</v>
      </c>
      <c r="H23" s="475" t="s">
        <v>23</v>
      </c>
      <c r="I23" s="129">
        <v>99.46875</v>
      </c>
      <c r="J23" s="129">
        <v>0</v>
      </c>
      <c r="K23" s="104">
        <f t="shared" ref="K23:K28" si="2">(J23-I23)*E23/100</f>
        <v>0</v>
      </c>
      <c r="L23" s="378"/>
      <c r="M23" s="93"/>
      <c r="N23" s="93"/>
      <c r="O23" s="93"/>
      <c r="P23" s="93"/>
      <c r="Q23" s="93"/>
      <c r="S23" s="103"/>
    </row>
    <row r="24" spans="1:19" s="102" customFormat="1">
      <c r="A24" s="87" t="s">
        <v>154</v>
      </c>
      <c r="B24" s="122">
        <v>38853</v>
      </c>
      <c r="C24" s="122"/>
      <c r="D24" s="536"/>
      <c r="E24" s="88">
        <v>0</v>
      </c>
      <c r="F24" s="122">
        <v>42505</v>
      </c>
      <c r="G24" s="124">
        <v>0</v>
      </c>
      <c r="H24" s="475" t="s">
        <v>23</v>
      </c>
      <c r="I24" s="129">
        <v>95.90234375</v>
      </c>
      <c r="J24" s="129">
        <v>0</v>
      </c>
      <c r="K24" s="104">
        <f t="shared" si="2"/>
        <v>0</v>
      </c>
      <c r="L24" s="378"/>
      <c r="M24" s="93"/>
      <c r="N24" s="93"/>
      <c r="O24" s="93"/>
      <c r="P24" s="93"/>
      <c r="Q24" s="93"/>
      <c r="S24" s="103"/>
    </row>
    <row r="25" spans="1:19" s="102" customFormat="1">
      <c r="A25" s="262" t="s">
        <v>156</v>
      </c>
      <c r="B25" s="265">
        <v>38839</v>
      </c>
      <c r="C25" s="265"/>
      <c r="D25" s="537"/>
      <c r="E25" s="266">
        <v>0</v>
      </c>
      <c r="F25" s="265">
        <v>39568</v>
      </c>
      <c r="G25" s="151">
        <v>0</v>
      </c>
      <c r="H25" s="476"/>
      <c r="I25" s="268">
        <v>99.875</v>
      </c>
      <c r="J25" s="268">
        <v>0</v>
      </c>
      <c r="K25" s="269">
        <f t="shared" si="2"/>
        <v>0</v>
      </c>
      <c r="L25" s="378"/>
      <c r="M25" s="93"/>
      <c r="N25" s="93"/>
      <c r="O25" s="93"/>
      <c r="P25" s="93"/>
      <c r="Q25" s="93"/>
      <c r="S25" s="103"/>
    </row>
    <row r="26" spans="1:19" s="102" customFormat="1">
      <c r="A26" s="262" t="s">
        <v>156</v>
      </c>
      <c r="B26" s="265">
        <v>38839</v>
      </c>
      <c r="C26" s="265"/>
      <c r="D26" s="537"/>
      <c r="E26" s="266">
        <v>0</v>
      </c>
      <c r="F26" s="265">
        <v>39568</v>
      </c>
      <c r="G26" s="151">
        <v>0</v>
      </c>
      <c r="H26" s="476" t="s">
        <v>21</v>
      </c>
      <c r="I26" s="268">
        <v>99.875</v>
      </c>
      <c r="J26" s="268">
        <v>0</v>
      </c>
      <c r="K26" s="269">
        <f t="shared" si="2"/>
        <v>0</v>
      </c>
      <c r="L26" s="378"/>
      <c r="M26" s="93"/>
      <c r="N26" s="93"/>
      <c r="O26" s="93"/>
      <c r="P26" s="93"/>
      <c r="Q26" s="93"/>
      <c r="S26" s="103"/>
    </row>
    <row r="27" spans="1:19" s="116" customFormat="1">
      <c r="A27" s="110" t="s">
        <v>155</v>
      </c>
      <c r="B27" s="113">
        <v>38839</v>
      </c>
      <c r="C27" s="113"/>
      <c r="D27" s="538"/>
      <c r="E27" s="114">
        <v>0</v>
      </c>
      <c r="F27" s="113">
        <v>39568</v>
      </c>
      <c r="G27" s="118">
        <v>0</v>
      </c>
      <c r="H27" s="477" t="s">
        <v>23</v>
      </c>
      <c r="I27" s="319">
        <v>99.875</v>
      </c>
      <c r="J27" s="319">
        <v>0</v>
      </c>
      <c r="K27" s="261">
        <f t="shared" si="2"/>
        <v>0</v>
      </c>
      <c r="L27" s="379"/>
      <c r="S27" s="320"/>
    </row>
    <row r="28" spans="1:19" s="116" customFormat="1">
      <c r="A28" s="110" t="s">
        <v>155</v>
      </c>
      <c r="B28" s="113">
        <v>38839</v>
      </c>
      <c r="C28" s="113"/>
      <c r="D28" s="538"/>
      <c r="E28" s="114">
        <v>0</v>
      </c>
      <c r="F28" s="113">
        <v>42019</v>
      </c>
      <c r="G28" s="118">
        <v>0</v>
      </c>
      <c r="H28" s="478" t="s">
        <v>23</v>
      </c>
      <c r="I28" s="319">
        <v>99.875</v>
      </c>
      <c r="J28" s="319">
        <v>0</v>
      </c>
      <c r="K28" s="261">
        <f t="shared" si="2"/>
        <v>0</v>
      </c>
      <c r="L28" s="380"/>
      <c r="S28" s="117"/>
    </row>
    <row r="29" spans="1:19" s="532" customFormat="1" ht="17.25" thickBot="1">
      <c r="A29" s="361" t="s">
        <v>166</v>
      </c>
      <c r="B29" s="363"/>
      <c r="C29" s="363"/>
      <c r="D29" s="541"/>
      <c r="E29" s="364">
        <f>SUM(E23:E28)</f>
        <v>0</v>
      </c>
      <c r="F29" s="363"/>
      <c r="G29" s="365">
        <f>SUM(G23:G28)</f>
        <v>0</v>
      </c>
      <c r="H29" s="481"/>
      <c r="I29" s="367"/>
      <c r="J29" s="366"/>
      <c r="K29" s="365">
        <f>SUM(K23:K28)</f>
        <v>0</v>
      </c>
      <c r="L29" s="531"/>
      <c r="S29" s="533"/>
    </row>
    <row r="30" spans="1:19" s="116" customFormat="1" ht="17.25" thickTop="1">
      <c r="A30" s="324" t="s">
        <v>164</v>
      </c>
      <c r="B30" s="313"/>
      <c r="C30" s="313"/>
      <c r="D30" s="539"/>
      <c r="E30" s="314"/>
      <c r="F30" s="313"/>
      <c r="G30" s="316"/>
      <c r="H30" s="479"/>
      <c r="I30" s="323"/>
      <c r="J30" s="318"/>
      <c r="K30" s="316"/>
      <c r="L30" s="380"/>
      <c r="S30" s="117"/>
    </row>
    <row r="31" spans="1:19" s="93" customFormat="1">
      <c r="A31" s="206" t="s">
        <v>99</v>
      </c>
      <c r="B31" s="207" t="s">
        <v>7</v>
      </c>
      <c r="C31" s="207" t="s">
        <v>171</v>
      </c>
      <c r="D31" s="535" t="s">
        <v>170</v>
      </c>
      <c r="E31" s="208" t="s">
        <v>11</v>
      </c>
      <c r="F31" s="207" t="s">
        <v>2</v>
      </c>
      <c r="G31" s="209" t="s">
        <v>12</v>
      </c>
      <c r="H31" s="482" t="s">
        <v>18</v>
      </c>
      <c r="I31" s="209" t="s">
        <v>210</v>
      </c>
      <c r="J31" s="207" t="s">
        <v>216</v>
      </c>
      <c r="K31" s="260" t="s">
        <v>212</v>
      </c>
      <c r="L31" s="377"/>
      <c r="M31"/>
      <c r="N31"/>
      <c r="O31"/>
      <c r="P31"/>
      <c r="Q31"/>
      <c r="S31" s="131" t="s">
        <v>21</v>
      </c>
    </row>
    <row r="32" spans="1:19" s="93" customFormat="1">
      <c r="A32" s="867" t="s">
        <v>639</v>
      </c>
      <c r="B32" s="863" t="s">
        <v>705</v>
      </c>
      <c r="C32" s="863" t="s">
        <v>339</v>
      </c>
      <c r="D32" s="868" t="s">
        <v>339</v>
      </c>
      <c r="E32" s="869">
        <v>100</v>
      </c>
      <c r="F32" s="870" t="s">
        <v>304</v>
      </c>
      <c r="G32" s="871">
        <v>0</v>
      </c>
      <c r="H32" s="864" t="s">
        <v>722</v>
      </c>
      <c r="I32" s="865">
        <v>102.41796875</v>
      </c>
      <c r="J32" s="295">
        <v>102.48046875</v>
      </c>
      <c r="K32" s="296">
        <f t="shared" ref="K32:K57" si="3">IF(LEFT(A32,2)="TU",(J32-I32)*E32/100*100000*2,(J32-I32)*E32/100*100000)</f>
        <v>12500</v>
      </c>
      <c r="L32" s="377"/>
      <c r="M32"/>
      <c r="N32"/>
      <c r="O32"/>
      <c r="P32"/>
      <c r="Q32"/>
      <c r="S32" s="131"/>
    </row>
    <row r="33" spans="1:19" s="93" customFormat="1">
      <c r="A33" s="867" t="s">
        <v>639</v>
      </c>
      <c r="B33" s="863" t="s">
        <v>723</v>
      </c>
      <c r="C33" s="863" t="s">
        <v>339</v>
      </c>
      <c r="D33" s="868" t="s">
        <v>339</v>
      </c>
      <c r="E33" s="869">
        <v>100</v>
      </c>
      <c r="F33" s="870" t="s">
        <v>304</v>
      </c>
      <c r="G33" s="871">
        <v>-3720.0000000000005</v>
      </c>
      <c r="H33" s="864" t="s">
        <v>724</v>
      </c>
      <c r="I33" s="865">
        <v>102.44921875</v>
      </c>
      <c r="J33" s="295">
        <v>102.85546875</v>
      </c>
      <c r="K33" s="296">
        <f t="shared" si="3"/>
        <v>81250</v>
      </c>
      <c r="L33" s="377"/>
      <c r="M33"/>
      <c r="N33"/>
      <c r="O33"/>
      <c r="P33"/>
      <c r="Q33"/>
      <c r="S33" s="131"/>
    </row>
    <row r="34" spans="1:19" s="93" customFormat="1">
      <c r="A34" s="867" t="s">
        <v>639</v>
      </c>
      <c r="B34" s="863" t="s">
        <v>666</v>
      </c>
      <c r="C34" s="863" t="s">
        <v>339</v>
      </c>
      <c r="D34" s="868" t="s">
        <v>339</v>
      </c>
      <c r="E34" s="869">
        <v>50</v>
      </c>
      <c r="F34" s="870" t="s">
        <v>304</v>
      </c>
      <c r="G34" s="871">
        <v>-1860.0000000000002</v>
      </c>
      <c r="H34" s="864" t="s">
        <v>668</v>
      </c>
      <c r="I34" s="865">
        <v>102.5703125</v>
      </c>
      <c r="J34" s="295">
        <v>102.828125</v>
      </c>
      <c r="K34" s="296">
        <f t="shared" si="3"/>
        <v>25781.25</v>
      </c>
      <c r="L34" s="377"/>
      <c r="M34"/>
      <c r="N34"/>
      <c r="O34"/>
      <c r="P34"/>
      <c r="Q34"/>
      <c r="S34" s="131"/>
    </row>
    <row r="35" spans="1:19" s="93" customFormat="1">
      <c r="A35" s="867" t="s">
        <v>639</v>
      </c>
      <c r="B35" s="863" t="s">
        <v>666</v>
      </c>
      <c r="C35" s="863" t="s">
        <v>339</v>
      </c>
      <c r="D35" s="868" t="s">
        <v>339</v>
      </c>
      <c r="E35" s="869">
        <v>50</v>
      </c>
      <c r="F35" s="870" t="s">
        <v>304</v>
      </c>
      <c r="G35" s="871">
        <v>-1860.0000000000002</v>
      </c>
      <c r="H35" s="864" t="s">
        <v>669</v>
      </c>
      <c r="I35" s="865">
        <v>102.5703125</v>
      </c>
      <c r="J35" s="295">
        <v>102.828125</v>
      </c>
      <c r="K35" s="296">
        <f t="shared" si="3"/>
        <v>25781.25</v>
      </c>
      <c r="L35" s="377"/>
      <c r="M35"/>
      <c r="N35"/>
      <c r="O35"/>
      <c r="P35"/>
      <c r="Q35"/>
      <c r="S35" s="131"/>
    </row>
    <row r="36" spans="1:19" s="93" customFormat="1">
      <c r="A36" s="867" t="s">
        <v>629</v>
      </c>
      <c r="B36" s="863" t="s">
        <v>732</v>
      </c>
      <c r="C36" s="863" t="s">
        <v>339</v>
      </c>
      <c r="D36" s="868" t="s">
        <v>339</v>
      </c>
      <c r="E36" s="869">
        <v>-50</v>
      </c>
      <c r="F36" s="870" t="s">
        <v>304</v>
      </c>
      <c r="G36" s="871">
        <v>0</v>
      </c>
      <c r="H36" s="864" t="s">
        <v>736</v>
      </c>
      <c r="I36" s="865">
        <v>114.71875</v>
      </c>
      <c r="J36" s="295">
        <v>114.484375</v>
      </c>
      <c r="K36" s="296">
        <f t="shared" si="3"/>
        <v>11718.75</v>
      </c>
      <c r="L36" s="377"/>
      <c r="M36"/>
      <c r="N36"/>
      <c r="O36"/>
      <c r="P36"/>
      <c r="Q36"/>
      <c r="S36" s="131"/>
    </row>
    <row r="37" spans="1:19" s="93" customFormat="1">
      <c r="A37" s="867" t="s">
        <v>629</v>
      </c>
      <c r="B37" s="863" t="s">
        <v>672</v>
      </c>
      <c r="C37" s="863" t="s">
        <v>339</v>
      </c>
      <c r="D37" s="868" t="s">
        <v>339</v>
      </c>
      <c r="E37" s="869">
        <v>-50</v>
      </c>
      <c r="F37" s="870" t="s">
        <v>304</v>
      </c>
      <c r="G37" s="871">
        <v>3850</v>
      </c>
      <c r="H37" s="864" t="s">
        <v>673</v>
      </c>
      <c r="I37" s="865">
        <v>112.328125</v>
      </c>
      <c r="J37" s="295">
        <v>114.21875</v>
      </c>
      <c r="K37" s="296">
        <f t="shared" si="3"/>
        <v>-94531.25</v>
      </c>
      <c r="L37" s="377"/>
      <c r="M37"/>
      <c r="N37"/>
      <c r="O37"/>
      <c r="P37"/>
      <c r="Q37"/>
      <c r="S37" s="131"/>
    </row>
    <row r="38" spans="1:19" s="93" customFormat="1">
      <c r="A38" s="867" t="s">
        <v>629</v>
      </c>
      <c r="B38" s="863" t="s">
        <v>723</v>
      </c>
      <c r="C38" s="863" t="s">
        <v>339</v>
      </c>
      <c r="D38" s="868" t="s">
        <v>339</v>
      </c>
      <c r="E38" s="869">
        <v>-50</v>
      </c>
      <c r="F38" s="870" t="s">
        <v>304</v>
      </c>
      <c r="G38" s="871">
        <v>3850</v>
      </c>
      <c r="H38" s="864" t="s">
        <v>725</v>
      </c>
      <c r="I38" s="865">
        <v>112.953125</v>
      </c>
      <c r="J38" s="295">
        <v>114.21875</v>
      </c>
      <c r="K38" s="296">
        <f t="shared" si="3"/>
        <v>-63281.25</v>
      </c>
      <c r="L38" s="377"/>
    </row>
    <row r="39" spans="1:19" s="93" customFormat="1">
      <c r="A39" s="867" t="s">
        <v>639</v>
      </c>
      <c r="B39" s="863" t="s">
        <v>741</v>
      </c>
      <c r="C39" s="863" t="s">
        <v>339</v>
      </c>
      <c r="D39" s="868" t="s">
        <v>339</v>
      </c>
      <c r="E39" s="869">
        <v>-50</v>
      </c>
      <c r="F39" s="870" t="s">
        <v>304</v>
      </c>
      <c r="G39" s="871">
        <v>0</v>
      </c>
      <c r="H39" s="864" t="s">
        <v>749</v>
      </c>
      <c r="I39" s="865">
        <v>102.859375</v>
      </c>
      <c r="J39" s="295">
        <v>102.8359375</v>
      </c>
      <c r="K39" s="296">
        <f t="shared" si="3"/>
        <v>2343.75</v>
      </c>
      <c r="L39" s="377"/>
    </row>
    <row r="40" spans="1:19" s="93" customFormat="1">
      <c r="A40" s="867" t="s">
        <v>639</v>
      </c>
      <c r="B40" s="863" t="s">
        <v>744</v>
      </c>
      <c r="C40" s="863" t="s">
        <v>339</v>
      </c>
      <c r="D40" s="868" t="s">
        <v>339</v>
      </c>
      <c r="E40" s="869">
        <v>-50</v>
      </c>
      <c r="F40" s="870" t="s">
        <v>304</v>
      </c>
      <c r="G40" s="871">
        <v>0</v>
      </c>
      <c r="H40" s="864" t="s">
        <v>750</v>
      </c>
      <c r="I40" s="865">
        <v>102.90625</v>
      </c>
      <c r="J40" s="295">
        <v>102.8359375</v>
      </c>
      <c r="K40" s="296">
        <f t="shared" si="3"/>
        <v>7031.25</v>
      </c>
      <c r="L40" s="377"/>
    </row>
    <row r="41" spans="1:19" s="270" customFormat="1">
      <c r="A41" s="867" t="s">
        <v>629</v>
      </c>
      <c r="B41" s="863" t="s">
        <v>741</v>
      </c>
      <c r="C41" s="863" t="s">
        <v>339</v>
      </c>
      <c r="D41" s="868" t="s">
        <v>339</v>
      </c>
      <c r="E41" s="869">
        <v>-50</v>
      </c>
      <c r="F41" s="870" t="s">
        <v>304</v>
      </c>
      <c r="G41" s="871">
        <v>0</v>
      </c>
      <c r="H41" s="864" t="s">
        <v>752</v>
      </c>
      <c r="I41" s="865">
        <v>114.296875</v>
      </c>
      <c r="J41" s="295">
        <v>114.671875</v>
      </c>
      <c r="K41" s="296">
        <f t="shared" si="3"/>
        <v>-18750</v>
      </c>
      <c r="L41" s="381"/>
    </row>
    <row r="42" spans="1:19" s="270" customFormat="1">
      <c r="A42" s="867" t="s">
        <v>639</v>
      </c>
      <c r="B42" s="863" t="s">
        <v>744</v>
      </c>
      <c r="C42" s="863" t="s">
        <v>339</v>
      </c>
      <c r="D42" s="868" t="s">
        <v>339</v>
      </c>
      <c r="E42" s="869">
        <v>-1</v>
      </c>
      <c r="F42" s="870" t="s">
        <v>304</v>
      </c>
      <c r="G42" s="871">
        <v>0</v>
      </c>
      <c r="H42" s="864" t="s">
        <v>768</v>
      </c>
      <c r="I42" s="865">
        <v>102.90625</v>
      </c>
      <c r="J42" s="295">
        <v>102.890625</v>
      </c>
      <c r="K42" s="296">
        <f t="shared" si="3"/>
        <v>31.25</v>
      </c>
      <c r="L42" s="381"/>
    </row>
    <row r="43" spans="1:19" s="270" customFormat="1">
      <c r="A43" s="867" t="s">
        <v>639</v>
      </c>
      <c r="B43" s="863" t="s">
        <v>744</v>
      </c>
      <c r="C43" s="863" t="s">
        <v>339</v>
      </c>
      <c r="D43" s="868" t="s">
        <v>339</v>
      </c>
      <c r="E43" s="869">
        <v>-49</v>
      </c>
      <c r="F43" s="870" t="s">
        <v>304</v>
      </c>
      <c r="G43" s="871">
        <v>0</v>
      </c>
      <c r="H43" s="864" t="s">
        <v>769</v>
      </c>
      <c r="I43" s="865">
        <v>102.90625</v>
      </c>
      <c r="J43" s="295">
        <v>102.890625</v>
      </c>
      <c r="K43" s="296">
        <f t="shared" si="3"/>
        <v>1531.25</v>
      </c>
      <c r="L43" s="381"/>
    </row>
    <row r="44" spans="1:19" s="270" customFormat="1">
      <c r="A44" s="867" t="s">
        <v>639</v>
      </c>
      <c r="B44" s="863" t="s">
        <v>744</v>
      </c>
      <c r="C44" s="863" t="s">
        <v>339</v>
      </c>
      <c r="D44" s="868" t="s">
        <v>339</v>
      </c>
      <c r="E44" s="869">
        <v>100</v>
      </c>
      <c r="F44" s="870" t="s">
        <v>304</v>
      </c>
      <c r="G44" s="871">
        <v>0</v>
      </c>
      <c r="H44" s="864" t="s">
        <v>770</v>
      </c>
      <c r="I44" s="865">
        <v>102.8671875</v>
      </c>
      <c r="J44" s="295">
        <v>102.9375</v>
      </c>
      <c r="K44" s="296">
        <f t="shared" si="3"/>
        <v>14062.5</v>
      </c>
      <c r="L44" s="381"/>
    </row>
    <row r="45" spans="1:19" s="270" customFormat="1">
      <c r="A45" s="867" t="s">
        <v>639</v>
      </c>
      <c r="B45" s="863" t="s">
        <v>744</v>
      </c>
      <c r="C45" s="863" t="s">
        <v>339</v>
      </c>
      <c r="D45" s="868" t="s">
        <v>339</v>
      </c>
      <c r="E45" s="869">
        <v>-100</v>
      </c>
      <c r="F45" s="870" t="s">
        <v>304</v>
      </c>
      <c r="G45" s="871">
        <v>0</v>
      </c>
      <c r="H45" s="864" t="s">
        <v>771</v>
      </c>
      <c r="I45" s="865">
        <v>103.109375</v>
      </c>
      <c r="J45" s="295">
        <v>103.03125</v>
      </c>
      <c r="K45" s="296">
        <f t="shared" si="3"/>
        <v>15625</v>
      </c>
      <c r="L45" s="381"/>
    </row>
    <row r="46" spans="1:19" s="270" customFormat="1">
      <c r="A46" s="867" t="s">
        <v>639</v>
      </c>
      <c r="B46" s="863" t="s">
        <v>732</v>
      </c>
      <c r="C46" s="863" t="s">
        <v>339</v>
      </c>
      <c r="D46" s="868" t="s">
        <v>339</v>
      </c>
      <c r="E46" s="869">
        <v>-100</v>
      </c>
      <c r="F46" s="870" t="s">
        <v>304</v>
      </c>
      <c r="G46" s="871">
        <v>3720.0000000000005</v>
      </c>
      <c r="H46" s="864" t="s">
        <v>735</v>
      </c>
      <c r="I46" s="865">
        <v>102.8515625</v>
      </c>
      <c r="J46" s="295">
        <v>103.0078125</v>
      </c>
      <c r="K46" s="296">
        <f t="shared" si="3"/>
        <v>-31250</v>
      </c>
      <c r="L46" s="381"/>
    </row>
    <row r="47" spans="1:19" s="270" customFormat="1">
      <c r="A47" s="867" t="s">
        <v>639</v>
      </c>
      <c r="B47" s="863" t="s">
        <v>776</v>
      </c>
      <c r="C47" s="863" t="s">
        <v>339</v>
      </c>
      <c r="D47" s="868" t="s">
        <v>339</v>
      </c>
      <c r="E47" s="869">
        <v>100</v>
      </c>
      <c r="F47" s="870" t="s">
        <v>304</v>
      </c>
      <c r="G47" s="871">
        <v>0</v>
      </c>
      <c r="H47" s="864" t="s">
        <v>780</v>
      </c>
      <c r="I47" s="865">
        <v>102.875</v>
      </c>
      <c r="J47" s="295">
        <v>102.890625</v>
      </c>
      <c r="K47" s="296">
        <f t="shared" si="3"/>
        <v>3125</v>
      </c>
      <c r="L47" s="381"/>
    </row>
    <row r="48" spans="1:19" s="270" customFormat="1">
      <c r="A48" s="867" t="s">
        <v>639</v>
      </c>
      <c r="B48" s="863" t="s">
        <v>781</v>
      </c>
      <c r="C48" s="863" t="s">
        <v>339</v>
      </c>
      <c r="D48" s="868" t="s">
        <v>339</v>
      </c>
      <c r="E48" s="869">
        <v>100</v>
      </c>
      <c r="F48" s="870" t="s">
        <v>304</v>
      </c>
      <c r="G48" s="871">
        <v>0</v>
      </c>
      <c r="H48" s="864" t="s">
        <v>782</v>
      </c>
      <c r="I48" s="865">
        <v>102.8671875</v>
      </c>
      <c r="J48" s="295">
        <v>102.84375</v>
      </c>
      <c r="K48" s="296">
        <f t="shared" si="3"/>
        <v>-4687.5</v>
      </c>
      <c r="L48" s="381"/>
    </row>
    <row r="49" spans="1:12" s="270" customFormat="1">
      <c r="A49" s="867" t="s">
        <v>639</v>
      </c>
      <c r="B49" s="863" t="s">
        <v>744</v>
      </c>
      <c r="C49" s="863" t="s">
        <v>339</v>
      </c>
      <c r="D49" s="868" t="s">
        <v>339</v>
      </c>
      <c r="E49" s="869">
        <v>-50</v>
      </c>
      <c r="F49" s="870" t="s">
        <v>304</v>
      </c>
      <c r="G49" s="871">
        <v>1860.0000000000002</v>
      </c>
      <c r="H49" s="864" t="s">
        <v>751</v>
      </c>
      <c r="I49" s="865">
        <v>102.90625</v>
      </c>
      <c r="J49" s="295">
        <v>102.890625</v>
      </c>
      <c r="K49" s="296">
        <f>IF(LEFT(A49,2)="TU",(J49-I49)*E49/100*100000*2,(J49-I49)*E49/100*100000)</f>
        <v>1562.5</v>
      </c>
      <c r="L49" s="381"/>
    </row>
    <row r="50" spans="1:12" s="270" customFormat="1">
      <c r="A50" s="867" t="s">
        <v>639</v>
      </c>
      <c r="B50" s="863" t="s">
        <v>744</v>
      </c>
      <c r="C50" s="863" t="s">
        <v>339</v>
      </c>
      <c r="D50" s="868" t="s">
        <v>339</v>
      </c>
      <c r="E50" s="869">
        <v>-50</v>
      </c>
      <c r="F50" s="870" t="s">
        <v>304</v>
      </c>
      <c r="G50" s="871">
        <v>1860.0000000000002</v>
      </c>
      <c r="H50" s="864" t="s">
        <v>772</v>
      </c>
      <c r="I50" s="865">
        <v>102.90625</v>
      </c>
      <c r="J50" s="295">
        <v>102.890625</v>
      </c>
      <c r="K50" s="296">
        <f t="shared" si="3"/>
        <v>1562.5</v>
      </c>
      <c r="L50" s="381"/>
    </row>
    <row r="51" spans="1:12" s="270" customFormat="1">
      <c r="A51" s="867" t="s">
        <v>629</v>
      </c>
      <c r="B51" s="863" t="s">
        <v>776</v>
      </c>
      <c r="C51" s="863" t="s">
        <v>339</v>
      </c>
      <c r="D51" s="868" t="s">
        <v>339</v>
      </c>
      <c r="E51" s="869">
        <v>50</v>
      </c>
      <c r="F51" s="870" t="s">
        <v>304</v>
      </c>
      <c r="G51" s="871">
        <v>0</v>
      </c>
      <c r="H51" s="864" t="s">
        <v>783</v>
      </c>
      <c r="I51" s="865">
        <v>114.546875</v>
      </c>
      <c r="J51" s="295">
        <v>114.609375</v>
      </c>
      <c r="K51" s="296">
        <f t="shared" si="3"/>
        <v>3125</v>
      </c>
      <c r="L51" s="381"/>
    </row>
    <row r="52" spans="1:12" s="270" customFormat="1">
      <c r="A52" s="867" t="s">
        <v>629</v>
      </c>
      <c r="B52" s="863" t="s">
        <v>781</v>
      </c>
      <c r="C52" s="863" t="s">
        <v>339</v>
      </c>
      <c r="D52" s="868" t="s">
        <v>339</v>
      </c>
      <c r="E52" s="869">
        <v>50</v>
      </c>
      <c r="F52" s="870" t="s">
        <v>304</v>
      </c>
      <c r="G52" s="871">
        <v>0</v>
      </c>
      <c r="H52" s="864" t="s">
        <v>784</v>
      </c>
      <c r="I52" s="865">
        <v>114.5</v>
      </c>
      <c r="J52" s="295">
        <v>114.5625</v>
      </c>
      <c r="K52" s="296">
        <f t="shared" si="3"/>
        <v>3125</v>
      </c>
      <c r="L52" s="381"/>
    </row>
    <row r="53" spans="1:12" s="270" customFormat="1">
      <c r="A53" s="867" t="s">
        <v>639</v>
      </c>
      <c r="B53" s="863" t="s">
        <v>786</v>
      </c>
      <c r="C53" s="863" t="s">
        <v>339</v>
      </c>
      <c r="D53" s="868" t="s">
        <v>339</v>
      </c>
      <c r="E53" s="869">
        <v>50</v>
      </c>
      <c r="F53" s="870" t="s">
        <v>304</v>
      </c>
      <c r="G53" s="871">
        <v>0</v>
      </c>
      <c r="H53" s="864" t="s">
        <v>792</v>
      </c>
      <c r="I53" s="865">
        <v>102.984375</v>
      </c>
      <c r="J53" s="295">
        <v>103</v>
      </c>
      <c r="K53" s="296">
        <f t="shared" si="3"/>
        <v>1562.5</v>
      </c>
      <c r="L53" s="381"/>
    </row>
    <row r="54" spans="1:12" s="270" customFormat="1">
      <c r="A54" s="867" t="s">
        <v>639</v>
      </c>
      <c r="B54" s="863" t="s">
        <v>786</v>
      </c>
      <c r="C54" s="863" t="s">
        <v>339</v>
      </c>
      <c r="D54" s="868" t="s">
        <v>339</v>
      </c>
      <c r="E54" s="869">
        <v>50</v>
      </c>
      <c r="F54" s="870" t="s">
        <v>304</v>
      </c>
      <c r="G54" s="871">
        <v>0</v>
      </c>
      <c r="H54" s="864" t="s">
        <v>793</v>
      </c>
      <c r="I54" s="865">
        <v>102.96875</v>
      </c>
      <c r="J54" s="295">
        <v>103</v>
      </c>
      <c r="K54" s="296">
        <f t="shared" si="3"/>
        <v>3125</v>
      </c>
      <c r="L54" s="381"/>
    </row>
    <row r="55" spans="1:12" s="270" customFormat="1">
      <c r="A55" s="867" t="s">
        <v>629</v>
      </c>
      <c r="B55" s="863" t="s">
        <v>781</v>
      </c>
      <c r="C55" s="863" t="s">
        <v>339</v>
      </c>
      <c r="D55" s="868" t="s">
        <v>339</v>
      </c>
      <c r="E55" s="869">
        <v>50</v>
      </c>
      <c r="F55" s="870" t="s">
        <v>304</v>
      </c>
      <c r="G55" s="871">
        <v>0</v>
      </c>
      <c r="H55" s="864" t="s">
        <v>795</v>
      </c>
      <c r="I55" s="865">
        <v>114.546875</v>
      </c>
      <c r="J55" s="295">
        <v>114.921875</v>
      </c>
      <c r="K55" s="296">
        <f t="shared" si="3"/>
        <v>18750</v>
      </c>
      <c r="L55" s="381"/>
    </row>
    <row r="56" spans="1:12" s="270" customFormat="1">
      <c r="A56" s="867" t="s">
        <v>629</v>
      </c>
      <c r="B56" s="863" t="s">
        <v>744</v>
      </c>
      <c r="C56" s="863" t="s">
        <v>339</v>
      </c>
      <c r="D56" s="868" t="s">
        <v>339</v>
      </c>
      <c r="E56" s="869">
        <v>50</v>
      </c>
      <c r="F56" s="870" t="s">
        <v>304</v>
      </c>
      <c r="G56" s="871">
        <v>-3850</v>
      </c>
      <c r="H56" s="864" t="s">
        <v>753</v>
      </c>
      <c r="I56" s="865">
        <v>114.609375</v>
      </c>
      <c r="J56" s="295">
        <v>114.9375</v>
      </c>
      <c r="K56" s="296">
        <f t="shared" si="3"/>
        <v>16406.25</v>
      </c>
      <c r="L56" s="381"/>
    </row>
    <row r="57" spans="1:12" s="270" customFormat="1">
      <c r="A57" s="867" t="s">
        <v>639</v>
      </c>
      <c r="B57" s="863" t="s">
        <v>786</v>
      </c>
      <c r="C57" s="863" t="s">
        <v>339</v>
      </c>
      <c r="D57" s="868" t="s">
        <v>339</v>
      </c>
      <c r="E57" s="869">
        <v>-100</v>
      </c>
      <c r="F57" s="870" t="s">
        <v>304</v>
      </c>
      <c r="G57" s="871">
        <v>0</v>
      </c>
      <c r="H57" s="864" t="s">
        <v>814</v>
      </c>
      <c r="I57" s="865">
        <v>103.0078125</v>
      </c>
      <c r="J57" s="295">
        <v>102.9921875</v>
      </c>
      <c r="K57" s="296">
        <f t="shared" si="3"/>
        <v>3125</v>
      </c>
      <c r="L57" s="381"/>
    </row>
    <row r="58" spans="1:12" s="270" customFormat="1">
      <c r="A58" s="867" t="s">
        <v>629</v>
      </c>
      <c r="B58" s="863" t="s">
        <v>786</v>
      </c>
      <c r="C58" s="863" t="s">
        <v>339</v>
      </c>
      <c r="D58" s="868" t="s">
        <v>339</v>
      </c>
      <c r="E58" s="869">
        <v>-50</v>
      </c>
      <c r="F58" s="870" t="s">
        <v>304</v>
      </c>
      <c r="G58" s="871">
        <v>0</v>
      </c>
      <c r="H58" s="864" t="s">
        <v>815</v>
      </c>
      <c r="I58" s="865">
        <v>115.4375</v>
      </c>
      <c r="J58" s="295">
        <v>115.40625</v>
      </c>
      <c r="K58" s="296">
        <f>IF(LEFT(A58,2)="TU",(J58-I58)*E58/100*100000*2,(J58-I58)*E58/100*100000)</f>
        <v>1562.5</v>
      </c>
      <c r="L58" s="381"/>
    </row>
    <row r="59" spans="1:12" s="270" customFormat="1">
      <c r="A59" s="867" t="s">
        <v>629</v>
      </c>
      <c r="B59" s="863" t="s">
        <v>786</v>
      </c>
      <c r="C59" s="863" t="s">
        <v>339</v>
      </c>
      <c r="D59" s="868" t="s">
        <v>339</v>
      </c>
      <c r="E59" s="869">
        <v>-50</v>
      </c>
      <c r="F59" s="870" t="s">
        <v>304</v>
      </c>
      <c r="G59" s="871">
        <v>0</v>
      </c>
      <c r="H59" s="864" t="s">
        <v>816</v>
      </c>
      <c r="I59" s="865">
        <v>115.75</v>
      </c>
      <c r="J59" s="295">
        <v>115.6875</v>
      </c>
      <c r="K59" s="296">
        <f t="shared" ref="K59:K122" si="4">IF(LEFT(A59,2)="TU",(J59-I59)*E59/100*100000*2,(J59-I59)*E59/100*100000)</f>
        <v>3125</v>
      </c>
      <c r="L59" s="381"/>
    </row>
    <row r="60" spans="1:12" s="270" customFormat="1">
      <c r="A60" s="867" t="s">
        <v>629</v>
      </c>
      <c r="B60" s="863" t="s">
        <v>737</v>
      </c>
      <c r="C60" s="863" t="s">
        <v>339</v>
      </c>
      <c r="D60" s="868" t="s">
        <v>339</v>
      </c>
      <c r="E60" s="869">
        <v>50</v>
      </c>
      <c r="F60" s="870" t="s">
        <v>304</v>
      </c>
      <c r="G60" s="871">
        <v>-3850</v>
      </c>
      <c r="H60" s="864" t="s">
        <v>743</v>
      </c>
      <c r="I60" s="865">
        <v>114.109375</v>
      </c>
      <c r="J60" s="295">
        <v>115.9375</v>
      </c>
      <c r="K60" s="296">
        <f t="shared" si="4"/>
        <v>91406.25</v>
      </c>
      <c r="L60" s="381"/>
    </row>
    <row r="61" spans="1:12" s="270" customFormat="1">
      <c r="A61" s="867" t="s">
        <v>639</v>
      </c>
      <c r="B61" s="863" t="s">
        <v>797</v>
      </c>
      <c r="C61" s="863" t="s">
        <v>339</v>
      </c>
      <c r="D61" s="868" t="s">
        <v>339</v>
      </c>
      <c r="E61" s="869">
        <v>100</v>
      </c>
      <c r="F61" s="870" t="s">
        <v>304</v>
      </c>
      <c r="G61" s="871">
        <v>0</v>
      </c>
      <c r="H61" s="864" t="s">
        <v>839</v>
      </c>
      <c r="I61" s="865">
        <v>103.125</v>
      </c>
      <c r="J61" s="295">
        <v>102.8125</v>
      </c>
      <c r="K61" s="296">
        <f t="shared" si="4"/>
        <v>-62500</v>
      </c>
      <c r="L61" s="381"/>
    </row>
    <row r="62" spans="1:12" s="270" customFormat="1">
      <c r="A62" s="867" t="s">
        <v>639</v>
      </c>
      <c r="B62" s="863" t="s">
        <v>835</v>
      </c>
      <c r="C62" s="863" t="s">
        <v>339</v>
      </c>
      <c r="D62" s="868" t="s">
        <v>339</v>
      </c>
      <c r="E62" s="869">
        <v>100</v>
      </c>
      <c r="F62" s="870" t="s">
        <v>304</v>
      </c>
      <c r="G62" s="871">
        <v>0</v>
      </c>
      <c r="H62" s="864" t="s">
        <v>840</v>
      </c>
      <c r="I62" s="865">
        <v>102.9140625</v>
      </c>
      <c r="J62" s="295">
        <v>102.8125</v>
      </c>
      <c r="K62" s="296">
        <f t="shared" si="4"/>
        <v>-20312.5</v>
      </c>
      <c r="L62" s="381"/>
    </row>
    <row r="63" spans="1:12" s="270" customFormat="1">
      <c r="A63" s="867" t="s">
        <v>639</v>
      </c>
      <c r="B63" s="863" t="s">
        <v>835</v>
      </c>
      <c r="C63" s="863" t="s">
        <v>339</v>
      </c>
      <c r="D63" s="868" t="s">
        <v>339</v>
      </c>
      <c r="E63" s="869">
        <v>-50</v>
      </c>
      <c r="F63" s="870" t="s">
        <v>304</v>
      </c>
      <c r="G63" s="871">
        <v>0</v>
      </c>
      <c r="H63" s="864" t="s">
        <v>841</v>
      </c>
      <c r="I63" s="865">
        <v>102.9375</v>
      </c>
      <c r="J63" s="295">
        <v>102.875</v>
      </c>
      <c r="K63" s="296">
        <f>IF(LEFT(A63,2)="TU",(J63-I63)*E63/100*100000*2,(J63-I63)*E63/100*100000)</f>
        <v>6250</v>
      </c>
      <c r="L63" s="381"/>
    </row>
    <row r="64" spans="1:12" s="270" customFormat="1">
      <c r="A64" s="867" t="s">
        <v>639</v>
      </c>
      <c r="B64" s="863" t="s">
        <v>827</v>
      </c>
      <c r="C64" s="863" t="s">
        <v>339</v>
      </c>
      <c r="D64" s="868" t="s">
        <v>339</v>
      </c>
      <c r="E64" s="869">
        <v>-50</v>
      </c>
      <c r="F64" s="870" t="s">
        <v>304</v>
      </c>
      <c r="G64" s="871">
        <v>0</v>
      </c>
      <c r="H64" s="864" t="s">
        <v>842</v>
      </c>
      <c r="I64" s="865">
        <v>103</v>
      </c>
      <c r="J64" s="295">
        <v>102.875</v>
      </c>
      <c r="K64" s="296">
        <f t="shared" si="4"/>
        <v>12500</v>
      </c>
      <c r="L64" s="381"/>
    </row>
    <row r="65" spans="1:12" s="270" customFormat="1">
      <c r="A65" s="867" t="s">
        <v>629</v>
      </c>
      <c r="B65" s="863" t="s">
        <v>822</v>
      </c>
      <c r="C65" s="863" t="s">
        <v>339</v>
      </c>
      <c r="D65" s="868" t="s">
        <v>339</v>
      </c>
      <c r="E65" s="869">
        <v>-50</v>
      </c>
      <c r="F65" s="870" t="s">
        <v>304</v>
      </c>
      <c r="G65" s="871">
        <v>0</v>
      </c>
      <c r="H65" s="864" t="s">
        <v>843</v>
      </c>
      <c r="I65" s="865">
        <v>115.265625</v>
      </c>
      <c r="J65" s="295">
        <v>115.28125</v>
      </c>
      <c r="K65" s="296">
        <f t="shared" si="4"/>
        <v>-781.25</v>
      </c>
      <c r="L65" s="381"/>
    </row>
    <row r="66" spans="1:12" s="270" customFormat="1">
      <c r="A66" s="867" t="s">
        <v>629</v>
      </c>
      <c r="B66" s="863" t="s">
        <v>822</v>
      </c>
      <c r="C66" s="863" t="s">
        <v>339</v>
      </c>
      <c r="D66" s="868" t="s">
        <v>339</v>
      </c>
      <c r="E66" s="869">
        <v>-50</v>
      </c>
      <c r="F66" s="870" t="s">
        <v>304</v>
      </c>
      <c r="G66" s="871">
        <v>0</v>
      </c>
      <c r="H66" s="864" t="s">
        <v>844</v>
      </c>
      <c r="I66" s="865">
        <v>115.296875</v>
      </c>
      <c r="J66" s="295">
        <v>115.1875</v>
      </c>
      <c r="K66" s="296">
        <f t="shared" si="4"/>
        <v>5468.75</v>
      </c>
      <c r="L66" s="381"/>
    </row>
    <row r="67" spans="1:12" s="270" customFormat="1">
      <c r="A67" s="867" t="s">
        <v>629</v>
      </c>
      <c r="B67" s="863" t="s">
        <v>822</v>
      </c>
      <c r="C67" s="863" t="s">
        <v>339</v>
      </c>
      <c r="D67" s="868" t="s">
        <v>339</v>
      </c>
      <c r="E67" s="869">
        <v>-50</v>
      </c>
      <c r="F67" s="870" t="s">
        <v>304</v>
      </c>
      <c r="G67" s="871">
        <v>0</v>
      </c>
      <c r="H67" s="864" t="s">
        <v>845</v>
      </c>
      <c r="I67" s="865">
        <v>115.203125</v>
      </c>
      <c r="J67" s="295">
        <v>115.1875</v>
      </c>
      <c r="K67" s="296">
        <f t="shared" si="4"/>
        <v>781.25</v>
      </c>
      <c r="L67" s="381"/>
    </row>
    <row r="68" spans="1:12" s="270" customFormat="1">
      <c r="A68" s="867" t="s">
        <v>629</v>
      </c>
      <c r="B68" s="863" t="s">
        <v>822</v>
      </c>
      <c r="C68" s="863" t="s">
        <v>339</v>
      </c>
      <c r="D68" s="868" t="s">
        <v>339</v>
      </c>
      <c r="E68" s="869">
        <v>-50</v>
      </c>
      <c r="F68" s="870" t="s">
        <v>304</v>
      </c>
      <c r="G68" s="871">
        <v>0</v>
      </c>
      <c r="H68" s="864" t="s">
        <v>846</v>
      </c>
      <c r="I68" s="865">
        <v>115.203125</v>
      </c>
      <c r="J68" s="295">
        <v>115.0625</v>
      </c>
      <c r="K68" s="296">
        <f t="shared" si="4"/>
        <v>7031.25</v>
      </c>
      <c r="L68" s="381"/>
    </row>
    <row r="69" spans="1:12" s="270" customFormat="1">
      <c r="A69" s="867" t="s">
        <v>629</v>
      </c>
      <c r="B69" s="863" t="s">
        <v>817</v>
      </c>
      <c r="C69" s="863" t="s">
        <v>339</v>
      </c>
      <c r="D69" s="868" t="s">
        <v>339</v>
      </c>
      <c r="E69" s="869">
        <v>10</v>
      </c>
      <c r="F69" s="870" t="s">
        <v>304</v>
      </c>
      <c r="G69" s="871">
        <v>0</v>
      </c>
      <c r="H69" s="864" t="s">
        <v>847</v>
      </c>
      <c r="I69" s="865">
        <v>115.0625</v>
      </c>
      <c r="J69" s="295">
        <v>115.375</v>
      </c>
      <c r="K69" s="296">
        <f t="shared" si="4"/>
        <v>3125</v>
      </c>
      <c r="L69" s="381"/>
    </row>
    <row r="70" spans="1:12" s="270" customFormat="1">
      <c r="A70" s="867" t="s">
        <v>629</v>
      </c>
      <c r="B70" s="863" t="s">
        <v>817</v>
      </c>
      <c r="C70" s="863" t="s">
        <v>339</v>
      </c>
      <c r="D70" s="868" t="s">
        <v>339</v>
      </c>
      <c r="E70" s="869">
        <v>10</v>
      </c>
      <c r="F70" s="870" t="s">
        <v>304</v>
      </c>
      <c r="G70" s="871">
        <v>0</v>
      </c>
      <c r="H70" s="864" t="s">
        <v>848</v>
      </c>
      <c r="I70" s="865">
        <v>115.046875</v>
      </c>
      <c r="J70" s="295">
        <v>115.375</v>
      </c>
      <c r="K70" s="296">
        <f t="shared" si="4"/>
        <v>3281.25</v>
      </c>
      <c r="L70" s="381"/>
    </row>
    <row r="71" spans="1:12" s="270" customFormat="1">
      <c r="A71" s="867" t="s">
        <v>629</v>
      </c>
      <c r="B71" s="863" t="s">
        <v>817</v>
      </c>
      <c r="C71" s="863" t="s">
        <v>339</v>
      </c>
      <c r="D71" s="868" t="s">
        <v>339</v>
      </c>
      <c r="E71" s="869">
        <v>10</v>
      </c>
      <c r="F71" s="870" t="s">
        <v>304</v>
      </c>
      <c r="G71" s="871">
        <v>0</v>
      </c>
      <c r="H71" s="864" t="s">
        <v>849</v>
      </c>
      <c r="I71" s="865">
        <v>115.03125</v>
      </c>
      <c r="J71" s="295">
        <v>115.375</v>
      </c>
      <c r="K71" s="296">
        <f t="shared" si="4"/>
        <v>3437.5000000000005</v>
      </c>
      <c r="L71" s="381"/>
    </row>
    <row r="72" spans="1:12" s="270" customFormat="1">
      <c r="A72" s="867" t="s">
        <v>629</v>
      </c>
      <c r="B72" s="863" t="s">
        <v>817</v>
      </c>
      <c r="C72" s="863" t="s">
        <v>339</v>
      </c>
      <c r="D72" s="868" t="s">
        <v>339</v>
      </c>
      <c r="E72" s="869">
        <v>10</v>
      </c>
      <c r="F72" s="870" t="s">
        <v>304</v>
      </c>
      <c r="G72" s="871">
        <v>0</v>
      </c>
      <c r="H72" s="864" t="s">
        <v>850</v>
      </c>
      <c r="I72" s="865">
        <v>115.015625</v>
      </c>
      <c r="J72" s="295">
        <v>115.375</v>
      </c>
      <c r="K72" s="296">
        <f t="shared" si="4"/>
        <v>3593.7499999999995</v>
      </c>
      <c r="L72" s="381"/>
    </row>
    <row r="73" spans="1:12" s="270" customFormat="1">
      <c r="A73" s="867" t="s">
        <v>629</v>
      </c>
      <c r="B73" s="863" t="s">
        <v>817</v>
      </c>
      <c r="C73" s="863" t="s">
        <v>339</v>
      </c>
      <c r="D73" s="868" t="s">
        <v>339</v>
      </c>
      <c r="E73" s="869">
        <v>10</v>
      </c>
      <c r="F73" s="870" t="s">
        <v>304</v>
      </c>
      <c r="G73" s="871">
        <v>0</v>
      </c>
      <c r="H73" s="864" t="s">
        <v>851</v>
      </c>
      <c r="I73" s="865">
        <v>115</v>
      </c>
      <c r="J73" s="295">
        <v>115.375</v>
      </c>
      <c r="K73" s="296">
        <f t="shared" si="4"/>
        <v>3750</v>
      </c>
      <c r="L73" s="381"/>
    </row>
    <row r="74" spans="1:12" s="270" customFormat="1">
      <c r="A74" s="867" t="s">
        <v>629</v>
      </c>
      <c r="B74" s="863" t="s">
        <v>858</v>
      </c>
      <c r="C74" s="863" t="s">
        <v>339</v>
      </c>
      <c r="D74" s="868" t="s">
        <v>339</v>
      </c>
      <c r="E74" s="869">
        <v>50</v>
      </c>
      <c r="F74" s="870" t="s">
        <v>304</v>
      </c>
      <c r="G74" s="871">
        <v>0</v>
      </c>
      <c r="H74" s="864" t="s">
        <v>859</v>
      </c>
      <c r="I74" s="865">
        <v>114.375</v>
      </c>
      <c r="J74" s="295">
        <v>114.5625</v>
      </c>
      <c r="K74" s="296">
        <f t="shared" si="4"/>
        <v>9375</v>
      </c>
      <c r="L74" s="381"/>
    </row>
    <row r="75" spans="1:12" s="270" customFormat="1">
      <c r="A75" s="867" t="s">
        <v>629</v>
      </c>
      <c r="B75" s="863" t="s">
        <v>858</v>
      </c>
      <c r="C75" s="863" t="s">
        <v>339</v>
      </c>
      <c r="D75" s="868" t="s">
        <v>339</v>
      </c>
      <c r="E75" s="869">
        <v>10</v>
      </c>
      <c r="F75" s="870" t="s">
        <v>304</v>
      </c>
      <c r="G75" s="871">
        <v>0</v>
      </c>
      <c r="H75" s="864" t="s">
        <v>867</v>
      </c>
      <c r="I75" s="865">
        <v>114.71875</v>
      </c>
      <c r="J75" s="295">
        <v>114.71875</v>
      </c>
      <c r="K75" s="296">
        <f t="shared" si="4"/>
        <v>0</v>
      </c>
      <c r="L75" s="381"/>
    </row>
    <row r="76" spans="1:12" s="270" customFormat="1">
      <c r="A76" s="867" t="s">
        <v>629</v>
      </c>
      <c r="B76" s="863" t="s">
        <v>858</v>
      </c>
      <c r="C76" s="863" t="s">
        <v>339</v>
      </c>
      <c r="D76" s="868" t="s">
        <v>339</v>
      </c>
      <c r="E76" s="869">
        <v>10</v>
      </c>
      <c r="F76" s="870" t="s">
        <v>304</v>
      </c>
      <c r="G76" s="871">
        <v>0</v>
      </c>
      <c r="H76" s="864" t="s">
        <v>868</v>
      </c>
      <c r="I76" s="865">
        <v>114.625</v>
      </c>
      <c r="J76" s="295">
        <v>114.71875</v>
      </c>
      <c r="K76" s="296">
        <f t="shared" si="4"/>
        <v>937.5</v>
      </c>
      <c r="L76" s="381"/>
    </row>
    <row r="77" spans="1:12" s="270" customFormat="1">
      <c r="A77" s="867" t="s">
        <v>629</v>
      </c>
      <c r="B77" s="863" t="s">
        <v>858</v>
      </c>
      <c r="C77" s="863" t="s">
        <v>339</v>
      </c>
      <c r="D77" s="868" t="s">
        <v>339</v>
      </c>
      <c r="E77" s="869">
        <v>10</v>
      </c>
      <c r="F77" s="870" t="s">
        <v>304</v>
      </c>
      <c r="G77" s="871">
        <v>0</v>
      </c>
      <c r="H77" s="864" t="s">
        <v>869</v>
      </c>
      <c r="I77" s="865">
        <v>114.53125</v>
      </c>
      <c r="J77" s="295">
        <v>114.71875</v>
      </c>
      <c r="K77" s="296">
        <f t="shared" si="4"/>
        <v>1875</v>
      </c>
      <c r="L77" s="381"/>
    </row>
    <row r="78" spans="1:12" s="270" customFormat="1">
      <c r="A78" s="867" t="s">
        <v>629</v>
      </c>
      <c r="B78" s="863" t="s">
        <v>858</v>
      </c>
      <c r="C78" s="863" t="s">
        <v>339</v>
      </c>
      <c r="D78" s="868" t="s">
        <v>339</v>
      </c>
      <c r="E78" s="869">
        <v>10</v>
      </c>
      <c r="F78" s="870" t="s">
        <v>304</v>
      </c>
      <c r="G78" s="871">
        <v>0</v>
      </c>
      <c r="H78" s="864" t="s">
        <v>870</v>
      </c>
      <c r="I78" s="865">
        <v>114.4375</v>
      </c>
      <c r="J78" s="295">
        <v>114.71875</v>
      </c>
      <c r="K78" s="296">
        <f t="shared" si="4"/>
        <v>2812.5</v>
      </c>
      <c r="L78" s="381"/>
    </row>
    <row r="79" spans="1:12" s="270" customFormat="1">
      <c r="A79" s="867" t="s">
        <v>639</v>
      </c>
      <c r="B79" s="863" t="s">
        <v>876</v>
      </c>
      <c r="C79" s="863" t="s">
        <v>339</v>
      </c>
      <c r="D79" s="868" t="s">
        <v>339</v>
      </c>
      <c r="E79" s="869">
        <v>-50</v>
      </c>
      <c r="F79" s="870" t="s">
        <v>304</v>
      </c>
      <c r="G79" s="871">
        <v>0</v>
      </c>
      <c r="H79" s="864" t="s">
        <v>877</v>
      </c>
      <c r="I79" s="865">
        <v>103.0390625</v>
      </c>
      <c r="J79" s="295">
        <v>103.03125</v>
      </c>
      <c r="K79" s="296">
        <f t="shared" si="4"/>
        <v>781.25</v>
      </c>
      <c r="L79" s="381"/>
    </row>
    <row r="80" spans="1:12" s="270" customFormat="1">
      <c r="A80" s="867" t="s">
        <v>639</v>
      </c>
      <c r="B80" s="863" t="s">
        <v>757</v>
      </c>
      <c r="C80" s="863" t="s">
        <v>339</v>
      </c>
      <c r="D80" s="868" t="s">
        <v>339</v>
      </c>
      <c r="E80" s="869">
        <v>-50</v>
      </c>
      <c r="F80" s="870" t="s">
        <v>304</v>
      </c>
      <c r="G80" s="871">
        <v>1860.0000000000002</v>
      </c>
      <c r="H80" s="864" t="s">
        <v>773</v>
      </c>
      <c r="I80" s="865">
        <v>103.046875</v>
      </c>
      <c r="J80" s="295">
        <v>102.875</v>
      </c>
      <c r="K80" s="296">
        <f t="shared" si="4"/>
        <v>17187.5</v>
      </c>
      <c r="L80" s="381"/>
    </row>
    <row r="81" spans="1:12" s="270" customFormat="1">
      <c r="A81" s="867" t="s">
        <v>639</v>
      </c>
      <c r="B81" s="863" t="s">
        <v>757</v>
      </c>
      <c r="C81" s="863" t="s">
        <v>339</v>
      </c>
      <c r="D81" s="868" t="s">
        <v>339</v>
      </c>
      <c r="E81" s="869">
        <v>-50</v>
      </c>
      <c r="F81" s="870" t="s">
        <v>304</v>
      </c>
      <c r="G81" s="871">
        <v>1860.0000000000002</v>
      </c>
      <c r="H81" s="864" t="s">
        <v>774</v>
      </c>
      <c r="I81" s="865">
        <v>103.0625</v>
      </c>
      <c r="J81" s="295">
        <v>102.875</v>
      </c>
      <c r="K81" s="296">
        <f t="shared" si="4"/>
        <v>18750</v>
      </c>
      <c r="L81" s="381"/>
    </row>
    <row r="82" spans="1:12" s="270" customFormat="1">
      <c r="A82" s="867" t="s">
        <v>639</v>
      </c>
      <c r="B82" s="863" t="s">
        <v>781</v>
      </c>
      <c r="C82" s="863" t="s">
        <v>339</v>
      </c>
      <c r="D82" s="868" t="s">
        <v>339</v>
      </c>
      <c r="E82" s="869">
        <v>-100</v>
      </c>
      <c r="F82" s="870" t="s">
        <v>304</v>
      </c>
      <c r="G82" s="871">
        <v>3720.0000000000005</v>
      </c>
      <c r="H82" s="864" t="s">
        <v>794</v>
      </c>
      <c r="I82" s="865">
        <v>102.8515625</v>
      </c>
      <c r="J82" s="295">
        <v>102.8125</v>
      </c>
      <c r="K82" s="296">
        <f t="shared" si="4"/>
        <v>7812.5</v>
      </c>
      <c r="L82" s="381"/>
    </row>
    <row r="83" spans="1:12" s="270" customFormat="1">
      <c r="A83" s="867" t="s">
        <v>629</v>
      </c>
      <c r="B83" s="863" t="s">
        <v>797</v>
      </c>
      <c r="C83" s="863" t="s">
        <v>339</v>
      </c>
      <c r="D83" s="868" t="s">
        <v>339</v>
      </c>
      <c r="E83" s="869">
        <v>50</v>
      </c>
      <c r="F83" s="870" t="s">
        <v>304</v>
      </c>
      <c r="G83" s="871">
        <v>-3850</v>
      </c>
      <c r="H83" s="864" t="s">
        <v>852</v>
      </c>
      <c r="I83" s="865">
        <v>115.6875</v>
      </c>
      <c r="J83" s="295">
        <v>114.96875</v>
      </c>
      <c r="K83" s="296">
        <f t="shared" si="4"/>
        <v>-35937.5</v>
      </c>
      <c r="L83" s="381"/>
    </row>
    <row r="84" spans="1:12" s="270" customFormat="1">
      <c r="A84" s="867" t="s">
        <v>629</v>
      </c>
      <c r="B84" s="863" t="s">
        <v>822</v>
      </c>
      <c r="C84" s="863" t="s">
        <v>339</v>
      </c>
      <c r="D84" s="868" t="s">
        <v>339</v>
      </c>
      <c r="E84" s="869">
        <v>50</v>
      </c>
      <c r="F84" s="870" t="s">
        <v>304</v>
      </c>
      <c r="G84" s="871">
        <v>-3850</v>
      </c>
      <c r="H84" s="864" t="s">
        <v>853</v>
      </c>
      <c r="I84" s="865">
        <v>115.25</v>
      </c>
      <c r="J84" s="295">
        <v>115.5</v>
      </c>
      <c r="K84" s="296">
        <f t="shared" si="4"/>
        <v>12500</v>
      </c>
      <c r="L84" s="381"/>
    </row>
    <row r="85" spans="1:12" s="270" customFormat="1">
      <c r="A85" s="867" t="s">
        <v>629</v>
      </c>
      <c r="B85" s="863" t="s">
        <v>952</v>
      </c>
      <c r="C85" s="863" t="s">
        <v>339</v>
      </c>
      <c r="D85" s="868" t="s">
        <v>339</v>
      </c>
      <c r="E85" s="869">
        <v>-6</v>
      </c>
      <c r="F85" s="870" t="s">
        <v>304</v>
      </c>
      <c r="G85" s="871">
        <v>0</v>
      </c>
      <c r="H85" s="864" t="s">
        <v>968</v>
      </c>
      <c r="I85" s="865">
        <v>113.4375</v>
      </c>
      <c r="J85" s="295">
        <v>113.40625</v>
      </c>
      <c r="K85" s="296">
        <f t="shared" si="4"/>
        <v>187.5</v>
      </c>
      <c r="L85" s="381"/>
    </row>
    <row r="86" spans="1:12" s="270" customFormat="1">
      <c r="A86" s="867" t="s">
        <v>629</v>
      </c>
      <c r="B86" s="863" t="s">
        <v>961</v>
      </c>
      <c r="C86" s="863" t="s">
        <v>339</v>
      </c>
      <c r="D86" s="868" t="s">
        <v>339</v>
      </c>
      <c r="E86" s="869">
        <v>10</v>
      </c>
      <c r="F86" s="870" t="s">
        <v>304</v>
      </c>
      <c r="G86" s="871">
        <v>0</v>
      </c>
      <c r="H86" s="864" t="s">
        <v>969</v>
      </c>
      <c r="I86" s="865">
        <v>113.59375</v>
      </c>
      <c r="J86" s="295">
        <v>113.5625</v>
      </c>
      <c r="K86" s="296">
        <f t="shared" si="4"/>
        <v>-312.5</v>
      </c>
      <c r="L86" s="381"/>
    </row>
    <row r="87" spans="1:12" s="270" customFormat="1">
      <c r="A87" s="867" t="s">
        <v>629</v>
      </c>
      <c r="B87" s="863" t="s">
        <v>961</v>
      </c>
      <c r="C87" s="863" t="s">
        <v>339</v>
      </c>
      <c r="D87" s="868" t="s">
        <v>339</v>
      </c>
      <c r="E87" s="869">
        <v>30</v>
      </c>
      <c r="F87" s="870" t="s">
        <v>304</v>
      </c>
      <c r="G87" s="871">
        <v>0</v>
      </c>
      <c r="H87" s="864" t="s">
        <v>970</v>
      </c>
      <c r="I87" s="865">
        <v>113.59375</v>
      </c>
      <c r="J87" s="295">
        <v>113.28125</v>
      </c>
      <c r="K87" s="296">
        <f t="shared" si="4"/>
        <v>-9375</v>
      </c>
      <c r="L87" s="381"/>
    </row>
    <row r="88" spans="1:12" s="270" customFormat="1">
      <c r="A88" s="867" t="s">
        <v>639</v>
      </c>
      <c r="B88" s="863" t="s">
        <v>961</v>
      </c>
      <c r="C88" s="863" t="s">
        <v>339</v>
      </c>
      <c r="D88" s="868" t="s">
        <v>339</v>
      </c>
      <c r="E88" s="869">
        <v>-100</v>
      </c>
      <c r="F88" s="870" t="s">
        <v>304</v>
      </c>
      <c r="G88" s="871">
        <v>0</v>
      </c>
      <c r="H88" s="864" t="s">
        <v>989</v>
      </c>
      <c r="I88" s="865">
        <v>102.421875</v>
      </c>
      <c r="J88" s="295">
        <v>102.40625</v>
      </c>
      <c r="K88" s="296">
        <f t="shared" si="4"/>
        <v>3125</v>
      </c>
      <c r="L88" s="381"/>
    </row>
    <row r="89" spans="1:12" s="270" customFormat="1">
      <c r="A89" s="867" t="s">
        <v>639</v>
      </c>
      <c r="B89" s="863" t="s">
        <v>961</v>
      </c>
      <c r="C89" s="863" t="s">
        <v>339</v>
      </c>
      <c r="D89" s="868" t="s">
        <v>339</v>
      </c>
      <c r="E89" s="869">
        <v>-100</v>
      </c>
      <c r="F89" s="870" t="s">
        <v>304</v>
      </c>
      <c r="G89" s="871">
        <v>0</v>
      </c>
      <c r="H89" s="864" t="s">
        <v>990</v>
      </c>
      <c r="I89" s="865">
        <v>102.421875</v>
      </c>
      <c r="J89" s="295">
        <v>102.41796875</v>
      </c>
      <c r="K89" s="296">
        <f t="shared" si="4"/>
        <v>781.25</v>
      </c>
      <c r="L89" s="381"/>
    </row>
    <row r="90" spans="1:12" s="270" customFormat="1">
      <c r="A90" s="867" t="s">
        <v>629</v>
      </c>
      <c r="B90" s="863" t="s">
        <v>975</v>
      </c>
      <c r="C90" s="863" t="s">
        <v>339</v>
      </c>
      <c r="D90" s="868" t="s">
        <v>339</v>
      </c>
      <c r="E90" s="869">
        <v>50</v>
      </c>
      <c r="F90" s="870" t="s">
        <v>304</v>
      </c>
      <c r="G90" s="871">
        <v>0</v>
      </c>
      <c r="H90" s="864" t="s">
        <v>991</v>
      </c>
      <c r="I90" s="865">
        <v>113.09375</v>
      </c>
      <c r="J90" s="295">
        <v>113.125</v>
      </c>
      <c r="K90" s="296">
        <f t="shared" si="4"/>
        <v>1562.5</v>
      </c>
      <c r="L90" s="381"/>
    </row>
    <row r="91" spans="1:12" s="270" customFormat="1">
      <c r="A91" s="867" t="s">
        <v>629</v>
      </c>
      <c r="B91" s="863" t="s">
        <v>939</v>
      </c>
      <c r="C91" s="863" t="s">
        <v>339</v>
      </c>
      <c r="D91" s="868" t="s">
        <v>339</v>
      </c>
      <c r="E91" s="869">
        <v>-10</v>
      </c>
      <c r="F91" s="870" t="s">
        <v>304</v>
      </c>
      <c r="G91" s="871">
        <v>770</v>
      </c>
      <c r="H91" s="864" t="s">
        <v>947</v>
      </c>
      <c r="I91" s="865">
        <v>113.5625</v>
      </c>
      <c r="J91" s="295">
        <v>113.125</v>
      </c>
      <c r="K91" s="296">
        <f t="shared" si="4"/>
        <v>4375</v>
      </c>
      <c r="L91" s="381"/>
    </row>
    <row r="92" spans="1:12" s="270" customFormat="1">
      <c r="A92" s="867" t="s">
        <v>629</v>
      </c>
      <c r="B92" s="863" t="s">
        <v>939</v>
      </c>
      <c r="C92" s="863" t="s">
        <v>339</v>
      </c>
      <c r="D92" s="868" t="s">
        <v>339</v>
      </c>
      <c r="E92" s="869">
        <v>-10</v>
      </c>
      <c r="F92" s="870" t="s">
        <v>304</v>
      </c>
      <c r="G92" s="871">
        <v>770</v>
      </c>
      <c r="H92" s="864" t="s">
        <v>948</v>
      </c>
      <c r="I92" s="865">
        <v>113.625</v>
      </c>
      <c r="J92" s="295">
        <v>113.03125</v>
      </c>
      <c r="K92" s="296">
        <f t="shared" si="4"/>
        <v>5937.5</v>
      </c>
      <c r="L92" s="381"/>
    </row>
    <row r="93" spans="1:12" s="270" customFormat="1">
      <c r="A93" s="867" t="s">
        <v>629</v>
      </c>
      <c r="B93" s="863" t="s">
        <v>952</v>
      </c>
      <c r="C93" s="863" t="s">
        <v>339</v>
      </c>
      <c r="D93" s="868" t="s">
        <v>339</v>
      </c>
      <c r="E93" s="869">
        <v>-10</v>
      </c>
      <c r="F93" s="870" t="s">
        <v>304</v>
      </c>
      <c r="G93" s="871">
        <v>1540</v>
      </c>
      <c r="H93" s="864" t="s">
        <v>971</v>
      </c>
      <c r="I93" s="865">
        <v>113.28125</v>
      </c>
      <c r="J93" s="295">
        <v>112.9375</v>
      </c>
      <c r="K93" s="296">
        <f t="shared" si="4"/>
        <v>3437.5000000000005</v>
      </c>
      <c r="L93" s="381"/>
    </row>
    <row r="94" spans="1:12" s="270" customFormat="1">
      <c r="A94" s="867" t="s">
        <v>629</v>
      </c>
      <c r="B94" s="863" t="s">
        <v>952</v>
      </c>
      <c r="C94" s="863" t="s">
        <v>339</v>
      </c>
      <c r="D94" s="868" t="s">
        <v>339</v>
      </c>
      <c r="E94" s="869">
        <v>-10</v>
      </c>
      <c r="F94" s="870" t="s">
        <v>304</v>
      </c>
      <c r="G94" s="871">
        <v>1540</v>
      </c>
      <c r="H94" s="864" t="s">
        <v>971</v>
      </c>
      <c r="I94" s="865">
        <v>113.28125</v>
      </c>
      <c r="J94" s="295">
        <v>112.78125</v>
      </c>
      <c r="K94" s="296">
        <f t="shared" si="4"/>
        <v>5000</v>
      </c>
      <c r="L94" s="381"/>
    </row>
    <row r="95" spans="1:12" s="270" customFormat="1">
      <c r="A95" s="867" t="s">
        <v>629</v>
      </c>
      <c r="B95" s="863" t="s">
        <v>996</v>
      </c>
      <c r="C95" s="863" t="s">
        <v>339</v>
      </c>
      <c r="D95" s="868" t="s">
        <v>339</v>
      </c>
      <c r="E95" s="869">
        <v>10</v>
      </c>
      <c r="F95" s="870" t="s">
        <v>304</v>
      </c>
      <c r="G95" s="871">
        <v>0</v>
      </c>
      <c r="H95" s="864" t="s">
        <v>997</v>
      </c>
      <c r="I95" s="865">
        <v>112.65625</v>
      </c>
      <c r="J95" s="295">
        <v>112.671875</v>
      </c>
      <c r="K95" s="296">
        <f t="shared" si="4"/>
        <v>156.25</v>
      </c>
      <c r="L95" s="381"/>
    </row>
    <row r="96" spans="1:12" s="270" customFormat="1">
      <c r="A96" s="867" t="s">
        <v>629</v>
      </c>
      <c r="B96" s="863" t="s">
        <v>994</v>
      </c>
      <c r="C96" s="863" t="s">
        <v>339</v>
      </c>
      <c r="D96" s="868" t="s">
        <v>339</v>
      </c>
      <c r="E96" s="869">
        <v>10</v>
      </c>
      <c r="F96" s="870" t="s">
        <v>304</v>
      </c>
      <c r="G96" s="871">
        <v>0</v>
      </c>
      <c r="H96" s="864" t="s">
        <v>1014</v>
      </c>
      <c r="I96" s="865">
        <v>112.65625</v>
      </c>
      <c r="J96" s="295">
        <v>112.78125</v>
      </c>
      <c r="K96" s="296">
        <f t="shared" si="4"/>
        <v>1250</v>
      </c>
      <c r="L96" s="381"/>
    </row>
    <row r="97" spans="1:12" s="270" customFormat="1">
      <c r="A97" s="867" t="s">
        <v>629</v>
      </c>
      <c r="B97" s="863" t="s">
        <v>916</v>
      </c>
      <c r="C97" s="863" t="s">
        <v>339</v>
      </c>
      <c r="D97" s="868" t="s">
        <v>339</v>
      </c>
      <c r="E97" s="869">
        <v>-10</v>
      </c>
      <c r="F97" s="870" t="s">
        <v>304</v>
      </c>
      <c r="G97" s="871">
        <v>770</v>
      </c>
      <c r="H97" s="864" t="s">
        <v>934</v>
      </c>
      <c r="I97" s="865">
        <v>114.75</v>
      </c>
      <c r="J97" s="295">
        <v>112.65625</v>
      </c>
      <c r="K97" s="296">
        <f t="shared" si="4"/>
        <v>20937.5</v>
      </c>
      <c r="L97" s="381"/>
    </row>
    <row r="98" spans="1:12" s="270" customFormat="1">
      <c r="A98" s="867" t="s">
        <v>639</v>
      </c>
      <c r="B98" s="863" t="s">
        <v>876</v>
      </c>
      <c r="C98" s="863" t="s">
        <v>339</v>
      </c>
      <c r="D98" s="868" t="s">
        <v>339</v>
      </c>
      <c r="E98" s="869">
        <v>4</v>
      </c>
      <c r="F98" s="870" t="s">
        <v>304</v>
      </c>
      <c r="G98" s="871">
        <v>-148.80000000000001</v>
      </c>
      <c r="H98" s="864" t="s">
        <v>889</v>
      </c>
      <c r="I98" s="865">
        <v>103.125</v>
      </c>
      <c r="J98" s="295">
        <v>101.94921875</v>
      </c>
      <c r="K98" s="296">
        <f t="shared" si="4"/>
        <v>-9406.25</v>
      </c>
      <c r="L98" s="381"/>
    </row>
    <row r="99" spans="1:12" s="270" customFormat="1">
      <c r="A99" s="867" t="s">
        <v>639</v>
      </c>
      <c r="B99" s="863" t="s">
        <v>876</v>
      </c>
      <c r="C99" s="863" t="s">
        <v>339</v>
      </c>
      <c r="D99" s="868" t="s">
        <v>339</v>
      </c>
      <c r="E99" s="869">
        <v>1</v>
      </c>
      <c r="F99" s="870" t="s">
        <v>304</v>
      </c>
      <c r="G99" s="871">
        <v>-37.200000000000003</v>
      </c>
      <c r="H99" s="864" t="s">
        <v>890</v>
      </c>
      <c r="I99" s="865">
        <v>103.12109375</v>
      </c>
      <c r="J99" s="295">
        <v>101.94921875</v>
      </c>
      <c r="K99" s="296">
        <f t="shared" si="4"/>
        <v>-2343.75</v>
      </c>
      <c r="L99" s="381"/>
    </row>
    <row r="100" spans="1:12" s="270" customFormat="1">
      <c r="A100" s="867" t="s">
        <v>639</v>
      </c>
      <c r="B100" s="863" t="s">
        <v>876</v>
      </c>
      <c r="C100" s="863" t="s">
        <v>339</v>
      </c>
      <c r="D100" s="868" t="s">
        <v>339</v>
      </c>
      <c r="E100" s="869">
        <v>1</v>
      </c>
      <c r="F100" s="870" t="s">
        <v>304</v>
      </c>
      <c r="G100" s="871">
        <v>-37.200000000000003</v>
      </c>
      <c r="H100" s="864" t="s">
        <v>891</v>
      </c>
      <c r="I100" s="865">
        <v>103.1171875</v>
      </c>
      <c r="J100" s="295">
        <v>101.94921875</v>
      </c>
      <c r="K100" s="296">
        <f t="shared" si="4"/>
        <v>-2335.9375</v>
      </c>
      <c r="L100" s="381"/>
    </row>
    <row r="101" spans="1:12" s="270" customFormat="1">
      <c r="A101" s="867" t="s">
        <v>639</v>
      </c>
      <c r="B101" s="863" t="s">
        <v>876</v>
      </c>
      <c r="C101" s="863" t="s">
        <v>339</v>
      </c>
      <c r="D101" s="868" t="s">
        <v>339</v>
      </c>
      <c r="E101" s="869">
        <v>1</v>
      </c>
      <c r="F101" s="870" t="s">
        <v>304</v>
      </c>
      <c r="G101" s="871">
        <v>-37.200000000000003</v>
      </c>
      <c r="H101" s="864" t="s">
        <v>892</v>
      </c>
      <c r="I101" s="865">
        <v>103.11328125</v>
      </c>
      <c r="J101" s="295">
        <v>101.94921875</v>
      </c>
      <c r="K101" s="296">
        <f t="shared" si="4"/>
        <v>-2328.125</v>
      </c>
      <c r="L101" s="381"/>
    </row>
    <row r="102" spans="1:12" s="270" customFormat="1">
      <c r="A102" s="867" t="s">
        <v>639</v>
      </c>
      <c r="B102" s="863" t="s">
        <v>876</v>
      </c>
      <c r="C102" s="863" t="s">
        <v>339</v>
      </c>
      <c r="D102" s="868" t="s">
        <v>339</v>
      </c>
      <c r="E102" s="869">
        <v>1</v>
      </c>
      <c r="F102" s="870" t="s">
        <v>304</v>
      </c>
      <c r="G102" s="871">
        <v>-37.200000000000003</v>
      </c>
      <c r="H102" s="864" t="s">
        <v>893</v>
      </c>
      <c r="I102" s="865">
        <v>103.109375</v>
      </c>
      <c r="J102" s="295">
        <v>101.94921875</v>
      </c>
      <c r="K102" s="296">
        <f t="shared" si="4"/>
        <v>-2320.3125</v>
      </c>
      <c r="L102" s="381"/>
    </row>
    <row r="103" spans="1:12" s="270" customFormat="1">
      <c r="A103" s="867" t="s">
        <v>639</v>
      </c>
      <c r="B103" s="863" t="s">
        <v>876</v>
      </c>
      <c r="C103" s="863" t="s">
        <v>339</v>
      </c>
      <c r="D103" s="868" t="s">
        <v>339</v>
      </c>
      <c r="E103" s="869">
        <v>1</v>
      </c>
      <c r="F103" s="870" t="s">
        <v>304</v>
      </c>
      <c r="G103" s="871">
        <v>-37.200000000000003</v>
      </c>
      <c r="H103" s="864" t="s">
        <v>894</v>
      </c>
      <c r="I103" s="865">
        <v>103.10546875</v>
      </c>
      <c r="J103" s="295">
        <v>101.94921875</v>
      </c>
      <c r="K103" s="296">
        <f t="shared" si="4"/>
        <v>-2312.5</v>
      </c>
      <c r="L103" s="381"/>
    </row>
    <row r="104" spans="1:12" s="270" customFormat="1">
      <c r="A104" s="867" t="s">
        <v>639</v>
      </c>
      <c r="B104" s="863" t="s">
        <v>876</v>
      </c>
      <c r="C104" s="863" t="s">
        <v>339</v>
      </c>
      <c r="D104" s="868" t="s">
        <v>339</v>
      </c>
      <c r="E104" s="869">
        <v>1</v>
      </c>
      <c r="F104" s="870" t="s">
        <v>304</v>
      </c>
      <c r="G104" s="871">
        <v>-37.200000000000003</v>
      </c>
      <c r="H104" s="864" t="s">
        <v>895</v>
      </c>
      <c r="I104" s="865">
        <v>103.1015625</v>
      </c>
      <c r="J104" s="295">
        <v>101.94921875</v>
      </c>
      <c r="K104" s="296">
        <f t="shared" si="4"/>
        <v>-2304.6875</v>
      </c>
      <c r="L104" s="381"/>
    </row>
    <row r="105" spans="1:12" s="270" customFormat="1">
      <c r="A105" s="867" t="s">
        <v>639</v>
      </c>
      <c r="B105" s="863" t="s">
        <v>876</v>
      </c>
      <c r="C105" s="863" t="s">
        <v>339</v>
      </c>
      <c r="D105" s="868" t="s">
        <v>339</v>
      </c>
      <c r="E105" s="869">
        <v>1</v>
      </c>
      <c r="F105" s="870" t="s">
        <v>304</v>
      </c>
      <c r="G105" s="871">
        <v>-37.200000000000003</v>
      </c>
      <c r="H105" s="864" t="s">
        <v>896</v>
      </c>
      <c r="I105" s="865">
        <v>103.09765625</v>
      </c>
      <c r="J105" s="295">
        <v>101.94921875</v>
      </c>
      <c r="K105" s="296">
        <f t="shared" si="4"/>
        <v>-2296.875</v>
      </c>
      <c r="L105" s="381"/>
    </row>
    <row r="106" spans="1:12" s="270" customFormat="1">
      <c r="A106" s="867" t="s">
        <v>639</v>
      </c>
      <c r="B106" s="863" t="s">
        <v>876</v>
      </c>
      <c r="C106" s="863" t="s">
        <v>339</v>
      </c>
      <c r="D106" s="868" t="s">
        <v>339</v>
      </c>
      <c r="E106" s="869">
        <v>1</v>
      </c>
      <c r="F106" s="870" t="s">
        <v>304</v>
      </c>
      <c r="G106" s="871">
        <v>-37.200000000000003</v>
      </c>
      <c r="H106" s="864" t="s">
        <v>897</v>
      </c>
      <c r="I106" s="865">
        <v>103.09375</v>
      </c>
      <c r="J106" s="295">
        <v>101.94921875</v>
      </c>
      <c r="K106" s="296">
        <f t="shared" si="4"/>
        <v>-2289.0625</v>
      </c>
      <c r="L106" s="381"/>
    </row>
    <row r="107" spans="1:12" s="270" customFormat="1">
      <c r="A107" s="867" t="s">
        <v>639</v>
      </c>
      <c r="B107" s="863" t="s">
        <v>876</v>
      </c>
      <c r="C107" s="863" t="s">
        <v>339</v>
      </c>
      <c r="D107" s="868" t="s">
        <v>339</v>
      </c>
      <c r="E107" s="869">
        <v>1</v>
      </c>
      <c r="F107" s="870" t="s">
        <v>304</v>
      </c>
      <c r="G107" s="871">
        <v>-37.200000000000003</v>
      </c>
      <c r="H107" s="864" t="s">
        <v>898</v>
      </c>
      <c r="I107" s="865">
        <v>103.08984375</v>
      </c>
      <c r="J107" s="295">
        <v>101.94921875</v>
      </c>
      <c r="K107" s="296">
        <f t="shared" si="4"/>
        <v>-2281.25</v>
      </c>
      <c r="L107" s="381"/>
    </row>
    <row r="108" spans="1:12" s="270" customFormat="1">
      <c r="A108" s="867" t="s">
        <v>639</v>
      </c>
      <c r="B108" s="863" t="s">
        <v>876</v>
      </c>
      <c r="C108" s="863" t="s">
        <v>339</v>
      </c>
      <c r="D108" s="868" t="s">
        <v>339</v>
      </c>
      <c r="E108" s="869">
        <v>1</v>
      </c>
      <c r="F108" s="870" t="s">
        <v>304</v>
      </c>
      <c r="G108" s="871">
        <v>-37.200000000000003</v>
      </c>
      <c r="H108" s="864" t="s">
        <v>899</v>
      </c>
      <c r="I108" s="865">
        <v>103.0859375</v>
      </c>
      <c r="J108" s="295">
        <v>101.94921875</v>
      </c>
      <c r="K108" s="296">
        <f t="shared" si="4"/>
        <v>-2273.4375</v>
      </c>
      <c r="L108" s="381"/>
    </row>
    <row r="109" spans="1:12" s="270" customFormat="1">
      <c r="A109" s="867" t="s">
        <v>639</v>
      </c>
      <c r="B109" s="863" t="s">
        <v>876</v>
      </c>
      <c r="C109" s="863" t="s">
        <v>339</v>
      </c>
      <c r="D109" s="868" t="s">
        <v>339</v>
      </c>
      <c r="E109" s="869">
        <v>1</v>
      </c>
      <c r="F109" s="870" t="s">
        <v>304</v>
      </c>
      <c r="G109" s="871">
        <v>-37.200000000000003</v>
      </c>
      <c r="H109" s="864" t="s">
        <v>900</v>
      </c>
      <c r="I109" s="865">
        <v>103.08203125</v>
      </c>
      <c r="J109" s="295">
        <v>101.94921875</v>
      </c>
      <c r="K109" s="296">
        <f t="shared" si="4"/>
        <v>-2265.625</v>
      </c>
      <c r="L109" s="381"/>
    </row>
    <row r="110" spans="1:12" s="270" customFormat="1">
      <c r="A110" s="867" t="s">
        <v>639</v>
      </c>
      <c r="B110" s="863" t="s">
        <v>876</v>
      </c>
      <c r="C110" s="863" t="s">
        <v>339</v>
      </c>
      <c r="D110" s="868" t="s">
        <v>339</v>
      </c>
      <c r="E110" s="869">
        <v>1</v>
      </c>
      <c r="F110" s="870" t="s">
        <v>304</v>
      </c>
      <c r="G110" s="871">
        <v>-37.200000000000003</v>
      </c>
      <c r="H110" s="864" t="s">
        <v>901</v>
      </c>
      <c r="I110" s="865">
        <v>103.078125</v>
      </c>
      <c r="J110" s="295">
        <v>101.94921875</v>
      </c>
      <c r="K110" s="296">
        <f t="shared" si="4"/>
        <v>-2257.8125</v>
      </c>
      <c r="L110" s="381"/>
    </row>
    <row r="111" spans="1:12" s="270" customFormat="1">
      <c r="A111" s="867" t="s">
        <v>639</v>
      </c>
      <c r="B111" s="863" t="s">
        <v>876</v>
      </c>
      <c r="C111" s="863" t="s">
        <v>339</v>
      </c>
      <c r="D111" s="868" t="s">
        <v>339</v>
      </c>
      <c r="E111" s="869">
        <v>1</v>
      </c>
      <c r="F111" s="870" t="s">
        <v>304</v>
      </c>
      <c r="G111" s="871">
        <v>-37.200000000000003</v>
      </c>
      <c r="H111" s="864" t="s">
        <v>902</v>
      </c>
      <c r="I111" s="865">
        <v>103.07421875</v>
      </c>
      <c r="J111" s="295">
        <v>101.94921875</v>
      </c>
      <c r="K111" s="296">
        <f t="shared" si="4"/>
        <v>-2250</v>
      </c>
      <c r="L111" s="381"/>
    </row>
    <row r="112" spans="1:12" s="270" customFormat="1">
      <c r="A112" s="867" t="s">
        <v>639</v>
      </c>
      <c r="B112" s="863" t="s">
        <v>876</v>
      </c>
      <c r="C112" s="863" t="s">
        <v>339</v>
      </c>
      <c r="D112" s="868" t="s">
        <v>339</v>
      </c>
      <c r="E112" s="869">
        <v>1</v>
      </c>
      <c r="F112" s="870" t="s">
        <v>304</v>
      </c>
      <c r="G112" s="871">
        <v>-37.200000000000003</v>
      </c>
      <c r="H112" s="864" t="s">
        <v>903</v>
      </c>
      <c r="I112" s="865">
        <v>103.0703125</v>
      </c>
      <c r="J112" s="295">
        <v>101.94921875</v>
      </c>
      <c r="K112" s="296">
        <f t="shared" si="4"/>
        <v>-2242.1875</v>
      </c>
      <c r="L112" s="381"/>
    </row>
    <row r="113" spans="1:12" s="270" customFormat="1">
      <c r="A113" s="867" t="s">
        <v>639</v>
      </c>
      <c r="B113" s="863" t="s">
        <v>876</v>
      </c>
      <c r="C113" s="863" t="s">
        <v>339</v>
      </c>
      <c r="D113" s="868" t="s">
        <v>339</v>
      </c>
      <c r="E113" s="869">
        <v>1</v>
      </c>
      <c r="F113" s="870" t="s">
        <v>304</v>
      </c>
      <c r="G113" s="871">
        <v>-37.200000000000003</v>
      </c>
      <c r="H113" s="864" t="s">
        <v>904</v>
      </c>
      <c r="I113" s="865">
        <v>103.06640625</v>
      </c>
      <c r="J113" s="295">
        <v>101.94921875</v>
      </c>
      <c r="K113" s="296">
        <f t="shared" si="4"/>
        <v>-2234.375</v>
      </c>
      <c r="L113" s="381"/>
    </row>
    <row r="114" spans="1:12" s="270" customFormat="1">
      <c r="A114" s="867" t="s">
        <v>639</v>
      </c>
      <c r="B114" s="863" t="s">
        <v>876</v>
      </c>
      <c r="C114" s="863" t="s">
        <v>339</v>
      </c>
      <c r="D114" s="868" t="s">
        <v>339</v>
      </c>
      <c r="E114" s="869">
        <v>1</v>
      </c>
      <c r="F114" s="870" t="s">
        <v>304</v>
      </c>
      <c r="G114" s="871">
        <v>-37.200000000000003</v>
      </c>
      <c r="H114" s="864" t="s">
        <v>905</v>
      </c>
      <c r="I114" s="865">
        <v>103.0625</v>
      </c>
      <c r="J114" s="295">
        <v>101.94921875</v>
      </c>
      <c r="K114" s="296">
        <f t="shared" si="4"/>
        <v>-2226.5625</v>
      </c>
      <c r="L114" s="381"/>
    </row>
    <row r="115" spans="1:12" s="270" customFormat="1">
      <c r="A115" s="867" t="s">
        <v>639</v>
      </c>
      <c r="B115" s="863" t="s">
        <v>876</v>
      </c>
      <c r="C115" s="863" t="s">
        <v>339</v>
      </c>
      <c r="D115" s="868" t="s">
        <v>339</v>
      </c>
      <c r="E115" s="869">
        <v>1</v>
      </c>
      <c r="F115" s="870" t="s">
        <v>304</v>
      </c>
      <c r="G115" s="871">
        <v>-37.200000000000003</v>
      </c>
      <c r="H115" s="864" t="s">
        <v>906</v>
      </c>
      <c r="I115" s="865">
        <v>103.05859375</v>
      </c>
      <c r="J115" s="295">
        <v>101.94921875</v>
      </c>
      <c r="K115" s="296">
        <f t="shared" si="4"/>
        <v>-2218.75</v>
      </c>
      <c r="L115" s="381"/>
    </row>
    <row r="116" spans="1:12" s="270" customFormat="1">
      <c r="A116" s="867" t="s">
        <v>639</v>
      </c>
      <c r="B116" s="863" t="s">
        <v>876</v>
      </c>
      <c r="C116" s="863" t="s">
        <v>339</v>
      </c>
      <c r="D116" s="868" t="s">
        <v>339</v>
      </c>
      <c r="E116" s="869">
        <v>1</v>
      </c>
      <c r="F116" s="870" t="s">
        <v>304</v>
      </c>
      <c r="G116" s="871">
        <v>-37.200000000000003</v>
      </c>
      <c r="H116" s="864" t="s">
        <v>907</v>
      </c>
      <c r="I116" s="865">
        <v>103.0546875</v>
      </c>
      <c r="J116" s="295">
        <v>101.94921875</v>
      </c>
      <c r="K116" s="296">
        <f t="shared" si="4"/>
        <v>-2210.9375</v>
      </c>
      <c r="L116" s="381"/>
    </row>
    <row r="117" spans="1:12" s="270" customFormat="1">
      <c r="A117" s="867" t="s">
        <v>639</v>
      </c>
      <c r="B117" s="863" t="s">
        <v>876</v>
      </c>
      <c r="C117" s="863" t="s">
        <v>339</v>
      </c>
      <c r="D117" s="868" t="s">
        <v>339</v>
      </c>
      <c r="E117" s="869">
        <v>1</v>
      </c>
      <c r="F117" s="870" t="s">
        <v>304</v>
      </c>
      <c r="G117" s="871">
        <v>-37.200000000000003</v>
      </c>
      <c r="H117" s="864" t="s">
        <v>908</v>
      </c>
      <c r="I117" s="865">
        <v>103.05078125</v>
      </c>
      <c r="J117" s="295">
        <v>101.94921875</v>
      </c>
      <c r="K117" s="296">
        <f t="shared" si="4"/>
        <v>-2203.125</v>
      </c>
      <c r="L117" s="381"/>
    </row>
    <row r="118" spans="1:12" s="270" customFormat="1">
      <c r="A118" s="867" t="s">
        <v>639</v>
      </c>
      <c r="B118" s="863" t="s">
        <v>876</v>
      </c>
      <c r="C118" s="863" t="s">
        <v>339</v>
      </c>
      <c r="D118" s="868" t="s">
        <v>339</v>
      </c>
      <c r="E118" s="869">
        <v>1</v>
      </c>
      <c r="F118" s="870" t="s">
        <v>304</v>
      </c>
      <c r="G118" s="871">
        <v>-37.200000000000003</v>
      </c>
      <c r="H118" s="864" t="s">
        <v>909</v>
      </c>
      <c r="I118" s="865">
        <v>103.046875</v>
      </c>
      <c r="J118" s="295">
        <v>101.94921875</v>
      </c>
      <c r="K118" s="296">
        <f t="shared" si="4"/>
        <v>-2195.3125</v>
      </c>
      <c r="L118" s="381"/>
    </row>
    <row r="119" spans="1:12" s="270" customFormat="1">
      <c r="A119" s="867" t="s">
        <v>639</v>
      </c>
      <c r="B119" s="863" t="s">
        <v>876</v>
      </c>
      <c r="C119" s="863" t="s">
        <v>339</v>
      </c>
      <c r="D119" s="868" t="s">
        <v>339</v>
      </c>
      <c r="E119" s="869">
        <v>1</v>
      </c>
      <c r="F119" s="870" t="s">
        <v>304</v>
      </c>
      <c r="G119" s="871">
        <v>-37.200000000000003</v>
      </c>
      <c r="H119" s="864" t="s">
        <v>910</v>
      </c>
      <c r="I119" s="865">
        <v>103.04296875</v>
      </c>
      <c r="J119" s="295">
        <v>101.94921875</v>
      </c>
      <c r="K119" s="296">
        <f t="shared" si="4"/>
        <v>-2187.5</v>
      </c>
      <c r="L119" s="381"/>
    </row>
    <row r="120" spans="1:12" s="270" customFormat="1">
      <c r="A120" s="867" t="s">
        <v>639</v>
      </c>
      <c r="B120" s="863" t="s">
        <v>876</v>
      </c>
      <c r="C120" s="863" t="s">
        <v>339</v>
      </c>
      <c r="D120" s="868" t="s">
        <v>339</v>
      </c>
      <c r="E120" s="869">
        <v>1</v>
      </c>
      <c r="F120" s="870" t="s">
        <v>304</v>
      </c>
      <c r="G120" s="871">
        <v>-37.200000000000003</v>
      </c>
      <c r="H120" s="864" t="s">
        <v>911</v>
      </c>
      <c r="I120" s="865">
        <v>103.0390625</v>
      </c>
      <c r="J120" s="295">
        <v>101.94921875</v>
      </c>
      <c r="K120" s="296">
        <f t="shared" si="4"/>
        <v>-2179.6875</v>
      </c>
      <c r="L120" s="381"/>
    </row>
    <row r="121" spans="1:12" s="270" customFormat="1">
      <c r="A121" s="867" t="s">
        <v>639</v>
      </c>
      <c r="B121" s="863" t="s">
        <v>876</v>
      </c>
      <c r="C121" s="863" t="s">
        <v>339</v>
      </c>
      <c r="D121" s="868" t="s">
        <v>339</v>
      </c>
      <c r="E121" s="869">
        <v>1</v>
      </c>
      <c r="F121" s="870" t="s">
        <v>304</v>
      </c>
      <c r="G121" s="871">
        <v>-37.200000000000003</v>
      </c>
      <c r="H121" s="864" t="s">
        <v>912</v>
      </c>
      <c r="I121" s="865">
        <v>103.03515625</v>
      </c>
      <c r="J121" s="295">
        <v>101.94921875</v>
      </c>
      <c r="K121" s="296">
        <f t="shared" si="4"/>
        <v>-2171.875</v>
      </c>
      <c r="L121" s="381"/>
    </row>
    <row r="122" spans="1:12" s="270" customFormat="1">
      <c r="A122" s="867" t="s">
        <v>639</v>
      </c>
      <c r="B122" s="863" t="s">
        <v>876</v>
      </c>
      <c r="C122" s="863" t="s">
        <v>339</v>
      </c>
      <c r="D122" s="868" t="s">
        <v>339</v>
      </c>
      <c r="E122" s="869">
        <v>1</v>
      </c>
      <c r="F122" s="870" t="s">
        <v>304</v>
      </c>
      <c r="G122" s="871">
        <v>-37.200000000000003</v>
      </c>
      <c r="H122" s="864" t="s">
        <v>913</v>
      </c>
      <c r="I122" s="865">
        <v>103.03125</v>
      </c>
      <c r="J122" s="295">
        <v>101.94921875</v>
      </c>
      <c r="K122" s="296">
        <f t="shared" si="4"/>
        <v>-2164.0625</v>
      </c>
      <c r="L122" s="381"/>
    </row>
    <row r="123" spans="1:12" s="270" customFormat="1">
      <c r="A123" s="867" t="s">
        <v>639</v>
      </c>
      <c r="B123" s="863" t="s">
        <v>876</v>
      </c>
      <c r="C123" s="863" t="s">
        <v>339</v>
      </c>
      <c r="D123" s="868" t="s">
        <v>339</v>
      </c>
      <c r="E123" s="869">
        <v>1</v>
      </c>
      <c r="F123" s="870" t="s">
        <v>304</v>
      </c>
      <c r="G123" s="871">
        <v>-37.200000000000003</v>
      </c>
      <c r="H123" s="864" t="s">
        <v>914</v>
      </c>
      <c r="I123" s="865">
        <v>103.02734375</v>
      </c>
      <c r="J123" s="295">
        <v>101.94921875</v>
      </c>
      <c r="K123" s="296">
        <f t="shared" ref="K123:K186" si="5">IF(LEFT(A123,2)="TU",(J123-I123)*E123/100*100000*2,(J123-I123)*E123/100*100000)</f>
        <v>-2156.25</v>
      </c>
      <c r="L123" s="381"/>
    </row>
    <row r="124" spans="1:12" s="270" customFormat="1">
      <c r="A124" s="867" t="s">
        <v>639</v>
      </c>
      <c r="B124" s="863" t="s">
        <v>876</v>
      </c>
      <c r="C124" s="863" t="s">
        <v>339</v>
      </c>
      <c r="D124" s="868" t="s">
        <v>339</v>
      </c>
      <c r="E124" s="869">
        <v>1</v>
      </c>
      <c r="F124" s="870" t="s">
        <v>304</v>
      </c>
      <c r="G124" s="871">
        <v>-37.200000000000003</v>
      </c>
      <c r="H124" s="864" t="s">
        <v>915</v>
      </c>
      <c r="I124" s="865">
        <v>103.0234375</v>
      </c>
      <c r="J124" s="295">
        <v>101.94921875</v>
      </c>
      <c r="K124" s="296">
        <f t="shared" si="5"/>
        <v>-2148.4375</v>
      </c>
      <c r="L124" s="381"/>
    </row>
    <row r="125" spans="1:12" s="270" customFormat="1">
      <c r="A125" s="867" t="s">
        <v>639</v>
      </c>
      <c r="B125" s="863" t="s">
        <v>916</v>
      </c>
      <c r="C125" s="863" t="s">
        <v>339</v>
      </c>
      <c r="D125" s="868" t="s">
        <v>339</v>
      </c>
      <c r="E125" s="869">
        <v>10</v>
      </c>
      <c r="F125" s="870" t="s">
        <v>304</v>
      </c>
      <c r="G125" s="871">
        <v>-372</v>
      </c>
      <c r="H125" s="864" t="s">
        <v>917</v>
      </c>
      <c r="I125" s="865">
        <v>103.03125</v>
      </c>
      <c r="J125" s="295">
        <v>101.94921875</v>
      </c>
      <c r="K125" s="296">
        <f t="shared" si="5"/>
        <v>-21640.625</v>
      </c>
      <c r="L125" s="381"/>
    </row>
    <row r="126" spans="1:12" s="270" customFormat="1">
      <c r="A126" s="867" t="s">
        <v>639</v>
      </c>
      <c r="B126" s="863" t="s">
        <v>916</v>
      </c>
      <c r="C126" s="863" t="s">
        <v>339</v>
      </c>
      <c r="D126" s="868" t="s">
        <v>339</v>
      </c>
      <c r="E126" s="869">
        <v>10</v>
      </c>
      <c r="F126" s="870" t="s">
        <v>304</v>
      </c>
      <c r="G126" s="871">
        <v>-372</v>
      </c>
      <c r="H126" s="864" t="s">
        <v>918</v>
      </c>
      <c r="I126" s="865">
        <v>103.0234375</v>
      </c>
      <c r="J126" s="295">
        <v>101.94921875</v>
      </c>
      <c r="K126" s="296">
        <f t="shared" si="5"/>
        <v>-21484.375</v>
      </c>
      <c r="L126" s="381"/>
    </row>
    <row r="127" spans="1:12" s="270" customFormat="1">
      <c r="A127" s="867" t="s">
        <v>639</v>
      </c>
      <c r="B127" s="863" t="s">
        <v>916</v>
      </c>
      <c r="C127" s="863" t="s">
        <v>339</v>
      </c>
      <c r="D127" s="868" t="s">
        <v>339</v>
      </c>
      <c r="E127" s="869">
        <v>10</v>
      </c>
      <c r="F127" s="870" t="s">
        <v>304</v>
      </c>
      <c r="G127" s="871">
        <v>-372</v>
      </c>
      <c r="H127" s="864" t="s">
        <v>931</v>
      </c>
      <c r="I127" s="865">
        <v>103</v>
      </c>
      <c r="J127" s="295">
        <v>101.93359375</v>
      </c>
      <c r="K127" s="296">
        <f t="shared" si="5"/>
        <v>-21328.125</v>
      </c>
      <c r="L127" s="381"/>
    </row>
    <row r="128" spans="1:12" s="270" customFormat="1">
      <c r="A128" s="867" t="s">
        <v>639</v>
      </c>
      <c r="B128" s="863" t="s">
        <v>916</v>
      </c>
      <c r="C128" s="863" t="s">
        <v>339</v>
      </c>
      <c r="D128" s="868" t="s">
        <v>339</v>
      </c>
      <c r="E128" s="869">
        <v>50</v>
      </c>
      <c r="F128" s="870" t="s">
        <v>304</v>
      </c>
      <c r="G128" s="871">
        <v>-1860.0000000000002</v>
      </c>
      <c r="H128" s="864" t="s">
        <v>932</v>
      </c>
      <c r="I128" s="865">
        <v>102.875</v>
      </c>
      <c r="J128" s="295">
        <v>101.93359375</v>
      </c>
      <c r="K128" s="296">
        <f t="shared" si="5"/>
        <v>-94140.625</v>
      </c>
      <c r="L128" s="381"/>
    </row>
    <row r="129" spans="1:12" s="270" customFormat="1">
      <c r="A129" s="867" t="s">
        <v>639</v>
      </c>
      <c r="B129" s="863" t="s">
        <v>916</v>
      </c>
      <c r="C129" s="863" t="s">
        <v>339</v>
      </c>
      <c r="D129" s="868" t="s">
        <v>339</v>
      </c>
      <c r="E129" s="869">
        <v>50</v>
      </c>
      <c r="F129" s="870" t="s">
        <v>304</v>
      </c>
      <c r="G129" s="871">
        <v>-1860.0000000000002</v>
      </c>
      <c r="H129" s="864" t="s">
        <v>933</v>
      </c>
      <c r="I129" s="865">
        <v>102.84375</v>
      </c>
      <c r="J129" s="295">
        <v>101.93359375</v>
      </c>
      <c r="K129" s="296">
        <f t="shared" si="5"/>
        <v>-91015.625</v>
      </c>
      <c r="L129" s="381"/>
    </row>
    <row r="130" spans="1:12" s="270" customFormat="1">
      <c r="A130" s="867" t="s">
        <v>639</v>
      </c>
      <c r="B130" s="863" t="s">
        <v>952</v>
      </c>
      <c r="C130" s="863" t="s">
        <v>339</v>
      </c>
      <c r="D130" s="868" t="s">
        <v>339</v>
      </c>
      <c r="E130" s="869">
        <v>40</v>
      </c>
      <c r="F130" s="870" t="s">
        <v>304</v>
      </c>
      <c r="G130" s="871">
        <v>-1488</v>
      </c>
      <c r="H130" s="864" t="s">
        <v>967</v>
      </c>
      <c r="I130" s="865">
        <v>102.30859375</v>
      </c>
      <c r="J130" s="295">
        <v>101.93359375</v>
      </c>
      <c r="K130" s="296">
        <f t="shared" si="5"/>
        <v>-30000</v>
      </c>
      <c r="L130" s="381"/>
    </row>
    <row r="131" spans="1:12" s="270" customFormat="1">
      <c r="A131" s="867" t="s">
        <v>629</v>
      </c>
      <c r="B131" s="863" t="s">
        <v>876</v>
      </c>
      <c r="C131" s="863" t="s">
        <v>339</v>
      </c>
      <c r="D131" s="868" t="s">
        <v>339</v>
      </c>
      <c r="E131" s="869">
        <v>-10</v>
      </c>
      <c r="F131" s="870" t="s">
        <v>304</v>
      </c>
      <c r="G131" s="871">
        <v>770</v>
      </c>
      <c r="H131" s="864" t="s">
        <v>919</v>
      </c>
      <c r="I131" s="865">
        <v>115.4375</v>
      </c>
      <c r="J131" s="295">
        <v>112.25</v>
      </c>
      <c r="K131" s="296">
        <f t="shared" si="5"/>
        <v>31874.999999999996</v>
      </c>
      <c r="L131" s="381"/>
    </row>
    <row r="132" spans="1:12" s="270" customFormat="1">
      <c r="A132" s="867" t="s">
        <v>629</v>
      </c>
      <c r="B132" s="863" t="s">
        <v>876</v>
      </c>
      <c r="C132" s="863" t="s">
        <v>339</v>
      </c>
      <c r="D132" s="868" t="s">
        <v>339</v>
      </c>
      <c r="E132" s="869">
        <v>-10</v>
      </c>
      <c r="F132" s="870" t="s">
        <v>304</v>
      </c>
      <c r="G132" s="871">
        <v>770</v>
      </c>
      <c r="H132" s="864" t="s">
        <v>920</v>
      </c>
      <c r="I132" s="865">
        <v>115.625</v>
      </c>
      <c r="J132" s="295">
        <v>112.25</v>
      </c>
      <c r="K132" s="296">
        <f t="shared" si="5"/>
        <v>33750</v>
      </c>
      <c r="L132" s="381"/>
    </row>
    <row r="133" spans="1:12" s="270" customFormat="1">
      <c r="A133" s="867" t="s">
        <v>629</v>
      </c>
      <c r="B133" s="863" t="s">
        <v>876</v>
      </c>
      <c r="C133" s="863" t="s">
        <v>339</v>
      </c>
      <c r="D133" s="868" t="s">
        <v>339</v>
      </c>
      <c r="E133" s="869">
        <v>-10</v>
      </c>
      <c r="F133" s="870" t="s">
        <v>304</v>
      </c>
      <c r="G133" s="871">
        <v>770</v>
      </c>
      <c r="H133" s="864" t="s">
        <v>921</v>
      </c>
      <c r="I133" s="865">
        <v>115.875</v>
      </c>
      <c r="J133" s="295">
        <v>112.25</v>
      </c>
      <c r="K133" s="296">
        <f t="shared" si="5"/>
        <v>36250</v>
      </c>
      <c r="L133" s="381"/>
    </row>
    <row r="134" spans="1:12" s="270" customFormat="1">
      <c r="A134" s="867" t="s">
        <v>629</v>
      </c>
      <c r="B134" s="863" t="s">
        <v>939</v>
      </c>
      <c r="C134" s="863" t="s">
        <v>339</v>
      </c>
      <c r="D134" s="868" t="s">
        <v>339</v>
      </c>
      <c r="E134" s="869">
        <v>-20</v>
      </c>
      <c r="F134" s="870" t="s">
        <v>304</v>
      </c>
      <c r="G134" s="871">
        <v>1540</v>
      </c>
      <c r="H134" s="864" t="s">
        <v>949</v>
      </c>
      <c r="I134" s="865">
        <v>113.625</v>
      </c>
      <c r="J134" s="295">
        <v>112.25</v>
      </c>
      <c r="K134" s="296">
        <f t="shared" si="5"/>
        <v>27500.000000000004</v>
      </c>
      <c r="L134" s="381"/>
    </row>
    <row r="135" spans="1:12" s="270" customFormat="1">
      <c r="A135" s="867" t="s">
        <v>629</v>
      </c>
      <c r="B135" s="863" t="s">
        <v>996</v>
      </c>
      <c r="C135" s="863" t="s">
        <v>339</v>
      </c>
      <c r="D135" s="868" t="s">
        <v>339</v>
      </c>
      <c r="E135" s="869">
        <v>-30</v>
      </c>
      <c r="F135" s="870" t="s">
        <v>304</v>
      </c>
      <c r="G135" s="871">
        <v>2310</v>
      </c>
      <c r="H135" s="864" t="s">
        <v>998</v>
      </c>
      <c r="I135" s="865">
        <v>112.671875</v>
      </c>
      <c r="J135" s="295">
        <v>112.25</v>
      </c>
      <c r="K135" s="296">
        <f t="shared" si="5"/>
        <v>12656.25</v>
      </c>
      <c r="L135" s="381"/>
    </row>
    <row r="136" spans="1:12" s="270" customFormat="1">
      <c r="A136" s="867" t="s">
        <v>629</v>
      </c>
      <c r="B136" s="863" t="s">
        <v>1005</v>
      </c>
      <c r="C136" s="863" t="s">
        <v>339</v>
      </c>
      <c r="D136" s="868" t="s">
        <v>339</v>
      </c>
      <c r="E136" s="869">
        <v>10</v>
      </c>
      <c r="F136" s="870" t="s">
        <v>304</v>
      </c>
      <c r="G136" s="871">
        <v>-770</v>
      </c>
      <c r="H136" s="864" t="s">
        <v>1022</v>
      </c>
      <c r="I136" s="865">
        <v>112.109375</v>
      </c>
      <c r="J136" s="295">
        <v>111.6875</v>
      </c>
      <c r="K136" s="296">
        <f t="shared" si="5"/>
        <v>-4218.75</v>
      </c>
      <c r="L136" s="381"/>
    </row>
    <row r="137" spans="1:12" s="270" customFormat="1">
      <c r="A137" s="867" t="s">
        <v>629</v>
      </c>
      <c r="B137" s="863" t="s">
        <v>1005</v>
      </c>
      <c r="C137" s="863" t="s">
        <v>339</v>
      </c>
      <c r="D137" s="868" t="s">
        <v>339</v>
      </c>
      <c r="E137" s="869">
        <v>10</v>
      </c>
      <c r="F137" s="870" t="s">
        <v>304</v>
      </c>
      <c r="G137" s="871">
        <v>-770</v>
      </c>
      <c r="H137" s="864" t="s">
        <v>1023</v>
      </c>
      <c r="I137" s="865">
        <v>112.109375</v>
      </c>
      <c r="J137" s="295">
        <v>111.6875</v>
      </c>
      <c r="K137" s="296">
        <f t="shared" si="5"/>
        <v>-4218.75</v>
      </c>
      <c r="L137" s="381"/>
    </row>
    <row r="138" spans="1:12" s="270" customFormat="1">
      <c r="A138" s="867" t="s">
        <v>629</v>
      </c>
      <c r="B138" s="863" t="s">
        <v>1020</v>
      </c>
      <c r="C138" s="863" t="s">
        <v>339</v>
      </c>
      <c r="D138" s="868" t="s">
        <v>339</v>
      </c>
      <c r="E138" s="869">
        <v>10</v>
      </c>
      <c r="F138" s="870" t="s">
        <v>304</v>
      </c>
      <c r="G138" s="871">
        <v>-770</v>
      </c>
      <c r="H138" s="864" t="s">
        <v>1024</v>
      </c>
      <c r="I138" s="865">
        <v>112.171875</v>
      </c>
      <c r="J138" s="295">
        <v>111.6875</v>
      </c>
      <c r="K138" s="296">
        <f t="shared" si="5"/>
        <v>-4843.75</v>
      </c>
      <c r="L138" s="381"/>
    </row>
    <row r="139" spans="1:12" s="270" customFormat="1">
      <c r="A139" s="867" t="s">
        <v>629</v>
      </c>
      <c r="B139" s="863" t="s">
        <v>1042</v>
      </c>
      <c r="C139" s="863" t="s">
        <v>339</v>
      </c>
      <c r="D139" s="868" t="s">
        <v>339</v>
      </c>
      <c r="E139" s="869">
        <v>10</v>
      </c>
      <c r="F139" s="870" t="s">
        <v>304</v>
      </c>
      <c r="G139" s="871">
        <v>0</v>
      </c>
      <c r="H139" s="864" t="s">
        <v>1044</v>
      </c>
      <c r="I139" s="865">
        <v>111.78125</v>
      </c>
      <c r="J139" s="295">
        <v>111.78125</v>
      </c>
      <c r="K139" s="296">
        <f t="shared" si="5"/>
        <v>0</v>
      </c>
      <c r="L139" s="381"/>
    </row>
    <row r="140" spans="1:12" s="270" customFormat="1">
      <c r="A140" s="867" t="s">
        <v>643</v>
      </c>
      <c r="B140" s="863" t="s">
        <v>1042</v>
      </c>
      <c r="C140" s="863" t="s">
        <v>339</v>
      </c>
      <c r="D140" s="868" t="s">
        <v>339</v>
      </c>
      <c r="E140" s="869">
        <v>10</v>
      </c>
      <c r="F140" s="870" t="s">
        <v>304</v>
      </c>
      <c r="G140" s="871">
        <v>0</v>
      </c>
      <c r="H140" s="864" t="s">
        <v>1059</v>
      </c>
      <c r="I140" s="865">
        <v>111.8125</v>
      </c>
      <c r="J140" s="295">
        <v>111.84375</v>
      </c>
      <c r="K140" s="296">
        <f t="shared" si="5"/>
        <v>312.5</v>
      </c>
      <c r="L140" s="381"/>
    </row>
    <row r="141" spans="1:12" s="270" customFormat="1">
      <c r="A141" s="867" t="s">
        <v>643</v>
      </c>
      <c r="B141" s="863" t="s">
        <v>1042</v>
      </c>
      <c r="C141" s="863" t="s">
        <v>339</v>
      </c>
      <c r="D141" s="868" t="s">
        <v>339</v>
      </c>
      <c r="E141" s="869">
        <v>10</v>
      </c>
      <c r="F141" s="870" t="s">
        <v>304</v>
      </c>
      <c r="G141" s="871">
        <v>-770</v>
      </c>
      <c r="H141" s="864" t="s">
        <v>1045</v>
      </c>
      <c r="I141" s="865">
        <v>112.28125</v>
      </c>
      <c r="J141" s="295">
        <v>111.625</v>
      </c>
      <c r="K141" s="296">
        <f t="shared" si="5"/>
        <v>-6562.5</v>
      </c>
      <c r="L141" s="381"/>
    </row>
    <row r="142" spans="1:12" s="270" customFormat="1">
      <c r="A142" s="867" t="s">
        <v>643</v>
      </c>
      <c r="B142" s="863" t="s">
        <v>1042</v>
      </c>
      <c r="C142" s="863" t="s">
        <v>339</v>
      </c>
      <c r="D142" s="868" t="s">
        <v>339</v>
      </c>
      <c r="E142" s="869">
        <v>10</v>
      </c>
      <c r="F142" s="870" t="s">
        <v>304</v>
      </c>
      <c r="G142" s="871">
        <v>-770</v>
      </c>
      <c r="H142" s="864" t="s">
        <v>1046</v>
      </c>
      <c r="I142" s="865">
        <v>112.125</v>
      </c>
      <c r="J142" s="295">
        <v>111.625</v>
      </c>
      <c r="K142" s="296">
        <f t="shared" si="5"/>
        <v>-5000</v>
      </c>
      <c r="L142" s="381"/>
    </row>
    <row r="143" spans="1:12" s="270" customFormat="1">
      <c r="A143" s="867" t="s">
        <v>643</v>
      </c>
      <c r="B143" s="863" t="s">
        <v>1049</v>
      </c>
      <c r="C143" s="863" t="s">
        <v>339</v>
      </c>
      <c r="D143" s="868" t="s">
        <v>339</v>
      </c>
      <c r="E143" s="869">
        <v>20</v>
      </c>
      <c r="F143" s="870" t="s">
        <v>304</v>
      </c>
      <c r="G143" s="871">
        <v>0</v>
      </c>
      <c r="H143" s="864" t="s">
        <v>1064</v>
      </c>
      <c r="I143" s="865">
        <v>111.5625</v>
      </c>
      <c r="J143" s="295">
        <v>111.625</v>
      </c>
      <c r="K143" s="296">
        <f t="shared" si="5"/>
        <v>1250</v>
      </c>
      <c r="L143" s="381"/>
    </row>
    <row r="144" spans="1:12" s="270" customFormat="1">
      <c r="A144" s="867" t="s">
        <v>643</v>
      </c>
      <c r="B144" s="863" t="s">
        <v>1060</v>
      </c>
      <c r="C144" s="863" t="s">
        <v>339</v>
      </c>
      <c r="D144" s="868" t="s">
        <v>339</v>
      </c>
      <c r="E144" s="869">
        <v>10</v>
      </c>
      <c r="F144" s="870" t="s">
        <v>304</v>
      </c>
      <c r="G144" s="871">
        <v>-770</v>
      </c>
      <c r="H144" s="864" t="s">
        <v>1065</v>
      </c>
      <c r="I144" s="865">
        <v>111.625</v>
      </c>
      <c r="J144" s="295">
        <v>111.640625</v>
      </c>
      <c r="K144" s="296">
        <f t="shared" si="5"/>
        <v>156.25</v>
      </c>
      <c r="L144" s="381"/>
    </row>
    <row r="145" spans="1:12" s="270" customFormat="1">
      <c r="A145" s="867" t="s">
        <v>1088</v>
      </c>
      <c r="B145" s="863" t="s">
        <v>1071</v>
      </c>
      <c r="C145" s="863" t="s">
        <v>339</v>
      </c>
      <c r="D145" s="868" t="s">
        <v>339</v>
      </c>
      <c r="E145" s="869">
        <v>-50</v>
      </c>
      <c r="F145" s="870" t="s">
        <v>304</v>
      </c>
      <c r="G145" s="871">
        <v>0</v>
      </c>
      <c r="H145" s="864" t="s">
        <v>1089</v>
      </c>
      <c r="I145" s="865">
        <v>101.953125</v>
      </c>
      <c r="J145" s="295">
        <v>101.921875</v>
      </c>
      <c r="K145" s="296">
        <f t="shared" si="5"/>
        <v>3125</v>
      </c>
      <c r="L145" s="381"/>
    </row>
    <row r="146" spans="1:12" s="270" customFormat="1">
      <c r="A146" s="867" t="s">
        <v>643</v>
      </c>
      <c r="B146" s="863" t="s">
        <v>1071</v>
      </c>
      <c r="C146" s="863" t="s">
        <v>339</v>
      </c>
      <c r="D146" s="868" t="s">
        <v>339</v>
      </c>
      <c r="E146" s="869">
        <v>10</v>
      </c>
      <c r="F146" s="870" t="s">
        <v>304</v>
      </c>
      <c r="G146" s="871">
        <v>0</v>
      </c>
      <c r="H146" s="864" t="s">
        <v>1090</v>
      </c>
      <c r="I146" s="865">
        <v>111.53125</v>
      </c>
      <c r="J146" s="295">
        <v>111.5625</v>
      </c>
      <c r="K146" s="296">
        <f t="shared" si="5"/>
        <v>312.5</v>
      </c>
      <c r="L146" s="381"/>
    </row>
    <row r="147" spans="1:12" s="270" customFormat="1">
      <c r="A147" s="867" t="s">
        <v>643</v>
      </c>
      <c r="B147" s="863" t="s">
        <v>1086</v>
      </c>
      <c r="C147" s="863" t="s">
        <v>339</v>
      </c>
      <c r="D147" s="868" t="s">
        <v>339</v>
      </c>
      <c r="E147" s="869">
        <v>10</v>
      </c>
      <c r="F147" s="870" t="s">
        <v>304</v>
      </c>
      <c r="G147" s="871">
        <v>0</v>
      </c>
      <c r="H147" s="864" t="s">
        <v>1091</v>
      </c>
      <c r="I147" s="865">
        <v>111.53125</v>
      </c>
      <c r="J147" s="295">
        <v>111.4375</v>
      </c>
      <c r="K147" s="296">
        <f t="shared" si="5"/>
        <v>-937.5</v>
      </c>
      <c r="L147" s="381"/>
    </row>
    <row r="148" spans="1:12" s="270" customFormat="1">
      <c r="A148" s="867" t="s">
        <v>643</v>
      </c>
      <c r="B148" s="863" t="s">
        <v>1086</v>
      </c>
      <c r="C148" s="863" t="s">
        <v>339</v>
      </c>
      <c r="D148" s="868" t="s">
        <v>339</v>
      </c>
      <c r="E148" s="869">
        <v>10</v>
      </c>
      <c r="F148" s="870" t="s">
        <v>304</v>
      </c>
      <c r="G148" s="871">
        <v>0</v>
      </c>
      <c r="H148" s="864" t="s">
        <v>1092</v>
      </c>
      <c r="I148" s="865">
        <v>111.40625</v>
      </c>
      <c r="J148" s="295">
        <v>111.4375</v>
      </c>
      <c r="K148" s="296">
        <f t="shared" si="5"/>
        <v>312.5</v>
      </c>
      <c r="L148" s="381"/>
    </row>
    <row r="149" spans="1:12" s="270" customFormat="1">
      <c r="A149" s="867" t="s">
        <v>643</v>
      </c>
      <c r="B149" s="863" t="s">
        <v>1086</v>
      </c>
      <c r="C149" s="863" t="s">
        <v>339</v>
      </c>
      <c r="D149" s="868" t="s">
        <v>339</v>
      </c>
      <c r="E149" s="869">
        <v>10</v>
      </c>
      <c r="F149" s="870" t="s">
        <v>304</v>
      </c>
      <c r="G149" s="871">
        <v>0</v>
      </c>
      <c r="H149" s="864" t="s">
        <v>1093</v>
      </c>
      <c r="I149" s="865">
        <v>111.28125</v>
      </c>
      <c r="J149" s="295">
        <v>111.4375</v>
      </c>
      <c r="K149" s="296">
        <f t="shared" si="5"/>
        <v>1562.5</v>
      </c>
      <c r="L149" s="381"/>
    </row>
    <row r="150" spans="1:12" s="270" customFormat="1">
      <c r="A150" s="867" t="s">
        <v>643</v>
      </c>
      <c r="B150" s="863" t="s">
        <v>1075</v>
      </c>
      <c r="C150" s="863" t="s">
        <v>339</v>
      </c>
      <c r="D150" s="868" t="s">
        <v>339</v>
      </c>
      <c r="E150" s="869">
        <v>10</v>
      </c>
      <c r="F150" s="870" t="s">
        <v>304</v>
      </c>
      <c r="G150" s="871">
        <v>0</v>
      </c>
      <c r="H150" s="864" t="s">
        <v>1094</v>
      </c>
      <c r="I150" s="865">
        <v>111.4375</v>
      </c>
      <c r="J150" s="295">
        <v>111.4375</v>
      </c>
      <c r="K150" s="296">
        <f t="shared" si="5"/>
        <v>0</v>
      </c>
      <c r="L150" s="381"/>
    </row>
    <row r="151" spans="1:12" s="270" customFormat="1">
      <c r="A151" s="867" t="s">
        <v>643</v>
      </c>
      <c r="B151" s="863" t="s">
        <v>1075</v>
      </c>
      <c r="C151" s="863" t="s">
        <v>339</v>
      </c>
      <c r="D151" s="868" t="s">
        <v>339</v>
      </c>
      <c r="E151" s="869">
        <v>10</v>
      </c>
      <c r="F151" s="870" t="s">
        <v>304</v>
      </c>
      <c r="G151" s="871">
        <v>0</v>
      </c>
      <c r="H151" s="864" t="s">
        <v>1095</v>
      </c>
      <c r="I151" s="865">
        <v>111.3125</v>
      </c>
      <c r="J151" s="295">
        <v>111.4375</v>
      </c>
      <c r="K151" s="296">
        <f t="shared" si="5"/>
        <v>1250</v>
      </c>
      <c r="L151" s="381"/>
    </row>
    <row r="152" spans="1:12" s="270" customFormat="1">
      <c r="A152" s="867" t="s">
        <v>643</v>
      </c>
      <c r="B152" s="863" t="s">
        <v>1086</v>
      </c>
      <c r="C152" s="863" t="s">
        <v>339</v>
      </c>
      <c r="D152" s="868" t="s">
        <v>339</v>
      </c>
      <c r="E152" s="869">
        <v>10</v>
      </c>
      <c r="F152" s="870" t="s">
        <v>304</v>
      </c>
      <c r="G152" s="871">
        <v>0</v>
      </c>
      <c r="H152" s="864" t="s">
        <v>1096</v>
      </c>
      <c r="I152" s="865">
        <v>111.40625</v>
      </c>
      <c r="J152" s="295">
        <v>111.5</v>
      </c>
      <c r="K152" s="296">
        <f t="shared" si="5"/>
        <v>937.5</v>
      </c>
      <c r="L152" s="381"/>
    </row>
    <row r="153" spans="1:12" s="270" customFormat="1">
      <c r="A153" s="867" t="s">
        <v>643</v>
      </c>
      <c r="B153" s="863" t="s">
        <v>1097</v>
      </c>
      <c r="C153" s="863" t="s">
        <v>339</v>
      </c>
      <c r="D153" s="868" t="s">
        <v>339</v>
      </c>
      <c r="E153" s="869">
        <v>10</v>
      </c>
      <c r="F153" s="870" t="s">
        <v>304</v>
      </c>
      <c r="G153" s="871">
        <v>0</v>
      </c>
      <c r="H153" s="864" t="s">
        <v>1109</v>
      </c>
      <c r="I153" s="865">
        <v>111.3125</v>
      </c>
      <c r="J153" s="295">
        <v>111.40625</v>
      </c>
      <c r="K153" s="296">
        <f t="shared" si="5"/>
        <v>937.5</v>
      </c>
      <c r="L153" s="381"/>
    </row>
    <row r="154" spans="1:12" s="270" customFormat="1">
      <c r="A154" s="867" t="s">
        <v>643</v>
      </c>
      <c r="B154" s="863" t="s">
        <v>1097</v>
      </c>
      <c r="C154" s="863" t="s">
        <v>339</v>
      </c>
      <c r="D154" s="868" t="s">
        <v>339</v>
      </c>
      <c r="E154" s="869">
        <v>10</v>
      </c>
      <c r="F154" s="870" t="s">
        <v>304</v>
      </c>
      <c r="G154" s="871">
        <v>0</v>
      </c>
      <c r="H154" s="864" t="s">
        <v>1110</v>
      </c>
      <c r="I154" s="865">
        <v>111.25</v>
      </c>
      <c r="J154" s="295">
        <v>111.40625</v>
      </c>
      <c r="K154" s="296">
        <f t="shared" si="5"/>
        <v>1562.5</v>
      </c>
      <c r="L154" s="381"/>
    </row>
    <row r="155" spans="1:12" s="270" customFormat="1">
      <c r="A155" s="867" t="s">
        <v>643</v>
      </c>
      <c r="B155" s="863" t="s">
        <v>1097</v>
      </c>
      <c r="C155" s="863" t="s">
        <v>339</v>
      </c>
      <c r="D155" s="868" t="s">
        <v>339</v>
      </c>
      <c r="E155" s="869">
        <v>20</v>
      </c>
      <c r="F155" s="870" t="s">
        <v>304</v>
      </c>
      <c r="G155" s="871">
        <v>0</v>
      </c>
      <c r="H155" s="864" t="s">
        <v>1111</v>
      </c>
      <c r="I155" s="865">
        <v>110.96875</v>
      </c>
      <c r="J155" s="295">
        <v>111.03125</v>
      </c>
      <c r="K155" s="296">
        <f t="shared" si="5"/>
        <v>1250</v>
      </c>
      <c r="L155" s="381"/>
    </row>
    <row r="156" spans="1:12" s="270" customFormat="1">
      <c r="A156" s="867" t="s">
        <v>1088</v>
      </c>
      <c r="B156" s="863" t="s">
        <v>1101</v>
      </c>
      <c r="C156" s="863" t="s">
        <v>339</v>
      </c>
      <c r="D156" s="868" t="s">
        <v>339</v>
      </c>
      <c r="E156" s="869">
        <v>-50</v>
      </c>
      <c r="F156" s="870" t="s">
        <v>304</v>
      </c>
      <c r="G156" s="871">
        <v>3720.0000000000005</v>
      </c>
      <c r="H156" s="864" t="s">
        <v>1107</v>
      </c>
      <c r="I156" s="865">
        <v>101.59375</v>
      </c>
      <c r="J156" s="295">
        <v>101.60546875</v>
      </c>
      <c r="K156" s="296">
        <f t="shared" si="5"/>
        <v>-1171.875</v>
      </c>
      <c r="L156" s="381"/>
    </row>
    <row r="157" spans="1:12" s="270" customFormat="1">
      <c r="A157" s="867" t="s">
        <v>1088</v>
      </c>
      <c r="B157" s="863" t="s">
        <v>1101</v>
      </c>
      <c r="C157" s="863" t="s">
        <v>339</v>
      </c>
      <c r="D157" s="868" t="s">
        <v>339</v>
      </c>
      <c r="E157" s="869">
        <v>-50</v>
      </c>
      <c r="F157" s="870" t="s">
        <v>304</v>
      </c>
      <c r="G157" s="871">
        <v>3720.0000000000005</v>
      </c>
      <c r="H157" s="864" t="s">
        <v>1108</v>
      </c>
      <c r="I157" s="865">
        <v>101.625</v>
      </c>
      <c r="J157" s="295">
        <v>101.578125</v>
      </c>
      <c r="K157" s="296">
        <f t="shared" si="5"/>
        <v>4687.5</v>
      </c>
      <c r="L157" s="381"/>
    </row>
    <row r="158" spans="1:12" s="270" customFormat="1">
      <c r="A158" s="867" t="s">
        <v>1088</v>
      </c>
      <c r="B158" s="863" t="s">
        <v>1101</v>
      </c>
      <c r="C158" s="863" t="s">
        <v>339</v>
      </c>
      <c r="D158" s="868" t="s">
        <v>339</v>
      </c>
      <c r="E158" s="869">
        <v>-50</v>
      </c>
      <c r="F158" s="870" t="s">
        <v>304</v>
      </c>
      <c r="G158" s="871">
        <v>3720.0000000000005</v>
      </c>
      <c r="H158" s="864" t="s">
        <v>1107</v>
      </c>
      <c r="I158" s="865">
        <v>101.59375</v>
      </c>
      <c r="J158" s="295">
        <v>101.65625</v>
      </c>
      <c r="K158" s="296">
        <f t="shared" si="5"/>
        <v>-6250</v>
      </c>
      <c r="L158" s="381"/>
    </row>
    <row r="159" spans="1:12" s="270" customFormat="1">
      <c r="A159" s="867" t="s">
        <v>1088</v>
      </c>
      <c r="B159" s="863" t="s">
        <v>1101</v>
      </c>
      <c r="C159" s="863" t="s">
        <v>339</v>
      </c>
      <c r="D159" s="868" t="s">
        <v>339</v>
      </c>
      <c r="E159" s="869">
        <v>-50</v>
      </c>
      <c r="F159" s="870" t="s">
        <v>304</v>
      </c>
      <c r="G159" s="871">
        <v>3720.0000000000005</v>
      </c>
      <c r="H159" s="864" t="s">
        <v>1108</v>
      </c>
      <c r="I159" s="865">
        <v>101.625</v>
      </c>
      <c r="J159" s="295">
        <v>101.65234375</v>
      </c>
      <c r="K159" s="296">
        <f t="shared" si="5"/>
        <v>-2734.375</v>
      </c>
      <c r="L159" s="381"/>
    </row>
    <row r="160" spans="1:12" s="270" customFormat="1">
      <c r="A160" s="867" t="s">
        <v>1088</v>
      </c>
      <c r="B160" s="863" t="s">
        <v>1101</v>
      </c>
      <c r="C160" s="863" t="s">
        <v>339</v>
      </c>
      <c r="D160" s="868" t="s">
        <v>339</v>
      </c>
      <c r="E160" s="869">
        <v>-100</v>
      </c>
      <c r="F160" s="870" t="s">
        <v>304</v>
      </c>
      <c r="G160" s="871">
        <v>0</v>
      </c>
      <c r="H160" s="864" t="s">
        <v>1121</v>
      </c>
      <c r="I160" s="865">
        <v>101.640625</v>
      </c>
      <c r="J160" s="295">
        <v>101.6328125</v>
      </c>
      <c r="K160" s="296">
        <f t="shared" si="5"/>
        <v>1562.5</v>
      </c>
      <c r="L160" s="381"/>
    </row>
    <row r="161" spans="1:12" s="270" customFormat="1">
      <c r="A161" s="867" t="s">
        <v>643</v>
      </c>
      <c r="B161" s="863" t="s">
        <v>1101</v>
      </c>
      <c r="C161" s="863" t="s">
        <v>339</v>
      </c>
      <c r="D161" s="868" t="s">
        <v>339</v>
      </c>
      <c r="E161" s="869">
        <v>20</v>
      </c>
      <c r="F161" s="870" t="s">
        <v>304</v>
      </c>
      <c r="G161" s="871">
        <v>-1540</v>
      </c>
      <c r="H161" s="864" t="s">
        <v>1112</v>
      </c>
      <c r="I161" s="865">
        <v>110.9375</v>
      </c>
      <c r="J161" s="295">
        <v>110.5</v>
      </c>
      <c r="K161" s="296">
        <f t="shared" si="5"/>
        <v>-8750</v>
      </c>
      <c r="L161" s="381"/>
    </row>
    <row r="162" spans="1:12" s="270" customFormat="1">
      <c r="A162" s="867" t="s">
        <v>643</v>
      </c>
      <c r="B162" s="863" t="s">
        <v>1101</v>
      </c>
      <c r="C162" s="863" t="s">
        <v>339</v>
      </c>
      <c r="D162" s="868" t="s">
        <v>339</v>
      </c>
      <c r="E162" s="869">
        <v>10</v>
      </c>
      <c r="F162" s="870" t="s">
        <v>304</v>
      </c>
      <c r="G162" s="871">
        <v>-770</v>
      </c>
      <c r="H162" s="864" t="s">
        <v>1113</v>
      </c>
      <c r="I162" s="865">
        <v>110.75</v>
      </c>
      <c r="J162" s="295">
        <v>110.5</v>
      </c>
      <c r="K162" s="296">
        <f t="shared" si="5"/>
        <v>-2500</v>
      </c>
      <c r="L162" s="381"/>
    </row>
    <row r="163" spans="1:12" s="270" customFormat="1">
      <c r="A163" s="867" t="s">
        <v>643</v>
      </c>
      <c r="B163" s="863" t="s">
        <v>1097</v>
      </c>
      <c r="C163" s="863" t="s">
        <v>339</v>
      </c>
      <c r="D163" s="868" t="s">
        <v>339</v>
      </c>
      <c r="E163" s="869">
        <v>10</v>
      </c>
      <c r="F163" s="870" t="s">
        <v>304</v>
      </c>
      <c r="G163" s="871">
        <v>-770</v>
      </c>
      <c r="H163" s="864" t="s">
        <v>1098</v>
      </c>
      <c r="I163" s="865">
        <v>111.375</v>
      </c>
      <c r="J163" s="295">
        <v>110.59375</v>
      </c>
      <c r="K163" s="296">
        <f t="shared" si="5"/>
        <v>-7812.5</v>
      </c>
      <c r="L163" s="381"/>
    </row>
    <row r="164" spans="1:12" s="270" customFormat="1">
      <c r="A164" s="867" t="s">
        <v>643</v>
      </c>
      <c r="B164" s="863" t="s">
        <v>1097</v>
      </c>
      <c r="C164" s="863" t="s">
        <v>339</v>
      </c>
      <c r="D164" s="868" t="s">
        <v>339</v>
      </c>
      <c r="E164" s="869">
        <v>10</v>
      </c>
      <c r="F164" s="870" t="s">
        <v>304</v>
      </c>
      <c r="G164" s="871">
        <v>-770</v>
      </c>
      <c r="H164" s="864" t="s">
        <v>1099</v>
      </c>
      <c r="I164" s="865">
        <v>111.3125</v>
      </c>
      <c r="J164" s="295">
        <v>110.59375</v>
      </c>
      <c r="K164" s="296">
        <f t="shared" si="5"/>
        <v>-7187.4999999999991</v>
      </c>
      <c r="L164" s="381"/>
    </row>
    <row r="165" spans="1:12" s="270" customFormat="1">
      <c r="A165" s="867" t="s">
        <v>643</v>
      </c>
      <c r="B165" s="863" t="s">
        <v>1101</v>
      </c>
      <c r="C165" s="863" t="s">
        <v>339</v>
      </c>
      <c r="D165" s="868" t="s">
        <v>339</v>
      </c>
      <c r="E165" s="869">
        <v>-10</v>
      </c>
      <c r="F165" s="870" t="s">
        <v>304</v>
      </c>
      <c r="G165" s="871">
        <v>0</v>
      </c>
      <c r="H165" s="864" t="s">
        <v>1122</v>
      </c>
      <c r="I165" s="865">
        <v>110.671875</v>
      </c>
      <c r="J165" s="295">
        <v>110.8125</v>
      </c>
      <c r="K165" s="296">
        <f t="shared" si="5"/>
        <v>-1406.25</v>
      </c>
      <c r="L165" s="381"/>
    </row>
    <row r="166" spans="1:12" s="270" customFormat="1">
      <c r="A166" s="867" t="s">
        <v>643</v>
      </c>
      <c r="B166" s="863" t="s">
        <v>1101</v>
      </c>
      <c r="C166" s="863" t="s">
        <v>339</v>
      </c>
      <c r="D166" s="868" t="s">
        <v>339</v>
      </c>
      <c r="E166" s="869">
        <v>-10</v>
      </c>
      <c r="F166" s="870" t="s">
        <v>304</v>
      </c>
      <c r="G166" s="871">
        <v>0</v>
      </c>
      <c r="H166" s="864" t="s">
        <v>1123</v>
      </c>
      <c r="I166" s="865">
        <v>110.6875</v>
      </c>
      <c r="J166" s="295">
        <v>110.8125</v>
      </c>
      <c r="K166" s="296">
        <f t="shared" si="5"/>
        <v>-1250</v>
      </c>
      <c r="L166" s="381"/>
    </row>
    <row r="167" spans="1:12" s="270" customFormat="1">
      <c r="A167" s="867" t="s">
        <v>643</v>
      </c>
      <c r="B167" s="863" t="s">
        <v>1101</v>
      </c>
      <c r="C167" s="863" t="s">
        <v>339</v>
      </c>
      <c r="D167" s="868" t="s">
        <v>339</v>
      </c>
      <c r="E167" s="869">
        <v>-10</v>
      </c>
      <c r="F167" s="870" t="s">
        <v>304</v>
      </c>
      <c r="G167" s="871">
        <v>0</v>
      </c>
      <c r="H167" s="864" t="s">
        <v>1124</v>
      </c>
      <c r="I167" s="865">
        <v>110.53125</v>
      </c>
      <c r="J167" s="295">
        <v>110.8125</v>
      </c>
      <c r="K167" s="296">
        <f t="shared" si="5"/>
        <v>-2812.5</v>
      </c>
      <c r="L167" s="381"/>
    </row>
    <row r="168" spans="1:12" s="270" customFormat="1">
      <c r="A168" s="867" t="s">
        <v>643</v>
      </c>
      <c r="B168" s="863" t="s">
        <v>1101</v>
      </c>
      <c r="C168" s="863" t="s">
        <v>339</v>
      </c>
      <c r="D168" s="868" t="s">
        <v>339</v>
      </c>
      <c r="E168" s="869">
        <v>-10</v>
      </c>
      <c r="F168" s="870" t="s">
        <v>304</v>
      </c>
      <c r="G168" s="871">
        <v>0</v>
      </c>
      <c r="H168" s="864" t="s">
        <v>1125</v>
      </c>
      <c r="I168" s="865">
        <v>110.59375</v>
      </c>
      <c r="J168" s="295">
        <v>110.8125</v>
      </c>
      <c r="K168" s="296">
        <f t="shared" si="5"/>
        <v>-2187.5</v>
      </c>
      <c r="L168" s="381"/>
    </row>
    <row r="169" spans="1:12" s="270" customFormat="1">
      <c r="A169" s="867" t="s">
        <v>643</v>
      </c>
      <c r="B169" s="863" t="s">
        <v>1115</v>
      </c>
      <c r="C169" s="863" t="s">
        <v>339</v>
      </c>
      <c r="D169" s="868" t="s">
        <v>339</v>
      </c>
      <c r="E169" s="869">
        <v>-10</v>
      </c>
      <c r="F169" s="870" t="s">
        <v>304</v>
      </c>
      <c r="G169" s="871">
        <v>0</v>
      </c>
      <c r="H169" s="864" t="s">
        <v>1126</v>
      </c>
      <c r="I169" s="865">
        <v>110.53125</v>
      </c>
      <c r="J169" s="295">
        <v>110.8125</v>
      </c>
      <c r="K169" s="296">
        <f t="shared" si="5"/>
        <v>-2812.5</v>
      </c>
      <c r="L169" s="381"/>
    </row>
    <row r="170" spans="1:12" s="270" customFormat="1">
      <c r="A170" s="867" t="s">
        <v>643</v>
      </c>
      <c r="B170" s="863" t="s">
        <v>1115</v>
      </c>
      <c r="C170" s="863" t="s">
        <v>339</v>
      </c>
      <c r="D170" s="868" t="s">
        <v>339</v>
      </c>
      <c r="E170" s="869">
        <v>-50</v>
      </c>
      <c r="F170" s="870" t="s">
        <v>304</v>
      </c>
      <c r="G170" s="871">
        <v>0</v>
      </c>
      <c r="H170" s="864" t="s">
        <v>1134</v>
      </c>
      <c r="I170" s="865">
        <v>110.78125</v>
      </c>
      <c r="J170" s="295">
        <v>110.828125</v>
      </c>
      <c r="K170" s="296">
        <f t="shared" si="5"/>
        <v>-2343.75</v>
      </c>
      <c r="L170" s="381"/>
    </row>
    <row r="171" spans="1:12" s="270" customFormat="1">
      <c r="A171" s="867" t="s">
        <v>643</v>
      </c>
      <c r="B171" s="863" t="s">
        <v>1115</v>
      </c>
      <c r="C171" s="863" t="s">
        <v>339</v>
      </c>
      <c r="D171" s="868" t="s">
        <v>339</v>
      </c>
      <c r="E171" s="869">
        <v>10</v>
      </c>
      <c r="F171" s="870" t="s">
        <v>304</v>
      </c>
      <c r="G171" s="871">
        <v>0</v>
      </c>
      <c r="H171" s="864" t="s">
        <v>1135</v>
      </c>
      <c r="I171" s="865">
        <v>110.765625</v>
      </c>
      <c r="J171" s="295">
        <v>110.890625</v>
      </c>
      <c r="K171" s="296">
        <f t="shared" si="5"/>
        <v>1250</v>
      </c>
      <c r="L171" s="381"/>
    </row>
    <row r="172" spans="1:12" s="270" customFormat="1">
      <c r="A172" s="867" t="s">
        <v>643</v>
      </c>
      <c r="B172" s="863" t="s">
        <v>1115</v>
      </c>
      <c r="C172" s="863" t="s">
        <v>339</v>
      </c>
      <c r="D172" s="868" t="s">
        <v>339</v>
      </c>
      <c r="E172" s="869">
        <v>30</v>
      </c>
      <c r="F172" s="870" t="s">
        <v>304</v>
      </c>
      <c r="G172" s="871">
        <v>0</v>
      </c>
      <c r="H172" s="864" t="s">
        <v>1136</v>
      </c>
      <c r="I172" s="865">
        <v>110.765625</v>
      </c>
      <c r="J172" s="295">
        <v>110.859375</v>
      </c>
      <c r="K172" s="296">
        <f t="shared" si="5"/>
        <v>2812.5</v>
      </c>
      <c r="L172" s="381"/>
    </row>
    <row r="173" spans="1:12" s="270" customFormat="1">
      <c r="A173" s="867" t="s">
        <v>643</v>
      </c>
      <c r="B173" s="863" t="s">
        <v>1115</v>
      </c>
      <c r="C173" s="863" t="s">
        <v>339</v>
      </c>
      <c r="D173" s="868" t="s">
        <v>339</v>
      </c>
      <c r="E173" s="869">
        <v>10</v>
      </c>
      <c r="F173" s="870" t="s">
        <v>304</v>
      </c>
      <c r="G173" s="871">
        <v>0</v>
      </c>
      <c r="H173" s="864" t="s">
        <v>1137</v>
      </c>
      <c r="I173" s="865">
        <v>110.765625</v>
      </c>
      <c r="J173" s="295">
        <v>110.859375</v>
      </c>
      <c r="K173" s="296">
        <f t="shared" si="5"/>
        <v>937.5</v>
      </c>
      <c r="L173" s="381"/>
    </row>
    <row r="174" spans="1:12" s="270" customFormat="1">
      <c r="A174" s="867" t="s">
        <v>643</v>
      </c>
      <c r="B174" s="863" t="s">
        <v>1132</v>
      </c>
      <c r="C174" s="863" t="s">
        <v>339</v>
      </c>
      <c r="D174" s="868" t="s">
        <v>339</v>
      </c>
      <c r="E174" s="869">
        <v>90</v>
      </c>
      <c r="F174" s="870" t="s">
        <v>304</v>
      </c>
      <c r="G174" s="871">
        <v>0</v>
      </c>
      <c r="H174" s="864" t="s">
        <v>1142</v>
      </c>
      <c r="I174" s="865">
        <v>111.453125</v>
      </c>
      <c r="J174" s="295">
        <v>111.46875</v>
      </c>
      <c r="K174" s="296">
        <f t="shared" si="5"/>
        <v>1406.25</v>
      </c>
      <c r="L174" s="381"/>
    </row>
    <row r="175" spans="1:12" s="270" customFormat="1">
      <c r="A175" s="867" t="s">
        <v>643</v>
      </c>
      <c r="B175" s="863" t="s">
        <v>1132</v>
      </c>
      <c r="C175" s="863" t="s">
        <v>339</v>
      </c>
      <c r="D175" s="868" t="s">
        <v>339</v>
      </c>
      <c r="E175" s="869">
        <v>10</v>
      </c>
      <c r="F175" s="870" t="s">
        <v>304</v>
      </c>
      <c r="G175" s="871">
        <v>0</v>
      </c>
      <c r="H175" s="864" t="s">
        <v>1143</v>
      </c>
      <c r="I175" s="865">
        <v>111.375</v>
      </c>
      <c r="J175" s="295">
        <v>111.46875</v>
      </c>
      <c r="K175" s="296">
        <f t="shared" si="5"/>
        <v>937.5</v>
      </c>
      <c r="L175" s="381"/>
    </row>
    <row r="176" spans="1:12" s="270" customFormat="1">
      <c r="A176" s="867" t="s">
        <v>643</v>
      </c>
      <c r="B176" s="863" t="s">
        <v>1140</v>
      </c>
      <c r="C176" s="863" t="s">
        <v>339</v>
      </c>
      <c r="D176" s="868" t="s">
        <v>339</v>
      </c>
      <c r="E176" s="869">
        <v>90</v>
      </c>
      <c r="F176" s="870" t="s">
        <v>304</v>
      </c>
      <c r="G176" s="871">
        <v>0</v>
      </c>
      <c r="H176" s="864" t="s">
        <v>1157</v>
      </c>
      <c r="I176" s="865">
        <v>111.234375</v>
      </c>
      <c r="J176" s="295">
        <v>111.25</v>
      </c>
      <c r="K176" s="296">
        <f t="shared" si="5"/>
        <v>1406.25</v>
      </c>
      <c r="L176" s="381"/>
    </row>
    <row r="177" spans="1:12" s="270" customFormat="1">
      <c r="A177" s="867" t="s">
        <v>643</v>
      </c>
      <c r="B177" s="863" t="s">
        <v>1140</v>
      </c>
      <c r="C177" s="863" t="s">
        <v>339</v>
      </c>
      <c r="D177" s="868" t="s">
        <v>339</v>
      </c>
      <c r="E177" s="869">
        <v>10</v>
      </c>
      <c r="F177" s="870" t="s">
        <v>304</v>
      </c>
      <c r="G177" s="871">
        <v>0</v>
      </c>
      <c r="H177" s="864" t="s">
        <v>1158</v>
      </c>
      <c r="I177" s="865">
        <v>111.078125</v>
      </c>
      <c r="J177" s="295">
        <v>111.25</v>
      </c>
      <c r="K177" s="296">
        <f t="shared" si="5"/>
        <v>1718.7500000000002</v>
      </c>
      <c r="L177" s="381"/>
    </row>
    <row r="178" spans="1:12" s="270" customFormat="1">
      <c r="A178" s="867" t="s">
        <v>643</v>
      </c>
      <c r="B178" s="863" t="s">
        <v>1148</v>
      </c>
      <c r="C178" s="863" t="s">
        <v>339</v>
      </c>
      <c r="D178" s="868" t="s">
        <v>339</v>
      </c>
      <c r="E178" s="869">
        <v>80</v>
      </c>
      <c r="F178" s="870" t="s">
        <v>304</v>
      </c>
      <c r="G178" s="871">
        <v>0</v>
      </c>
      <c r="H178" s="864" t="s">
        <v>1171</v>
      </c>
      <c r="I178" s="865">
        <v>110.828125</v>
      </c>
      <c r="J178" s="295">
        <v>110.84375</v>
      </c>
      <c r="K178" s="296">
        <f t="shared" si="5"/>
        <v>1250</v>
      </c>
      <c r="L178" s="381"/>
    </row>
    <row r="179" spans="1:12" s="270" customFormat="1">
      <c r="A179" s="867" t="s">
        <v>643</v>
      </c>
      <c r="B179" s="863" t="s">
        <v>1148</v>
      </c>
      <c r="C179" s="863" t="s">
        <v>339</v>
      </c>
      <c r="D179" s="868" t="s">
        <v>339</v>
      </c>
      <c r="E179" s="869">
        <v>20</v>
      </c>
      <c r="F179" s="870" t="s">
        <v>304</v>
      </c>
      <c r="G179" s="871">
        <v>0</v>
      </c>
      <c r="H179" s="864" t="s">
        <v>1172</v>
      </c>
      <c r="I179" s="865">
        <v>111</v>
      </c>
      <c r="J179" s="295">
        <v>110.84375</v>
      </c>
      <c r="K179" s="296">
        <f t="shared" si="5"/>
        <v>-3125</v>
      </c>
      <c r="L179" s="381"/>
    </row>
    <row r="180" spans="1:12" s="270" customFormat="1">
      <c r="A180" s="867" t="s">
        <v>643</v>
      </c>
      <c r="B180" s="863" t="s">
        <v>1148</v>
      </c>
      <c r="C180" s="863" t="s">
        <v>339</v>
      </c>
      <c r="D180" s="868" t="s">
        <v>339</v>
      </c>
      <c r="E180" s="869">
        <v>-20</v>
      </c>
      <c r="F180" s="870" t="s">
        <v>304</v>
      </c>
      <c r="G180" s="871">
        <v>0</v>
      </c>
      <c r="H180" s="864" t="s">
        <v>1173</v>
      </c>
      <c r="I180" s="865">
        <v>111.15625</v>
      </c>
      <c r="J180" s="295">
        <v>110.9375</v>
      </c>
      <c r="K180" s="296">
        <f t="shared" si="5"/>
        <v>4375</v>
      </c>
      <c r="L180" s="381"/>
    </row>
    <row r="181" spans="1:12" s="270" customFormat="1">
      <c r="A181" s="867" t="s">
        <v>647</v>
      </c>
      <c r="B181" s="863" t="s">
        <v>1164</v>
      </c>
      <c r="C181" s="863" t="s">
        <v>339</v>
      </c>
      <c r="D181" s="868" t="s">
        <v>339</v>
      </c>
      <c r="E181" s="869">
        <v>80</v>
      </c>
      <c r="F181" s="870" t="s">
        <v>304</v>
      </c>
      <c r="G181" s="871">
        <v>0</v>
      </c>
      <c r="H181" s="864" t="s">
        <v>1181</v>
      </c>
      <c r="I181" s="865">
        <v>106.5625</v>
      </c>
      <c r="J181" s="295">
        <v>106.578125</v>
      </c>
      <c r="K181" s="296">
        <f t="shared" si="5"/>
        <v>1250</v>
      </c>
      <c r="L181" s="381"/>
    </row>
    <row r="182" spans="1:12" s="270" customFormat="1">
      <c r="A182" s="867" t="s">
        <v>647</v>
      </c>
      <c r="B182" s="863" t="s">
        <v>1164</v>
      </c>
      <c r="C182" s="863" t="s">
        <v>339</v>
      </c>
      <c r="D182" s="868" t="s">
        <v>339</v>
      </c>
      <c r="E182" s="869">
        <v>20</v>
      </c>
      <c r="F182" s="870" t="s">
        <v>304</v>
      </c>
      <c r="G182" s="871">
        <v>0</v>
      </c>
      <c r="H182" s="864" t="s">
        <v>1182</v>
      </c>
      <c r="I182" s="865">
        <v>106.5625</v>
      </c>
      <c r="J182" s="295">
        <v>106.578125</v>
      </c>
      <c r="K182" s="296">
        <f t="shared" si="5"/>
        <v>312.5</v>
      </c>
      <c r="L182" s="381"/>
    </row>
    <row r="183" spans="1:12" s="270" customFormat="1">
      <c r="A183" s="867" t="s">
        <v>647</v>
      </c>
      <c r="B183" s="863" t="s">
        <v>1148</v>
      </c>
      <c r="C183" s="863" t="s">
        <v>339</v>
      </c>
      <c r="D183" s="868" t="s">
        <v>339</v>
      </c>
      <c r="E183" s="869">
        <v>32</v>
      </c>
      <c r="F183" s="870" t="s">
        <v>304</v>
      </c>
      <c r="G183" s="871">
        <v>-1366.4</v>
      </c>
      <c r="H183" s="864" t="s">
        <v>1170</v>
      </c>
      <c r="I183" s="865">
        <v>106.578125</v>
      </c>
      <c r="J183" s="295">
        <v>106.515625</v>
      </c>
      <c r="K183" s="296">
        <f t="shared" si="5"/>
        <v>-2000</v>
      </c>
      <c r="L183" s="381"/>
    </row>
    <row r="184" spans="1:12" s="270" customFormat="1">
      <c r="A184" s="867" t="s">
        <v>1088</v>
      </c>
      <c r="B184" s="863" t="s">
        <v>1174</v>
      </c>
      <c r="C184" s="863" t="s">
        <v>339</v>
      </c>
      <c r="D184" s="868" t="s">
        <v>339</v>
      </c>
      <c r="E184" s="869">
        <v>50</v>
      </c>
      <c r="F184" s="870" t="s">
        <v>304</v>
      </c>
      <c r="G184" s="871">
        <v>0</v>
      </c>
      <c r="H184" s="864" t="s">
        <v>1183</v>
      </c>
      <c r="I184" s="865">
        <v>101.9140625</v>
      </c>
      <c r="J184" s="295">
        <v>101.9375</v>
      </c>
      <c r="K184" s="296">
        <f t="shared" si="5"/>
        <v>2343.75</v>
      </c>
      <c r="L184" s="381"/>
    </row>
    <row r="185" spans="1:12" s="270" customFormat="1">
      <c r="A185" s="867" t="s">
        <v>1088</v>
      </c>
      <c r="B185" s="863" t="s">
        <v>1174</v>
      </c>
      <c r="C185" s="863" t="s">
        <v>339</v>
      </c>
      <c r="D185" s="868" t="s">
        <v>339</v>
      </c>
      <c r="E185" s="869">
        <v>1</v>
      </c>
      <c r="F185" s="870" t="s">
        <v>304</v>
      </c>
      <c r="G185" s="871">
        <v>0</v>
      </c>
      <c r="H185" s="864" t="s">
        <v>1184</v>
      </c>
      <c r="I185" s="865">
        <v>101.890625</v>
      </c>
      <c r="J185" s="295">
        <v>101.9375</v>
      </c>
      <c r="K185" s="296">
        <f t="shared" si="5"/>
        <v>93.75</v>
      </c>
      <c r="L185" s="381"/>
    </row>
    <row r="186" spans="1:12" s="270" customFormat="1">
      <c r="A186" s="867" t="s">
        <v>1088</v>
      </c>
      <c r="B186" s="863" t="s">
        <v>1174</v>
      </c>
      <c r="C186" s="863" t="s">
        <v>339</v>
      </c>
      <c r="D186" s="868" t="s">
        <v>339</v>
      </c>
      <c r="E186" s="869">
        <v>49</v>
      </c>
      <c r="F186" s="870" t="s">
        <v>304</v>
      </c>
      <c r="G186" s="871">
        <v>0</v>
      </c>
      <c r="H186" s="864" t="s">
        <v>1185</v>
      </c>
      <c r="I186" s="865">
        <v>101.8984375</v>
      </c>
      <c r="J186" s="295">
        <v>101.9375</v>
      </c>
      <c r="K186" s="296">
        <f t="shared" si="5"/>
        <v>3828.1250000000005</v>
      </c>
      <c r="L186" s="381"/>
    </row>
    <row r="187" spans="1:12" s="270" customFormat="1">
      <c r="A187" s="867" t="s">
        <v>1088</v>
      </c>
      <c r="B187" s="863" t="s">
        <v>1174</v>
      </c>
      <c r="C187" s="863" t="s">
        <v>339</v>
      </c>
      <c r="D187" s="868" t="s">
        <v>339</v>
      </c>
      <c r="E187" s="869">
        <v>-50</v>
      </c>
      <c r="F187" s="870" t="s">
        <v>304</v>
      </c>
      <c r="G187" s="871">
        <v>0</v>
      </c>
      <c r="H187" s="864" t="s">
        <v>1204</v>
      </c>
      <c r="I187" s="865">
        <v>102.09375</v>
      </c>
      <c r="J187" s="295">
        <v>102.078125</v>
      </c>
      <c r="K187" s="296">
        <f t="shared" ref="K187:K250" si="6">IF(LEFT(A187,2)="TU",(J187-I187)*E187/100*100000*2,(J187-I187)*E187/100*100000)</f>
        <v>1562.5</v>
      </c>
      <c r="L187" s="381"/>
    </row>
    <row r="188" spans="1:12" s="270" customFormat="1">
      <c r="A188" s="867" t="s">
        <v>1088</v>
      </c>
      <c r="B188" s="863" t="s">
        <v>1174</v>
      </c>
      <c r="C188" s="863" t="s">
        <v>339</v>
      </c>
      <c r="D188" s="868" t="s">
        <v>339</v>
      </c>
      <c r="E188" s="869">
        <v>-50</v>
      </c>
      <c r="F188" s="870" t="s">
        <v>304</v>
      </c>
      <c r="G188" s="871">
        <v>0</v>
      </c>
      <c r="H188" s="864" t="s">
        <v>1205</v>
      </c>
      <c r="I188" s="865">
        <v>102.09375</v>
      </c>
      <c r="J188" s="295">
        <v>102.125</v>
      </c>
      <c r="K188" s="296">
        <f t="shared" si="6"/>
        <v>-3125</v>
      </c>
      <c r="L188" s="381"/>
    </row>
    <row r="189" spans="1:12" s="270" customFormat="1">
      <c r="A189" s="867" t="s">
        <v>1088</v>
      </c>
      <c r="B189" s="863" t="s">
        <v>1174</v>
      </c>
      <c r="C189" s="863" t="s">
        <v>339</v>
      </c>
      <c r="D189" s="868" t="s">
        <v>339</v>
      </c>
      <c r="E189" s="869">
        <v>-50</v>
      </c>
      <c r="F189" s="870" t="s">
        <v>304</v>
      </c>
      <c r="G189" s="871">
        <v>0</v>
      </c>
      <c r="H189" s="864" t="s">
        <v>1206</v>
      </c>
      <c r="I189" s="865">
        <v>102.140625</v>
      </c>
      <c r="J189" s="295">
        <v>102.28125</v>
      </c>
      <c r="K189" s="296">
        <f t="shared" si="6"/>
        <v>-14062.5</v>
      </c>
      <c r="L189" s="381"/>
    </row>
    <row r="190" spans="1:12" s="270" customFormat="1">
      <c r="A190" s="867" t="s">
        <v>1088</v>
      </c>
      <c r="B190" s="863" t="s">
        <v>1174</v>
      </c>
      <c r="C190" s="863" t="s">
        <v>339</v>
      </c>
      <c r="D190" s="868" t="s">
        <v>339</v>
      </c>
      <c r="E190" s="869">
        <v>-50</v>
      </c>
      <c r="F190" s="870" t="s">
        <v>304</v>
      </c>
      <c r="G190" s="871">
        <v>0</v>
      </c>
      <c r="H190" s="864" t="s">
        <v>1207</v>
      </c>
      <c r="I190" s="865">
        <v>102.140625</v>
      </c>
      <c r="J190" s="295">
        <v>102.28125</v>
      </c>
      <c r="K190" s="296">
        <f t="shared" si="6"/>
        <v>-14062.5</v>
      </c>
      <c r="L190" s="381"/>
    </row>
    <row r="191" spans="1:12" s="270" customFormat="1">
      <c r="A191" s="867" t="s">
        <v>1088</v>
      </c>
      <c r="B191" s="863" t="s">
        <v>1174</v>
      </c>
      <c r="C191" s="863" t="s">
        <v>339</v>
      </c>
      <c r="D191" s="868" t="s">
        <v>339</v>
      </c>
      <c r="E191" s="869">
        <v>-50</v>
      </c>
      <c r="F191" s="870" t="s">
        <v>304</v>
      </c>
      <c r="G191" s="871">
        <v>0</v>
      </c>
      <c r="H191" s="864" t="s">
        <v>1208</v>
      </c>
      <c r="I191" s="865">
        <v>102.2265625</v>
      </c>
      <c r="J191" s="295">
        <v>102.21875</v>
      </c>
      <c r="K191" s="296">
        <f t="shared" si="6"/>
        <v>781.25</v>
      </c>
      <c r="L191" s="381"/>
    </row>
    <row r="192" spans="1:12" s="270" customFormat="1">
      <c r="A192" s="867" t="s">
        <v>1088</v>
      </c>
      <c r="B192" s="863" t="s">
        <v>1174</v>
      </c>
      <c r="C192" s="863" t="s">
        <v>339</v>
      </c>
      <c r="D192" s="868" t="s">
        <v>339</v>
      </c>
      <c r="E192" s="869">
        <v>-50</v>
      </c>
      <c r="F192" s="870" t="s">
        <v>304</v>
      </c>
      <c r="G192" s="871">
        <v>0</v>
      </c>
      <c r="H192" s="864" t="s">
        <v>1209</v>
      </c>
      <c r="I192" s="865">
        <v>102.21875</v>
      </c>
      <c r="J192" s="295">
        <v>102.2109375</v>
      </c>
      <c r="K192" s="296">
        <f t="shared" si="6"/>
        <v>781.25</v>
      </c>
      <c r="L192" s="381"/>
    </row>
    <row r="193" spans="1:12" s="270" customFormat="1">
      <c r="A193" s="867" t="s">
        <v>1088</v>
      </c>
      <c r="B193" s="863" t="s">
        <v>1174</v>
      </c>
      <c r="C193" s="863" t="s">
        <v>339</v>
      </c>
      <c r="D193" s="868" t="s">
        <v>339</v>
      </c>
      <c r="E193" s="869">
        <v>-50</v>
      </c>
      <c r="F193" s="870" t="s">
        <v>304</v>
      </c>
      <c r="G193" s="871">
        <v>0</v>
      </c>
      <c r="H193" s="864" t="s">
        <v>1210</v>
      </c>
      <c r="I193" s="865">
        <v>102.22265625</v>
      </c>
      <c r="J193" s="295">
        <v>102.21875</v>
      </c>
      <c r="K193" s="296">
        <f t="shared" si="6"/>
        <v>390.625</v>
      </c>
      <c r="L193" s="381"/>
    </row>
    <row r="194" spans="1:12" s="270" customFormat="1">
      <c r="A194" s="867" t="s">
        <v>1088</v>
      </c>
      <c r="B194" s="863" t="s">
        <v>1174</v>
      </c>
      <c r="C194" s="863" t="s">
        <v>339</v>
      </c>
      <c r="D194" s="868" t="s">
        <v>339</v>
      </c>
      <c r="E194" s="869">
        <v>-50</v>
      </c>
      <c r="F194" s="870" t="s">
        <v>304</v>
      </c>
      <c r="G194" s="871">
        <v>0</v>
      </c>
      <c r="H194" s="864" t="s">
        <v>1211</v>
      </c>
      <c r="I194" s="865">
        <v>102.22265625</v>
      </c>
      <c r="J194" s="295">
        <v>102.21484375</v>
      </c>
      <c r="K194" s="296">
        <f t="shared" si="6"/>
        <v>781.25</v>
      </c>
      <c r="L194" s="381"/>
    </row>
    <row r="195" spans="1:12" s="270" customFormat="1">
      <c r="A195" s="867" t="s">
        <v>1088</v>
      </c>
      <c r="B195" s="863" t="s">
        <v>1174</v>
      </c>
      <c r="C195" s="863" t="s">
        <v>339</v>
      </c>
      <c r="D195" s="868" t="s">
        <v>339</v>
      </c>
      <c r="E195" s="869">
        <v>-50</v>
      </c>
      <c r="F195" s="870" t="s">
        <v>304</v>
      </c>
      <c r="G195" s="871">
        <v>0</v>
      </c>
      <c r="H195" s="864" t="s">
        <v>1212</v>
      </c>
      <c r="I195" s="865">
        <v>102.21875</v>
      </c>
      <c r="J195" s="295">
        <v>102.2109375</v>
      </c>
      <c r="K195" s="296">
        <f t="shared" si="6"/>
        <v>781.25</v>
      </c>
      <c r="L195" s="381"/>
    </row>
    <row r="196" spans="1:12" s="270" customFormat="1">
      <c r="A196" s="867" t="s">
        <v>1088</v>
      </c>
      <c r="B196" s="863" t="s">
        <v>1213</v>
      </c>
      <c r="C196" s="863" t="s">
        <v>339</v>
      </c>
      <c r="D196" s="868" t="s">
        <v>339</v>
      </c>
      <c r="E196" s="869">
        <v>50</v>
      </c>
      <c r="F196" s="870" t="s">
        <v>304</v>
      </c>
      <c r="G196" s="871">
        <v>0</v>
      </c>
      <c r="H196" s="864" t="s">
        <v>1228</v>
      </c>
      <c r="I196" s="865">
        <v>102.609375</v>
      </c>
      <c r="J196" s="295">
        <v>102.71875</v>
      </c>
      <c r="K196" s="296">
        <f t="shared" si="6"/>
        <v>10937.5</v>
      </c>
      <c r="L196" s="381"/>
    </row>
    <row r="197" spans="1:12" s="270" customFormat="1">
      <c r="A197" s="867" t="s">
        <v>1088</v>
      </c>
      <c r="B197" s="863" t="s">
        <v>1213</v>
      </c>
      <c r="C197" s="863" t="s">
        <v>339</v>
      </c>
      <c r="D197" s="868" t="s">
        <v>339</v>
      </c>
      <c r="E197" s="869">
        <v>50</v>
      </c>
      <c r="F197" s="870" t="s">
        <v>304</v>
      </c>
      <c r="G197" s="871">
        <v>0</v>
      </c>
      <c r="H197" s="864" t="s">
        <v>1229</v>
      </c>
      <c r="I197" s="865">
        <v>102.5625</v>
      </c>
      <c r="J197" s="295">
        <v>102.625</v>
      </c>
      <c r="K197" s="296">
        <f t="shared" si="6"/>
        <v>6250</v>
      </c>
      <c r="L197" s="381"/>
    </row>
    <row r="198" spans="1:12" s="270" customFormat="1">
      <c r="A198" s="867" t="s">
        <v>1088</v>
      </c>
      <c r="B198" s="863" t="s">
        <v>1213</v>
      </c>
      <c r="C198" s="863" t="s">
        <v>339</v>
      </c>
      <c r="D198" s="868" t="s">
        <v>339</v>
      </c>
      <c r="E198" s="869">
        <v>2</v>
      </c>
      <c r="F198" s="870" t="s">
        <v>304</v>
      </c>
      <c r="G198" s="871">
        <v>-74.400000000000006</v>
      </c>
      <c r="H198" s="864" t="s">
        <v>1230</v>
      </c>
      <c r="I198" s="865">
        <v>102.5</v>
      </c>
      <c r="J198" s="295">
        <v>102.96875</v>
      </c>
      <c r="K198" s="296">
        <f t="shared" si="6"/>
        <v>1875</v>
      </c>
      <c r="L198" s="381"/>
    </row>
    <row r="199" spans="1:12" s="270" customFormat="1">
      <c r="A199" s="867" t="s">
        <v>1088</v>
      </c>
      <c r="B199" s="863" t="s">
        <v>1213</v>
      </c>
      <c r="C199" s="863" t="s">
        <v>339</v>
      </c>
      <c r="D199" s="868" t="s">
        <v>339</v>
      </c>
      <c r="E199" s="869">
        <v>50</v>
      </c>
      <c r="F199" s="870" t="s">
        <v>304</v>
      </c>
      <c r="G199" s="871">
        <v>0</v>
      </c>
      <c r="H199" s="864" t="s">
        <v>1255</v>
      </c>
      <c r="I199" s="865">
        <v>103.2109375</v>
      </c>
      <c r="J199" s="295">
        <v>103.2421875</v>
      </c>
      <c r="K199" s="296">
        <f t="shared" si="6"/>
        <v>3125</v>
      </c>
      <c r="L199" s="381"/>
    </row>
    <row r="200" spans="1:12" s="270" customFormat="1">
      <c r="A200" s="867" t="s">
        <v>1088</v>
      </c>
      <c r="B200" s="863" t="s">
        <v>1213</v>
      </c>
      <c r="C200" s="863" t="s">
        <v>339</v>
      </c>
      <c r="D200" s="868" t="s">
        <v>339</v>
      </c>
      <c r="E200" s="869">
        <v>50</v>
      </c>
      <c r="F200" s="870" t="s">
        <v>304</v>
      </c>
      <c r="G200" s="871">
        <v>0</v>
      </c>
      <c r="H200" s="864" t="s">
        <v>1256</v>
      </c>
      <c r="I200" s="865">
        <v>103.1640625</v>
      </c>
      <c r="J200" s="295">
        <v>103.2890625</v>
      </c>
      <c r="K200" s="296">
        <f t="shared" si="6"/>
        <v>12500</v>
      </c>
      <c r="L200" s="381"/>
    </row>
    <row r="201" spans="1:12" s="270" customFormat="1">
      <c r="A201" s="867" t="s">
        <v>1088</v>
      </c>
      <c r="B201" s="863" t="s">
        <v>1239</v>
      </c>
      <c r="C201" s="863" t="s">
        <v>339</v>
      </c>
      <c r="D201" s="868" t="s">
        <v>339</v>
      </c>
      <c r="E201" s="869">
        <v>5</v>
      </c>
      <c r="F201" s="870" t="s">
        <v>304</v>
      </c>
      <c r="G201" s="871">
        <v>0</v>
      </c>
      <c r="H201" s="864" t="s">
        <v>1277</v>
      </c>
      <c r="I201" s="865">
        <v>102.9375</v>
      </c>
      <c r="J201" s="295">
        <v>102.875</v>
      </c>
      <c r="K201" s="296">
        <f t="shared" si="6"/>
        <v>-625</v>
      </c>
      <c r="L201" s="381"/>
    </row>
    <row r="202" spans="1:12" s="270" customFormat="1">
      <c r="A202" s="867" t="s">
        <v>1088</v>
      </c>
      <c r="B202" s="863" t="s">
        <v>1239</v>
      </c>
      <c r="C202" s="863" t="s">
        <v>339</v>
      </c>
      <c r="D202" s="868" t="s">
        <v>339</v>
      </c>
      <c r="E202" s="869">
        <v>20</v>
      </c>
      <c r="F202" s="870" t="s">
        <v>304</v>
      </c>
      <c r="G202" s="871">
        <v>0</v>
      </c>
      <c r="H202" s="864" t="s">
        <v>1278</v>
      </c>
      <c r="I202" s="865">
        <v>102.9375</v>
      </c>
      <c r="J202" s="295">
        <v>102.875</v>
      </c>
      <c r="K202" s="296">
        <f t="shared" si="6"/>
        <v>-2500</v>
      </c>
      <c r="L202" s="381"/>
    </row>
    <row r="203" spans="1:12" s="270" customFormat="1">
      <c r="A203" s="867" t="s">
        <v>1088</v>
      </c>
      <c r="B203" s="863" t="s">
        <v>1239</v>
      </c>
      <c r="C203" s="863" t="s">
        <v>339</v>
      </c>
      <c r="D203" s="868" t="s">
        <v>339</v>
      </c>
      <c r="E203" s="869">
        <v>40</v>
      </c>
      <c r="F203" s="870" t="s">
        <v>304</v>
      </c>
      <c r="G203" s="871">
        <v>0</v>
      </c>
      <c r="H203" s="864" t="s">
        <v>1279</v>
      </c>
      <c r="I203" s="865">
        <v>102.75</v>
      </c>
      <c r="J203" s="295">
        <v>102.875</v>
      </c>
      <c r="K203" s="296">
        <f t="shared" si="6"/>
        <v>10000</v>
      </c>
      <c r="L203" s="381"/>
    </row>
    <row r="204" spans="1:12" s="270" customFormat="1">
      <c r="A204" s="867" t="s">
        <v>1088</v>
      </c>
      <c r="B204" s="863" t="s">
        <v>1239</v>
      </c>
      <c r="C204" s="863" t="s">
        <v>339</v>
      </c>
      <c r="D204" s="868" t="s">
        <v>339</v>
      </c>
      <c r="E204" s="869">
        <v>15</v>
      </c>
      <c r="F204" s="870" t="s">
        <v>304</v>
      </c>
      <c r="G204" s="871">
        <v>0</v>
      </c>
      <c r="H204" s="864" t="s">
        <v>1277</v>
      </c>
      <c r="I204" s="865">
        <v>102.9375</v>
      </c>
      <c r="J204" s="295">
        <v>102.875</v>
      </c>
      <c r="K204" s="296">
        <f t="shared" si="6"/>
        <v>-1875</v>
      </c>
      <c r="L204" s="381"/>
    </row>
    <row r="205" spans="1:12" s="270" customFormat="1">
      <c r="A205" s="867" t="s">
        <v>1088</v>
      </c>
      <c r="B205" s="863" t="s">
        <v>1337</v>
      </c>
      <c r="C205" s="863" t="s">
        <v>339</v>
      </c>
      <c r="D205" s="868" t="s">
        <v>339</v>
      </c>
      <c r="E205" s="869">
        <v>-10</v>
      </c>
      <c r="F205" s="870" t="s">
        <v>304</v>
      </c>
      <c r="G205" s="871">
        <v>0</v>
      </c>
      <c r="H205" s="864" t="s">
        <v>1341</v>
      </c>
      <c r="I205" s="865">
        <v>103.625</v>
      </c>
      <c r="J205" s="295">
        <v>103.53125</v>
      </c>
      <c r="K205" s="296">
        <f t="shared" si="6"/>
        <v>1875</v>
      </c>
      <c r="L205" s="381"/>
    </row>
    <row r="206" spans="1:12" s="270" customFormat="1">
      <c r="A206" s="867" t="s">
        <v>1088</v>
      </c>
      <c r="B206" s="863" t="s">
        <v>1337</v>
      </c>
      <c r="C206" s="863" t="s">
        <v>339</v>
      </c>
      <c r="D206" s="868" t="s">
        <v>339</v>
      </c>
      <c r="E206" s="869">
        <v>-10</v>
      </c>
      <c r="F206" s="870" t="s">
        <v>304</v>
      </c>
      <c r="G206" s="871">
        <v>0</v>
      </c>
      <c r="H206" s="864" t="s">
        <v>1342</v>
      </c>
      <c r="I206" s="865">
        <v>103.6875</v>
      </c>
      <c r="J206" s="295">
        <v>103.53125</v>
      </c>
      <c r="K206" s="296">
        <f t="shared" si="6"/>
        <v>3125</v>
      </c>
      <c r="L206" s="381"/>
    </row>
    <row r="207" spans="1:12" s="270" customFormat="1">
      <c r="A207" s="867" t="s">
        <v>1088</v>
      </c>
      <c r="B207" s="863" t="s">
        <v>1263</v>
      </c>
      <c r="C207" s="863" t="s">
        <v>339</v>
      </c>
      <c r="D207" s="868" t="s">
        <v>339</v>
      </c>
      <c r="E207" s="869">
        <v>-20</v>
      </c>
      <c r="F207" s="870" t="s">
        <v>304</v>
      </c>
      <c r="G207" s="871">
        <v>744</v>
      </c>
      <c r="H207" s="864" t="s">
        <v>1331</v>
      </c>
      <c r="I207" s="865">
        <v>103.375</v>
      </c>
      <c r="J207" s="295">
        <v>103.53125</v>
      </c>
      <c r="K207" s="296">
        <f t="shared" si="6"/>
        <v>-6250</v>
      </c>
      <c r="L207" s="381"/>
    </row>
    <row r="208" spans="1:12" s="270" customFormat="1">
      <c r="A208" s="867" t="s">
        <v>1088</v>
      </c>
      <c r="B208" s="863" t="s">
        <v>1263</v>
      </c>
      <c r="C208" s="863" t="s">
        <v>339</v>
      </c>
      <c r="D208" s="868" t="s">
        <v>339</v>
      </c>
      <c r="E208" s="869">
        <v>-10</v>
      </c>
      <c r="F208" s="870" t="s">
        <v>304</v>
      </c>
      <c r="G208" s="871">
        <v>372</v>
      </c>
      <c r="H208" s="864" t="s">
        <v>1332</v>
      </c>
      <c r="I208" s="865">
        <v>103.53125</v>
      </c>
      <c r="J208" s="295">
        <v>103.53125</v>
      </c>
      <c r="K208" s="296">
        <f t="shared" si="6"/>
        <v>0</v>
      </c>
      <c r="L208" s="381"/>
    </row>
    <row r="209" spans="1:12" s="270" customFormat="1">
      <c r="A209" s="867" t="s">
        <v>1088</v>
      </c>
      <c r="B209" s="863" t="s">
        <v>1263</v>
      </c>
      <c r="C209" s="863" t="s">
        <v>339</v>
      </c>
      <c r="D209" s="868" t="s">
        <v>339</v>
      </c>
      <c r="E209" s="869">
        <v>-10</v>
      </c>
      <c r="F209" s="870" t="s">
        <v>304</v>
      </c>
      <c r="G209" s="871">
        <v>372</v>
      </c>
      <c r="H209" s="864" t="s">
        <v>1333</v>
      </c>
      <c r="I209" s="865">
        <v>103.6875</v>
      </c>
      <c r="J209" s="295">
        <v>103.46875</v>
      </c>
      <c r="K209" s="296">
        <f t="shared" si="6"/>
        <v>4375</v>
      </c>
      <c r="L209" s="381"/>
    </row>
    <row r="210" spans="1:12" s="270" customFormat="1">
      <c r="A210" s="867" t="s">
        <v>1088</v>
      </c>
      <c r="B210" s="863" t="s">
        <v>1263</v>
      </c>
      <c r="C210" s="863" t="s">
        <v>339</v>
      </c>
      <c r="D210" s="868" t="s">
        <v>339</v>
      </c>
      <c r="E210" s="869">
        <v>-10</v>
      </c>
      <c r="F210" s="870" t="s">
        <v>304</v>
      </c>
      <c r="G210" s="871">
        <v>372</v>
      </c>
      <c r="H210" s="864" t="s">
        <v>1334</v>
      </c>
      <c r="I210" s="865">
        <v>103.84375</v>
      </c>
      <c r="J210" s="295">
        <v>103.46875</v>
      </c>
      <c r="K210" s="296">
        <f t="shared" si="6"/>
        <v>7500</v>
      </c>
      <c r="L210" s="381"/>
    </row>
    <row r="211" spans="1:12" s="270" customFormat="1">
      <c r="A211" s="867" t="s">
        <v>1088</v>
      </c>
      <c r="B211" s="863" t="s">
        <v>1337</v>
      </c>
      <c r="C211" s="863" t="s">
        <v>339</v>
      </c>
      <c r="D211" s="868" t="s">
        <v>339</v>
      </c>
      <c r="E211" s="869">
        <v>-10</v>
      </c>
      <c r="F211" s="870" t="s">
        <v>304</v>
      </c>
      <c r="G211" s="871">
        <v>0</v>
      </c>
      <c r="H211" s="864" t="s">
        <v>1348</v>
      </c>
      <c r="I211" s="865">
        <v>103.5625</v>
      </c>
      <c r="J211" s="295">
        <v>103.09375</v>
      </c>
      <c r="K211" s="296">
        <f t="shared" si="6"/>
        <v>9375</v>
      </c>
      <c r="L211" s="381"/>
    </row>
    <row r="212" spans="1:12" s="270" customFormat="1">
      <c r="A212" s="867" t="s">
        <v>1088</v>
      </c>
      <c r="B212" s="863" t="s">
        <v>1337</v>
      </c>
      <c r="C212" s="863" t="s">
        <v>339</v>
      </c>
      <c r="D212" s="868" t="s">
        <v>339</v>
      </c>
      <c r="E212" s="869">
        <v>-10</v>
      </c>
      <c r="F212" s="870" t="s">
        <v>304</v>
      </c>
      <c r="G212" s="871">
        <v>0</v>
      </c>
      <c r="H212" s="864" t="s">
        <v>1349</v>
      </c>
      <c r="I212" s="865">
        <v>103.625</v>
      </c>
      <c r="J212" s="295">
        <v>103.140625</v>
      </c>
      <c r="K212" s="296">
        <f t="shared" si="6"/>
        <v>9687.5</v>
      </c>
      <c r="L212" s="381"/>
    </row>
    <row r="213" spans="1:12" s="270" customFormat="1">
      <c r="A213" s="867" t="s">
        <v>1088</v>
      </c>
      <c r="B213" s="863" t="s">
        <v>1344</v>
      </c>
      <c r="C213" s="863" t="s">
        <v>339</v>
      </c>
      <c r="D213" s="868" t="s">
        <v>339</v>
      </c>
      <c r="E213" s="869">
        <v>-10</v>
      </c>
      <c r="F213" s="870" t="s">
        <v>304</v>
      </c>
      <c r="G213" s="871">
        <v>0</v>
      </c>
      <c r="H213" s="864" t="s">
        <v>1355</v>
      </c>
      <c r="I213" s="865">
        <v>103.46875</v>
      </c>
      <c r="J213" s="295">
        <v>103.609375</v>
      </c>
      <c r="K213" s="296">
        <f t="shared" si="6"/>
        <v>-2812.5</v>
      </c>
      <c r="L213" s="381"/>
    </row>
    <row r="214" spans="1:12" s="270" customFormat="1">
      <c r="A214" s="867" t="s">
        <v>1088</v>
      </c>
      <c r="B214" s="863" t="s">
        <v>1344</v>
      </c>
      <c r="C214" s="863" t="s">
        <v>339</v>
      </c>
      <c r="D214" s="868" t="s">
        <v>339</v>
      </c>
      <c r="E214" s="869">
        <v>-10</v>
      </c>
      <c r="F214" s="870" t="s">
        <v>304</v>
      </c>
      <c r="G214" s="871">
        <v>0</v>
      </c>
      <c r="H214" s="864" t="s">
        <v>1356</v>
      </c>
      <c r="I214" s="865">
        <v>103.546875</v>
      </c>
      <c r="J214" s="295">
        <v>103.609375</v>
      </c>
      <c r="K214" s="296">
        <f t="shared" si="6"/>
        <v>-1250</v>
      </c>
      <c r="L214" s="381"/>
    </row>
    <row r="215" spans="1:12" s="270" customFormat="1">
      <c r="A215" s="867" t="s">
        <v>1088</v>
      </c>
      <c r="B215" s="863" t="s">
        <v>1344</v>
      </c>
      <c r="C215" s="863" t="s">
        <v>339</v>
      </c>
      <c r="D215" s="868" t="s">
        <v>339</v>
      </c>
      <c r="E215" s="869">
        <v>-10</v>
      </c>
      <c r="F215" s="870" t="s">
        <v>304</v>
      </c>
      <c r="G215" s="871">
        <v>0</v>
      </c>
      <c r="H215" s="864" t="s">
        <v>1357</v>
      </c>
      <c r="I215" s="865">
        <v>103.625</v>
      </c>
      <c r="J215" s="295">
        <v>103.609375</v>
      </c>
      <c r="K215" s="296">
        <f t="shared" si="6"/>
        <v>312.5</v>
      </c>
      <c r="L215" s="381"/>
    </row>
    <row r="216" spans="1:12" s="270" customFormat="1">
      <c r="A216" s="867" t="s">
        <v>1088</v>
      </c>
      <c r="B216" s="863" t="s">
        <v>1344</v>
      </c>
      <c r="C216" s="863" t="s">
        <v>339</v>
      </c>
      <c r="D216" s="868" t="s">
        <v>339</v>
      </c>
      <c r="E216" s="869">
        <v>-10</v>
      </c>
      <c r="F216" s="870" t="s">
        <v>304</v>
      </c>
      <c r="G216" s="871">
        <v>0</v>
      </c>
      <c r="H216" s="864" t="s">
        <v>1358</v>
      </c>
      <c r="I216" s="865">
        <v>103.703125</v>
      </c>
      <c r="J216" s="295">
        <v>103.59375</v>
      </c>
      <c r="K216" s="296">
        <f t="shared" si="6"/>
        <v>2187.5</v>
      </c>
      <c r="L216" s="381"/>
    </row>
    <row r="217" spans="1:12" s="270" customFormat="1">
      <c r="A217" s="867" t="s">
        <v>1088</v>
      </c>
      <c r="B217" s="863" t="s">
        <v>1344</v>
      </c>
      <c r="C217" s="863" t="s">
        <v>339</v>
      </c>
      <c r="D217" s="868" t="s">
        <v>339</v>
      </c>
      <c r="E217" s="869">
        <v>-10</v>
      </c>
      <c r="F217" s="870" t="s">
        <v>304</v>
      </c>
      <c r="G217" s="871">
        <v>0</v>
      </c>
      <c r="H217" s="864" t="s">
        <v>1359</v>
      </c>
      <c r="I217" s="865">
        <v>103.78125</v>
      </c>
      <c r="J217" s="295">
        <v>103.5625</v>
      </c>
      <c r="K217" s="296">
        <f t="shared" si="6"/>
        <v>4375</v>
      </c>
      <c r="L217" s="381"/>
    </row>
    <row r="218" spans="1:12" s="270" customFormat="1">
      <c r="A218" s="867" t="s">
        <v>1088</v>
      </c>
      <c r="B218" s="863" t="s">
        <v>1352</v>
      </c>
      <c r="C218" s="863" t="s">
        <v>339</v>
      </c>
      <c r="D218" s="868" t="s">
        <v>339</v>
      </c>
      <c r="E218" s="869">
        <v>-10</v>
      </c>
      <c r="F218" s="870" t="s">
        <v>304</v>
      </c>
      <c r="G218" s="871">
        <v>372</v>
      </c>
      <c r="H218" s="864" t="s">
        <v>1360</v>
      </c>
      <c r="I218" s="865">
        <v>103.625</v>
      </c>
      <c r="J218" s="295">
        <v>103.65625</v>
      </c>
      <c r="K218" s="296">
        <f t="shared" si="6"/>
        <v>-625</v>
      </c>
      <c r="L218" s="381"/>
    </row>
    <row r="219" spans="1:12" s="270" customFormat="1">
      <c r="A219" s="867" t="s">
        <v>1088</v>
      </c>
      <c r="B219" s="863" t="s">
        <v>1352</v>
      </c>
      <c r="C219" s="863" t="s">
        <v>339</v>
      </c>
      <c r="D219" s="868" t="s">
        <v>339</v>
      </c>
      <c r="E219" s="869">
        <v>-10</v>
      </c>
      <c r="F219" s="870" t="s">
        <v>304</v>
      </c>
      <c r="G219" s="871">
        <v>372</v>
      </c>
      <c r="H219" s="864" t="s">
        <v>1361</v>
      </c>
      <c r="I219" s="865">
        <v>103.703125</v>
      </c>
      <c r="J219" s="295">
        <v>103.609375</v>
      </c>
      <c r="K219" s="296">
        <f t="shared" si="6"/>
        <v>1875</v>
      </c>
      <c r="L219" s="381"/>
    </row>
    <row r="220" spans="1:12" s="270" customFormat="1">
      <c r="A220" s="867" t="s">
        <v>1088</v>
      </c>
      <c r="B220" s="863" t="s">
        <v>1352</v>
      </c>
      <c r="C220" s="863" t="s">
        <v>339</v>
      </c>
      <c r="D220" s="868" t="s">
        <v>339</v>
      </c>
      <c r="E220" s="869">
        <v>-10</v>
      </c>
      <c r="F220" s="870" t="s">
        <v>304</v>
      </c>
      <c r="G220" s="871">
        <v>372</v>
      </c>
      <c r="H220" s="864" t="s">
        <v>1362</v>
      </c>
      <c r="I220" s="865">
        <v>103.78125</v>
      </c>
      <c r="J220" s="295">
        <v>103.5625</v>
      </c>
      <c r="K220" s="296">
        <f t="shared" si="6"/>
        <v>4375</v>
      </c>
      <c r="L220" s="381"/>
    </row>
    <row r="221" spans="1:12" s="270" customFormat="1">
      <c r="A221" s="867" t="s">
        <v>1088</v>
      </c>
      <c r="B221" s="863" t="s">
        <v>1352</v>
      </c>
      <c r="C221" s="863" t="s">
        <v>339</v>
      </c>
      <c r="D221" s="868" t="s">
        <v>339</v>
      </c>
      <c r="E221" s="869">
        <v>-10</v>
      </c>
      <c r="F221" s="870" t="s">
        <v>304</v>
      </c>
      <c r="G221" s="871">
        <v>372</v>
      </c>
      <c r="H221" s="864" t="s">
        <v>1363</v>
      </c>
      <c r="I221" s="865">
        <v>103.859375</v>
      </c>
      <c r="J221" s="295">
        <v>103.515625</v>
      </c>
      <c r="K221" s="296">
        <f t="shared" si="6"/>
        <v>6875.0000000000009</v>
      </c>
      <c r="L221" s="381"/>
    </row>
    <row r="222" spans="1:12" s="270" customFormat="1">
      <c r="A222" s="867" t="s">
        <v>1088</v>
      </c>
      <c r="B222" s="863" t="s">
        <v>1352</v>
      </c>
      <c r="C222" s="863" t="s">
        <v>339</v>
      </c>
      <c r="D222" s="868" t="s">
        <v>339</v>
      </c>
      <c r="E222" s="869">
        <v>-10</v>
      </c>
      <c r="F222" s="870" t="s">
        <v>304</v>
      </c>
      <c r="G222" s="871">
        <v>372</v>
      </c>
      <c r="H222" s="864" t="s">
        <v>1364</v>
      </c>
      <c r="I222" s="865">
        <v>103.9453125</v>
      </c>
      <c r="J222" s="295">
        <v>103.46875</v>
      </c>
      <c r="K222" s="296">
        <f t="shared" si="6"/>
        <v>9531.25</v>
      </c>
      <c r="L222" s="381"/>
    </row>
    <row r="223" spans="1:12" s="270" customFormat="1">
      <c r="A223" s="867" t="s">
        <v>1088</v>
      </c>
      <c r="B223" s="863" t="s">
        <v>1374</v>
      </c>
      <c r="C223" s="863" t="s">
        <v>339</v>
      </c>
      <c r="D223" s="868" t="s">
        <v>339</v>
      </c>
      <c r="E223" s="869">
        <v>10</v>
      </c>
      <c r="F223" s="870" t="s">
        <v>304</v>
      </c>
      <c r="G223" s="871">
        <v>0</v>
      </c>
      <c r="H223" s="864" t="s">
        <v>1385</v>
      </c>
      <c r="I223" s="865">
        <v>103.1484375</v>
      </c>
      <c r="J223" s="295">
        <v>103.140625</v>
      </c>
      <c r="K223" s="296">
        <f t="shared" si="6"/>
        <v>-156.25</v>
      </c>
      <c r="L223" s="381"/>
    </row>
    <row r="224" spans="1:12" s="270" customFormat="1">
      <c r="A224" s="867" t="s">
        <v>1088</v>
      </c>
      <c r="B224" s="863" t="s">
        <v>1374</v>
      </c>
      <c r="C224" s="863" t="s">
        <v>339</v>
      </c>
      <c r="D224" s="868" t="s">
        <v>339</v>
      </c>
      <c r="E224" s="869">
        <v>10</v>
      </c>
      <c r="F224" s="870" t="s">
        <v>304</v>
      </c>
      <c r="G224" s="871">
        <v>0</v>
      </c>
      <c r="H224" s="864" t="s">
        <v>1386</v>
      </c>
      <c r="I224" s="865">
        <v>103.09375</v>
      </c>
      <c r="J224" s="295">
        <v>103.15625</v>
      </c>
      <c r="K224" s="296">
        <f t="shared" si="6"/>
        <v>1250</v>
      </c>
      <c r="L224" s="381"/>
    </row>
    <row r="225" spans="1:12" s="270" customFormat="1">
      <c r="A225" s="867" t="s">
        <v>1088</v>
      </c>
      <c r="B225" s="863" t="s">
        <v>1382</v>
      </c>
      <c r="C225" s="863" t="s">
        <v>339</v>
      </c>
      <c r="D225" s="868" t="s">
        <v>339</v>
      </c>
      <c r="E225" s="869">
        <v>10</v>
      </c>
      <c r="F225" s="870" t="s">
        <v>304</v>
      </c>
      <c r="G225" s="871">
        <v>0</v>
      </c>
      <c r="H225" s="864" t="s">
        <v>1398</v>
      </c>
      <c r="I225" s="865">
        <v>102.984375</v>
      </c>
      <c r="J225" s="295">
        <v>103</v>
      </c>
      <c r="K225" s="296">
        <f t="shared" si="6"/>
        <v>312.5</v>
      </c>
      <c r="L225" s="381"/>
    </row>
    <row r="226" spans="1:12" s="270" customFormat="1">
      <c r="A226" s="867" t="s">
        <v>1088</v>
      </c>
      <c r="B226" s="863" t="s">
        <v>1382</v>
      </c>
      <c r="C226" s="863" t="s">
        <v>339</v>
      </c>
      <c r="D226" s="868" t="s">
        <v>339</v>
      </c>
      <c r="E226" s="869">
        <v>10</v>
      </c>
      <c r="F226" s="870" t="s">
        <v>304</v>
      </c>
      <c r="G226" s="871">
        <v>0</v>
      </c>
      <c r="H226" s="864" t="s">
        <v>1399</v>
      </c>
      <c r="I226" s="865">
        <v>102.96875</v>
      </c>
      <c r="J226" s="295">
        <v>103</v>
      </c>
      <c r="K226" s="296">
        <f t="shared" si="6"/>
        <v>625</v>
      </c>
      <c r="L226" s="381"/>
    </row>
    <row r="227" spans="1:12" s="270" customFormat="1">
      <c r="A227" s="867" t="s">
        <v>1088</v>
      </c>
      <c r="B227" s="863" t="s">
        <v>1382</v>
      </c>
      <c r="C227" s="863" t="s">
        <v>339</v>
      </c>
      <c r="D227" s="868" t="s">
        <v>339</v>
      </c>
      <c r="E227" s="869">
        <v>10</v>
      </c>
      <c r="F227" s="870" t="s">
        <v>304</v>
      </c>
      <c r="G227" s="871">
        <v>0</v>
      </c>
      <c r="H227" s="864" t="s">
        <v>1400</v>
      </c>
      <c r="I227" s="865">
        <v>102.953125</v>
      </c>
      <c r="J227" s="295">
        <v>103</v>
      </c>
      <c r="K227" s="296">
        <f t="shared" si="6"/>
        <v>937.5</v>
      </c>
      <c r="L227" s="381"/>
    </row>
    <row r="228" spans="1:12" s="270" customFormat="1">
      <c r="A228" s="867" t="s">
        <v>647</v>
      </c>
      <c r="B228" s="863" t="s">
        <v>1406</v>
      </c>
      <c r="C228" s="863" t="s">
        <v>339</v>
      </c>
      <c r="D228" s="868" t="s">
        <v>339</v>
      </c>
      <c r="E228" s="869">
        <v>-50</v>
      </c>
      <c r="F228" s="870" t="s">
        <v>304</v>
      </c>
      <c r="G228" s="871">
        <v>0</v>
      </c>
      <c r="H228" s="864" t="s">
        <v>1418</v>
      </c>
      <c r="I228" s="865">
        <v>110.8828125</v>
      </c>
      <c r="J228" s="295">
        <v>110.859375</v>
      </c>
      <c r="K228" s="296">
        <f t="shared" si="6"/>
        <v>1171.875</v>
      </c>
      <c r="L228" s="381"/>
    </row>
    <row r="229" spans="1:12" s="270" customFormat="1">
      <c r="A229" s="867" t="s">
        <v>647</v>
      </c>
      <c r="B229" s="863" t="s">
        <v>1406</v>
      </c>
      <c r="C229" s="863" t="s">
        <v>339</v>
      </c>
      <c r="D229" s="868" t="s">
        <v>339</v>
      </c>
      <c r="E229" s="869">
        <v>-50</v>
      </c>
      <c r="F229" s="870" t="s">
        <v>304</v>
      </c>
      <c r="G229" s="871">
        <v>0</v>
      </c>
      <c r="H229" s="864" t="s">
        <v>1436</v>
      </c>
      <c r="I229" s="865">
        <v>110.8828125</v>
      </c>
      <c r="J229" s="295">
        <v>111.046875</v>
      </c>
      <c r="K229" s="296">
        <f t="shared" si="6"/>
        <v>-8203.125</v>
      </c>
      <c r="L229" s="381"/>
    </row>
    <row r="230" spans="1:12" s="270" customFormat="1">
      <c r="A230" s="867" t="s">
        <v>647</v>
      </c>
      <c r="B230" s="863" t="s">
        <v>1406</v>
      </c>
      <c r="C230" s="863" t="s">
        <v>339</v>
      </c>
      <c r="D230" s="868" t="s">
        <v>339</v>
      </c>
      <c r="E230" s="869">
        <v>50</v>
      </c>
      <c r="F230" s="870" t="s">
        <v>304</v>
      </c>
      <c r="G230" s="871">
        <v>-2135</v>
      </c>
      <c r="H230" s="864" t="s">
        <v>1419</v>
      </c>
      <c r="I230" s="865">
        <v>110.859375</v>
      </c>
      <c r="J230" s="295">
        <v>111.25</v>
      </c>
      <c r="K230" s="296">
        <f t="shared" si="6"/>
        <v>19531.25</v>
      </c>
      <c r="L230" s="381"/>
    </row>
    <row r="231" spans="1:12" s="270" customFormat="1">
      <c r="A231" s="867" t="s">
        <v>1088</v>
      </c>
      <c r="B231" s="863" t="s">
        <v>1406</v>
      </c>
      <c r="C231" s="863" t="s">
        <v>339</v>
      </c>
      <c r="D231" s="868" t="s">
        <v>339</v>
      </c>
      <c r="E231" s="869">
        <v>-50</v>
      </c>
      <c r="F231" s="870" t="s">
        <v>304</v>
      </c>
      <c r="G231" s="871">
        <v>0</v>
      </c>
      <c r="H231" s="864" t="s">
        <v>1437</v>
      </c>
      <c r="I231" s="865">
        <v>104.125</v>
      </c>
      <c r="J231" s="295">
        <v>104.109375</v>
      </c>
      <c r="K231" s="296">
        <f t="shared" si="6"/>
        <v>1562.5</v>
      </c>
      <c r="L231" s="381"/>
    </row>
    <row r="232" spans="1:12" s="270" customFormat="1">
      <c r="A232" s="867" t="s">
        <v>1088</v>
      </c>
      <c r="B232" s="863" t="s">
        <v>1406</v>
      </c>
      <c r="C232" s="863" t="s">
        <v>339</v>
      </c>
      <c r="D232" s="868" t="s">
        <v>339</v>
      </c>
      <c r="E232" s="869">
        <v>-50</v>
      </c>
      <c r="F232" s="870" t="s">
        <v>304</v>
      </c>
      <c r="G232" s="871">
        <v>0</v>
      </c>
      <c r="H232" s="864" t="s">
        <v>1438</v>
      </c>
      <c r="I232" s="865">
        <v>104.125</v>
      </c>
      <c r="J232" s="295">
        <v>104.109375</v>
      </c>
      <c r="K232" s="296">
        <f t="shared" si="6"/>
        <v>1562.5</v>
      </c>
      <c r="L232" s="381"/>
    </row>
    <row r="233" spans="1:12" s="270" customFormat="1">
      <c r="A233" s="867" t="s">
        <v>1088</v>
      </c>
      <c r="B233" s="863" t="s">
        <v>1406</v>
      </c>
      <c r="C233" s="863" t="s">
        <v>339</v>
      </c>
      <c r="D233" s="868" t="s">
        <v>339</v>
      </c>
      <c r="E233" s="869">
        <v>-50</v>
      </c>
      <c r="F233" s="870" t="s">
        <v>304</v>
      </c>
      <c r="G233" s="871">
        <v>0</v>
      </c>
      <c r="H233" s="864" t="s">
        <v>1439</v>
      </c>
      <c r="I233" s="865">
        <v>104.140625</v>
      </c>
      <c r="J233" s="295">
        <v>104.125</v>
      </c>
      <c r="K233" s="296">
        <f t="shared" si="6"/>
        <v>1562.5</v>
      </c>
      <c r="L233" s="381"/>
    </row>
    <row r="234" spans="1:12" s="270" customFormat="1">
      <c r="A234" s="867" t="s">
        <v>1088</v>
      </c>
      <c r="B234" s="863" t="s">
        <v>1406</v>
      </c>
      <c r="C234" s="863" t="s">
        <v>339</v>
      </c>
      <c r="D234" s="868" t="s">
        <v>339</v>
      </c>
      <c r="E234" s="869">
        <v>20</v>
      </c>
      <c r="F234" s="870" t="s">
        <v>304</v>
      </c>
      <c r="G234" s="871">
        <v>0</v>
      </c>
      <c r="H234" s="864" t="s">
        <v>1440</v>
      </c>
      <c r="I234" s="865">
        <v>104.2265625</v>
      </c>
      <c r="J234" s="295">
        <v>104.234375</v>
      </c>
      <c r="K234" s="296">
        <f t="shared" si="6"/>
        <v>312.5</v>
      </c>
      <c r="L234" s="381"/>
    </row>
    <row r="235" spans="1:12" s="270" customFormat="1">
      <c r="A235" s="867" t="s">
        <v>1088</v>
      </c>
      <c r="B235" s="863" t="s">
        <v>1406</v>
      </c>
      <c r="C235" s="863" t="s">
        <v>339</v>
      </c>
      <c r="D235" s="868" t="s">
        <v>339</v>
      </c>
      <c r="E235" s="869">
        <v>10</v>
      </c>
      <c r="F235" s="870" t="s">
        <v>304</v>
      </c>
      <c r="G235" s="871">
        <v>0</v>
      </c>
      <c r="H235" s="864" t="s">
        <v>1441</v>
      </c>
      <c r="I235" s="865">
        <v>104.2265625</v>
      </c>
      <c r="J235" s="295">
        <v>104.234375</v>
      </c>
      <c r="K235" s="296">
        <f t="shared" si="6"/>
        <v>156.25</v>
      </c>
      <c r="L235" s="381"/>
    </row>
    <row r="236" spans="1:12" s="270" customFormat="1">
      <c r="A236" s="867" t="s">
        <v>1088</v>
      </c>
      <c r="B236" s="863" t="s">
        <v>1406</v>
      </c>
      <c r="C236" s="863" t="s">
        <v>339</v>
      </c>
      <c r="D236" s="868" t="s">
        <v>339</v>
      </c>
      <c r="E236" s="869">
        <v>10</v>
      </c>
      <c r="F236" s="870" t="s">
        <v>304</v>
      </c>
      <c r="G236" s="871">
        <v>0</v>
      </c>
      <c r="H236" s="864" t="s">
        <v>1442</v>
      </c>
      <c r="I236" s="865">
        <v>104.22265625</v>
      </c>
      <c r="J236" s="295">
        <v>104.234375</v>
      </c>
      <c r="K236" s="296">
        <f t="shared" si="6"/>
        <v>234.375</v>
      </c>
      <c r="L236" s="381"/>
    </row>
    <row r="237" spans="1:12" s="270" customFormat="1">
      <c r="A237" s="867" t="s">
        <v>1088</v>
      </c>
      <c r="B237" s="863" t="s">
        <v>1406</v>
      </c>
      <c r="C237" s="863" t="s">
        <v>339</v>
      </c>
      <c r="D237" s="868" t="s">
        <v>339</v>
      </c>
      <c r="E237" s="869">
        <v>10</v>
      </c>
      <c r="F237" s="870" t="s">
        <v>304</v>
      </c>
      <c r="G237" s="871">
        <v>0</v>
      </c>
      <c r="H237" s="864" t="s">
        <v>1443</v>
      </c>
      <c r="I237" s="865">
        <v>104.21875</v>
      </c>
      <c r="J237" s="295">
        <v>104.234375</v>
      </c>
      <c r="K237" s="296">
        <f t="shared" si="6"/>
        <v>312.5</v>
      </c>
      <c r="L237" s="381"/>
    </row>
    <row r="238" spans="1:12" s="270" customFormat="1">
      <c r="A238" s="867" t="s">
        <v>1088</v>
      </c>
      <c r="B238" s="863" t="s">
        <v>1406</v>
      </c>
      <c r="C238" s="863" t="s">
        <v>339</v>
      </c>
      <c r="D238" s="868" t="s">
        <v>339</v>
      </c>
      <c r="E238" s="869">
        <v>10</v>
      </c>
      <c r="F238" s="870" t="s">
        <v>304</v>
      </c>
      <c r="G238" s="871">
        <v>0</v>
      </c>
      <c r="H238" s="864" t="s">
        <v>1444</v>
      </c>
      <c r="I238" s="865">
        <v>104.234375</v>
      </c>
      <c r="J238" s="295">
        <v>104.25</v>
      </c>
      <c r="K238" s="296">
        <f t="shared" si="6"/>
        <v>312.5</v>
      </c>
      <c r="L238" s="381"/>
    </row>
    <row r="239" spans="1:12" s="270" customFormat="1">
      <c r="A239" s="867" t="s">
        <v>1088</v>
      </c>
      <c r="B239" s="863" t="s">
        <v>1406</v>
      </c>
      <c r="C239" s="863" t="s">
        <v>339</v>
      </c>
      <c r="D239" s="868" t="s">
        <v>339</v>
      </c>
      <c r="E239" s="869">
        <v>10</v>
      </c>
      <c r="F239" s="870" t="s">
        <v>304</v>
      </c>
      <c r="G239" s="871">
        <v>0</v>
      </c>
      <c r="H239" s="864" t="s">
        <v>1445</v>
      </c>
      <c r="I239" s="865">
        <v>104.2265625</v>
      </c>
      <c r="J239" s="295">
        <v>104.25</v>
      </c>
      <c r="K239" s="296">
        <f t="shared" si="6"/>
        <v>468.75</v>
      </c>
      <c r="L239" s="381"/>
    </row>
    <row r="240" spans="1:12" s="270" customFormat="1">
      <c r="A240" s="867" t="s">
        <v>1088</v>
      </c>
      <c r="B240" s="863" t="s">
        <v>1406</v>
      </c>
      <c r="C240" s="863" t="s">
        <v>339</v>
      </c>
      <c r="D240" s="868" t="s">
        <v>339</v>
      </c>
      <c r="E240" s="869">
        <v>30</v>
      </c>
      <c r="F240" s="870" t="s">
        <v>304</v>
      </c>
      <c r="G240" s="871">
        <v>0</v>
      </c>
      <c r="H240" s="864" t="s">
        <v>1446</v>
      </c>
      <c r="I240" s="865">
        <v>104.234375</v>
      </c>
      <c r="J240" s="295">
        <v>104.25</v>
      </c>
      <c r="K240" s="296">
        <f t="shared" si="6"/>
        <v>937.5</v>
      </c>
      <c r="L240" s="381"/>
    </row>
    <row r="241" spans="1:12" s="270" customFormat="1">
      <c r="A241" s="867" t="s">
        <v>1088</v>
      </c>
      <c r="B241" s="863" t="s">
        <v>1388</v>
      </c>
      <c r="C241" s="863" t="s">
        <v>339</v>
      </c>
      <c r="D241" s="868" t="s">
        <v>339</v>
      </c>
      <c r="E241" s="869">
        <v>-20</v>
      </c>
      <c r="F241" s="870" t="s">
        <v>304</v>
      </c>
      <c r="G241" s="871">
        <v>744</v>
      </c>
      <c r="H241" s="864" t="s">
        <v>1403</v>
      </c>
      <c r="I241" s="865">
        <v>103.5625</v>
      </c>
      <c r="J241" s="295">
        <v>103.875</v>
      </c>
      <c r="K241" s="296">
        <f t="shared" si="6"/>
        <v>-12500</v>
      </c>
      <c r="L241" s="381"/>
    </row>
    <row r="242" spans="1:12" s="270" customFormat="1">
      <c r="A242" s="867" t="s">
        <v>1088</v>
      </c>
      <c r="B242" s="863" t="s">
        <v>1388</v>
      </c>
      <c r="C242" s="863" t="s">
        <v>339</v>
      </c>
      <c r="D242" s="868" t="s">
        <v>339</v>
      </c>
      <c r="E242" s="869">
        <v>-20</v>
      </c>
      <c r="F242" s="870" t="s">
        <v>304</v>
      </c>
      <c r="G242" s="871">
        <v>744</v>
      </c>
      <c r="H242" s="864" t="s">
        <v>1404</v>
      </c>
      <c r="I242" s="865">
        <v>103.625</v>
      </c>
      <c r="J242" s="295">
        <v>103.875</v>
      </c>
      <c r="K242" s="296">
        <f t="shared" si="6"/>
        <v>-10000</v>
      </c>
      <c r="L242" s="381"/>
    </row>
    <row r="243" spans="1:12" s="270" customFormat="1">
      <c r="A243" s="867" t="s">
        <v>1088</v>
      </c>
      <c r="B243" s="863" t="s">
        <v>1450</v>
      </c>
      <c r="C243" s="863" t="s">
        <v>339</v>
      </c>
      <c r="D243" s="868" t="s">
        <v>339</v>
      </c>
      <c r="E243" s="869">
        <v>-20</v>
      </c>
      <c r="F243" s="870" t="s">
        <v>304</v>
      </c>
      <c r="G243" s="871">
        <v>0</v>
      </c>
      <c r="H243" s="864" t="s">
        <v>1482</v>
      </c>
      <c r="I243" s="865">
        <v>103.5390625</v>
      </c>
      <c r="J243" s="295">
        <v>103.53125</v>
      </c>
      <c r="K243" s="296">
        <f t="shared" si="6"/>
        <v>312.5</v>
      </c>
      <c r="L243" s="381"/>
    </row>
    <row r="244" spans="1:12" s="270" customFormat="1">
      <c r="A244" s="867" t="s">
        <v>1088</v>
      </c>
      <c r="B244" s="863" t="s">
        <v>1450</v>
      </c>
      <c r="C244" s="863" t="s">
        <v>339</v>
      </c>
      <c r="D244" s="868" t="s">
        <v>339</v>
      </c>
      <c r="E244" s="869">
        <v>-20</v>
      </c>
      <c r="F244" s="870" t="s">
        <v>304</v>
      </c>
      <c r="G244" s="871">
        <v>0</v>
      </c>
      <c r="H244" s="864" t="s">
        <v>1483</v>
      </c>
      <c r="I244" s="865">
        <v>103.546875</v>
      </c>
      <c r="J244" s="295">
        <v>103.53125</v>
      </c>
      <c r="K244" s="296">
        <f t="shared" si="6"/>
        <v>625</v>
      </c>
      <c r="L244" s="381"/>
    </row>
    <row r="245" spans="1:12" s="270" customFormat="1">
      <c r="A245" s="867" t="s">
        <v>1088</v>
      </c>
      <c r="B245" s="863" t="s">
        <v>1450</v>
      </c>
      <c r="C245" s="863" t="s">
        <v>339</v>
      </c>
      <c r="D245" s="868" t="s">
        <v>339</v>
      </c>
      <c r="E245" s="869">
        <v>-10</v>
      </c>
      <c r="F245" s="870" t="s">
        <v>304</v>
      </c>
      <c r="G245" s="871">
        <v>0</v>
      </c>
      <c r="H245" s="864" t="s">
        <v>1484</v>
      </c>
      <c r="I245" s="865">
        <v>103.546875</v>
      </c>
      <c r="J245" s="295">
        <v>103.53125</v>
      </c>
      <c r="K245" s="296">
        <f t="shared" si="6"/>
        <v>312.5</v>
      </c>
      <c r="L245" s="381"/>
    </row>
    <row r="246" spans="1:12" s="270" customFormat="1">
      <c r="A246" s="867" t="s">
        <v>1088</v>
      </c>
      <c r="B246" s="863" t="s">
        <v>1450</v>
      </c>
      <c r="C246" s="863" t="s">
        <v>339</v>
      </c>
      <c r="D246" s="868" t="s">
        <v>339</v>
      </c>
      <c r="E246" s="869">
        <v>-30</v>
      </c>
      <c r="F246" s="870" t="s">
        <v>304</v>
      </c>
      <c r="G246" s="871">
        <v>0</v>
      </c>
      <c r="H246" s="864" t="s">
        <v>1485</v>
      </c>
      <c r="I246" s="865">
        <v>103.5390625</v>
      </c>
      <c r="J246" s="295">
        <v>103.52734375</v>
      </c>
      <c r="K246" s="296">
        <f t="shared" si="6"/>
        <v>703.125</v>
      </c>
      <c r="L246" s="381"/>
    </row>
    <row r="247" spans="1:12" s="270" customFormat="1">
      <c r="A247" s="867" t="s">
        <v>1088</v>
      </c>
      <c r="B247" s="863" t="s">
        <v>1450</v>
      </c>
      <c r="C247" s="863" t="s">
        <v>339</v>
      </c>
      <c r="D247" s="868" t="s">
        <v>339</v>
      </c>
      <c r="E247" s="869">
        <v>-10</v>
      </c>
      <c r="F247" s="870" t="s">
        <v>304</v>
      </c>
      <c r="G247" s="871">
        <v>0</v>
      </c>
      <c r="H247" s="864" t="s">
        <v>1486</v>
      </c>
      <c r="I247" s="865">
        <v>103.546875</v>
      </c>
      <c r="J247" s="295">
        <v>103.44921875</v>
      </c>
      <c r="K247" s="296">
        <f t="shared" si="6"/>
        <v>1953.125</v>
      </c>
      <c r="L247" s="381"/>
    </row>
    <row r="248" spans="1:12" s="270" customFormat="1">
      <c r="A248" s="867" t="s">
        <v>1088</v>
      </c>
      <c r="B248" s="863" t="s">
        <v>1450</v>
      </c>
      <c r="C248" s="863" t="s">
        <v>339</v>
      </c>
      <c r="D248" s="868" t="s">
        <v>339</v>
      </c>
      <c r="E248" s="869">
        <v>-10</v>
      </c>
      <c r="F248" s="870" t="s">
        <v>304</v>
      </c>
      <c r="G248" s="871">
        <v>0</v>
      </c>
      <c r="H248" s="864" t="s">
        <v>1487</v>
      </c>
      <c r="I248" s="865">
        <v>103.5625</v>
      </c>
      <c r="J248" s="295">
        <v>103.44921875</v>
      </c>
      <c r="K248" s="296">
        <f t="shared" si="6"/>
        <v>2265.625</v>
      </c>
      <c r="L248" s="381"/>
    </row>
    <row r="249" spans="1:12" s="270" customFormat="1">
      <c r="A249" s="867" t="s">
        <v>1088</v>
      </c>
      <c r="B249" s="863" t="s">
        <v>1450</v>
      </c>
      <c r="C249" s="863" t="s">
        <v>339</v>
      </c>
      <c r="D249" s="868" t="s">
        <v>339</v>
      </c>
      <c r="E249" s="869">
        <v>-10</v>
      </c>
      <c r="F249" s="870" t="s">
        <v>304</v>
      </c>
      <c r="G249" s="871">
        <v>0</v>
      </c>
      <c r="H249" s="864" t="s">
        <v>1488</v>
      </c>
      <c r="I249" s="865">
        <v>103.58203125</v>
      </c>
      <c r="J249" s="295">
        <v>103.44921875</v>
      </c>
      <c r="K249" s="296">
        <f t="shared" si="6"/>
        <v>2656.25</v>
      </c>
      <c r="L249" s="381"/>
    </row>
    <row r="250" spans="1:12" s="270" customFormat="1">
      <c r="A250" s="867" t="s">
        <v>1088</v>
      </c>
      <c r="B250" s="863" t="s">
        <v>1472</v>
      </c>
      <c r="C250" s="863" t="s">
        <v>339</v>
      </c>
      <c r="D250" s="868" t="s">
        <v>339</v>
      </c>
      <c r="E250" s="869">
        <v>-20</v>
      </c>
      <c r="F250" s="870" t="s">
        <v>304</v>
      </c>
      <c r="G250" s="871">
        <v>0</v>
      </c>
      <c r="H250" s="864" t="s">
        <v>1489</v>
      </c>
      <c r="I250" s="865">
        <v>103.484375</v>
      </c>
      <c r="J250" s="295">
        <v>103.53125</v>
      </c>
      <c r="K250" s="296">
        <f t="shared" si="6"/>
        <v>-1875</v>
      </c>
      <c r="L250" s="381"/>
    </row>
    <row r="251" spans="1:12" s="270" customFormat="1">
      <c r="A251" s="867" t="s">
        <v>1088</v>
      </c>
      <c r="B251" s="863" t="s">
        <v>1450</v>
      </c>
      <c r="C251" s="863" t="s">
        <v>339</v>
      </c>
      <c r="D251" s="868" t="s">
        <v>339</v>
      </c>
      <c r="E251" s="869">
        <v>5</v>
      </c>
      <c r="F251" s="870" t="s">
        <v>304</v>
      </c>
      <c r="G251" s="871">
        <v>0</v>
      </c>
      <c r="H251" s="864" t="s">
        <v>1490</v>
      </c>
      <c r="I251" s="865">
        <v>103.53125</v>
      </c>
      <c r="J251" s="295">
        <v>103.546875</v>
      </c>
      <c r="K251" s="296">
        <f t="shared" ref="K251:K314" si="7">IF(LEFT(A251,2)="TU",(J251-I251)*E251/100*100000*2,(J251-I251)*E251/100*100000)</f>
        <v>156.25</v>
      </c>
      <c r="L251" s="381"/>
    </row>
    <row r="252" spans="1:12" s="270" customFormat="1">
      <c r="A252" s="867" t="s">
        <v>1088</v>
      </c>
      <c r="B252" s="863" t="s">
        <v>1406</v>
      </c>
      <c r="C252" s="863" t="s">
        <v>339</v>
      </c>
      <c r="D252" s="868" t="s">
        <v>339</v>
      </c>
      <c r="E252" s="869">
        <v>-30</v>
      </c>
      <c r="F252" s="870" t="s">
        <v>304</v>
      </c>
      <c r="G252" s="871">
        <v>1860.0000000000002</v>
      </c>
      <c r="H252" s="864" t="s">
        <v>1421</v>
      </c>
      <c r="I252" s="865">
        <v>104</v>
      </c>
      <c r="J252" s="295">
        <v>103.53125</v>
      </c>
      <c r="K252" s="296">
        <f t="shared" si="7"/>
        <v>28125</v>
      </c>
      <c r="L252" s="381"/>
    </row>
    <row r="253" spans="1:12" s="270" customFormat="1">
      <c r="A253" s="867" t="s">
        <v>1088</v>
      </c>
      <c r="B253" s="863" t="s">
        <v>1491</v>
      </c>
      <c r="C253" s="863" t="s">
        <v>339</v>
      </c>
      <c r="D253" s="868" t="s">
        <v>339</v>
      </c>
      <c r="E253" s="869">
        <v>30</v>
      </c>
      <c r="F253" s="870" t="s">
        <v>304</v>
      </c>
      <c r="G253" s="871">
        <v>0</v>
      </c>
      <c r="H253" s="864" t="s">
        <v>1507</v>
      </c>
      <c r="I253" s="865">
        <v>103.21875</v>
      </c>
      <c r="J253" s="295">
        <v>103.25</v>
      </c>
      <c r="K253" s="296">
        <f t="shared" si="7"/>
        <v>1875</v>
      </c>
      <c r="L253" s="381"/>
    </row>
    <row r="254" spans="1:12" s="270" customFormat="1">
      <c r="A254" s="867" t="s">
        <v>1088</v>
      </c>
      <c r="B254" s="863" t="s">
        <v>1491</v>
      </c>
      <c r="C254" s="863" t="s">
        <v>339</v>
      </c>
      <c r="D254" s="868" t="s">
        <v>339</v>
      </c>
      <c r="E254" s="869">
        <v>-3</v>
      </c>
      <c r="F254" s="870" t="s">
        <v>304</v>
      </c>
      <c r="G254" s="871">
        <v>0</v>
      </c>
      <c r="H254" s="864" t="s">
        <v>1508</v>
      </c>
      <c r="I254" s="865">
        <v>103.15625</v>
      </c>
      <c r="J254" s="295">
        <v>103.140625</v>
      </c>
      <c r="K254" s="296">
        <f t="shared" si="7"/>
        <v>93.75</v>
      </c>
      <c r="L254" s="381"/>
    </row>
    <row r="255" spans="1:12" s="270" customFormat="1">
      <c r="A255" s="867" t="s">
        <v>1088</v>
      </c>
      <c r="B255" s="863" t="s">
        <v>1491</v>
      </c>
      <c r="C255" s="863" t="s">
        <v>339</v>
      </c>
      <c r="D255" s="868" t="s">
        <v>339</v>
      </c>
      <c r="E255" s="869">
        <v>-10</v>
      </c>
      <c r="F255" s="870" t="s">
        <v>304</v>
      </c>
      <c r="G255" s="871">
        <v>0</v>
      </c>
      <c r="H255" s="864" t="s">
        <v>1509</v>
      </c>
      <c r="I255" s="865">
        <v>103.2578125</v>
      </c>
      <c r="J255" s="295">
        <v>103.140625</v>
      </c>
      <c r="K255" s="296">
        <f t="shared" si="7"/>
        <v>2343.75</v>
      </c>
      <c r="L255" s="381"/>
    </row>
    <row r="256" spans="1:12" s="270" customFormat="1">
      <c r="A256" s="867" t="s">
        <v>1088</v>
      </c>
      <c r="B256" s="863" t="s">
        <v>1388</v>
      </c>
      <c r="C256" s="863" t="s">
        <v>339</v>
      </c>
      <c r="D256" s="868" t="s">
        <v>339</v>
      </c>
      <c r="E256" s="869">
        <v>-20</v>
      </c>
      <c r="F256" s="870" t="s">
        <v>304</v>
      </c>
      <c r="G256" s="871">
        <v>744</v>
      </c>
      <c r="H256" s="864" t="s">
        <v>1402</v>
      </c>
      <c r="I256" s="865">
        <v>103.625</v>
      </c>
      <c r="J256" s="295">
        <v>103.2734375</v>
      </c>
      <c r="K256" s="296">
        <f t="shared" si="7"/>
        <v>14062.5</v>
      </c>
      <c r="L256" s="381"/>
    </row>
    <row r="257" spans="1:12" s="270" customFormat="1">
      <c r="A257" s="867" t="s">
        <v>1088</v>
      </c>
      <c r="B257" s="863" t="s">
        <v>1515</v>
      </c>
      <c r="C257" s="863" t="s">
        <v>339</v>
      </c>
      <c r="D257" s="868" t="s">
        <v>339</v>
      </c>
      <c r="E257" s="869">
        <v>-10</v>
      </c>
      <c r="F257" s="870" t="s">
        <v>304</v>
      </c>
      <c r="G257" s="871">
        <v>0</v>
      </c>
      <c r="H257" s="864" t="s">
        <v>1529</v>
      </c>
      <c r="I257" s="865">
        <v>103.26171875</v>
      </c>
      <c r="J257" s="295">
        <v>103.1171875</v>
      </c>
      <c r="K257" s="296">
        <f t="shared" si="7"/>
        <v>2890.625</v>
      </c>
      <c r="L257" s="381"/>
    </row>
    <row r="258" spans="1:12" s="270" customFormat="1">
      <c r="A258" s="867" t="s">
        <v>1088</v>
      </c>
      <c r="B258" s="863" t="s">
        <v>1515</v>
      </c>
      <c r="C258" s="863" t="s">
        <v>339</v>
      </c>
      <c r="D258" s="868" t="s">
        <v>339</v>
      </c>
      <c r="E258" s="869">
        <v>-10</v>
      </c>
      <c r="F258" s="870" t="s">
        <v>304</v>
      </c>
      <c r="G258" s="871">
        <v>0</v>
      </c>
      <c r="H258" s="864" t="s">
        <v>1530</v>
      </c>
      <c r="I258" s="865">
        <v>103.28515625</v>
      </c>
      <c r="J258" s="295">
        <v>103.109375</v>
      </c>
      <c r="K258" s="296">
        <f t="shared" si="7"/>
        <v>3515.625</v>
      </c>
      <c r="L258" s="381"/>
    </row>
    <row r="259" spans="1:12" s="270" customFormat="1">
      <c r="A259" s="867" t="s">
        <v>1088</v>
      </c>
      <c r="B259" s="863" t="s">
        <v>1388</v>
      </c>
      <c r="C259" s="863" t="s">
        <v>339</v>
      </c>
      <c r="D259" s="868" t="s">
        <v>339</v>
      </c>
      <c r="E259" s="869">
        <v>-10</v>
      </c>
      <c r="F259" s="870" t="s">
        <v>304</v>
      </c>
      <c r="G259" s="871">
        <v>744</v>
      </c>
      <c r="H259" s="864" t="s">
        <v>1401</v>
      </c>
      <c r="I259" s="865">
        <v>103.65625</v>
      </c>
      <c r="J259" s="295">
        <v>103.1171875</v>
      </c>
      <c r="K259" s="296">
        <f t="shared" si="7"/>
        <v>10781.25</v>
      </c>
      <c r="L259" s="381"/>
    </row>
    <row r="260" spans="1:12" s="270" customFormat="1">
      <c r="A260" s="867" t="s">
        <v>1088</v>
      </c>
      <c r="B260" s="863" t="s">
        <v>1515</v>
      </c>
      <c r="C260" s="863" t="s">
        <v>339</v>
      </c>
      <c r="D260" s="868" t="s">
        <v>339</v>
      </c>
      <c r="E260" s="869">
        <v>-10</v>
      </c>
      <c r="F260" s="870" t="s">
        <v>304</v>
      </c>
      <c r="G260" s="871">
        <v>0</v>
      </c>
      <c r="H260" s="864" t="s">
        <v>1532</v>
      </c>
      <c r="I260" s="865">
        <v>103.109375</v>
      </c>
      <c r="J260" s="295">
        <v>103.140625</v>
      </c>
      <c r="K260" s="296">
        <f t="shared" si="7"/>
        <v>-625</v>
      </c>
      <c r="L260" s="381"/>
    </row>
    <row r="261" spans="1:12" s="270" customFormat="1">
      <c r="A261" s="867" t="s">
        <v>1088</v>
      </c>
      <c r="B261" s="863" t="s">
        <v>1515</v>
      </c>
      <c r="C261" s="863" t="s">
        <v>339</v>
      </c>
      <c r="D261" s="868" t="s">
        <v>339</v>
      </c>
      <c r="E261" s="869">
        <v>-10</v>
      </c>
      <c r="F261" s="870" t="s">
        <v>304</v>
      </c>
      <c r="G261" s="871">
        <v>0</v>
      </c>
      <c r="H261" s="864" t="s">
        <v>1533</v>
      </c>
      <c r="I261" s="865">
        <v>103.125</v>
      </c>
      <c r="J261" s="295">
        <v>103.140625</v>
      </c>
      <c r="K261" s="296">
        <f t="shared" si="7"/>
        <v>-312.5</v>
      </c>
      <c r="L261" s="381"/>
    </row>
    <row r="262" spans="1:12" s="270" customFormat="1">
      <c r="A262" s="867" t="s">
        <v>1088</v>
      </c>
      <c r="B262" s="863" t="s">
        <v>1515</v>
      </c>
      <c r="C262" s="863" t="s">
        <v>339</v>
      </c>
      <c r="D262" s="868" t="s">
        <v>339</v>
      </c>
      <c r="E262" s="869">
        <v>-10</v>
      </c>
      <c r="F262" s="870" t="s">
        <v>304</v>
      </c>
      <c r="G262" s="871">
        <v>0</v>
      </c>
      <c r="H262" s="864" t="s">
        <v>1534</v>
      </c>
      <c r="I262" s="865">
        <v>103.140625</v>
      </c>
      <c r="J262" s="295">
        <v>103.140625</v>
      </c>
      <c r="K262" s="296">
        <f t="shared" si="7"/>
        <v>0</v>
      </c>
      <c r="L262" s="381"/>
    </row>
    <row r="263" spans="1:12" s="270" customFormat="1">
      <c r="A263" s="867" t="s">
        <v>1088</v>
      </c>
      <c r="B263" s="863" t="s">
        <v>1388</v>
      </c>
      <c r="C263" s="863" t="s">
        <v>339</v>
      </c>
      <c r="D263" s="868" t="s">
        <v>339</v>
      </c>
      <c r="E263" s="869">
        <v>-20</v>
      </c>
      <c r="F263" s="870" t="s">
        <v>304</v>
      </c>
      <c r="G263" s="871">
        <v>744</v>
      </c>
      <c r="H263" s="864" t="s">
        <v>1420</v>
      </c>
      <c r="I263" s="865">
        <v>103.65625</v>
      </c>
      <c r="J263" s="295">
        <v>103.09375</v>
      </c>
      <c r="K263" s="296">
        <f t="shared" si="7"/>
        <v>22500</v>
      </c>
      <c r="L263" s="381"/>
    </row>
    <row r="264" spans="1:12" s="270" customFormat="1">
      <c r="A264" s="867" t="s">
        <v>1088</v>
      </c>
      <c r="B264" s="863" t="s">
        <v>1406</v>
      </c>
      <c r="C264" s="863" t="s">
        <v>339</v>
      </c>
      <c r="D264" s="868" t="s">
        <v>339</v>
      </c>
      <c r="E264" s="869">
        <v>-20</v>
      </c>
      <c r="F264" s="870" t="s">
        <v>304</v>
      </c>
      <c r="G264" s="871">
        <v>744</v>
      </c>
      <c r="H264" s="864" t="s">
        <v>1421</v>
      </c>
      <c r="I264" s="865">
        <v>104</v>
      </c>
      <c r="J264" s="295">
        <v>103.09375</v>
      </c>
      <c r="K264" s="296">
        <f t="shared" si="7"/>
        <v>36250</v>
      </c>
      <c r="L264" s="381"/>
    </row>
    <row r="265" spans="1:12" s="270" customFormat="1">
      <c r="A265" s="867" t="s">
        <v>1088</v>
      </c>
      <c r="B265" s="863" t="s">
        <v>1388</v>
      </c>
      <c r="C265" s="863" t="s">
        <v>339</v>
      </c>
      <c r="D265" s="868" t="s">
        <v>339</v>
      </c>
      <c r="E265" s="869">
        <v>-10</v>
      </c>
      <c r="F265" s="870" t="s">
        <v>304</v>
      </c>
      <c r="G265" s="871">
        <v>372</v>
      </c>
      <c r="H265" s="864" t="s">
        <v>1401</v>
      </c>
      <c r="I265" s="865">
        <v>103.65625</v>
      </c>
      <c r="J265" s="295">
        <v>103.09375</v>
      </c>
      <c r="K265" s="296">
        <f t="shared" si="7"/>
        <v>11250</v>
      </c>
      <c r="L265" s="381"/>
    </row>
    <row r="266" spans="1:12" s="270" customFormat="1">
      <c r="A266" s="867" t="s">
        <v>1088</v>
      </c>
      <c r="B266" s="863" t="s">
        <v>1537</v>
      </c>
      <c r="C266" s="863" t="s">
        <v>339</v>
      </c>
      <c r="D266" s="868" t="s">
        <v>339</v>
      </c>
      <c r="E266" s="869">
        <v>10</v>
      </c>
      <c r="F266" s="870" t="s">
        <v>304</v>
      </c>
      <c r="G266" s="871">
        <v>0</v>
      </c>
      <c r="H266" s="864" t="s">
        <v>1549</v>
      </c>
      <c r="I266" s="865">
        <v>103.125</v>
      </c>
      <c r="J266" s="295">
        <v>103.15625</v>
      </c>
      <c r="K266" s="296">
        <f t="shared" si="7"/>
        <v>625</v>
      </c>
      <c r="L266" s="381"/>
    </row>
    <row r="267" spans="1:12" s="270" customFormat="1">
      <c r="A267" s="867" t="s">
        <v>1088</v>
      </c>
      <c r="B267" s="863" t="s">
        <v>1537</v>
      </c>
      <c r="C267" s="863" t="s">
        <v>339</v>
      </c>
      <c r="D267" s="868" t="s">
        <v>339</v>
      </c>
      <c r="E267" s="869">
        <v>10</v>
      </c>
      <c r="F267" s="870" t="s">
        <v>304</v>
      </c>
      <c r="G267" s="871">
        <v>0</v>
      </c>
      <c r="H267" s="864" t="s">
        <v>1550</v>
      </c>
      <c r="I267" s="865">
        <v>103.125</v>
      </c>
      <c r="J267" s="295">
        <v>103.140625</v>
      </c>
      <c r="K267" s="296">
        <f t="shared" si="7"/>
        <v>312.5</v>
      </c>
      <c r="L267" s="381"/>
    </row>
    <row r="268" spans="1:12" s="270" customFormat="1">
      <c r="A268" s="867" t="s">
        <v>1088</v>
      </c>
      <c r="B268" s="863" t="s">
        <v>1537</v>
      </c>
      <c r="C268" s="863" t="s">
        <v>339</v>
      </c>
      <c r="D268" s="868" t="s">
        <v>339</v>
      </c>
      <c r="E268" s="869">
        <v>10</v>
      </c>
      <c r="F268" s="870" t="s">
        <v>304</v>
      </c>
      <c r="G268" s="871">
        <v>0</v>
      </c>
      <c r="H268" s="864" t="s">
        <v>1551</v>
      </c>
      <c r="I268" s="865">
        <v>103.09375</v>
      </c>
      <c r="J268" s="295">
        <v>103.140625</v>
      </c>
      <c r="K268" s="296">
        <f t="shared" si="7"/>
        <v>937.5</v>
      </c>
      <c r="L268" s="381"/>
    </row>
    <row r="269" spans="1:12" s="270" customFormat="1">
      <c r="A269" s="867" t="s">
        <v>1088</v>
      </c>
      <c r="B269" s="863" t="s">
        <v>1552</v>
      </c>
      <c r="C269" s="863" t="s">
        <v>339</v>
      </c>
      <c r="D269" s="868" t="s">
        <v>339</v>
      </c>
      <c r="E269" s="869">
        <v>-10</v>
      </c>
      <c r="F269" s="870" t="s">
        <v>304</v>
      </c>
      <c r="G269" s="871">
        <v>0</v>
      </c>
      <c r="H269" s="864" t="s">
        <v>1553</v>
      </c>
      <c r="I269" s="865">
        <v>103.1875</v>
      </c>
      <c r="J269" s="295">
        <v>103.125</v>
      </c>
      <c r="K269" s="296">
        <f t="shared" si="7"/>
        <v>1250</v>
      </c>
      <c r="L269" s="381"/>
    </row>
    <row r="270" spans="1:12" s="270" customFormat="1">
      <c r="A270" s="867" t="s">
        <v>1088</v>
      </c>
      <c r="B270" s="863" t="s">
        <v>1552</v>
      </c>
      <c r="C270" s="863" t="s">
        <v>339</v>
      </c>
      <c r="D270" s="868" t="s">
        <v>339</v>
      </c>
      <c r="E270" s="869">
        <v>10</v>
      </c>
      <c r="F270" s="870" t="s">
        <v>304</v>
      </c>
      <c r="G270" s="871">
        <v>0</v>
      </c>
      <c r="H270" s="864" t="s">
        <v>1554</v>
      </c>
      <c r="I270" s="865">
        <v>103.125</v>
      </c>
      <c r="J270" s="295">
        <v>103.1875</v>
      </c>
      <c r="K270" s="296">
        <f t="shared" si="7"/>
        <v>1250</v>
      </c>
      <c r="L270" s="381"/>
    </row>
    <row r="271" spans="1:12" s="270" customFormat="1">
      <c r="A271" s="867" t="s">
        <v>1088</v>
      </c>
      <c r="B271" s="863" t="s">
        <v>1552</v>
      </c>
      <c r="C271" s="863" t="s">
        <v>339</v>
      </c>
      <c r="D271" s="868" t="s">
        <v>339</v>
      </c>
      <c r="E271" s="869">
        <v>10</v>
      </c>
      <c r="F271" s="870" t="s">
        <v>304</v>
      </c>
      <c r="G271" s="871">
        <v>0</v>
      </c>
      <c r="H271" s="864" t="s">
        <v>1555</v>
      </c>
      <c r="I271" s="865">
        <v>103.125</v>
      </c>
      <c r="J271" s="295">
        <v>103.1875</v>
      </c>
      <c r="K271" s="296">
        <f t="shared" si="7"/>
        <v>1250</v>
      </c>
      <c r="L271" s="381"/>
    </row>
    <row r="272" spans="1:12" s="270" customFormat="1">
      <c r="A272" s="867" t="s">
        <v>1088</v>
      </c>
      <c r="B272" s="863" t="s">
        <v>1552</v>
      </c>
      <c r="C272" s="863" t="s">
        <v>339</v>
      </c>
      <c r="D272" s="868" t="s">
        <v>339</v>
      </c>
      <c r="E272" s="869">
        <v>10</v>
      </c>
      <c r="F272" s="870" t="s">
        <v>304</v>
      </c>
      <c r="G272" s="871">
        <v>0</v>
      </c>
      <c r="H272" s="864" t="s">
        <v>1556</v>
      </c>
      <c r="I272" s="865">
        <v>103.125</v>
      </c>
      <c r="J272" s="295">
        <v>103.1875</v>
      </c>
      <c r="K272" s="296">
        <f>IF(LEFT(A272,2)="TU",(J272-I272)*E272/100*100000*2,(J272-I272)*E272/100*100000)</f>
        <v>1250</v>
      </c>
      <c r="L272" s="381"/>
    </row>
    <row r="273" spans="1:12" s="270" customFormat="1">
      <c r="A273" s="867" t="s">
        <v>1088</v>
      </c>
      <c r="B273" s="863" t="s">
        <v>1552</v>
      </c>
      <c r="C273" s="863" t="s">
        <v>339</v>
      </c>
      <c r="D273" s="868" t="s">
        <v>339</v>
      </c>
      <c r="E273" s="869">
        <v>-10</v>
      </c>
      <c r="F273" s="870" t="s">
        <v>304</v>
      </c>
      <c r="G273" s="871">
        <v>0</v>
      </c>
      <c r="H273" s="864" t="s">
        <v>1557</v>
      </c>
      <c r="I273" s="865">
        <v>103.1875</v>
      </c>
      <c r="J273" s="295">
        <v>103.125</v>
      </c>
      <c r="K273" s="296">
        <f t="shared" si="7"/>
        <v>1250</v>
      </c>
      <c r="L273" s="381"/>
    </row>
    <row r="274" spans="1:12" s="270" customFormat="1">
      <c r="A274" s="867" t="s">
        <v>643</v>
      </c>
      <c r="B274" s="863" t="s">
        <v>1540</v>
      </c>
      <c r="C274" s="863" t="s">
        <v>339</v>
      </c>
      <c r="D274" s="868" t="s">
        <v>339</v>
      </c>
      <c r="E274" s="869">
        <v>-50</v>
      </c>
      <c r="F274" s="870" t="s">
        <v>304</v>
      </c>
      <c r="G274" s="871">
        <v>0</v>
      </c>
      <c r="H274" s="864" t="s">
        <v>1563</v>
      </c>
      <c r="I274" s="865">
        <v>115.546875</v>
      </c>
      <c r="J274" s="295">
        <v>115.53125</v>
      </c>
      <c r="K274" s="296">
        <f t="shared" si="7"/>
        <v>781.25</v>
      </c>
      <c r="L274" s="381"/>
    </row>
    <row r="275" spans="1:12" s="270" customFormat="1">
      <c r="A275" s="867" t="s">
        <v>643</v>
      </c>
      <c r="B275" s="863" t="s">
        <v>1540</v>
      </c>
      <c r="C275" s="863" t="s">
        <v>339</v>
      </c>
      <c r="D275" s="868" t="s">
        <v>339</v>
      </c>
      <c r="E275" s="869">
        <v>-50</v>
      </c>
      <c r="F275" s="870" t="s">
        <v>304</v>
      </c>
      <c r="G275" s="871">
        <v>0</v>
      </c>
      <c r="H275" s="864" t="s">
        <v>1564</v>
      </c>
      <c r="I275" s="865">
        <v>115.3125</v>
      </c>
      <c r="J275" s="295">
        <v>115.53125</v>
      </c>
      <c r="K275" s="296">
        <f t="shared" si="7"/>
        <v>-10937.5</v>
      </c>
      <c r="L275" s="381"/>
    </row>
    <row r="276" spans="1:12" s="270" customFormat="1">
      <c r="A276" s="867" t="s">
        <v>643</v>
      </c>
      <c r="B276" s="863" t="s">
        <v>1540</v>
      </c>
      <c r="C276" s="863" t="s">
        <v>339</v>
      </c>
      <c r="D276" s="868" t="s">
        <v>339</v>
      </c>
      <c r="E276" s="869">
        <v>50</v>
      </c>
      <c r="F276" s="870" t="s">
        <v>304</v>
      </c>
      <c r="G276" s="871">
        <v>0</v>
      </c>
      <c r="H276" s="864" t="s">
        <v>1565</v>
      </c>
      <c r="I276" s="865">
        <v>115.3125</v>
      </c>
      <c r="J276" s="295">
        <v>116.109375</v>
      </c>
      <c r="K276" s="296">
        <f t="shared" si="7"/>
        <v>39843.75</v>
      </c>
      <c r="L276" s="381"/>
    </row>
    <row r="277" spans="1:12" s="270" customFormat="1">
      <c r="A277" s="867" t="s">
        <v>643</v>
      </c>
      <c r="B277" s="863" t="s">
        <v>1542</v>
      </c>
      <c r="C277" s="863" t="s">
        <v>339</v>
      </c>
      <c r="D277" s="868" t="s">
        <v>339</v>
      </c>
      <c r="E277" s="869">
        <v>10</v>
      </c>
      <c r="F277" s="870" t="s">
        <v>304</v>
      </c>
      <c r="G277" s="871">
        <v>0</v>
      </c>
      <c r="H277" s="864" t="s">
        <v>1566</v>
      </c>
      <c r="I277" s="865">
        <v>116.078125</v>
      </c>
      <c r="J277" s="295">
        <v>115.578125</v>
      </c>
      <c r="K277" s="296">
        <f t="shared" si="7"/>
        <v>-5000</v>
      </c>
      <c r="L277" s="381"/>
    </row>
    <row r="278" spans="1:12" s="270" customFormat="1">
      <c r="A278" s="867" t="s">
        <v>643</v>
      </c>
      <c r="B278" s="863" t="s">
        <v>1542</v>
      </c>
      <c r="C278" s="863" t="s">
        <v>339</v>
      </c>
      <c r="D278" s="868" t="s">
        <v>339</v>
      </c>
      <c r="E278" s="869">
        <v>20</v>
      </c>
      <c r="F278" s="870" t="s">
        <v>304</v>
      </c>
      <c r="G278" s="871">
        <v>0</v>
      </c>
      <c r="H278" s="864" t="s">
        <v>1567</v>
      </c>
      <c r="I278" s="865">
        <v>116.078125</v>
      </c>
      <c r="J278" s="295">
        <v>115.578125</v>
      </c>
      <c r="K278" s="296">
        <f t="shared" si="7"/>
        <v>-10000</v>
      </c>
      <c r="L278" s="381"/>
    </row>
    <row r="279" spans="1:12" s="270" customFormat="1">
      <c r="A279" s="867" t="s">
        <v>643</v>
      </c>
      <c r="B279" s="863" t="s">
        <v>1542</v>
      </c>
      <c r="C279" s="863" t="s">
        <v>339</v>
      </c>
      <c r="D279" s="868" t="s">
        <v>339</v>
      </c>
      <c r="E279" s="869">
        <v>-30</v>
      </c>
      <c r="F279" s="870" t="s">
        <v>304</v>
      </c>
      <c r="G279" s="871">
        <v>0</v>
      </c>
      <c r="H279" s="864" t="s">
        <v>1568</v>
      </c>
      <c r="I279" s="865">
        <v>116.5</v>
      </c>
      <c r="J279" s="295">
        <v>116.421875</v>
      </c>
      <c r="K279" s="296">
        <f t="shared" si="7"/>
        <v>2343.75</v>
      </c>
      <c r="L279" s="381"/>
    </row>
    <row r="280" spans="1:12" s="270" customFormat="1">
      <c r="A280" s="867" t="s">
        <v>590</v>
      </c>
      <c r="B280" s="863"/>
      <c r="C280" s="863"/>
      <c r="D280" s="868"/>
      <c r="E280" s="869"/>
      <c r="F280" s="870"/>
      <c r="G280" s="871"/>
      <c r="H280" s="864"/>
      <c r="I280" s="865"/>
      <c r="J280" s="295"/>
      <c r="K280" s="296">
        <f t="shared" si="7"/>
        <v>0</v>
      </c>
      <c r="L280" s="381"/>
    </row>
    <row r="281" spans="1:12" s="270" customFormat="1">
      <c r="A281" s="867" t="s">
        <v>586</v>
      </c>
      <c r="B281" s="863"/>
      <c r="C281" s="863"/>
      <c r="D281" s="868"/>
      <c r="E281" s="869"/>
      <c r="F281" s="870"/>
      <c r="G281" s="871"/>
      <c r="H281" s="864"/>
      <c r="I281" s="865"/>
      <c r="J281" s="295"/>
      <c r="K281" s="296">
        <f t="shared" si="7"/>
        <v>0</v>
      </c>
      <c r="L281" s="381"/>
    </row>
    <row r="282" spans="1:12" s="270" customFormat="1">
      <c r="A282" s="867" t="s">
        <v>589</v>
      </c>
      <c r="B282" s="863"/>
      <c r="C282" s="863"/>
      <c r="D282" s="868"/>
      <c r="E282" s="869"/>
      <c r="F282" s="870"/>
      <c r="G282" s="871"/>
      <c r="H282" s="864"/>
      <c r="I282" s="865"/>
      <c r="J282" s="295"/>
      <c r="K282" s="296">
        <f t="shared" si="7"/>
        <v>0</v>
      </c>
      <c r="L282" s="381"/>
    </row>
    <row r="283" spans="1:12" s="270" customFormat="1">
      <c r="A283" s="867" t="s">
        <v>586</v>
      </c>
      <c r="B283" s="863"/>
      <c r="C283" s="863"/>
      <c r="D283" s="868"/>
      <c r="E283" s="869"/>
      <c r="F283" s="870"/>
      <c r="G283" s="871"/>
      <c r="H283" s="864"/>
      <c r="I283" s="865"/>
      <c r="J283" s="295"/>
      <c r="K283" s="296">
        <f t="shared" si="7"/>
        <v>0</v>
      </c>
      <c r="L283" s="381"/>
    </row>
    <row r="284" spans="1:12" s="270" customFormat="1">
      <c r="A284" s="867" t="s">
        <v>586</v>
      </c>
      <c r="B284" s="863"/>
      <c r="C284" s="863"/>
      <c r="D284" s="868"/>
      <c r="E284" s="869"/>
      <c r="F284" s="870"/>
      <c r="G284" s="871"/>
      <c r="H284" s="864"/>
      <c r="I284" s="865"/>
      <c r="J284" s="295"/>
      <c r="K284" s="296">
        <f t="shared" si="7"/>
        <v>0</v>
      </c>
      <c r="L284" s="381"/>
    </row>
    <row r="285" spans="1:12" s="270" customFormat="1">
      <c r="A285" s="867" t="s">
        <v>589</v>
      </c>
      <c r="B285" s="863"/>
      <c r="C285" s="863"/>
      <c r="D285" s="868"/>
      <c r="E285" s="869"/>
      <c r="F285" s="870"/>
      <c r="G285" s="871"/>
      <c r="H285" s="864"/>
      <c r="I285" s="865"/>
      <c r="J285" s="295"/>
      <c r="K285" s="296">
        <f t="shared" si="7"/>
        <v>0</v>
      </c>
      <c r="L285" s="381"/>
    </row>
    <row r="286" spans="1:12" s="270" customFormat="1">
      <c r="A286" s="867" t="s">
        <v>589</v>
      </c>
      <c r="B286" s="863"/>
      <c r="C286" s="863"/>
      <c r="D286" s="868"/>
      <c r="E286" s="869"/>
      <c r="F286" s="870"/>
      <c r="G286" s="871"/>
      <c r="H286" s="864"/>
      <c r="I286" s="865"/>
      <c r="J286" s="295"/>
      <c r="K286" s="296">
        <f t="shared" si="7"/>
        <v>0</v>
      </c>
      <c r="L286" s="381"/>
    </row>
    <row r="287" spans="1:12" s="270" customFormat="1">
      <c r="A287" s="867" t="s">
        <v>589</v>
      </c>
      <c r="B287" s="863"/>
      <c r="C287" s="863"/>
      <c r="D287" s="868"/>
      <c r="E287" s="869"/>
      <c r="F287" s="870"/>
      <c r="G287" s="871"/>
      <c r="H287" s="864"/>
      <c r="I287" s="865"/>
      <c r="J287" s="295"/>
      <c r="K287" s="296">
        <f t="shared" si="7"/>
        <v>0</v>
      </c>
      <c r="L287" s="381"/>
    </row>
    <row r="288" spans="1:12" s="270" customFormat="1">
      <c r="A288" s="867" t="s">
        <v>589</v>
      </c>
      <c r="B288" s="863"/>
      <c r="C288" s="863"/>
      <c r="D288" s="868"/>
      <c r="E288" s="869"/>
      <c r="F288" s="870"/>
      <c r="G288" s="871"/>
      <c r="H288" s="864"/>
      <c r="I288" s="865"/>
      <c r="J288" s="295"/>
      <c r="K288" s="296">
        <f t="shared" si="7"/>
        <v>0</v>
      </c>
      <c r="L288" s="381"/>
    </row>
    <row r="289" spans="1:12" s="270" customFormat="1">
      <c r="A289" s="867" t="s">
        <v>604</v>
      </c>
      <c r="B289" s="863"/>
      <c r="C289" s="863"/>
      <c r="D289" s="868"/>
      <c r="E289" s="869"/>
      <c r="F289" s="870"/>
      <c r="G289" s="871"/>
      <c r="H289" s="864"/>
      <c r="I289" s="865"/>
      <c r="J289" s="295"/>
      <c r="K289" s="296">
        <f t="shared" si="7"/>
        <v>0</v>
      </c>
      <c r="L289" s="381"/>
    </row>
    <row r="290" spans="1:12" s="270" customFormat="1">
      <c r="A290" s="867" t="s">
        <v>604</v>
      </c>
      <c r="B290" s="863"/>
      <c r="C290" s="863"/>
      <c r="D290" s="868"/>
      <c r="E290" s="869"/>
      <c r="F290" s="870"/>
      <c r="G290" s="871"/>
      <c r="H290" s="864"/>
      <c r="I290" s="865"/>
      <c r="J290" s="295"/>
      <c r="K290" s="296">
        <f t="shared" si="7"/>
        <v>0</v>
      </c>
      <c r="L290" s="381"/>
    </row>
    <row r="291" spans="1:12" s="270" customFormat="1">
      <c r="A291" s="867" t="s">
        <v>602</v>
      </c>
      <c r="B291" s="863"/>
      <c r="C291" s="863"/>
      <c r="D291" s="868"/>
      <c r="E291" s="869"/>
      <c r="F291" s="870"/>
      <c r="G291" s="871"/>
      <c r="H291" s="864"/>
      <c r="I291" s="865"/>
      <c r="J291" s="295"/>
      <c r="K291" s="296">
        <f t="shared" si="7"/>
        <v>0</v>
      </c>
      <c r="L291" s="381"/>
    </row>
    <row r="292" spans="1:12" s="270" customFormat="1">
      <c r="A292" s="867" t="s">
        <v>602</v>
      </c>
      <c r="B292" s="863"/>
      <c r="C292" s="863"/>
      <c r="D292" s="868"/>
      <c r="E292" s="869"/>
      <c r="F292" s="870"/>
      <c r="G292" s="871"/>
      <c r="H292" s="864"/>
      <c r="I292" s="865"/>
      <c r="J292" s="295"/>
      <c r="K292" s="296">
        <f t="shared" si="7"/>
        <v>0</v>
      </c>
      <c r="L292" s="381"/>
    </row>
    <row r="293" spans="1:12" s="270" customFormat="1">
      <c r="A293" s="867" t="s">
        <v>602</v>
      </c>
      <c r="B293" s="863"/>
      <c r="C293" s="863"/>
      <c r="D293" s="868"/>
      <c r="E293" s="869"/>
      <c r="F293" s="870"/>
      <c r="G293" s="871"/>
      <c r="H293" s="864"/>
      <c r="I293" s="865"/>
      <c r="J293" s="295"/>
      <c r="K293" s="296">
        <f t="shared" si="7"/>
        <v>0</v>
      </c>
      <c r="L293" s="381"/>
    </row>
    <row r="294" spans="1:12" s="270" customFormat="1">
      <c r="A294" s="867" t="s">
        <v>602</v>
      </c>
      <c r="B294" s="863"/>
      <c r="C294" s="863"/>
      <c r="D294" s="868"/>
      <c r="E294" s="869"/>
      <c r="F294" s="870"/>
      <c r="G294" s="871"/>
      <c r="H294" s="864"/>
      <c r="I294" s="865"/>
      <c r="J294" s="295"/>
      <c r="K294" s="296">
        <f t="shared" si="7"/>
        <v>0</v>
      </c>
      <c r="L294" s="381"/>
    </row>
    <row r="295" spans="1:12" s="270" customFormat="1">
      <c r="A295" s="867" t="s">
        <v>607</v>
      </c>
      <c r="B295" s="863"/>
      <c r="C295" s="863"/>
      <c r="D295" s="868"/>
      <c r="E295" s="869"/>
      <c r="F295" s="870"/>
      <c r="G295" s="871"/>
      <c r="H295" s="864"/>
      <c r="I295" s="865"/>
      <c r="J295" s="295"/>
      <c r="K295" s="296">
        <f t="shared" si="7"/>
        <v>0</v>
      </c>
      <c r="L295" s="381"/>
    </row>
    <row r="296" spans="1:12" s="270" customFormat="1">
      <c r="A296" s="867" t="s">
        <v>607</v>
      </c>
      <c r="B296" s="863"/>
      <c r="C296" s="863"/>
      <c r="D296" s="868"/>
      <c r="E296" s="869"/>
      <c r="F296" s="870"/>
      <c r="G296" s="871"/>
      <c r="H296" s="864"/>
      <c r="I296" s="865"/>
      <c r="J296" s="295"/>
      <c r="K296" s="296">
        <f t="shared" si="7"/>
        <v>0</v>
      </c>
      <c r="L296" s="381"/>
    </row>
    <row r="297" spans="1:12" s="270" customFormat="1">
      <c r="A297" s="867" t="s">
        <v>607</v>
      </c>
      <c r="B297" s="863"/>
      <c r="C297" s="863"/>
      <c r="D297" s="868"/>
      <c r="E297" s="869"/>
      <c r="F297" s="870"/>
      <c r="G297" s="871"/>
      <c r="H297" s="864"/>
      <c r="I297" s="865"/>
      <c r="J297" s="295"/>
      <c r="K297" s="296">
        <f t="shared" si="7"/>
        <v>0</v>
      </c>
      <c r="L297" s="381"/>
    </row>
    <row r="298" spans="1:12" s="270" customFormat="1">
      <c r="A298" s="867" t="s">
        <v>607</v>
      </c>
      <c r="B298" s="863"/>
      <c r="C298" s="863"/>
      <c r="D298" s="868"/>
      <c r="E298" s="869"/>
      <c r="F298" s="870"/>
      <c r="G298" s="871"/>
      <c r="H298" s="864"/>
      <c r="I298" s="865"/>
      <c r="J298" s="295"/>
      <c r="K298" s="296">
        <f t="shared" si="7"/>
        <v>0</v>
      </c>
      <c r="L298" s="381"/>
    </row>
    <row r="299" spans="1:12" s="270" customFormat="1">
      <c r="A299" s="867" t="s">
        <v>607</v>
      </c>
      <c r="B299" s="863"/>
      <c r="C299" s="863"/>
      <c r="D299" s="868"/>
      <c r="E299" s="869"/>
      <c r="F299" s="870"/>
      <c r="G299" s="871"/>
      <c r="H299" s="864"/>
      <c r="I299" s="865"/>
      <c r="J299" s="295"/>
      <c r="K299" s="296">
        <f t="shared" si="7"/>
        <v>0</v>
      </c>
      <c r="L299" s="381"/>
    </row>
    <row r="300" spans="1:12" s="270" customFormat="1">
      <c r="A300" s="867" t="s">
        <v>607</v>
      </c>
      <c r="B300" s="863"/>
      <c r="C300" s="863"/>
      <c r="D300" s="868"/>
      <c r="E300" s="869"/>
      <c r="F300" s="870"/>
      <c r="G300" s="871"/>
      <c r="H300" s="864"/>
      <c r="I300" s="865"/>
      <c r="J300" s="295"/>
      <c r="K300" s="296">
        <f t="shared" si="7"/>
        <v>0</v>
      </c>
      <c r="L300" s="381"/>
    </row>
    <row r="301" spans="1:12" s="270" customFormat="1">
      <c r="A301" s="867" t="s">
        <v>602</v>
      </c>
      <c r="B301" s="863"/>
      <c r="C301" s="863"/>
      <c r="D301" s="868"/>
      <c r="E301" s="869"/>
      <c r="F301" s="870"/>
      <c r="G301" s="871"/>
      <c r="H301" s="864"/>
      <c r="I301" s="865"/>
      <c r="J301" s="295"/>
      <c r="K301" s="296">
        <f t="shared" si="7"/>
        <v>0</v>
      </c>
      <c r="L301" s="381"/>
    </row>
    <row r="302" spans="1:12" s="270" customFormat="1">
      <c r="A302" s="867" t="s">
        <v>602</v>
      </c>
      <c r="B302" s="863"/>
      <c r="C302" s="863"/>
      <c r="D302" s="868"/>
      <c r="E302" s="869"/>
      <c r="F302" s="870"/>
      <c r="G302" s="871"/>
      <c r="H302" s="864"/>
      <c r="I302" s="865"/>
      <c r="J302" s="295"/>
      <c r="K302" s="296">
        <f t="shared" si="7"/>
        <v>0</v>
      </c>
      <c r="L302" s="381"/>
    </row>
    <row r="303" spans="1:12" s="270" customFormat="1">
      <c r="A303" s="867" t="s">
        <v>607</v>
      </c>
      <c r="B303" s="863"/>
      <c r="C303" s="863"/>
      <c r="D303" s="868"/>
      <c r="E303" s="869"/>
      <c r="F303" s="870"/>
      <c r="G303" s="871"/>
      <c r="H303" s="864"/>
      <c r="I303" s="865"/>
      <c r="J303" s="295"/>
      <c r="K303" s="296">
        <f t="shared" si="7"/>
        <v>0</v>
      </c>
      <c r="L303" s="381"/>
    </row>
    <row r="304" spans="1:12" s="270" customFormat="1">
      <c r="A304" s="867" t="s">
        <v>607</v>
      </c>
      <c r="B304" s="863"/>
      <c r="C304" s="863"/>
      <c r="D304" s="868"/>
      <c r="E304" s="869"/>
      <c r="F304" s="870"/>
      <c r="G304" s="871"/>
      <c r="H304" s="864"/>
      <c r="I304" s="865"/>
      <c r="J304" s="295"/>
      <c r="K304" s="296">
        <f t="shared" si="7"/>
        <v>0</v>
      </c>
      <c r="L304" s="381"/>
    </row>
    <row r="305" spans="1:12" s="270" customFormat="1">
      <c r="A305" s="867" t="s">
        <v>607</v>
      </c>
      <c r="B305" s="863"/>
      <c r="C305" s="863"/>
      <c r="D305" s="868"/>
      <c r="E305" s="869"/>
      <c r="F305" s="870"/>
      <c r="G305" s="871"/>
      <c r="H305" s="864"/>
      <c r="I305" s="865"/>
      <c r="J305" s="295"/>
      <c r="K305" s="296">
        <f t="shared" si="7"/>
        <v>0</v>
      </c>
      <c r="L305" s="381"/>
    </row>
    <row r="306" spans="1:12" s="270" customFormat="1">
      <c r="A306" s="867" t="s">
        <v>604</v>
      </c>
      <c r="B306" s="863"/>
      <c r="C306" s="863"/>
      <c r="D306" s="868"/>
      <c r="E306" s="869"/>
      <c r="F306" s="870"/>
      <c r="G306" s="871"/>
      <c r="H306" s="864"/>
      <c r="I306" s="865"/>
      <c r="J306" s="295"/>
      <c r="K306" s="296">
        <f t="shared" si="7"/>
        <v>0</v>
      </c>
      <c r="L306" s="381"/>
    </row>
    <row r="307" spans="1:12" s="270" customFormat="1">
      <c r="A307" s="867" t="s">
        <v>607</v>
      </c>
      <c r="B307" s="863"/>
      <c r="C307" s="863"/>
      <c r="D307" s="868"/>
      <c r="E307" s="869"/>
      <c r="F307" s="870"/>
      <c r="G307" s="871"/>
      <c r="H307" s="864"/>
      <c r="I307" s="865"/>
      <c r="J307" s="295"/>
      <c r="K307" s="296">
        <f t="shared" si="7"/>
        <v>0</v>
      </c>
      <c r="L307" s="381"/>
    </row>
    <row r="308" spans="1:12" s="270" customFormat="1">
      <c r="A308" s="867" t="s">
        <v>607</v>
      </c>
      <c r="B308" s="863"/>
      <c r="C308" s="863"/>
      <c r="D308" s="868"/>
      <c r="E308" s="869"/>
      <c r="F308" s="870"/>
      <c r="G308" s="871"/>
      <c r="H308" s="864"/>
      <c r="I308" s="865"/>
      <c r="J308" s="295"/>
      <c r="K308" s="296">
        <f t="shared" si="7"/>
        <v>0</v>
      </c>
      <c r="L308" s="381"/>
    </row>
    <row r="309" spans="1:12" s="270" customFormat="1">
      <c r="A309" s="867" t="s">
        <v>604</v>
      </c>
      <c r="B309" s="863"/>
      <c r="C309" s="863"/>
      <c r="D309" s="868"/>
      <c r="E309" s="869"/>
      <c r="F309" s="870"/>
      <c r="G309" s="871"/>
      <c r="H309" s="864"/>
      <c r="I309" s="865"/>
      <c r="J309" s="295"/>
      <c r="K309" s="296">
        <f t="shared" si="7"/>
        <v>0</v>
      </c>
      <c r="L309" s="381"/>
    </row>
    <row r="310" spans="1:12" s="270" customFormat="1">
      <c r="A310" s="867" t="s">
        <v>607</v>
      </c>
      <c r="B310" s="863"/>
      <c r="C310" s="863"/>
      <c r="D310" s="868"/>
      <c r="E310" s="869"/>
      <c r="F310" s="870"/>
      <c r="G310" s="871"/>
      <c r="H310" s="864"/>
      <c r="I310" s="865"/>
      <c r="J310" s="295"/>
      <c r="K310" s="296">
        <f t="shared" si="7"/>
        <v>0</v>
      </c>
      <c r="L310" s="381"/>
    </row>
    <row r="311" spans="1:12" s="270" customFormat="1">
      <c r="A311" s="867" t="s">
        <v>607</v>
      </c>
      <c r="B311" s="863"/>
      <c r="C311" s="863"/>
      <c r="D311" s="868"/>
      <c r="E311" s="869"/>
      <c r="F311" s="870"/>
      <c r="G311" s="871"/>
      <c r="H311" s="864"/>
      <c r="I311" s="865"/>
      <c r="J311" s="295"/>
      <c r="K311" s="296">
        <f>IF(LEFT(A311,2)="TU",(J311-I311)*E311/100*100000*2,(J311-I311)*E311/100*100000)</f>
        <v>0</v>
      </c>
      <c r="L311" s="381"/>
    </row>
    <row r="312" spans="1:12" s="270" customFormat="1">
      <c r="A312" s="867" t="s">
        <v>607</v>
      </c>
      <c r="B312" s="863"/>
      <c r="C312" s="863"/>
      <c r="D312" s="868"/>
      <c r="E312" s="869"/>
      <c r="F312" s="870"/>
      <c r="G312" s="871"/>
      <c r="H312" s="864"/>
      <c r="I312" s="865"/>
      <c r="J312" s="295"/>
      <c r="K312" s="296">
        <f t="shared" si="7"/>
        <v>0</v>
      </c>
      <c r="L312" s="381"/>
    </row>
    <row r="313" spans="1:12" s="270" customFormat="1">
      <c r="A313" s="867" t="s">
        <v>607</v>
      </c>
      <c r="B313" s="863"/>
      <c r="C313" s="863"/>
      <c r="D313" s="868"/>
      <c r="E313" s="869"/>
      <c r="F313" s="870"/>
      <c r="G313" s="871"/>
      <c r="H313" s="864"/>
      <c r="I313" s="865"/>
      <c r="J313" s="295"/>
      <c r="K313" s="296">
        <f t="shared" si="7"/>
        <v>0</v>
      </c>
      <c r="L313" s="381"/>
    </row>
    <row r="314" spans="1:12" s="270" customFormat="1">
      <c r="A314" s="867" t="s">
        <v>607</v>
      </c>
      <c r="B314" s="863"/>
      <c r="C314" s="863"/>
      <c r="D314" s="868"/>
      <c r="E314" s="869"/>
      <c r="F314" s="870"/>
      <c r="G314" s="871"/>
      <c r="H314" s="864"/>
      <c r="I314" s="865"/>
      <c r="J314" s="295"/>
      <c r="K314" s="296">
        <f t="shared" si="7"/>
        <v>0</v>
      </c>
      <c r="L314" s="381"/>
    </row>
    <row r="315" spans="1:12" s="270" customFormat="1">
      <c r="A315" s="867" t="s">
        <v>607</v>
      </c>
      <c r="B315" s="863"/>
      <c r="C315" s="863"/>
      <c r="D315" s="868"/>
      <c r="E315" s="869"/>
      <c r="F315" s="870"/>
      <c r="G315" s="871"/>
      <c r="H315" s="864"/>
      <c r="I315" s="865"/>
      <c r="J315" s="295"/>
      <c r="K315" s="296">
        <f t="shared" ref="K315:K378" si="8">IF(LEFT(A315,2)="TU",(J315-I315)*E315/100*100000*2,(J315-I315)*E315/100*100000)</f>
        <v>0</v>
      </c>
      <c r="L315" s="381"/>
    </row>
    <row r="316" spans="1:12" s="270" customFormat="1">
      <c r="A316" s="867" t="s">
        <v>607</v>
      </c>
      <c r="B316" s="863"/>
      <c r="C316" s="863"/>
      <c r="D316" s="868"/>
      <c r="E316" s="869"/>
      <c r="F316" s="870"/>
      <c r="G316" s="871"/>
      <c r="H316" s="864"/>
      <c r="I316" s="865"/>
      <c r="J316" s="295"/>
      <c r="K316" s="296">
        <f t="shared" si="8"/>
        <v>0</v>
      </c>
      <c r="L316" s="381"/>
    </row>
    <row r="317" spans="1:12" s="270" customFormat="1">
      <c r="A317" s="867" t="s">
        <v>607</v>
      </c>
      <c r="B317" s="863"/>
      <c r="C317" s="863"/>
      <c r="D317" s="868"/>
      <c r="E317" s="869"/>
      <c r="F317" s="870"/>
      <c r="G317" s="871"/>
      <c r="H317" s="864"/>
      <c r="I317" s="865"/>
      <c r="J317" s="295"/>
      <c r="K317" s="296">
        <f t="shared" si="8"/>
        <v>0</v>
      </c>
      <c r="L317" s="381"/>
    </row>
    <row r="318" spans="1:12" s="270" customFormat="1">
      <c r="A318" s="867" t="s">
        <v>607</v>
      </c>
      <c r="B318" s="863"/>
      <c r="C318" s="863"/>
      <c r="D318" s="868"/>
      <c r="E318" s="869"/>
      <c r="F318" s="870"/>
      <c r="G318" s="871"/>
      <c r="H318" s="864"/>
      <c r="I318" s="865"/>
      <c r="J318" s="295"/>
      <c r="K318" s="296">
        <f t="shared" si="8"/>
        <v>0</v>
      </c>
      <c r="L318" s="381"/>
    </row>
    <row r="319" spans="1:12" s="270" customFormat="1">
      <c r="A319" s="867" t="s">
        <v>607</v>
      </c>
      <c r="B319" s="863"/>
      <c r="C319" s="863"/>
      <c r="D319" s="868"/>
      <c r="E319" s="869"/>
      <c r="F319" s="870"/>
      <c r="G319" s="871"/>
      <c r="H319" s="864"/>
      <c r="I319" s="865"/>
      <c r="J319" s="295"/>
      <c r="K319" s="296">
        <f t="shared" si="8"/>
        <v>0</v>
      </c>
      <c r="L319" s="381"/>
    </row>
    <row r="320" spans="1:12" s="270" customFormat="1">
      <c r="A320" s="867" t="s">
        <v>607</v>
      </c>
      <c r="B320" s="863"/>
      <c r="C320" s="863"/>
      <c r="D320" s="868"/>
      <c r="E320" s="869"/>
      <c r="F320" s="870"/>
      <c r="G320" s="871"/>
      <c r="H320" s="864"/>
      <c r="I320" s="865"/>
      <c r="J320" s="295"/>
      <c r="K320" s="296">
        <f t="shared" si="8"/>
        <v>0</v>
      </c>
      <c r="L320" s="381"/>
    </row>
    <row r="321" spans="1:12" s="270" customFormat="1">
      <c r="A321" s="867" t="s">
        <v>607</v>
      </c>
      <c r="B321" s="863"/>
      <c r="C321" s="863"/>
      <c r="D321" s="868"/>
      <c r="E321" s="869"/>
      <c r="F321" s="870"/>
      <c r="G321" s="871"/>
      <c r="H321" s="864"/>
      <c r="I321" s="865"/>
      <c r="J321" s="295"/>
      <c r="K321" s="296">
        <f t="shared" si="8"/>
        <v>0</v>
      </c>
      <c r="L321" s="381"/>
    </row>
    <row r="322" spans="1:12" s="270" customFormat="1">
      <c r="A322" s="867" t="s">
        <v>607</v>
      </c>
      <c r="B322" s="863"/>
      <c r="C322" s="863"/>
      <c r="D322" s="868"/>
      <c r="E322" s="869"/>
      <c r="F322" s="870"/>
      <c r="G322" s="871"/>
      <c r="H322" s="864"/>
      <c r="I322" s="865"/>
      <c r="J322" s="295"/>
      <c r="K322" s="296">
        <f t="shared" si="8"/>
        <v>0</v>
      </c>
      <c r="L322" s="381"/>
    </row>
    <row r="323" spans="1:12" s="270" customFormat="1">
      <c r="A323" s="867" t="s">
        <v>607</v>
      </c>
      <c r="B323" s="863"/>
      <c r="C323" s="863"/>
      <c r="D323" s="868"/>
      <c r="E323" s="869"/>
      <c r="F323" s="870"/>
      <c r="G323" s="871"/>
      <c r="H323" s="864"/>
      <c r="I323" s="865"/>
      <c r="J323" s="295"/>
      <c r="K323" s="296">
        <f t="shared" si="8"/>
        <v>0</v>
      </c>
      <c r="L323" s="381"/>
    </row>
    <row r="324" spans="1:12" s="270" customFormat="1">
      <c r="A324" s="867" t="s">
        <v>607</v>
      </c>
      <c r="B324" s="863"/>
      <c r="C324" s="863"/>
      <c r="D324" s="868"/>
      <c r="E324" s="869"/>
      <c r="F324" s="870"/>
      <c r="G324" s="871"/>
      <c r="H324" s="864"/>
      <c r="I324" s="865"/>
      <c r="J324" s="295"/>
      <c r="K324" s="296">
        <f t="shared" si="8"/>
        <v>0</v>
      </c>
      <c r="L324" s="381"/>
    </row>
    <row r="325" spans="1:12" s="270" customFormat="1">
      <c r="A325" s="867" t="s">
        <v>607</v>
      </c>
      <c r="B325" s="863"/>
      <c r="C325" s="863"/>
      <c r="D325" s="868"/>
      <c r="E325" s="869"/>
      <c r="F325" s="870"/>
      <c r="G325" s="871"/>
      <c r="H325" s="864"/>
      <c r="I325" s="865"/>
      <c r="J325" s="295"/>
      <c r="K325" s="296">
        <f t="shared" si="8"/>
        <v>0</v>
      </c>
      <c r="L325" s="381"/>
    </row>
    <row r="326" spans="1:12" s="270" customFormat="1">
      <c r="A326" s="867" t="s">
        <v>607</v>
      </c>
      <c r="B326" s="863"/>
      <c r="C326" s="863"/>
      <c r="D326" s="868"/>
      <c r="E326" s="869"/>
      <c r="F326" s="870"/>
      <c r="G326" s="871"/>
      <c r="H326" s="864"/>
      <c r="I326" s="865"/>
      <c r="J326" s="295"/>
      <c r="K326" s="296">
        <f t="shared" si="8"/>
        <v>0</v>
      </c>
      <c r="L326" s="381"/>
    </row>
    <row r="327" spans="1:12" s="270" customFormat="1">
      <c r="A327" s="867" t="s">
        <v>607</v>
      </c>
      <c r="B327" s="863"/>
      <c r="C327" s="863"/>
      <c r="D327" s="868"/>
      <c r="E327" s="869"/>
      <c r="F327" s="870"/>
      <c r="G327" s="871"/>
      <c r="H327" s="864"/>
      <c r="I327" s="865"/>
      <c r="J327" s="295"/>
      <c r="K327" s="296">
        <f t="shared" si="8"/>
        <v>0</v>
      </c>
      <c r="L327" s="381"/>
    </row>
    <row r="328" spans="1:12" s="270" customFormat="1">
      <c r="A328" s="867" t="s">
        <v>607</v>
      </c>
      <c r="B328" s="863"/>
      <c r="C328" s="863"/>
      <c r="D328" s="868"/>
      <c r="E328" s="869"/>
      <c r="F328" s="870"/>
      <c r="G328" s="871"/>
      <c r="H328" s="864"/>
      <c r="I328" s="865"/>
      <c r="J328" s="295"/>
      <c r="K328" s="296">
        <f t="shared" si="8"/>
        <v>0</v>
      </c>
      <c r="L328" s="381"/>
    </row>
    <row r="329" spans="1:12" s="270" customFormat="1">
      <c r="A329" s="867" t="s">
        <v>602</v>
      </c>
      <c r="B329" s="863"/>
      <c r="C329" s="863"/>
      <c r="D329" s="868"/>
      <c r="E329" s="869"/>
      <c r="F329" s="870"/>
      <c r="G329" s="871"/>
      <c r="H329" s="864"/>
      <c r="I329" s="865"/>
      <c r="J329" s="295"/>
      <c r="K329" s="296">
        <f t="shared" si="8"/>
        <v>0</v>
      </c>
      <c r="L329" s="381"/>
    </row>
    <row r="330" spans="1:12" s="270" customFormat="1">
      <c r="A330" s="867" t="s">
        <v>607</v>
      </c>
      <c r="B330" s="863"/>
      <c r="C330" s="863"/>
      <c r="D330" s="868"/>
      <c r="E330" s="869"/>
      <c r="F330" s="870"/>
      <c r="G330" s="871"/>
      <c r="H330" s="864"/>
      <c r="I330" s="865"/>
      <c r="J330" s="295"/>
      <c r="K330" s="296">
        <f t="shared" si="8"/>
        <v>0</v>
      </c>
      <c r="L330" s="381"/>
    </row>
    <row r="331" spans="1:12" s="270" customFormat="1">
      <c r="A331" s="867" t="s">
        <v>607</v>
      </c>
      <c r="B331" s="863"/>
      <c r="C331" s="863"/>
      <c r="D331" s="868"/>
      <c r="E331" s="869"/>
      <c r="F331" s="870"/>
      <c r="G331" s="871"/>
      <c r="H331" s="864"/>
      <c r="I331" s="865"/>
      <c r="J331" s="295"/>
      <c r="K331" s="296">
        <f t="shared" si="8"/>
        <v>0</v>
      </c>
      <c r="L331" s="381"/>
    </row>
    <row r="332" spans="1:12" s="270" customFormat="1">
      <c r="A332" s="867" t="s">
        <v>607</v>
      </c>
      <c r="B332" s="863"/>
      <c r="C332" s="863"/>
      <c r="D332" s="868"/>
      <c r="E332" s="869"/>
      <c r="F332" s="870"/>
      <c r="G332" s="871"/>
      <c r="H332" s="864"/>
      <c r="I332" s="865"/>
      <c r="J332" s="295"/>
      <c r="K332" s="296">
        <f t="shared" si="8"/>
        <v>0</v>
      </c>
      <c r="L332" s="381"/>
    </row>
    <row r="333" spans="1:12" s="270" customFormat="1">
      <c r="A333" s="867" t="s">
        <v>607</v>
      </c>
      <c r="B333" s="863"/>
      <c r="C333" s="863"/>
      <c r="D333" s="868"/>
      <c r="E333" s="869"/>
      <c r="F333" s="870"/>
      <c r="G333" s="871"/>
      <c r="H333" s="864"/>
      <c r="I333" s="865"/>
      <c r="J333" s="295"/>
      <c r="K333" s="296">
        <f t="shared" si="8"/>
        <v>0</v>
      </c>
      <c r="L333" s="381"/>
    </row>
    <row r="334" spans="1:12" s="270" customFormat="1">
      <c r="A334" s="867" t="s">
        <v>607</v>
      </c>
      <c r="B334" s="863"/>
      <c r="C334" s="863"/>
      <c r="D334" s="868"/>
      <c r="E334" s="869"/>
      <c r="F334" s="870"/>
      <c r="G334" s="871"/>
      <c r="H334" s="864"/>
      <c r="I334" s="865"/>
      <c r="J334" s="295"/>
      <c r="K334" s="296">
        <f t="shared" si="8"/>
        <v>0</v>
      </c>
      <c r="L334" s="381"/>
    </row>
    <row r="335" spans="1:12" s="270" customFormat="1">
      <c r="A335" s="867" t="s">
        <v>607</v>
      </c>
      <c r="B335" s="863"/>
      <c r="C335" s="863"/>
      <c r="D335" s="868"/>
      <c r="E335" s="869"/>
      <c r="F335" s="870"/>
      <c r="G335" s="871"/>
      <c r="H335" s="864"/>
      <c r="I335" s="865"/>
      <c r="J335" s="295"/>
      <c r="K335" s="296">
        <f t="shared" si="8"/>
        <v>0</v>
      </c>
      <c r="L335" s="381"/>
    </row>
    <row r="336" spans="1:12" s="270" customFormat="1">
      <c r="A336" s="867" t="s">
        <v>607</v>
      </c>
      <c r="B336" s="863"/>
      <c r="C336" s="863"/>
      <c r="D336" s="868"/>
      <c r="E336" s="869"/>
      <c r="F336" s="870"/>
      <c r="G336" s="871"/>
      <c r="H336" s="864"/>
      <c r="I336" s="865"/>
      <c r="J336" s="295"/>
      <c r="K336" s="296">
        <f t="shared" si="8"/>
        <v>0</v>
      </c>
      <c r="L336" s="381"/>
    </row>
    <row r="337" spans="1:12" s="270" customFormat="1">
      <c r="A337" s="867" t="s">
        <v>604</v>
      </c>
      <c r="B337" s="863"/>
      <c r="C337" s="863"/>
      <c r="D337" s="868"/>
      <c r="E337" s="869"/>
      <c r="F337" s="870"/>
      <c r="G337" s="871"/>
      <c r="H337" s="864"/>
      <c r="I337" s="865"/>
      <c r="J337" s="295"/>
      <c r="K337" s="296">
        <f t="shared" si="8"/>
        <v>0</v>
      </c>
      <c r="L337" s="381"/>
    </row>
    <row r="338" spans="1:12" s="270" customFormat="1">
      <c r="A338" s="867" t="s">
        <v>604</v>
      </c>
      <c r="B338" s="863"/>
      <c r="C338" s="863"/>
      <c r="D338" s="868"/>
      <c r="E338" s="869"/>
      <c r="F338" s="870"/>
      <c r="G338" s="871"/>
      <c r="H338" s="864"/>
      <c r="I338" s="865"/>
      <c r="J338" s="295"/>
      <c r="K338" s="296">
        <f t="shared" si="8"/>
        <v>0</v>
      </c>
      <c r="L338" s="381"/>
    </row>
    <row r="339" spans="1:12" s="270" customFormat="1">
      <c r="A339" s="867" t="s">
        <v>604</v>
      </c>
      <c r="B339" s="863"/>
      <c r="C339" s="863"/>
      <c r="D339" s="868"/>
      <c r="E339" s="869"/>
      <c r="F339" s="870"/>
      <c r="G339" s="871"/>
      <c r="H339" s="864"/>
      <c r="I339" s="865"/>
      <c r="J339" s="295"/>
      <c r="K339" s="296">
        <f t="shared" si="8"/>
        <v>0</v>
      </c>
      <c r="L339" s="381"/>
    </row>
    <row r="340" spans="1:12" s="270" customFormat="1">
      <c r="A340" s="867" t="s">
        <v>602</v>
      </c>
      <c r="B340" s="863"/>
      <c r="C340" s="863"/>
      <c r="D340" s="868"/>
      <c r="E340" s="869"/>
      <c r="F340" s="870"/>
      <c r="G340" s="871"/>
      <c r="H340" s="864"/>
      <c r="I340" s="865"/>
      <c r="J340" s="295"/>
      <c r="K340" s="296">
        <f t="shared" si="8"/>
        <v>0</v>
      </c>
      <c r="L340" s="381"/>
    </row>
    <row r="341" spans="1:12" s="270" customFormat="1">
      <c r="A341" s="867" t="s">
        <v>602</v>
      </c>
      <c r="B341" s="863"/>
      <c r="C341" s="863"/>
      <c r="D341" s="868"/>
      <c r="E341" s="869"/>
      <c r="F341" s="870"/>
      <c r="G341" s="871"/>
      <c r="H341" s="864"/>
      <c r="I341" s="865"/>
      <c r="J341" s="295"/>
      <c r="K341" s="296">
        <f t="shared" si="8"/>
        <v>0</v>
      </c>
      <c r="L341" s="381"/>
    </row>
    <row r="342" spans="1:12" s="270" customFormat="1">
      <c r="A342" s="867" t="s">
        <v>607</v>
      </c>
      <c r="B342" s="863"/>
      <c r="C342" s="863"/>
      <c r="D342" s="868"/>
      <c r="E342" s="869"/>
      <c r="F342" s="870"/>
      <c r="G342" s="871"/>
      <c r="H342" s="864"/>
      <c r="I342" s="865"/>
      <c r="J342" s="295"/>
      <c r="K342" s="296">
        <f t="shared" si="8"/>
        <v>0</v>
      </c>
      <c r="L342" s="381"/>
    </row>
    <row r="343" spans="1:12" s="270" customFormat="1">
      <c r="A343" s="867" t="s">
        <v>607</v>
      </c>
      <c r="B343" s="863"/>
      <c r="C343" s="863"/>
      <c r="D343" s="868"/>
      <c r="E343" s="869"/>
      <c r="F343" s="870"/>
      <c r="G343" s="871"/>
      <c r="H343" s="864"/>
      <c r="I343" s="865"/>
      <c r="J343" s="295"/>
      <c r="K343" s="296">
        <f t="shared" si="8"/>
        <v>0</v>
      </c>
      <c r="L343" s="381"/>
    </row>
    <row r="344" spans="1:12" s="270" customFormat="1">
      <c r="A344" s="867" t="s">
        <v>607</v>
      </c>
      <c r="B344" s="863"/>
      <c r="C344" s="863"/>
      <c r="D344" s="868"/>
      <c r="E344" s="869"/>
      <c r="F344" s="870"/>
      <c r="G344" s="871"/>
      <c r="H344" s="864"/>
      <c r="I344" s="865"/>
      <c r="J344" s="295"/>
      <c r="K344" s="296">
        <f t="shared" si="8"/>
        <v>0</v>
      </c>
      <c r="L344" s="381"/>
    </row>
    <row r="345" spans="1:12" s="270" customFormat="1">
      <c r="A345" s="867" t="s">
        <v>607</v>
      </c>
      <c r="B345" s="863"/>
      <c r="C345" s="863"/>
      <c r="D345" s="868"/>
      <c r="E345" s="869"/>
      <c r="F345" s="870"/>
      <c r="G345" s="871"/>
      <c r="H345" s="864"/>
      <c r="I345" s="865"/>
      <c r="J345" s="295"/>
      <c r="K345" s="296">
        <f t="shared" si="8"/>
        <v>0</v>
      </c>
      <c r="L345" s="381"/>
    </row>
    <row r="346" spans="1:12" s="270" customFormat="1">
      <c r="A346" s="867" t="s">
        <v>607</v>
      </c>
      <c r="B346" s="863"/>
      <c r="C346" s="863"/>
      <c r="D346" s="868"/>
      <c r="E346" s="869"/>
      <c r="F346" s="870"/>
      <c r="G346" s="871"/>
      <c r="H346" s="864"/>
      <c r="I346" s="865"/>
      <c r="J346" s="295"/>
      <c r="K346" s="296">
        <f t="shared" si="8"/>
        <v>0</v>
      </c>
      <c r="L346" s="381"/>
    </row>
    <row r="347" spans="1:12" s="270" customFormat="1">
      <c r="A347" s="867" t="s">
        <v>604</v>
      </c>
      <c r="B347" s="863"/>
      <c r="C347" s="863"/>
      <c r="D347" s="868"/>
      <c r="E347" s="869"/>
      <c r="F347" s="870"/>
      <c r="G347" s="871"/>
      <c r="H347" s="864"/>
      <c r="I347" s="865"/>
      <c r="J347" s="295"/>
      <c r="K347" s="296">
        <f t="shared" si="8"/>
        <v>0</v>
      </c>
      <c r="L347" s="381"/>
    </row>
    <row r="348" spans="1:12" s="270" customFormat="1">
      <c r="A348" s="867" t="s">
        <v>602</v>
      </c>
      <c r="B348" s="863"/>
      <c r="C348" s="863"/>
      <c r="D348" s="868"/>
      <c r="E348" s="869"/>
      <c r="F348" s="870"/>
      <c r="G348" s="871"/>
      <c r="H348" s="864"/>
      <c r="I348" s="865"/>
      <c r="J348" s="295"/>
      <c r="K348" s="296">
        <f t="shared" si="8"/>
        <v>0</v>
      </c>
      <c r="L348" s="381"/>
    </row>
    <row r="349" spans="1:12" s="270" customFormat="1">
      <c r="A349" s="867" t="s">
        <v>602</v>
      </c>
      <c r="B349" s="863"/>
      <c r="C349" s="863"/>
      <c r="D349" s="868"/>
      <c r="E349" s="869"/>
      <c r="F349" s="870"/>
      <c r="G349" s="871"/>
      <c r="H349" s="864"/>
      <c r="I349" s="865"/>
      <c r="J349" s="295"/>
      <c r="K349" s="296">
        <f t="shared" si="8"/>
        <v>0</v>
      </c>
      <c r="L349" s="381"/>
    </row>
    <row r="350" spans="1:12" s="270" customFormat="1">
      <c r="A350" s="867" t="s">
        <v>602</v>
      </c>
      <c r="B350" s="863"/>
      <c r="C350" s="863"/>
      <c r="D350" s="868"/>
      <c r="E350" s="869"/>
      <c r="F350" s="870"/>
      <c r="G350" s="871"/>
      <c r="H350" s="864"/>
      <c r="I350" s="865"/>
      <c r="J350" s="295"/>
      <c r="K350" s="296">
        <f t="shared" si="8"/>
        <v>0</v>
      </c>
      <c r="L350" s="381"/>
    </row>
    <row r="351" spans="1:12" s="270" customFormat="1">
      <c r="A351" s="867" t="s">
        <v>602</v>
      </c>
      <c r="B351" s="863"/>
      <c r="C351" s="863"/>
      <c r="D351" s="868"/>
      <c r="E351" s="869"/>
      <c r="F351" s="870"/>
      <c r="G351" s="871"/>
      <c r="H351" s="864"/>
      <c r="I351" s="865"/>
      <c r="J351" s="295"/>
      <c r="K351" s="296">
        <f t="shared" si="8"/>
        <v>0</v>
      </c>
      <c r="L351" s="381"/>
    </row>
    <row r="352" spans="1:12" s="270" customFormat="1">
      <c r="A352" s="867" t="s">
        <v>602</v>
      </c>
      <c r="B352" s="863"/>
      <c r="C352" s="863"/>
      <c r="D352" s="868"/>
      <c r="E352" s="869"/>
      <c r="F352" s="870"/>
      <c r="G352" s="871"/>
      <c r="H352" s="864"/>
      <c r="I352" s="865"/>
      <c r="J352" s="295"/>
      <c r="K352" s="296">
        <f t="shared" si="8"/>
        <v>0</v>
      </c>
      <c r="L352" s="381"/>
    </row>
    <row r="353" spans="1:12" s="270" customFormat="1">
      <c r="A353" s="867" t="s">
        <v>602</v>
      </c>
      <c r="B353" s="863"/>
      <c r="C353" s="863"/>
      <c r="D353" s="868"/>
      <c r="E353" s="869"/>
      <c r="F353" s="870"/>
      <c r="G353" s="871"/>
      <c r="H353" s="864"/>
      <c r="I353" s="865"/>
      <c r="J353" s="295"/>
      <c r="K353" s="296">
        <f t="shared" si="8"/>
        <v>0</v>
      </c>
      <c r="L353" s="381"/>
    </row>
    <row r="354" spans="1:12" s="270" customFormat="1">
      <c r="A354" s="867" t="s">
        <v>602</v>
      </c>
      <c r="B354" s="863"/>
      <c r="C354" s="863"/>
      <c r="D354" s="868"/>
      <c r="E354" s="869"/>
      <c r="F354" s="870"/>
      <c r="G354" s="871"/>
      <c r="H354" s="864"/>
      <c r="I354" s="865"/>
      <c r="J354" s="295"/>
      <c r="K354" s="296">
        <f t="shared" si="8"/>
        <v>0</v>
      </c>
      <c r="L354" s="381"/>
    </row>
    <row r="355" spans="1:12" s="270" customFormat="1">
      <c r="A355" s="867" t="s">
        <v>607</v>
      </c>
      <c r="B355" s="863"/>
      <c r="C355" s="863"/>
      <c r="D355" s="868"/>
      <c r="E355" s="869"/>
      <c r="F355" s="870"/>
      <c r="G355" s="871"/>
      <c r="H355" s="864"/>
      <c r="I355" s="865"/>
      <c r="J355" s="295"/>
      <c r="K355" s="296">
        <f t="shared" si="8"/>
        <v>0</v>
      </c>
      <c r="L355" s="381"/>
    </row>
    <row r="356" spans="1:12" s="270" customFormat="1">
      <c r="A356" s="867" t="s">
        <v>607</v>
      </c>
      <c r="B356" s="863"/>
      <c r="C356" s="863"/>
      <c r="D356" s="868"/>
      <c r="E356" s="869"/>
      <c r="F356" s="870"/>
      <c r="G356" s="871"/>
      <c r="H356" s="864"/>
      <c r="I356" s="865"/>
      <c r="J356" s="295"/>
      <c r="K356" s="296">
        <f t="shared" si="8"/>
        <v>0</v>
      </c>
      <c r="L356" s="381"/>
    </row>
    <row r="357" spans="1:12" s="270" customFormat="1">
      <c r="A357" s="867" t="s">
        <v>631</v>
      </c>
      <c r="B357" s="863"/>
      <c r="C357" s="863"/>
      <c r="D357" s="868"/>
      <c r="E357" s="869"/>
      <c r="F357" s="870"/>
      <c r="G357" s="871"/>
      <c r="H357" s="864"/>
      <c r="I357" s="865"/>
      <c r="J357" s="295"/>
      <c r="K357" s="296">
        <f t="shared" si="8"/>
        <v>0</v>
      </c>
      <c r="L357" s="381"/>
    </row>
    <row r="358" spans="1:12" s="270" customFormat="1">
      <c r="A358" s="867" t="s">
        <v>631</v>
      </c>
      <c r="B358" s="863"/>
      <c r="C358" s="863"/>
      <c r="D358" s="868"/>
      <c r="E358" s="869"/>
      <c r="F358" s="870"/>
      <c r="G358" s="871"/>
      <c r="H358" s="864"/>
      <c r="I358" s="865"/>
      <c r="J358" s="295"/>
      <c r="K358" s="296">
        <f t="shared" si="8"/>
        <v>0</v>
      </c>
      <c r="L358" s="381"/>
    </row>
    <row r="359" spans="1:12" s="270" customFormat="1">
      <c r="A359" s="867" t="s">
        <v>629</v>
      </c>
      <c r="B359" s="863"/>
      <c r="C359" s="863"/>
      <c r="D359" s="868"/>
      <c r="E359" s="869"/>
      <c r="F359" s="870"/>
      <c r="G359" s="871"/>
      <c r="H359" s="864"/>
      <c r="I359" s="865"/>
      <c r="J359" s="295"/>
      <c r="K359" s="296">
        <f t="shared" si="8"/>
        <v>0</v>
      </c>
      <c r="L359" s="381"/>
    </row>
    <row r="360" spans="1:12" s="270" customFormat="1">
      <c r="A360" s="867" t="s">
        <v>629</v>
      </c>
      <c r="B360" s="863"/>
      <c r="C360" s="863"/>
      <c r="D360" s="868"/>
      <c r="E360" s="869"/>
      <c r="F360" s="870"/>
      <c r="G360" s="871"/>
      <c r="H360" s="864"/>
      <c r="I360" s="865"/>
      <c r="J360" s="295"/>
      <c r="K360" s="296">
        <f t="shared" si="8"/>
        <v>0</v>
      </c>
      <c r="L360" s="381"/>
    </row>
    <row r="361" spans="1:12" s="270" customFormat="1">
      <c r="A361" s="867" t="s">
        <v>629</v>
      </c>
      <c r="B361" s="863"/>
      <c r="C361" s="863"/>
      <c r="D361" s="868"/>
      <c r="E361" s="869"/>
      <c r="F361" s="870"/>
      <c r="G361" s="871"/>
      <c r="H361" s="864"/>
      <c r="I361" s="865"/>
      <c r="J361" s="295"/>
      <c r="K361" s="296">
        <f t="shared" si="8"/>
        <v>0</v>
      </c>
      <c r="L361" s="381"/>
    </row>
    <row r="362" spans="1:12" s="270" customFormat="1">
      <c r="A362" s="867" t="s">
        <v>629</v>
      </c>
      <c r="B362" s="863"/>
      <c r="C362" s="863"/>
      <c r="D362" s="868"/>
      <c r="E362" s="869"/>
      <c r="F362" s="870"/>
      <c r="G362" s="871"/>
      <c r="H362" s="864"/>
      <c r="I362" s="865"/>
      <c r="J362" s="295"/>
      <c r="K362" s="296">
        <f t="shared" si="8"/>
        <v>0</v>
      </c>
      <c r="L362" s="381"/>
    </row>
    <row r="363" spans="1:12" s="270" customFormat="1">
      <c r="A363" s="867" t="s">
        <v>639</v>
      </c>
      <c r="B363" s="863"/>
      <c r="C363" s="863"/>
      <c r="D363" s="868"/>
      <c r="E363" s="869"/>
      <c r="F363" s="870"/>
      <c r="G363" s="871"/>
      <c r="H363" s="864"/>
      <c r="I363" s="865"/>
      <c r="J363" s="295"/>
      <c r="K363" s="296">
        <f t="shared" si="8"/>
        <v>0</v>
      </c>
      <c r="L363" s="381"/>
    </row>
    <row r="364" spans="1:12" s="270" customFormat="1">
      <c r="A364" s="867" t="s">
        <v>631</v>
      </c>
      <c r="B364" s="863"/>
      <c r="C364" s="863"/>
      <c r="D364" s="868"/>
      <c r="E364" s="869"/>
      <c r="F364" s="870"/>
      <c r="G364" s="871"/>
      <c r="H364" s="864"/>
      <c r="I364" s="865"/>
      <c r="J364" s="295"/>
      <c r="K364" s="296">
        <f t="shared" si="8"/>
        <v>0</v>
      </c>
      <c r="L364" s="381"/>
    </row>
    <row r="365" spans="1:12" s="270" customFormat="1">
      <c r="A365" s="867" t="s">
        <v>629</v>
      </c>
      <c r="B365" s="863"/>
      <c r="C365" s="863"/>
      <c r="D365" s="868"/>
      <c r="E365" s="869"/>
      <c r="F365" s="870"/>
      <c r="G365" s="871"/>
      <c r="H365" s="864"/>
      <c r="I365" s="865"/>
      <c r="J365" s="295"/>
      <c r="K365" s="296">
        <f t="shared" si="8"/>
        <v>0</v>
      </c>
      <c r="L365" s="381"/>
    </row>
    <row r="366" spans="1:12" s="270" customFormat="1">
      <c r="A366" s="867" t="s">
        <v>639</v>
      </c>
      <c r="B366" s="863"/>
      <c r="C366" s="863"/>
      <c r="D366" s="868"/>
      <c r="E366" s="869"/>
      <c r="F366" s="870"/>
      <c r="G366" s="871"/>
      <c r="H366" s="864"/>
      <c r="I366" s="865"/>
      <c r="J366" s="295"/>
      <c r="K366" s="296">
        <f t="shared" si="8"/>
        <v>0</v>
      </c>
      <c r="L366" s="381"/>
    </row>
    <row r="367" spans="1:12" s="270" customFormat="1">
      <c r="A367" s="867" t="s">
        <v>639</v>
      </c>
      <c r="B367" s="863"/>
      <c r="C367" s="863"/>
      <c r="D367" s="868"/>
      <c r="E367" s="869"/>
      <c r="F367" s="870"/>
      <c r="G367" s="871"/>
      <c r="H367" s="864"/>
      <c r="I367" s="865"/>
      <c r="J367" s="295"/>
      <c r="K367" s="296">
        <f t="shared" si="8"/>
        <v>0</v>
      </c>
      <c r="L367" s="381"/>
    </row>
    <row r="368" spans="1:12" s="270" customFormat="1">
      <c r="A368" s="867" t="s">
        <v>631</v>
      </c>
      <c r="B368" s="863"/>
      <c r="C368" s="863"/>
      <c r="D368" s="868"/>
      <c r="E368" s="869"/>
      <c r="F368" s="870"/>
      <c r="G368" s="871"/>
      <c r="H368" s="864"/>
      <c r="I368" s="865"/>
      <c r="J368" s="295"/>
      <c r="K368" s="296">
        <f t="shared" si="8"/>
        <v>0</v>
      </c>
      <c r="L368" s="381"/>
    </row>
    <row r="369" spans="1:12" s="270" customFormat="1">
      <c r="A369" s="867" t="s">
        <v>639</v>
      </c>
      <c r="B369" s="863"/>
      <c r="C369" s="863"/>
      <c r="D369" s="868"/>
      <c r="E369" s="869"/>
      <c r="F369" s="870"/>
      <c r="G369" s="871"/>
      <c r="H369" s="864"/>
      <c r="I369" s="865"/>
      <c r="J369" s="295"/>
      <c r="K369" s="296">
        <f t="shared" si="8"/>
        <v>0</v>
      </c>
      <c r="L369" s="381"/>
    </row>
    <row r="370" spans="1:12" s="270" customFormat="1">
      <c r="A370" s="867" t="s">
        <v>629</v>
      </c>
      <c r="B370" s="863"/>
      <c r="C370" s="863"/>
      <c r="D370" s="868"/>
      <c r="E370" s="869"/>
      <c r="F370" s="870"/>
      <c r="G370" s="871"/>
      <c r="H370" s="864"/>
      <c r="I370" s="865"/>
      <c r="J370" s="295"/>
      <c r="K370" s="296">
        <f t="shared" si="8"/>
        <v>0</v>
      </c>
      <c r="L370" s="381"/>
    </row>
    <row r="371" spans="1:12" s="270" customFormat="1">
      <c r="A371" s="867" t="s">
        <v>629</v>
      </c>
      <c r="B371" s="863"/>
      <c r="C371" s="863"/>
      <c r="D371" s="868"/>
      <c r="E371" s="869"/>
      <c r="F371" s="870"/>
      <c r="G371" s="871"/>
      <c r="H371" s="864"/>
      <c r="I371" s="865"/>
      <c r="J371" s="295"/>
      <c r="K371" s="296">
        <f t="shared" si="8"/>
        <v>0</v>
      </c>
      <c r="L371" s="381"/>
    </row>
    <row r="372" spans="1:12" s="270" customFormat="1">
      <c r="A372" s="867" t="s">
        <v>629</v>
      </c>
      <c r="B372" s="863"/>
      <c r="C372" s="863"/>
      <c r="D372" s="868"/>
      <c r="E372" s="869"/>
      <c r="F372" s="870"/>
      <c r="G372" s="871"/>
      <c r="H372" s="864"/>
      <c r="I372" s="865"/>
      <c r="J372" s="295"/>
      <c r="K372" s="296">
        <f t="shared" si="8"/>
        <v>0</v>
      </c>
      <c r="L372" s="381"/>
    </row>
    <row r="373" spans="1:12" s="270" customFormat="1">
      <c r="A373" s="867" t="s">
        <v>629</v>
      </c>
      <c r="B373" s="863"/>
      <c r="C373" s="863"/>
      <c r="D373" s="868"/>
      <c r="E373" s="869"/>
      <c r="F373" s="870"/>
      <c r="G373" s="871"/>
      <c r="H373" s="864"/>
      <c r="I373" s="865"/>
      <c r="J373" s="295"/>
      <c r="K373" s="296">
        <f t="shared" si="8"/>
        <v>0</v>
      </c>
      <c r="L373" s="381"/>
    </row>
    <row r="374" spans="1:12" s="270" customFormat="1">
      <c r="A374" s="867" t="s">
        <v>631</v>
      </c>
      <c r="B374" s="863"/>
      <c r="C374" s="863"/>
      <c r="D374" s="868"/>
      <c r="E374" s="869"/>
      <c r="F374" s="870"/>
      <c r="G374" s="871"/>
      <c r="H374" s="864"/>
      <c r="I374" s="865"/>
      <c r="J374" s="295"/>
      <c r="K374" s="296">
        <f t="shared" si="8"/>
        <v>0</v>
      </c>
      <c r="L374" s="381"/>
    </row>
    <row r="375" spans="1:12" s="270" customFormat="1">
      <c r="A375" s="867" t="s">
        <v>631</v>
      </c>
      <c r="B375" s="863"/>
      <c r="C375" s="863"/>
      <c r="D375" s="868"/>
      <c r="E375" s="869"/>
      <c r="F375" s="870"/>
      <c r="G375" s="871"/>
      <c r="H375" s="864"/>
      <c r="I375" s="865"/>
      <c r="J375" s="295"/>
      <c r="K375" s="296">
        <f t="shared" si="8"/>
        <v>0</v>
      </c>
      <c r="L375" s="381"/>
    </row>
    <row r="376" spans="1:12" s="270" customFormat="1">
      <c r="A376" s="867" t="s">
        <v>639</v>
      </c>
      <c r="B376" s="863"/>
      <c r="C376" s="863"/>
      <c r="D376" s="868"/>
      <c r="E376" s="869"/>
      <c r="F376" s="870"/>
      <c r="G376" s="871"/>
      <c r="H376" s="864"/>
      <c r="I376" s="865"/>
      <c r="J376" s="295"/>
      <c r="K376" s="296">
        <f t="shared" si="8"/>
        <v>0</v>
      </c>
      <c r="L376" s="381"/>
    </row>
    <row r="377" spans="1:12" s="270" customFormat="1">
      <c r="A377" s="867" t="s">
        <v>629</v>
      </c>
      <c r="B377" s="863"/>
      <c r="C377" s="863"/>
      <c r="D377" s="868"/>
      <c r="E377" s="869"/>
      <c r="F377" s="870"/>
      <c r="G377" s="871"/>
      <c r="H377" s="864"/>
      <c r="I377" s="865"/>
      <c r="J377" s="295"/>
      <c r="K377" s="296">
        <f t="shared" si="8"/>
        <v>0</v>
      </c>
      <c r="L377" s="381"/>
    </row>
    <row r="378" spans="1:12" s="270" customFormat="1">
      <c r="A378" s="867" t="s">
        <v>631</v>
      </c>
      <c r="B378" s="863"/>
      <c r="C378" s="863"/>
      <c r="D378" s="868"/>
      <c r="E378" s="869"/>
      <c r="F378" s="870"/>
      <c r="G378" s="871"/>
      <c r="H378" s="864"/>
      <c r="I378" s="865"/>
      <c r="J378" s="295"/>
      <c r="K378" s="296">
        <f t="shared" si="8"/>
        <v>0</v>
      </c>
      <c r="L378" s="381"/>
    </row>
    <row r="379" spans="1:12" s="270" customFormat="1">
      <c r="A379" s="867" t="s">
        <v>629</v>
      </c>
      <c r="B379" s="863"/>
      <c r="C379" s="863"/>
      <c r="D379" s="868"/>
      <c r="E379" s="869"/>
      <c r="F379" s="870"/>
      <c r="G379" s="871"/>
      <c r="H379" s="864"/>
      <c r="I379" s="865"/>
      <c r="J379" s="295"/>
      <c r="K379" s="296">
        <f t="shared" ref="K379:K442" si="9">IF(LEFT(A379,2)="TU",(J379-I379)*E379/100*100000*2,(J379-I379)*E379/100*100000)</f>
        <v>0</v>
      </c>
      <c r="L379" s="381"/>
    </row>
    <row r="380" spans="1:12" s="270" customFormat="1">
      <c r="A380" s="867" t="s">
        <v>639</v>
      </c>
      <c r="B380" s="863"/>
      <c r="C380" s="863"/>
      <c r="D380" s="868"/>
      <c r="E380" s="869"/>
      <c r="F380" s="870"/>
      <c r="G380" s="871"/>
      <c r="H380" s="864"/>
      <c r="I380" s="865"/>
      <c r="J380" s="295"/>
      <c r="K380" s="296">
        <f t="shared" si="9"/>
        <v>0</v>
      </c>
      <c r="L380" s="381"/>
    </row>
    <row r="381" spans="1:12" s="270" customFormat="1">
      <c r="A381" s="867" t="s">
        <v>639</v>
      </c>
      <c r="B381" s="863"/>
      <c r="C381" s="863"/>
      <c r="D381" s="868"/>
      <c r="E381" s="869"/>
      <c r="F381" s="870"/>
      <c r="G381" s="871"/>
      <c r="H381" s="864"/>
      <c r="I381" s="865"/>
      <c r="J381" s="295"/>
      <c r="K381" s="296">
        <f t="shared" si="9"/>
        <v>0</v>
      </c>
      <c r="L381" s="381"/>
    </row>
    <row r="382" spans="1:12" s="270" customFormat="1">
      <c r="A382" s="867" t="s">
        <v>629</v>
      </c>
      <c r="B382" s="863"/>
      <c r="C382" s="863"/>
      <c r="D382" s="868"/>
      <c r="E382" s="869"/>
      <c r="F382" s="870"/>
      <c r="G382" s="871"/>
      <c r="H382" s="864"/>
      <c r="I382" s="865"/>
      <c r="J382" s="295"/>
      <c r="K382" s="296">
        <f t="shared" si="9"/>
        <v>0</v>
      </c>
      <c r="L382" s="381"/>
    </row>
    <row r="383" spans="1:12" s="270" customFormat="1">
      <c r="A383" s="867" t="s">
        <v>629</v>
      </c>
      <c r="B383" s="863"/>
      <c r="C383" s="863"/>
      <c r="D383" s="868"/>
      <c r="E383" s="869"/>
      <c r="F383" s="870"/>
      <c r="G383" s="871"/>
      <c r="H383" s="864"/>
      <c r="I383" s="865"/>
      <c r="J383" s="295"/>
      <c r="K383" s="296">
        <f t="shared" si="9"/>
        <v>0</v>
      </c>
      <c r="L383" s="381"/>
    </row>
    <row r="384" spans="1:12" s="270" customFormat="1">
      <c r="A384" s="867" t="s">
        <v>629</v>
      </c>
      <c r="B384" s="863"/>
      <c r="C384" s="863"/>
      <c r="D384" s="868"/>
      <c r="E384" s="869"/>
      <c r="F384" s="870"/>
      <c r="G384" s="871"/>
      <c r="H384" s="864"/>
      <c r="I384" s="865"/>
      <c r="J384" s="295"/>
      <c r="K384" s="296">
        <f t="shared" si="9"/>
        <v>0</v>
      </c>
      <c r="L384" s="381"/>
    </row>
    <row r="385" spans="1:12" s="270" customFormat="1">
      <c r="A385" s="867" t="s">
        <v>629</v>
      </c>
      <c r="B385" s="863"/>
      <c r="C385" s="863"/>
      <c r="D385" s="868"/>
      <c r="E385" s="869"/>
      <c r="F385" s="870"/>
      <c r="G385" s="871"/>
      <c r="H385" s="864"/>
      <c r="I385" s="865"/>
      <c r="J385" s="295"/>
      <c r="K385" s="296">
        <f t="shared" si="9"/>
        <v>0</v>
      </c>
      <c r="L385" s="381"/>
    </row>
    <row r="386" spans="1:12" s="270" customFormat="1">
      <c r="A386" s="867" t="s">
        <v>511</v>
      </c>
      <c r="B386" s="863"/>
      <c r="C386" s="863"/>
      <c r="D386" s="868"/>
      <c r="E386" s="869"/>
      <c r="F386" s="870"/>
      <c r="G386" s="871"/>
      <c r="H386" s="864"/>
      <c r="I386" s="865"/>
      <c r="J386" s="295"/>
      <c r="K386" s="296">
        <f t="shared" si="9"/>
        <v>0</v>
      </c>
      <c r="L386" s="381"/>
    </row>
    <row r="387" spans="1:12" s="270" customFormat="1">
      <c r="A387" s="867" t="s">
        <v>511</v>
      </c>
      <c r="B387" s="863"/>
      <c r="C387" s="863"/>
      <c r="D387" s="868"/>
      <c r="E387" s="869"/>
      <c r="F387" s="870"/>
      <c r="G387" s="871"/>
      <c r="H387" s="864"/>
      <c r="I387" s="865"/>
      <c r="J387" s="295"/>
      <c r="K387" s="296">
        <f t="shared" si="9"/>
        <v>0</v>
      </c>
      <c r="L387" s="381"/>
    </row>
    <row r="388" spans="1:12" s="270" customFormat="1">
      <c r="A388" s="867" t="s">
        <v>516</v>
      </c>
      <c r="B388" s="863"/>
      <c r="C388" s="863"/>
      <c r="D388" s="868"/>
      <c r="E388" s="869"/>
      <c r="F388" s="870"/>
      <c r="G388" s="871"/>
      <c r="H388" s="864"/>
      <c r="I388" s="865"/>
      <c r="J388" s="295"/>
      <c r="K388" s="296">
        <f t="shared" si="9"/>
        <v>0</v>
      </c>
      <c r="L388" s="381"/>
    </row>
    <row r="389" spans="1:12" s="270" customFormat="1">
      <c r="A389" s="867" t="s">
        <v>510</v>
      </c>
      <c r="B389" s="863"/>
      <c r="C389" s="863"/>
      <c r="D389" s="868"/>
      <c r="E389" s="869"/>
      <c r="F389" s="870"/>
      <c r="G389" s="871"/>
      <c r="H389" s="864"/>
      <c r="I389" s="865"/>
      <c r="J389" s="295"/>
      <c r="K389" s="296">
        <f t="shared" si="9"/>
        <v>0</v>
      </c>
      <c r="L389" s="381"/>
    </row>
    <row r="390" spans="1:12" s="270" customFormat="1">
      <c r="A390" s="867" t="s">
        <v>510</v>
      </c>
      <c r="B390" s="863"/>
      <c r="C390" s="863"/>
      <c r="D390" s="868"/>
      <c r="E390" s="869"/>
      <c r="F390" s="870"/>
      <c r="G390" s="871"/>
      <c r="H390" s="864"/>
      <c r="I390" s="865"/>
      <c r="J390" s="295"/>
      <c r="K390" s="296">
        <f t="shared" si="9"/>
        <v>0</v>
      </c>
      <c r="L390" s="381"/>
    </row>
    <row r="391" spans="1:12" s="270" customFormat="1">
      <c r="A391" s="867" t="s">
        <v>510</v>
      </c>
      <c r="B391" s="863"/>
      <c r="C391" s="863"/>
      <c r="D391" s="868"/>
      <c r="E391" s="869"/>
      <c r="F391" s="870"/>
      <c r="G391" s="871"/>
      <c r="H391" s="864"/>
      <c r="I391" s="865"/>
      <c r="J391" s="295"/>
      <c r="K391" s="296">
        <f t="shared" si="9"/>
        <v>0</v>
      </c>
      <c r="L391" s="381"/>
    </row>
    <row r="392" spans="1:12" s="270" customFormat="1">
      <c r="A392" s="867" t="s">
        <v>510</v>
      </c>
      <c r="B392" s="863"/>
      <c r="C392" s="863"/>
      <c r="D392" s="868"/>
      <c r="E392" s="869"/>
      <c r="F392" s="870"/>
      <c r="G392" s="871"/>
      <c r="H392" s="864"/>
      <c r="I392" s="865"/>
      <c r="J392" s="295"/>
      <c r="K392" s="296">
        <f t="shared" si="9"/>
        <v>0</v>
      </c>
      <c r="L392" s="381"/>
    </row>
    <row r="393" spans="1:12" s="270" customFormat="1">
      <c r="A393" s="867" t="s">
        <v>510</v>
      </c>
      <c r="B393" s="863"/>
      <c r="C393" s="863"/>
      <c r="D393" s="868"/>
      <c r="E393" s="869"/>
      <c r="F393" s="870"/>
      <c r="G393" s="871"/>
      <c r="H393" s="864"/>
      <c r="I393" s="865"/>
      <c r="J393" s="295"/>
      <c r="K393" s="296">
        <f t="shared" si="9"/>
        <v>0</v>
      </c>
      <c r="L393" s="381"/>
    </row>
    <row r="394" spans="1:12" s="270" customFormat="1">
      <c r="A394" s="867" t="s">
        <v>511</v>
      </c>
      <c r="B394" s="863"/>
      <c r="C394" s="863"/>
      <c r="D394" s="868"/>
      <c r="E394" s="869"/>
      <c r="F394" s="870"/>
      <c r="G394" s="871"/>
      <c r="H394" s="864"/>
      <c r="I394" s="865"/>
      <c r="J394" s="295"/>
      <c r="K394" s="296">
        <f t="shared" si="9"/>
        <v>0</v>
      </c>
      <c r="L394" s="381"/>
    </row>
    <row r="395" spans="1:12" s="270" customFormat="1">
      <c r="A395" s="867" t="s">
        <v>512</v>
      </c>
      <c r="B395" s="863"/>
      <c r="C395" s="863"/>
      <c r="D395" s="868"/>
      <c r="E395" s="869"/>
      <c r="F395" s="870"/>
      <c r="G395" s="871"/>
      <c r="H395" s="864"/>
      <c r="I395" s="865"/>
      <c r="J395" s="295"/>
      <c r="K395" s="296">
        <f t="shared" si="9"/>
        <v>0</v>
      </c>
      <c r="L395" s="381"/>
    </row>
    <row r="396" spans="1:12" s="270" customFormat="1">
      <c r="A396" s="867" t="s">
        <v>512</v>
      </c>
      <c r="B396" s="863"/>
      <c r="C396" s="863"/>
      <c r="D396" s="868"/>
      <c r="E396" s="869"/>
      <c r="F396" s="870"/>
      <c r="G396" s="871"/>
      <c r="H396" s="864"/>
      <c r="I396" s="865"/>
      <c r="J396" s="295"/>
      <c r="K396" s="296">
        <f t="shared" si="9"/>
        <v>0</v>
      </c>
      <c r="L396" s="381"/>
    </row>
    <row r="397" spans="1:12" s="270" customFormat="1">
      <c r="A397" s="867" t="s">
        <v>510</v>
      </c>
      <c r="B397" s="863"/>
      <c r="C397" s="863"/>
      <c r="D397" s="868"/>
      <c r="E397" s="869"/>
      <c r="F397" s="870"/>
      <c r="G397" s="871"/>
      <c r="H397" s="864"/>
      <c r="I397" s="865"/>
      <c r="J397" s="295"/>
      <c r="K397" s="296">
        <f t="shared" si="9"/>
        <v>0</v>
      </c>
      <c r="L397" s="381"/>
    </row>
    <row r="398" spans="1:12" s="270" customFormat="1">
      <c r="A398" s="867" t="s">
        <v>512</v>
      </c>
      <c r="B398" s="863"/>
      <c r="C398" s="863"/>
      <c r="D398" s="868"/>
      <c r="E398" s="869"/>
      <c r="F398" s="870"/>
      <c r="G398" s="871"/>
      <c r="H398" s="864"/>
      <c r="I398" s="865"/>
      <c r="J398" s="295"/>
      <c r="K398" s="296">
        <f t="shared" si="9"/>
        <v>0</v>
      </c>
      <c r="L398" s="381"/>
    </row>
    <row r="399" spans="1:12" s="270" customFormat="1">
      <c r="A399" s="867" t="s">
        <v>512</v>
      </c>
      <c r="B399" s="863"/>
      <c r="C399" s="863"/>
      <c r="D399" s="868"/>
      <c r="E399" s="869"/>
      <c r="F399" s="870"/>
      <c r="G399" s="871"/>
      <c r="H399" s="864"/>
      <c r="I399" s="865"/>
      <c r="J399" s="295"/>
      <c r="K399" s="296">
        <f t="shared" si="9"/>
        <v>0</v>
      </c>
      <c r="L399" s="381"/>
    </row>
    <row r="400" spans="1:12" s="270" customFormat="1">
      <c r="A400" s="867" t="s">
        <v>512</v>
      </c>
      <c r="B400" s="863"/>
      <c r="C400" s="863"/>
      <c r="D400" s="868"/>
      <c r="E400" s="869"/>
      <c r="F400" s="870"/>
      <c r="G400" s="871"/>
      <c r="H400" s="864"/>
      <c r="I400" s="865"/>
      <c r="J400" s="295"/>
      <c r="K400" s="296">
        <f t="shared" si="9"/>
        <v>0</v>
      </c>
      <c r="L400" s="381"/>
    </row>
    <row r="401" spans="1:12" s="270" customFormat="1">
      <c r="A401" s="867" t="s">
        <v>512</v>
      </c>
      <c r="B401" s="863"/>
      <c r="C401" s="863"/>
      <c r="D401" s="868"/>
      <c r="E401" s="869"/>
      <c r="F401" s="870"/>
      <c r="G401" s="871"/>
      <c r="H401" s="864"/>
      <c r="I401" s="865"/>
      <c r="J401" s="295"/>
      <c r="K401" s="296">
        <f t="shared" si="9"/>
        <v>0</v>
      </c>
      <c r="L401" s="381"/>
    </row>
    <row r="402" spans="1:12" s="270" customFormat="1">
      <c r="A402" s="867" t="s">
        <v>516</v>
      </c>
      <c r="B402" s="863"/>
      <c r="C402" s="863"/>
      <c r="D402" s="868"/>
      <c r="E402" s="869"/>
      <c r="F402" s="870"/>
      <c r="G402" s="871"/>
      <c r="H402" s="864"/>
      <c r="I402" s="865"/>
      <c r="J402" s="295"/>
      <c r="K402" s="296">
        <f t="shared" si="9"/>
        <v>0</v>
      </c>
      <c r="L402" s="381"/>
    </row>
    <row r="403" spans="1:12" s="270" customFormat="1">
      <c r="A403" s="867" t="s">
        <v>510</v>
      </c>
      <c r="B403" s="863"/>
      <c r="C403" s="863"/>
      <c r="D403" s="868"/>
      <c r="E403" s="869"/>
      <c r="F403" s="870"/>
      <c r="G403" s="871"/>
      <c r="H403" s="864"/>
      <c r="I403" s="865"/>
      <c r="J403" s="295"/>
      <c r="K403" s="296">
        <f t="shared" si="9"/>
        <v>0</v>
      </c>
      <c r="L403" s="381"/>
    </row>
    <row r="404" spans="1:12" s="270" customFormat="1">
      <c r="A404" s="867" t="s">
        <v>510</v>
      </c>
      <c r="B404" s="863"/>
      <c r="C404" s="863"/>
      <c r="D404" s="868"/>
      <c r="E404" s="869"/>
      <c r="F404" s="870"/>
      <c r="G404" s="871"/>
      <c r="H404" s="864"/>
      <c r="I404" s="865"/>
      <c r="J404" s="295"/>
      <c r="K404" s="296">
        <f t="shared" si="9"/>
        <v>0</v>
      </c>
      <c r="L404" s="381"/>
    </row>
    <row r="405" spans="1:12" s="270" customFormat="1">
      <c r="A405" s="867" t="s">
        <v>510</v>
      </c>
      <c r="B405" s="863"/>
      <c r="C405" s="863"/>
      <c r="D405" s="868"/>
      <c r="E405" s="869"/>
      <c r="F405" s="870"/>
      <c r="G405" s="871"/>
      <c r="H405" s="864"/>
      <c r="I405" s="865"/>
      <c r="J405" s="295"/>
      <c r="K405" s="296">
        <f t="shared" si="9"/>
        <v>0</v>
      </c>
      <c r="L405" s="381"/>
    </row>
    <row r="406" spans="1:12" s="270" customFormat="1">
      <c r="A406" s="867" t="s">
        <v>510</v>
      </c>
      <c r="B406" s="863"/>
      <c r="C406" s="863"/>
      <c r="D406" s="868"/>
      <c r="E406" s="869"/>
      <c r="F406" s="870"/>
      <c r="G406" s="871"/>
      <c r="H406" s="864"/>
      <c r="I406" s="865"/>
      <c r="J406" s="295"/>
      <c r="K406" s="296">
        <f t="shared" si="9"/>
        <v>0</v>
      </c>
      <c r="L406" s="381"/>
    </row>
    <row r="407" spans="1:12" s="270" customFormat="1">
      <c r="A407" s="867" t="s">
        <v>510</v>
      </c>
      <c r="B407" s="863"/>
      <c r="C407" s="863"/>
      <c r="D407" s="868"/>
      <c r="E407" s="869"/>
      <c r="F407" s="870"/>
      <c r="G407" s="871"/>
      <c r="H407" s="864"/>
      <c r="I407" s="865"/>
      <c r="J407" s="295"/>
      <c r="K407" s="296">
        <f t="shared" si="9"/>
        <v>0</v>
      </c>
      <c r="L407" s="381"/>
    </row>
    <row r="408" spans="1:12" s="270" customFormat="1">
      <c r="A408" s="867" t="s">
        <v>510</v>
      </c>
      <c r="B408" s="863"/>
      <c r="C408" s="863"/>
      <c r="D408" s="868"/>
      <c r="E408" s="869"/>
      <c r="F408" s="870"/>
      <c r="G408" s="871"/>
      <c r="H408" s="864"/>
      <c r="I408" s="865"/>
      <c r="J408" s="295"/>
      <c r="K408" s="296">
        <f t="shared" si="9"/>
        <v>0</v>
      </c>
      <c r="L408" s="381"/>
    </row>
    <row r="409" spans="1:12" s="270" customFormat="1">
      <c r="A409" s="867" t="s">
        <v>510</v>
      </c>
      <c r="B409" s="863"/>
      <c r="C409" s="863"/>
      <c r="D409" s="868"/>
      <c r="E409" s="869"/>
      <c r="F409" s="870"/>
      <c r="G409" s="871"/>
      <c r="H409" s="864"/>
      <c r="I409" s="865"/>
      <c r="J409" s="295"/>
      <c r="K409" s="296">
        <f t="shared" si="9"/>
        <v>0</v>
      </c>
      <c r="L409" s="381"/>
    </row>
    <row r="410" spans="1:12" s="270" customFormat="1">
      <c r="A410" s="867" t="s">
        <v>516</v>
      </c>
      <c r="B410" s="863"/>
      <c r="C410" s="863"/>
      <c r="D410" s="868"/>
      <c r="E410" s="869"/>
      <c r="F410" s="870"/>
      <c r="G410" s="871"/>
      <c r="H410" s="864"/>
      <c r="I410" s="865"/>
      <c r="J410" s="295"/>
      <c r="K410" s="296">
        <f t="shared" si="9"/>
        <v>0</v>
      </c>
      <c r="L410" s="381"/>
    </row>
    <row r="411" spans="1:12" s="270" customFormat="1">
      <c r="A411" s="867" t="s">
        <v>511</v>
      </c>
      <c r="B411" s="863"/>
      <c r="C411" s="863"/>
      <c r="D411" s="868"/>
      <c r="E411" s="869"/>
      <c r="F411" s="870"/>
      <c r="G411" s="871"/>
      <c r="H411" s="864"/>
      <c r="I411" s="865"/>
      <c r="J411" s="295"/>
      <c r="K411" s="296">
        <f t="shared" si="9"/>
        <v>0</v>
      </c>
      <c r="L411" s="381"/>
    </row>
    <row r="412" spans="1:12" s="270" customFormat="1">
      <c r="A412" s="867" t="s">
        <v>511</v>
      </c>
      <c r="B412" s="863"/>
      <c r="C412" s="863"/>
      <c r="D412" s="868"/>
      <c r="E412" s="869"/>
      <c r="F412" s="870"/>
      <c r="G412" s="871"/>
      <c r="H412" s="864"/>
      <c r="I412" s="865"/>
      <c r="J412" s="295"/>
      <c r="K412" s="296">
        <f t="shared" si="9"/>
        <v>0</v>
      </c>
      <c r="L412" s="381"/>
    </row>
    <row r="413" spans="1:12" s="270" customFormat="1">
      <c r="A413" s="867" t="s">
        <v>511</v>
      </c>
      <c r="B413" s="863"/>
      <c r="C413" s="863"/>
      <c r="D413" s="868"/>
      <c r="E413" s="869"/>
      <c r="F413" s="870"/>
      <c r="G413" s="871"/>
      <c r="H413" s="864"/>
      <c r="I413" s="865"/>
      <c r="J413" s="295"/>
      <c r="K413" s="296">
        <f t="shared" si="9"/>
        <v>0</v>
      </c>
      <c r="L413" s="381"/>
    </row>
    <row r="414" spans="1:12" s="270" customFormat="1">
      <c r="A414" s="867" t="s">
        <v>512</v>
      </c>
      <c r="B414" s="863"/>
      <c r="C414" s="863"/>
      <c r="D414" s="868"/>
      <c r="E414" s="869"/>
      <c r="F414" s="870"/>
      <c r="G414" s="871"/>
      <c r="H414" s="864"/>
      <c r="I414" s="865"/>
      <c r="J414" s="295"/>
      <c r="K414" s="296">
        <f t="shared" si="9"/>
        <v>0</v>
      </c>
      <c r="L414" s="381"/>
    </row>
    <row r="415" spans="1:12" s="270" customFormat="1">
      <c r="A415" s="867" t="s">
        <v>516</v>
      </c>
      <c r="B415" s="863"/>
      <c r="C415" s="863"/>
      <c r="D415" s="868"/>
      <c r="E415" s="869"/>
      <c r="F415" s="870"/>
      <c r="G415" s="871"/>
      <c r="H415" s="864"/>
      <c r="I415" s="865"/>
      <c r="J415" s="295"/>
      <c r="K415" s="296">
        <f t="shared" si="9"/>
        <v>0</v>
      </c>
      <c r="L415" s="381"/>
    </row>
    <row r="416" spans="1:12" s="270" customFormat="1">
      <c r="A416" s="867" t="s">
        <v>516</v>
      </c>
      <c r="B416" s="863"/>
      <c r="C416" s="863"/>
      <c r="D416" s="868"/>
      <c r="E416" s="869"/>
      <c r="F416" s="870"/>
      <c r="G416" s="871"/>
      <c r="H416" s="864"/>
      <c r="I416" s="865"/>
      <c r="J416" s="295"/>
      <c r="K416" s="296">
        <f t="shared" si="9"/>
        <v>0</v>
      </c>
      <c r="L416" s="381"/>
    </row>
    <row r="417" spans="1:12" s="270" customFormat="1">
      <c r="A417" s="867" t="s">
        <v>516</v>
      </c>
      <c r="B417" s="863"/>
      <c r="C417" s="863"/>
      <c r="D417" s="868"/>
      <c r="E417" s="869"/>
      <c r="F417" s="870"/>
      <c r="G417" s="871"/>
      <c r="H417" s="864"/>
      <c r="I417" s="865"/>
      <c r="J417" s="295"/>
      <c r="K417" s="296">
        <f t="shared" si="9"/>
        <v>0</v>
      </c>
      <c r="L417" s="381"/>
    </row>
    <row r="418" spans="1:12" s="270" customFormat="1">
      <c r="A418" s="867" t="s">
        <v>510</v>
      </c>
      <c r="B418" s="863"/>
      <c r="C418" s="863"/>
      <c r="D418" s="868"/>
      <c r="E418" s="869"/>
      <c r="F418" s="870"/>
      <c r="G418" s="871"/>
      <c r="H418" s="864"/>
      <c r="I418" s="865"/>
      <c r="J418" s="295"/>
      <c r="K418" s="296">
        <f t="shared" si="9"/>
        <v>0</v>
      </c>
      <c r="L418" s="381"/>
    </row>
    <row r="419" spans="1:12" s="270" customFormat="1">
      <c r="A419" s="867" t="s">
        <v>510</v>
      </c>
      <c r="B419" s="863"/>
      <c r="C419" s="863"/>
      <c r="D419" s="868"/>
      <c r="E419" s="869"/>
      <c r="F419" s="870"/>
      <c r="G419" s="871"/>
      <c r="H419" s="864"/>
      <c r="I419" s="865"/>
      <c r="J419" s="295"/>
      <c r="K419" s="296">
        <f t="shared" si="9"/>
        <v>0</v>
      </c>
      <c r="L419" s="381"/>
    </row>
    <row r="420" spans="1:12" s="270" customFormat="1">
      <c r="A420" s="867" t="s">
        <v>516</v>
      </c>
      <c r="B420" s="863"/>
      <c r="C420" s="863"/>
      <c r="D420" s="868"/>
      <c r="E420" s="869"/>
      <c r="F420" s="870"/>
      <c r="G420" s="871"/>
      <c r="H420" s="864"/>
      <c r="I420" s="865"/>
      <c r="J420" s="295"/>
      <c r="K420" s="296">
        <f t="shared" si="9"/>
        <v>0</v>
      </c>
      <c r="L420" s="381"/>
    </row>
    <row r="421" spans="1:12" s="270" customFormat="1">
      <c r="A421" s="867" t="s">
        <v>516</v>
      </c>
      <c r="B421" s="863"/>
      <c r="C421" s="863"/>
      <c r="D421" s="868"/>
      <c r="E421" s="869"/>
      <c r="F421" s="870"/>
      <c r="G421" s="871"/>
      <c r="H421" s="864"/>
      <c r="I421" s="865"/>
      <c r="J421" s="295"/>
      <c r="K421" s="296">
        <f t="shared" si="9"/>
        <v>0</v>
      </c>
      <c r="L421" s="381"/>
    </row>
    <row r="422" spans="1:12" s="270" customFormat="1">
      <c r="A422" s="867" t="s">
        <v>512</v>
      </c>
      <c r="B422" s="863"/>
      <c r="C422" s="863"/>
      <c r="D422" s="868"/>
      <c r="E422" s="869"/>
      <c r="F422" s="870"/>
      <c r="G422" s="871"/>
      <c r="H422" s="864"/>
      <c r="I422" s="865"/>
      <c r="J422" s="295"/>
      <c r="K422" s="296">
        <f t="shared" si="9"/>
        <v>0</v>
      </c>
      <c r="L422" s="381"/>
    </row>
    <row r="423" spans="1:12" s="270" customFormat="1">
      <c r="A423" s="867" t="s">
        <v>512</v>
      </c>
      <c r="B423" s="863"/>
      <c r="C423" s="863"/>
      <c r="D423" s="868"/>
      <c r="E423" s="869"/>
      <c r="F423" s="870"/>
      <c r="G423" s="871"/>
      <c r="H423" s="864"/>
      <c r="I423" s="865"/>
      <c r="J423" s="295"/>
      <c r="K423" s="296">
        <f t="shared" si="9"/>
        <v>0</v>
      </c>
      <c r="L423" s="381"/>
    </row>
    <row r="424" spans="1:12" s="270" customFormat="1">
      <c r="A424" s="867" t="s">
        <v>512</v>
      </c>
      <c r="B424" s="863"/>
      <c r="C424" s="863"/>
      <c r="D424" s="868"/>
      <c r="E424" s="869"/>
      <c r="F424" s="870"/>
      <c r="G424" s="871"/>
      <c r="H424" s="864"/>
      <c r="I424" s="865"/>
      <c r="J424" s="295"/>
      <c r="K424" s="296">
        <f t="shared" si="9"/>
        <v>0</v>
      </c>
      <c r="L424" s="381"/>
    </row>
    <row r="425" spans="1:12" s="270" customFormat="1">
      <c r="A425" s="867" t="s">
        <v>512</v>
      </c>
      <c r="B425" s="863"/>
      <c r="C425" s="863"/>
      <c r="D425" s="868"/>
      <c r="E425" s="869"/>
      <c r="F425" s="870"/>
      <c r="G425" s="871"/>
      <c r="H425" s="864"/>
      <c r="I425" s="865"/>
      <c r="J425" s="295"/>
      <c r="K425" s="296">
        <f t="shared" si="9"/>
        <v>0</v>
      </c>
      <c r="L425" s="381"/>
    </row>
    <row r="426" spans="1:12" s="270" customFormat="1">
      <c r="A426" s="867" t="s">
        <v>512</v>
      </c>
      <c r="B426" s="863"/>
      <c r="C426" s="863"/>
      <c r="D426" s="868"/>
      <c r="E426" s="869"/>
      <c r="F426" s="870"/>
      <c r="G426" s="871"/>
      <c r="H426" s="864"/>
      <c r="I426" s="865"/>
      <c r="J426" s="295"/>
      <c r="K426" s="296">
        <f t="shared" si="9"/>
        <v>0</v>
      </c>
      <c r="L426" s="381"/>
    </row>
    <row r="427" spans="1:12" s="270" customFormat="1">
      <c r="A427" s="867" t="s">
        <v>512</v>
      </c>
      <c r="B427" s="863"/>
      <c r="C427" s="863"/>
      <c r="D427" s="868"/>
      <c r="E427" s="869"/>
      <c r="F427" s="870"/>
      <c r="G427" s="871"/>
      <c r="H427" s="864"/>
      <c r="I427" s="865"/>
      <c r="J427" s="295"/>
      <c r="K427" s="296">
        <f t="shared" si="9"/>
        <v>0</v>
      </c>
      <c r="L427" s="381"/>
    </row>
    <row r="428" spans="1:12" s="270" customFormat="1">
      <c r="A428" s="867" t="s">
        <v>511</v>
      </c>
      <c r="B428" s="863"/>
      <c r="C428" s="863"/>
      <c r="D428" s="868"/>
      <c r="E428" s="869"/>
      <c r="F428" s="870"/>
      <c r="G428" s="871"/>
      <c r="H428" s="864"/>
      <c r="I428" s="865"/>
      <c r="J428" s="295"/>
      <c r="K428" s="296">
        <f t="shared" si="9"/>
        <v>0</v>
      </c>
      <c r="L428" s="381"/>
    </row>
    <row r="429" spans="1:12" s="270" customFormat="1">
      <c r="A429" s="867" t="s">
        <v>511</v>
      </c>
      <c r="B429" s="863"/>
      <c r="C429" s="863"/>
      <c r="D429" s="868"/>
      <c r="E429" s="869"/>
      <c r="F429" s="870"/>
      <c r="G429" s="871"/>
      <c r="H429" s="864"/>
      <c r="I429" s="865"/>
      <c r="J429" s="295"/>
      <c r="K429" s="296">
        <f t="shared" si="9"/>
        <v>0</v>
      </c>
      <c r="L429" s="381"/>
    </row>
    <row r="430" spans="1:12" s="270" customFormat="1">
      <c r="A430" s="867" t="s">
        <v>516</v>
      </c>
      <c r="B430" s="863"/>
      <c r="C430" s="863"/>
      <c r="D430" s="868"/>
      <c r="E430" s="869"/>
      <c r="F430" s="870"/>
      <c r="G430" s="871"/>
      <c r="H430" s="864"/>
      <c r="I430" s="865"/>
      <c r="J430" s="295"/>
      <c r="K430" s="296">
        <f t="shared" si="9"/>
        <v>0</v>
      </c>
      <c r="L430" s="381"/>
    </row>
    <row r="431" spans="1:12" s="270" customFormat="1">
      <c r="A431" s="867" t="s">
        <v>516</v>
      </c>
      <c r="B431" s="863"/>
      <c r="C431" s="863"/>
      <c r="D431" s="868"/>
      <c r="E431" s="869"/>
      <c r="F431" s="870"/>
      <c r="G431" s="871"/>
      <c r="H431" s="864"/>
      <c r="I431" s="865"/>
      <c r="J431" s="295"/>
      <c r="K431" s="296">
        <f t="shared" si="9"/>
        <v>0</v>
      </c>
      <c r="L431" s="381"/>
    </row>
    <row r="432" spans="1:12" s="270" customFormat="1">
      <c r="A432" s="867" t="s">
        <v>516</v>
      </c>
      <c r="B432" s="863"/>
      <c r="C432" s="863"/>
      <c r="D432" s="868"/>
      <c r="E432" s="869"/>
      <c r="F432" s="870"/>
      <c r="G432" s="871"/>
      <c r="H432" s="864"/>
      <c r="I432" s="865"/>
      <c r="J432" s="295"/>
      <c r="K432" s="296">
        <f t="shared" si="9"/>
        <v>0</v>
      </c>
      <c r="L432" s="381"/>
    </row>
    <row r="433" spans="1:12" s="270" customFormat="1">
      <c r="A433" s="867" t="s">
        <v>516</v>
      </c>
      <c r="B433" s="863"/>
      <c r="C433" s="863"/>
      <c r="D433" s="868"/>
      <c r="E433" s="869"/>
      <c r="F433" s="870"/>
      <c r="G433" s="871"/>
      <c r="H433" s="864"/>
      <c r="I433" s="865"/>
      <c r="J433" s="295"/>
      <c r="K433" s="296">
        <f t="shared" si="9"/>
        <v>0</v>
      </c>
      <c r="L433" s="381"/>
    </row>
    <row r="434" spans="1:12" s="270" customFormat="1">
      <c r="A434" s="867" t="s">
        <v>516</v>
      </c>
      <c r="B434" s="863"/>
      <c r="C434" s="863"/>
      <c r="D434" s="868"/>
      <c r="E434" s="869"/>
      <c r="F434" s="870"/>
      <c r="G434" s="871"/>
      <c r="H434" s="864"/>
      <c r="I434" s="865"/>
      <c r="J434" s="295"/>
      <c r="K434" s="296">
        <f t="shared" si="9"/>
        <v>0</v>
      </c>
      <c r="L434" s="381"/>
    </row>
    <row r="435" spans="1:12" s="270" customFormat="1">
      <c r="A435" s="867" t="s">
        <v>516</v>
      </c>
      <c r="B435" s="863"/>
      <c r="C435" s="863"/>
      <c r="D435" s="868"/>
      <c r="E435" s="869"/>
      <c r="F435" s="870"/>
      <c r="G435" s="871"/>
      <c r="H435" s="864"/>
      <c r="I435" s="865"/>
      <c r="J435" s="295"/>
      <c r="K435" s="296">
        <f t="shared" si="9"/>
        <v>0</v>
      </c>
      <c r="L435" s="381"/>
    </row>
    <row r="436" spans="1:12" s="270" customFormat="1">
      <c r="A436" s="867" t="s">
        <v>516</v>
      </c>
      <c r="B436" s="863"/>
      <c r="C436" s="863"/>
      <c r="D436" s="868"/>
      <c r="E436" s="869"/>
      <c r="F436" s="870"/>
      <c r="G436" s="871"/>
      <c r="H436" s="864"/>
      <c r="I436" s="865"/>
      <c r="J436" s="295"/>
      <c r="K436" s="296">
        <f t="shared" si="9"/>
        <v>0</v>
      </c>
      <c r="L436" s="381"/>
    </row>
    <row r="437" spans="1:12" s="270" customFormat="1">
      <c r="A437" s="867" t="s">
        <v>516</v>
      </c>
      <c r="B437" s="863"/>
      <c r="C437" s="863"/>
      <c r="D437" s="868"/>
      <c r="E437" s="869"/>
      <c r="F437" s="870"/>
      <c r="G437" s="871"/>
      <c r="H437" s="864"/>
      <c r="I437" s="865"/>
      <c r="J437" s="295"/>
      <c r="K437" s="296">
        <f t="shared" si="9"/>
        <v>0</v>
      </c>
      <c r="L437" s="381"/>
    </row>
    <row r="438" spans="1:12" s="270" customFormat="1">
      <c r="A438" s="867" t="s">
        <v>516</v>
      </c>
      <c r="B438" s="863"/>
      <c r="C438" s="863"/>
      <c r="D438" s="868"/>
      <c r="E438" s="869"/>
      <c r="F438" s="870"/>
      <c r="G438" s="871"/>
      <c r="H438" s="864"/>
      <c r="I438" s="865"/>
      <c r="J438" s="295"/>
      <c r="K438" s="296">
        <f t="shared" si="9"/>
        <v>0</v>
      </c>
      <c r="L438" s="381"/>
    </row>
    <row r="439" spans="1:12" s="270" customFormat="1">
      <c r="A439" s="867" t="s">
        <v>512</v>
      </c>
      <c r="B439" s="863"/>
      <c r="C439" s="863"/>
      <c r="D439" s="868"/>
      <c r="E439" s="869"/>
      <c r="F439" s="870"/>
      <c r="G439" s="871"/>
      <c r="H439" s="864"/>
      <c r="I439" s="865"/>
      <c r="J439" s="295"/>
      <c r="K439" s="296">
        <f t="shared" si="9"/>
        <v>0</v>
      </c>
      <c r="L439" s="381"/>
    </row>
    <row r="440" spans="1:12" s="270" customFormat="1">
      <c r="A440" s="867" t="s">
        <v>512</v>
      </c>
      <c r="B440" s="863"/>
      <c r="C440" s="863"/>
      <c r="D440" s="868"/>
      <c r="E440" s="869"/>
      <c r="F440" s="870"/>
      <c r="G440" s="871"/>
      <c r="H440" s="864"/>
      <c r="I440" s="865"/>
      <c r="J440" s="295"/>
      <c r="K440" s="296">
        <f t="shared" si="9"/>
        <v>0</v>
      </c>
      <c r="L440" s="381"/>
    </row>
    <row r="441" spans="1:12" s="270" customFormat="1">
      <c r="A441" s="867" t="s">
        <v>512</v>
      </c>
      <c r="B441" s="863"/>
      <c r="C441" s="863"/>
      <c r="D441" s="868"/>
      <c r="E441" s="869"/>
      <c r="F441" s="870"/>
      <c r="G441" s="871"/>
      <c r="H441" s="864"/>
      <c r="I441" s="865"/>
      <c r="J441" s="295"/>
      <c r="K441" s="296">
        <f t="shared" si="9"/>
        <v>0</v>
      </c>
      <c r="L441" s="381"/>
    </row>
    <row r="442" spans="1:12" s="270" customFormat="1">
      <c r="A442" s="867" t="s">
        <v>512</v>
      </c>
      <c r="B442" s="863"/>
      <c r="C442" s="863"/>
      <c r="D442" s="868"/>
      <c r="E442" s="869"/>
      <c r="F442" s="870"/>
      <c r="G442" s="871"/>
      <c r="H442" s="864"/>
      <c r="I442" s="865"/>
      <c r="J442" s="295"/>
      <c r="K442" s="296">
        <f t="shared" si="9"/>
        <v>0</v>
      </c>
      <c r="L442" s="381"/>
    </row>
    <row r="443" spans="1:12" s="270" customFormat="1">
      <c r="A443" s="867" t="s">
        <v>516</v>
      </c>
      <c r="B443" s="863"/>
      <c r="C443" s="863"/>
      <c r="D443" s="868"/>
      <c r="E443" s="869"/>
      <c r="F443" s="870"/>
      <c r="G443" s="871"/>
      <c r="H443" s="864"/>
      <c r="I443" s="865"/>
      <c r="J443" s="295"/>
      <c r="K443" s="296">
        <f t="shared" ref="K443:K484" si="10">IF(LEFT(A443,2)="TU",(J443-I443)*E443/100*100000*2,(J443-I443)*E443/100*100000)</f>
        <v>0</v>
      </c>
      <c r="L443" s="381"/>
    </row>
    <row r="444" spans="1:12" s="270" customFormat="1">
      <c r="A444" s="867" t="s">
        <v>516</v>
      </c>
      <c r="B444" s="863"/>
      <c r="C444" s="863"/>
      <c r="D444" s="868"/>
      <c r="E444" s="869"/>
      <c r="F444" s="870"/>
      <c r="G444" s="871"/>
      <c r="H444" s="864"/>
      <c r="I444" s="865"/>
      <c r="J444" s="295"/>
      <c r="K444" s="296">
        <f t="shared" si="10"/>
        <v>0</v>
      </c>
      <c r="L444" s="381"/>
    </row>
    <row r="445" spans="1:12" s="270" customFormat="1">
      <c r="A445" s="867" t="s">
        <v>516</v>
      </c>
      <c r="B445" s="863"/>
      <c r="C445" s="863"/>
      <c r="D445" s="868"/>
      <c r="E445" s="869"/>
      <c r="F445" s="870"/>
      <c r="G445" s="871"/>
      <c r="H445" s="864"/>
      <c r="I445" s="865"/>
      <c r="J445" s="295"/>
      <c r="K445" s="296">
        <f t="shared" si="10"/>
        <v>0</v>
      </c>
      <c r="L445" s="381"/>
    </row>
    <row r="446" spans="1:12" s="270" customFormat="1">
      <c r="A446" s="867" t="s">
        <v>516</v>
      </c>
      <c r="B446" s="863"/>
      <c r="C446" s="863"/>
      <c r="D446" s="868"/>
      <c r="E446" s="869"/>
      <c r="F446" s="870"/>
      <c r="G446" s="871"/>
      <c r="H446" s="864"/>
      <c r="I446" s="865"/>
      <c r="J446" s="295"/>
      <c r="K446" s="296">
        <f t="shared" si="10"/>
        <v>0</v>
      </c>
      <c r="L446" s="381"/>
    </row>
    <row r="447" spans="1:12" s="270" customFormat="1">
      <c r="A447" s="867" t="s">
        <v>516</v>
      </c>
      <c r="B447" s="863"/>
      <c r="C447" s="863"/>
      <c r="D447" s="868"/>
      <c r="E447" s="869"/>
      <c r="F447" s="870"/>
      <c r="G447" s="871"/>
      <c r="H447" s="864"/>
      <c r="I447" s="865"/>
      <c r="J447" s="295"/>
      <c r="K447" s="296">
        <f t="shared" si="10"/>
        <v>0</v>
      </c>
      <c r="L447" s="381"/>
    </row>
    <row r="448" spans="1:12" s="270" customFormat="1">
      <c r="A448" s="867" t="s">
        <v>529</v>
      </c>
      <c r="B448" s="863"/>
      <c r="C448" s="863"/>
      <c r="D448" s="868"/>
      <c r="E448" s="869"/>
      <c r="F448" s="870"/>
      <c r="G448" s="871"/>
      <c r="H448" s="864"/>
      <c r="I448" s="865"/>
      <c r="J448" s="295"/>
      <c r="K448" s="296">
        <f t="shared" si="10"/>
        <v>0</v>
      </c>
      <c r="L448" s="381"/>
    </row>
    <row r="449" spans="1:12" s="270" customFormat="1">
      <c r="A449" s="867" t="s">
        <v>528</v>
      </c>
      <c r="B449" s="863"/>
      <c r="C449" s="863"/>
      <c r="D449" s="868"/>
      <c r="E449" s="869"/>
      <c r="F449" s="870"/>
      <c r="G449" s="871"/>
      <c r="H449" s="864"/>
      <c r="I449" s="865"/>
      <c r="J449" s="295"/>
      <c r="K449" s="296">
        <f t="shared" si="10"/>
        <v>0</v>
      </c>
      <c r="L449" s="381"/>
    </row>
    <row r="450" spans="1:12" s="270" customFormat="1">
      <c r="A450" s="867" t="s">
        <v>528</v>
      </c>
      <c r="B450" s="863"/>
      <c r="C450" s="863"/>
      <c r="D450" s="868"/>
      <c r="E450" s="869"/>
      <c r="F450" s="870"/>
      <c r="G450" s="871"/>
      <c r="H450" s="864"/>
      <c r="I450" s="865"/>
      <c r="J450" s="295"/>
      <c r="K450" s="296">
        <f t="shared" si="10"/>
        <v>0</v>
      </c>
      <c r="L450" s="381"/>
    </row>
    <row r="451" spans="1:12" s="270" customFormat="1">
      <c r="A451" s="867" t="s">
        <v>529</v>
      </c>
      <c r="B451" s="863"/>
      <c r="C451" s="863"/>
      <c r="D451" s="868"/>
      <c r="E451" s="869"/>
      <c r="F451" s="870"/>
      <c r="G451" s="871"/>
      <c r="H451" s="864"/>
      <c r="I451" s="865"/>
      <c r="J451" s="295"/>
      <c r="K451" s="296">
        <f t="shared" si="10"/>
        <v>0</v>
      </c>
      <c r="L451" s="381"/>
    </row>
    <row r="452" spans="1:12" s="270" customFormat="1">
      <c r="A452" s="867" t="s">
        <v>529</v>
      </c>
      <c r="B452" s="863"/>
      <c r="C452" s="863"/>
      <c r="D452" s="868"/>
      <c r="E452" s="869"/>
      <c r="F452" s="870"/>
      <c r="G452" s="871"/>
      <c r="H452" s="864"/>
      <c r="I452" s="865"/>
      <c r="J452" s="295"/>
      <c r="K452" s="296">
        <f t="shared" si="10"/>
        <v>0</v>
      </c>
      <c r="L452" s="381"/>
    </row>
    <row r="453" spans="1:12" s="270" customFormat="1">
      <c r="A453" s="867" t="s">
        <v>528</v>
      </c>
      <c r="B453" s="863"/>
      <c r="C453" s="863"/>
      <c r="D453" s="868"/>
      <c r="E453" s="869"/>
      <c r="F453" s="870"/>
      <c r="G453" s="871"/>
      <c r="H453" s="864"/>
      <c r="I453" s="865"/>
      <c r="J453" s="295"/>
      <c r="K453" s="296">
        <f t="shared" si="10"/>
        <v>0</v>
      </c>
      <c r="L453" s="381"/>
    </row>
    <row r="454" spans="1:12" s="270" customFormat="1">
      <c r="A454" s="867" t="s">
        <v>528</v>
      </c>
      <c r="B454" s="863"/>
      <c r="C454" s="863"/>
      <c r="D454" s="868"/>
      <c r="E454" s="869"/>
      <c r="F454" s="870"/>
      <c r="G454" s="871"/>
      <c r="H454" s="864"/>
      <c r="I454" s="865"/>
      <c r="J454" s="295"/>
      <c r="K454" s="296">
        <f t="shared" si="10"/>
        <v>0</v>
      </c>
      <c r="L454" s="381"/>
    </row>
    <row r="455" spans="1:12" s="270" customFormat="1">
      <c r="A455" s="867" t="s">
        <v>528</v>
      </c>
      <c r="B455" s="863"/>
      <c r="C455" s="863"/>
      <c r="D455" s="868"/>
      <c r="E455" s="869"/>
      <c r="F455" s="870"/>
      <c r="G455" s="871"/>
      <c r="H455" s="864"/>
      <c r="I455" s="865"/>
      <c r="J455" s="295"/>
      <c r="K455" s="296">
        <f t="shared" si="10"/>
        <v>0</v>
      </c>
      <c r="L455" s="381"/>
    </row>
    <row r="456" spans="1:12" s="270" customFormat="1">
      <c r="A456" s="867" t="s">
        <v>528</v>
      </c>
      <c r="B456" s="863"/>
      <c r="C456" s="863"/>
      <c r="D456" s="868"/>
      <c r="E456" s="869"/>
      <c r="F456" s="870"/>
      <c r="G456" s="871"/>
      <c r="H456" s="864"/>
      <c r="I456" s="865"/>
      <c r="J456" s="295"/>
      <c r="K456" s="296">
        <f t="shared" si="10"/>
        <v>0</v>
      </c>
      <c r="L456" s="381"/>
    </row>
    <row r="457" spans="1:12" s="270" customFormat="1">
      <c r="A457" s="867" t="s">
        <v>526</v>
      </c>
      <c r="B457" s="863"/>
      <c r="C457" s="863"/>
      <c r="D457" s="868"/>
      <c r="E457" s="869"/>
      <c r="F457" s="870"/>
      <c r="G457" s="871"/>
      <c r="H457" s="864"/>
      <c r="I457" s="865"/>
      <c r="J457" s="295"/>
      <c r="K457" s="296">
        <f t="shared" si="10"/>
        <v>0</v>
      </c>
      <c r="L457" s="381"/>
    </row>
    <row r="458" spans="1:12" s="270" customFormat="1">
      <c r="A458" s="867" t="s">
        <v>529</v>
      </c>
      <c r="B458" s="863"/>
      <c r="C458" s="863"/>
      <c r="D458" s="868"/>
      <c r="E458" s="869"/>
      <c r="F458" s="870"/>
      <c r="G458" s="871"/>
      <c r="H458" s="864"/>
      <c r="I458" s="865"/>
      <c r="J458" s="295"/>
      <c r="K458" s="296">
        <f t="shared" si="10"/>
        <v>0</v>
      </c>
      <c r="L458" s="381"/>
    </row>
    <row r="459" spans="1:12" s="270" customFormat="1">
      <c r="A459" s="867" t="s">
        <v>529</v>
      </c>
      <c r="B459" s="863"/>
      <c r="C459" s="863"/>
      <c r="D459" s="868"/>
      <c r="E459" s="869"/>
      <c r="F459" s="870"/>
      <c r="G459" s="871"/>
      <c r="H459" s="864"/>
      <c r="I459" s="865"/>
      <c r="J459" s="295"/>
      <c r="K459" s="296">
        <f t="shared" si="10"/>
        <v>0</v>
      </c>
      <c r="L459" s="381"/>
    </row>
    <row r="460" spans="1:12" s="270" customFormat="1">
      <c r="A460" s="867" t="s">
        <v>529</v>
      </c>
      <c r="B460" s="863"/>
      <c r="C460" s="863"/>
      <c r="D460" s="868"/>
      <c r="E460" s="869"/>
      <c r="F460" s="870"/>
      <c r="G460" s="871"/>
      <c r="H460" s="864"/>
      <c r="I460" s="865"/>
      <c r="J460" s="295"/>
      <c r="K460" s="296">
        <f t="shared" si="10"/>
        <v>0</v>
      </c>
      <c r="L460" s="381"/>
    </row>
    <row r="461" spans="1:12" s="270" customFormat="1">
      <c r="A461" s="867" t="s">
        <v>529</v>
      </c>
      <c r="B461" s="863"/>
      <c r="C461" s="863"/>
      <c r="D461" s="868"/>
      <c r="E461" s="869"/>
      <c r="F461" s="870"/>
      <c r="G461" s="871"/>
      <c r="H461" s="864"/>
      <c r="I461" s="865"/>
      <c r="J461" s="295"/>
      <c r="K461" s="296">
        <f t="shared" si="10"/>
        <v>0</v>
      </c>
      <c r="L461" s="381"/>
    </row>
    <row r="462" spans="1:12" s="270" customFormat="1">
      <c r="A462" s="867" t="s">
        <v>526</v>
      </c>
      <c r="B462" s="863"/>
      <c r="C462" s="863"/>
      <c r="D462" s="868"/>
      <c r="E462" s="869"/>
      <c r="F462" s="870"/>
      <c r="G462" s="871"/>
      <c r="H462" s="864"/>
      <c r="I462" s="865"/>
      <c r="J462" s="295"/>
      <c r="K462" s="296">
        <f t="shared" si="10"/>
        <v>0</v>
      </c>
      <c r="L462" s="381"/>
    </row>
    <row r="463" spans="1:12" s="270" customFormat="1">
      <c r="A463" s="867" t="s">
        <v>526</v>
      </c>
      <c r="B463" s="863"/>
      <c r="C463" s="863"/>
      <c r="D463" s="868"/>
      <c r="E463" s="869"/>
      <c r="F463" s="870"/>
      <c r="G463" s="871"/>
      <c r="H463" s="864"/>
      <c r="I463" s="865"/>
      <c r="J463" s="295"/>
      <c r="K463" s="296">
        <f t="shared" si="10"/>
        <v>0</v>
      </c>
      <c r="L463" s="381"/>
    </row>
    <row r="464" spans="1:12" s="270" customFormat="1">
      <c r="A464" s="867" t="s">
        <v>526</v>
      </c>
      <c r="B464" s="863"/>
      <c r="C464" s="863"/>
      <c r="D464" s="868"/>
      <c r="E464" s="869"/>
      <c r="F464" s="870"/>
      <c r="G464" s="871"/>
      <c r="H464" s="864"/>
      <c r="I464" s="865"/>
      <c r="J464" s="295"/>
      <c r="K464" s="296">
        <f t="shared" si="10"/>
        <v>0</v>
      </c>
      <c r="L464" s="381"/>
    </row>
    <row r="465" spans="1:12" s="270" customFormat="1">
      <c r="A465" s="867" t="s">
        <v>526</v>
      </c>
      <c r="B465" s="863"/>
      <c r="C465" s="863"/>
      <c r="D465" s="868"/>
      <c r="E465" s="869"/>
      <c r="F465" s="870"/>
      <c r="G465" s="871"/>
      <c r="H465" s="864"/>
      <c r="I465" s="865"/>
      <c r="J465" s="295"/>
      <c r="K465" s="296">
        <f t="shared" si="10"/>
        <v>0</v>
      </c>
      <c r="L465" s="381"/>
    </row>
    <row r="466" spans="1:12" s="270" customFormat="1">
      <c r="A466" s="867" t="s">
        <v>526</v>
      </c>
      <c r="B466" s="863"/>
      <c r="C466" s="863"/>
      <c r="D466" s="868"/>
      <c r="E466" s="869"/>
      <c r="F466" s="870"/>
      <c r="G466" s="871"/>
      <c r="H466" s="864"/>
      <c r="I466" s="865"/>
      <c r="J466" s="295"/>
      <c r="K466" s="296">
        <f t="shared" si="10"/>
        <v>0</v>
      </c>
      <c r="L466" s="381"/>
    </row>
    <row r="467" spans="1:12" s="270" customFormat="1">
      <c r="A467" s="867" t="s">
        <v>526</v>
      </c>
      <c r="B467" s="863"/>
      <c r="C467" s="863"/>
      <c r="D467" s="868"/>
      <c r="E467" s="869"/>
      <c r="F467" s="870"/>
      <c r="G467" s="871"/>
      <c r="H467" s="864"/>
      <c r="I467" s="865"/>
      <c r="J467" s="295"/>
      <c r="K467" s="296">
        <f t="shared" si="10"/>
        <v>0</v>
      </c>
      <c r="L467" s="381"/>
    </row>
    <row r="468" spans="1:12" s="270" customFormat="1">
      <c r="A468" s="867" t="s">
        <v>526</v>
      </c>
      <c r="B468" s="863"/>
      <c r="C468" s="863"/>
      <c r="D468" s="868"/>
      <c r="E468" s="869"/>
      <c r="F468" s="870"/>
      <c r="G468" s="871"/>
      <c r="H468" s="864"/>
      <c r="I468" s="865"/>
      <c r="J468" s="295"/>
      <c r="K468" s="296">
        <f t="shared" si="10"/>
        <v>0</v>
      </c>
      <c r="L468" s="381"/>
    </row>
    <row r="469" spans="1:12" s="270" customFormat="1">
      <c r="A469" s="867" t="s">
        <v>526</v>
      </c>
      <c r="B469" s="863"/>
      <c r="C469" s="863"/>
      <c r="D469" s="868"/>
      <c r="E469" s="869"/>
      <c r="F469" s="870"/>
      <c r="G469" s="871"/>
      <c r="H469" s="864"/>
      <c r="I469" s="865"/>
      <c r="J469" s="295"/>
      <c r="K469" s="296">
        <f t="shared" si="10"/>
        <v>0</v>
      </c>
      <c r="L469" s="381"/>
    </row>
    <row r="470" spans="1:12" s="270" customFormat="1">
      <c r="A470" s="867" t="s">
        <v>529</v>
      </c>
      <c r="B470" s="863"/>
      <c r="C470" s="863"/>
      <c r="D470" s="868"/>
      <c r="E470" s="869"/>
      <c r="F470" s="870"/>
      <c r="G470" s="871"/>
      <c r="H470" s="864"/>
      <c r="I470" s="865"/>
      <c r="J470" s="295"/>
      <c r="K470" s="296">
        <f t="shared" si="10"/>
        <v>0</v>
      </c>
      <c r="L470" s="381"/>
    </row>
    <row r="471" spans="1:12" s="270" customFormat="1">
      <c r="A471" s="867" t="s">
        <v>529</v>
      </c>
      <c r="B471" s="863"/>
      <c r="C471" s="863"/>
      <c r="D471" s="868"/>
      <c r="E471" s="869"/>
      <c r="F471" s="870"/>
      <c r="G471" s="871"/>
      <c r="H471" s="864"/>
      <c r="I471" s="865"/>
      <c r="J471" s="295"/>
      <c r="K471" s="296">
        <f t="shared" si="10"/>
        <v>0</v>
      </c>
      <c r="L471" s="381"/>
    </row>
    <row r="472" spans="1:12" s="270" customFormat="1">
      <c r="A472" s="867" t="s">
        <v>529</v>
      </c>
      <c r="B472" s="863"/>
      <c r="C472" s="863"/>
      <c r="D472" s="868"/>
      <c r="E472" s="869"/>
      <c r="F472" s="870"/>
      <c r="G472" s="871"/>
      <c r="H472" s="864"/>
      <c r="I472" s="865"/>
      <c r="J472" s="295"/>
      <c r="K472" s="296">
        <f t="shared" si="10"/>
        <v>0</v>
      </c>
      <c r="L472" s="381"/>
    </row>
    <row r="473" spans="1:12" s="270" customFormat="1">
      <c r="A473" s="867" t="s">
        <v>529</v>
      </c>
      <c r="B473" s="863"/>
      <c r="C473" s="863"/>
      <c r="D473" s="868"/>
      <c r="E473" s="869"/>
      <c r="F473" s="870"/>
      <c r="G473" s="871"/>
      <c r="H473" s="864"/>
      <c r="I473" s="865"/>
      <c r="J473" s="295"/>
      <c r="K473" s="296">
        <f t="shared" si="10"/>
        <v>0</v>
      </c>
      <c r="L473" s="381"/>
    </row>
    <row r="474" spans="1:12" s="270" customFormat="1">
      <c r="A474" s="867"/>
      <c r="B474" s="863"/>
      <c r="C474" s="863"/>
      <c r="D474" s="868"/>
      <c r="E474" s="869"/>
      <c r="F474" s="870"/>
      <c r="G474" s="871"/>
      <c r="H474" s="864"/>
      <c r="I474" s="865"/>
      <c r="J474" s="295"/>
      <c r="K474" s="296">
        <f t="shared" si="10"/>
        <v>0</v>
      </c>
      <c r="L474" s="381"/>
    </row>
    <row r="475" spans="1:12" s="270" customFormat="1">
      <c r="A475" s="867"/>
      <c r="B475" s="863"/>
      <c r="C475" s="863"/>
      <c r="D475" s="868"/>
      <c r="E475" s="869"/>
      <c r="F475" s="870"/>
      <c r="G475" s="871"/>
      <c r="H475" s="864"/>
      <c r="I475" s="865"/>
      <c r="J475" s="295"/>
      <c r="K475" s="296">
        <f t="shared" si="10"/>
        <v>0</v>
      </c>
      <c r="L475" s="381"/>
    </row>
    <row r="476" spans="1:12" s="270" customFormat="1">
      <c r="A476" s="867"/>
      <c r="B476" s="863"/>
      <c r="C476" s="863"/>
      <c r="D476" s="868"/>
      <c r="E476" s="869"/>
      <c r="F476" s="870"/>
      <c r="G476" s="871"/>
      <c r="H476" s="864"/>
      <c r="I476" s="865"/>
      <c r="J476" s="295"/>
      <c r="K476" s="296">
        <f t="shared" si="10"/>
        <v>0</v>
      </c>
      <c r="L476" s="381"/>
    </row>
    <row r="477" spans="1:12" s="270" customFormat="1">
      <c r="A477" s="867"/>
      <c r="B477" s="863"/>
      <c r="C477" s="863"/>
      <c r="D477" s="868"/>
      <c r="E477" s="869"/>
      <c r="F477" s="870"/>
      <c r="G477" s="871"/>
      <c r="H477" s="864"/>
      <c r="I477" s="865"/>
      <c r="J477" s="295"/>
      <c r="K477" s="296">
        <f t="shared" si="10"/>
        <v>0</v>
      </c>
      <c r="L477" s="381"/>
    </row>
    <row r="478" spans="1:12" s="270" customFormat="1">
      <c r="A478" s="867"/>
      <c r="B478" s="863"/>
      <c r="C478" s="863"/>
      <c r="D478" s="868"/>
      <c r="E478" s="869"/>
      <c r="F478" s="870"/>
      <c r="G478" s="871"/>
      <c r="H478" s="864"/>
      <c r="I478" s="865"/>
      <c r="J478" s="295"/>
      <c r="K478" s="296">
        <f t="shared" si="10"/>
        <v>0</v>
      </c>
      <c r="L478" s="381"/>
    </row>
    <row r="479" spans="1:12" s="270" customFormat="1">
      <c r="A479" s="867"/>
      <c r="B479" s="863"/>
      <c r="C479" s="863"/>
      <c r="D479" s="868"/>
      <c r="E479" s="869"/>
      <c r="F479" s="870"/>
      <c r="G479" s="871"/>
      <c r="H479" s="864"/>
      <c r="I479" s="865"/>
      <c r="J479" s="295"/>
      <c r="K479" s="296">
        <f t="shared" si="10"/>
        <v>0</v>
      </c>
      <c r="L479" s="381"/>
    </row>
    <row r="480" spans="1:12" s="270" customFormat="1">
      <c r="A480" s="867"/>
      <c r="B480" s="863"/>
      <c r="C480" s="863"/>
      <c r="D480" s="868"/>
      <c r="E480" s="869"/>
      <c r="F480" s="870"/>
      <c r="G480" s="871"/>
      <c r="H480" s="864"/>
      <c r="I480" s="865"/>
      <c r="J480" s="295"/>
      <c r="K480" s="296">
        <f t="shared" si="10"/>
        <v>0</v>
      </c>
      <c r="L480" s="381"/>
    </row>
    <row r="481" spans="1:19" s="270" customFormat="1">
      <c r="A481" s="867"/>
      <c r="B481" s="863"/>
      <c r="C481" s="863"/>
      <c r="D481" s="868"/>
      <c r="E481" s="869"/>
      <c r="F481" s="870"/>
      <c r="G481" s="871"/>
      <c r="H481" s="864"/>
      <c r="I481" s="865"/>
      <c r="J481" s="295"/>
      <c r="K481" s="296">
        <f t="shared" si="10"/>
        <v>0</v>
      </c>
      <c r="L481" s="381"/>
    </row>
    <row r="482" spans="1:19" s="270" customFormat="1">
      <c r="A482" s="867"/>
      <c r="B482" s="863"/>
      <c r="C482" s="863"/>
      <c r="D482" s="868"/>
      <c r="E482" s="869"/>
      <c r="F482" s="870"/>
      <c r="G482" s="871"/>
      <c r="H482" s="864"/>
      <c r="I482" s="865"/>
      <c r="J482" s="295"/>
      <c r="K482" s="296">
        <f t="shared" si="10"/>
        <v>0</v>
      </c>
      <c r="L482" s="381"/>
    </row>
    <row r="483" spans="1:19" s="270" customFormat="1">
      <c r="A483" s="867"/>
      <c r="B483" s="863"/>
      <c r="C483" s="863"/>
      <c r="D483" s="868"/>
      <c r="E483" s="869"/>
      <c r="F483" s="870"/>
      <c r="G483" s="871"/>
      <c r="H483" s="864"/>
      <c r="I483" s="865"/>
      <c r="J483" s="295"/>
      <c r="K483" s="296">
        <f t="shared" si="10"/>
        <v>0</v>
      </c>
      <c r="L483" s="381"/>
    </row>
    <row r="484" spans="1:19" s="270" customFormat="1">
      <c r="A484" s="867"/>
      <c r="B484" s="863"/>
      <c r="C484" s="863"/>
      <c r="D484" s="868"/>
      <c r="E484" s="869"/>
      <c r="F484" s="870"/>
      <c r="G484" s="871"/>
      <c r="H484" s="864"/>
      <c r="I484" s="865"/>
      <c r="J484" s="295"/>
      <c r="K484" s="296">
        <f t="shared" si="10"/>
        <v>0</v>
      </c>
      <c r="L484" s="381" t="s">
        <v>347</v>
      </c>
    </row>
    <row r="485" spans="1:19" s="270" customFormat="1">
      <c r="A485" s="349" t="s">
        <v>166</v>
      </c>
      <c r="B485" s="350"/>
      <c r="C485" s="351"/>
      <c r="D485" s="545"/>
      <c r="E485" s="352">
        <f>SUM(E38:E41)</f>
        <v>-200</v>
      </c>
      <c r="F485" s="353"/>
      <c r="G485" s="354">
        <f>SUM(G38:G41)</f>
        <v>3850</v>
      </c>
      <c r="H485" s="486"/>
      <c r="I485" s="356"/>
      <c r="J485" s="357"/>
      <c r="K485" s="358">
        <f>SUM(K32:K484)+L485</f>
        <v>166585.9375</v>
      </c>
      <c r="L485" s="381"/>
    </row>
    <row r="486" spans="1:19" s="93" customFormat="1">
      <c r="A486" s="359" t="s">
        <v>169</v>
      </c>
      <c r="B486" s="113"/>
      <c r="C486" s="274"/>
      <c r="D486" s="538"/>
      <c r="E486" s="114"/>
      <c r="F486" s="192"/>
      <c r="G486" s="118"/>
      <c r="H486" s="478"/>
      <c r="I486" s="125"/>
      <c r="J486" s="360"/>
      <c r="K486" s="261"/>
      <c r="L486" s="377"/>
      <c r="S486" s="131" t="s">
        <v>21</v>
      </c>
    </row>
    <row r="487" spans="1:19" s="93" customFormat="1">
      <c r="A487" s="206" t="s">
        <v>99</v>
      </c>
      <c r="B487" s="207" t="s">
        <v>7</v>
      </c>
      <c r="C487" s="207" t="s">
        <v>171</v>
      </c>
      <c r="D487" s="535" t="s">
        <v>170</v>
      </c>
      <c r="E487" s="208" t="s">
        <v>11</v>
      </c>
      <c r="F487" s="207" t="s">
        <v>2</v>
      </c>
      <c r="G487" s="209" t="s">
        <v>12</v>
      </c>
      <c r="H487" s="482" t="s">
        <v>18</v>
      </c>
      <c r="I487" s="209" t="s">
        <v>210</v>
      </c>
      <c r="J487" s="207" t="s">
        <v>216</v>
      </c>
      <c r="K487" s="260" t="s">
        <v>212</v>
      </c>
      <c r="L487" s="377"/>
    </row>
    <row r="488" spans="1:19" s="93" customFormat="1">
      <c r="A488" s="325" t="s">
        <v>334</v>
      </c>
      <c r="B488" s="328"/>
      <c r="C488" s="328"/>
      <c r="D488" s="542"/>
      <c r="E488" s="330"/>
      <c r="F488" s="331"/>
      <c r="G488" s="332"/>
      <c r="H488" s="483"/>
      <c r="I488" s="335"/>
      <c r="J488" s="335"/>
      <c r="K488" s="336">
        <f>(J488-I488)*E488/100*100000</f>
        <v>0</v>
      </c>
      <c r="L488" s="377"/>
    </row>
    <row r="489" spans="1:19" s="93" customFormat="1">
      <c r="A489" s="325" t="s">
        <v>335</v>
      </c>
      <c r="B489" s="328"/>
      <c r="C489" s="328"/>
      <c r="D489" s="542"/>
      <c r="E489" s="330"/>
      <c r="F489" s="330"/>
      <c r="G489" s="332"/>
      <c r="H489" s="483"/>
      <c r="I489" s="335"/>
      <c r="J489" s="335"/>
      <c r="K489" s="336">
        <f>(J489-I489)*E489/100*100000</f>
        <v>0</v>
      </c>
      <c r="L489" s="377"/>
    </row>
    <row r="490" spans="1:19" s="270" customFormat="1">
      <c r="A490" s="337" t="s">
        <v>167</v>
      </c>
      <c r="B490" s="340"/>
      <c r="C490" s="341"/>
      <c r="D490" s="543"/>
      <c r="E490" s="342"/>
      <c r="F490" s="343"/>
      <c r="G490" s="344"/>
      <c r="H490" s="484"/>
      <c r="I490" s="347"/>
      <c r="J490" s="347"/>
      <c r="K490" s="348">
        <f>(J490-I490)*E490/100</f>
        <v>0</v>
      </c>
      <c r="L490" s="381"/>
    </row>
    <row r="491" spans="1:19" s="270" customFormat="1">
      <c r="A491" s="337" t="s">
        <v>167</v>
      </c>
      <c r="B491" s="340"/>
      <c r="C491" s="341"/>
      <c r="D491" s="543"/>
      <c r="E491" s="342"/>
      <c r="F491" s="343"/>
      <c r="G491" s="344"/>
      <c r="H491" s="484"/>
      <c r="I491" s="347"/>
      <c r="J491" s="347"/>
      <c r="K491" s="348">
        <f>(J491-I491)*E491/100</f>
        <v>0</v>
      </c>
      <c r="L491" s="381"/>
    </row>
    <row r="492" spans="1:19" s="270" customFormat="1">
      <c r="A492" s="285" t="s">
        <v>168</v>
      </c>
      <c r="B492" s="288"/>
      <c r="C492" s="289"/>
      <c r="D492" s="544"/>
      <c r="E492" s="290"/>
      <c r="F492" s="291"/>
      <c r="G492" s="292"/>
      <c r="H492" s="485"/>
      <c r="I492" s="295"/>
      <c r="J492" s="295"/>
      <c r="K492" s="296">
        <f>(J492-I492)*E492/100</f>
        <v>0</v>
      </c>
      <c r="L492" s="381"/>
    </row>
    <row r="493" spans="1:19" s="270" customFormat="1">
      <c r="A493" s="285" t="s">
        <v>168</v>
      </c>
      <c r="B493" s="288"/>
      <c r="C493" s="289"/>
      <c r="D493" s="544"/>
      <c r="E493" s="290"/>
      <c r="F493" s="291"/>
      <c r="G493" s="292"/>
      <c r="H493" s="485"/>
      <c r="I493" s="295"/>
      <c r="J493" s="295"/>
      <c r="K493" s="296">
        <f>(J493-I493)*E493/100</f>
        <v>0</v>
      </c>
      <c r="L493" s="381"/>
    </row>
    <row r="494" spans="1:19" s="93" customFormat="1">
      <c r="A494" s="349" t="s">
        <v>166</v>
      </c>
      <c r="B494" s="350"/>
      <c r="C494" s="351"/>
      <c r="D494" s="545"/>
      <c r="E494" s="352">
        <f>SUM(E488:E493)</f>
        <v>0</v>
      </c>
      <c r="F494" s="353"/>
      <c r="G494" s="354">
        <f>SUM(G488:G493)</f>
        <v>0</v>
      </c>
      <c r="H494" s="486"/>
      <c r="I494" s="356"/>
      <c r="J494" s="357"/>
      <c r="K494" s="358">
        <f>SUM(K488:K493)</f>
        <v>0</v>
      </c>
      <c r="L494" s="377"/>
      <c r="M494"/>
      <c r="N494"/>
      <c r="O494"/>
      <c r="P494"/>
      <c r="Q494"/>
    </row>
    <row r="495" spans="1:19">
      <c r="A495" s="716" t="s">
        <v>326</v>
      </c>
      <c r="B495" s="108"/>
      <c r="C495" s="275"/>
      <c r="D495" s="546"/>
      <c r="E495" s="70"/>
      <c r="F495" s="203"/>
      <c r="G495" s="105"/>
      <c r="H495" s="487"/>
      <c r="I495" s="204"/>
      <c r="J495" s="205"/>
      <c r="K495" s="106"/>
    </row>
    <row r="496" spans="1:19">
      <c r="A496" s="206" t="s">
        <v>99</v>
      </c>
      <c r="B496" s="207" t="s">
        <v>7</v>
      </c>
      <c r="C496" s="207" t="s">
        <v>171</v>
      </c>
      <c r="D496" s="535" t="s">
        <v>170</v>
      </c>
      <c r="E496" s="208" t="s">
        <v>11</v>
      </c>
      <c r="F496" s="207" t="s">
        <v>2</v>
      </c>
      <c r="G496" s="209" t="s">
        <v>12</v>
      </c>
      <c r="H496" s="482" t="s">
        <v>18</v>
      </c>
      <c r="I496" s="209" t="s">
        <v>10</v>
      </c>
      <c r="J496" s="207" t="s">
        <v>216</v>
      </c>
      <c r="K496" s="260" t="s">
        <v>212</v>
      </c>
    </row>
    <row r="497" spans="1:11">
      <c r="A497" s="325"/>
      <c r="B497" s="328"/>
      <c r="C497" s="329"/>
      <c r="D497" s="542"/>
      <c r="E497" s="330"/>
      <c r="F497" s="331"/>
      <c r="G497" s="332"/>
      <c r="H497" s="483"/>
      <c r="I497" s="335"/>
      <c r="J497" s="335"/>
      <c r="K497" s="336">
        <f>(J497-I497)*E497/100</f>
        <v>0</v>
      </c>
    </row>
    <row r="498" spans="1:11">
      <c r="A498" s="337"/>
      <c r="B498" s="340"/>
      <c r="C498" s="341"/>
      <c r="D498" s="543"/>
      <c r="E498" s="342"/>
      <c r="F498" s="343"/>
      <c r="G498" s="344"/>
      <c r="H498" s="484"/>
      <c r="I498" s="347"/>
      <c r="J498" s="347"/>
      <c r="K498" s="348">
        <f>(J498-I498)*E498/100</f>
        <v>0</v>
      </c>
    </row>
    <row r="499" spans="1:11">
      <c r="A499" s="337"/>
      <c r="B499" s="340"/>
      <c r="C499" s="341"/>
      <c r="D499" s="543"/>
      <c r="E499" s="342"/>
      <c r="F499" s="343"/>
      <c r="G499" s="344"/>
      <c r="H499" s="484"/>
      <c r="I499" s="347"/>
      <c r="J499" s="347"/>
      <c r="K499" s="348">
        <f>(J499-I499)*E499/100</f>
        <v>0</v>
      </c>
    </row>
    <row r="500" spans="1:11">
      <c r="A500" s="285"/>
      <c r="B500" s="288"/>
      <c r="C500" s="289"/>
      <c r="D500" s="544"/>
      <c r="E500" s="290"/>
      <c r="F500" s="291"/>
      <c r="G500" s="292"/>
      <c r="H500" s="485"/>
      <c r="I500" s="295"/>
      <c r="J500" s="295"/>
      <c r="K500" s="296">
        <f>(J500-I500)*E500/100</f>
        <v>0</v>
      </c>
    </row>
    <row r="501" spans="1:11">
      <c r="A501" s="285"/>
      <c r="B501" s="288"/>
      <c r="C501" s="289"/>
      <c r="D501" s="544"/>
      <c r="E501" s="290"/>
      <c r="F501" s="291"/>
      <c r="G501" s="292"/>
      <c r="H501" s="485"/>
      <c r="I501" s="295"/>
      <c r="J501" s="295"/>
      <c r="K501" s="296">
        <f>(J501-I501)*E501/100</f>
        <v>0</v>
      </c>
    </row>
    <row r="502" spans="1:11">
      <c r="A502" s="349" t="s">
        <v>166</v>
      </c>
      <c r="B502" s="350"/>
      <c r="C502" s="351"/>
      <c r="D502" s="545"/>
      <c r="E502" s="352">
        <f>SUM(E497:E501)</f>
        <v>0</v>
      </c>
      <c r="F502" s="353"/>
      <c r="G502" s="354">
        <f>SUM(G497:G501)</f>
        <v>0</v>
      </c>
      <c r="H502" s="486"/>
      <c r="I502" s="356"/>
      <c r="J502" s="357"/>
      <c r="K502" s="358">
        <f>SUM(K497:K501)</f>
        <v>0</v>
      </c>
    </row>
    <row r="503" spans="1:11">
      <c r="G503" s="14"/>
      <c r="H503" s="488"/>
    </row>
    <row r="504" spans="1:11">
      <c r="G504" s="14"/>
      <c r="H504" s="488"/>
    </row>
    <row r="505" spans="1:11">
      <c r="G505" s="14"/>
      <c r="H505" s="488"/>
    </row>
    <row r="506" spans="1:11">
      <c r="G506" s="14"/>
      <c r="H506" s="488"/>
    </row>
    <row r="507" spans="1:11">
      <c r="G507" s="14"/>
      <c r="H507" s="488"/>
    </row>
    <row r="508" spans="1:11">
      <c r="G508" s="14"/>
      <c r="H508" s="488"/>
    </row>
    <row r="509" spans="1:11">
      <c r="G509" s="14"/>
      <c r="H509" s="488"/>
    </row>
    <row r="510" spans="1:11">
      <c r="G510" s="14"/>
      <c r="H510" s="488"/>
    </row>
    <row r="511" spans="1:11">
      <c r="G511" s="14"/>
      <c r="H511" s="488"/>
    </row>
    <row r="512" spans="1:11">
      <c r="G512" s="14"/>
      <c r="H512" s="488"/>
    </row>
    <row r="513" spans="7:8">
      <c r="G513" s="14"/>
      <c r="H513" s="488"/>
    </row>
    <row r="514" spans="7:8">
      <c r="G514" s="14"/>
      <c r="H514" s="488"/>
    </row>
    <row r="515" spans="7:8">
      <c r="G515" s="14"/>
      <c r="H515" s="488"/>
    </row>
    <row r="516" spans="7:8">
      <c r="G516" s="14"/>
      <c r="H516" s="488"/>
    </row>
    <row r="517" spans="7:8">
      <c r="G517" s="14"/>
      <c r="H517" s="488"/>
    </row>
    <row r="518" spans="7:8">
      <c r="G518" s="14"/>
      <c r="H518" s="488"/>
    </row>
    <row r="519" spans="7:8">
      <c r="G519" s="14"/>
      <c r="H519" s="488"/>
    </row>
    <row r="520" spans="7:8">
      <c r="G520" s="14"/>
      <c r="H520" s="488"/>
    </row>
    <row r="521" spans="7:8">
      <c r="G521" s="14"/>
      <c r="H521" s="489"/>
    </row>
    <row r="522" spans="7:8">
      <c r="G522" s="14"/>
      <c r="H522" s="489"/>
    </row>
    <row r="523" spans="7:8">
      <c r="G523" s="14"/>
      <c r="H523" s="489"/>
    </row>
    <row r="524" spans="7:8">
      <c r="G524" s="14"/>
      <c r="H524" s="489"/>
    </row>
    <row r="525" spans="7:8">
      <c r="G525" s="14"/>
      <c r="H525" s="489"/>
    </row>
    <row r="526" spans="7:8">
      <c r="G526" s="14"/>
      <c r="H526" s="489"/>
    </row>
    <row r="527" spans="7:8">
      <c r="G527" s="14"/>
      <c r="H527" s="489"/>
    </row>
    <row r="528" spans="7:8">
      <c r="G528" s="14"/>
      <c r="H528" s="489"/>
    </row>
    <row r="529" spans="7:8">
      <c r="G529" s="14"/>
      <c r="H529" s="489"/>
    </row>
    <row r="530" spans="7:8">
      <c r="G530" s="14"/>
      <c r="H530" s="489"/>
    </row>
    <row r="531" spans="7:8">
      <c r="G531" s="14"/>
      <c r="H531" s="489"/>
    </row>
    <row r="532" spans="7:8">
      <c r="G532" s="14"/>
      <c r="H532" s="489"/>
    </row>
    <row r="533" spans="7:8">
      <c r="G533" s="14"/>
      <c r="H533" s="489"/>
    </row>
    <row r="534" spans="7:8">
      <c r="G534" s="14"/>
      <c r="H534" s="489"/>
    </row>
    <row r="535" spans="7:8">
      <c r="G535" s="14"/>
      <c r="H535" s="489"/>
    </row>
    <row r="536" spans="7:8">
      <c r="G536" s="14"/>
      <c r="H536" s="489"/>
    </row>
    <row r="537" spans="7:8">
      <c r="G537" s="14"/>
      <c r="H537" s="489"/>
    </row>
    <row r="538" spans="7:8">
      <c r="G538" s="14"/>
      <c r="H538" s="489"/>
    </row>
    <row r="539" spans="7:8">
      <c r="G539" s="14"/>
      <c r="H539" s="489"/>
    </row>
    <row r="540" spans="7:8">
      <c r="G540" s="14"/>
      <c r="H540" s="489"/>
    </row>
    <row r="541" spans="7:8">
      <c r="G541" s="14"/>
      <c r="H541" s="489"/>
    </row>
    <row r="542" spans="7:8">
      <c r="G542" s="14"/>
      <c r="H542" s="489"/>
    </row>
    <row r="543" spans="7:8">
      <c r="G543" s="14"/>
      <c r="H543" s="489"/>
    </row>
    <row r="544" spans="7:8">
      <c r="G544" s="14"/>
      <c r="H544" s="489"/>
    </row>
    <row r="545" spans="7:8">
      <c r="G545" s="14"/>
      <c r="H545" s="489"/>
    </row>
    <row r="546" spans="7:8">
      <c r="G546" s="14"/>
      <c r="H546" s="489"/>
    </row>
    <row r="547" spans="7:8">
      <c r="G547" s="14"/>
      <c r="H547" s="489"/>
    </row>
    <row r="548" spans="7:8">
      <c r="G548" s="14"/>
      <c r="H548" s="489"/>
    </row>
    <row r="549" spans="7:8">
      <c r="G549" s="14"/>
      <c r="H549" s="489"/>
    </row>
    <row r="550" spans="7:8">
      <c r="G550" s="14"/>
      <c r="H550" s="489"/>
    </row>
    <row r="551" spans="7:8">
      <c r="G551" s="14"/>
      <c r="H551" s="489"/>
    </row>
    <row r="552" spans="7:8">
      <c r="G552" s="14"/>
      <c r="H552" s="489"/>
    </row>
    <row r="553" spans="7:8">
      <c r="G553" s="14"/>
      <c r="H553" s="489"/>
    </row>
    <row r="554" spans="7:8">
      <c r="G554" s="14"/>
      <c r="H554" s="489"/>
    </row>
    <row r="555" spans="7:8">
      <c r="G555" s="14"/>
      <c r="H555" s="489"/>
    </row>
    <row r="556" spans="7:8">
      <c r="G556" s="14"/>
      <c r="H556" s="489"/>
    </row>
    <row r="557" spans="7:8">
      <c r="G557" s="14"/>
      <c r="H557" s="489"/>
    </row>
    <row r="558" spans="7:8">
      <c r="G558" s="14"/>
      <c r="H558" s="489"/>
    </row>
    <row r="559" spans="7:8">
      <c r="G559" s="14"/>
      <c r="H559" s="489"/>
    </row>
    <row r="560" spans="7:8">
      <c r="G560" s="14"/>
      <c r="H560" s="489"/>
    </row>
    <row r="561" spans="7:8">
      <c r="G561" s="14"/>
      <c r="H561" s="489"/>
    </row>
    <row r="562" spans="7:8">
      <c r="G562" s="14"/>
      <c r="H562" s="489"/>
    </row>
    <row r="563" spans="7:8">
      <c r="G563" s="14"/>
      <c r="H563" s="489"/>
    </row>
    <row r="564" spans="7:8">
      <c r="G564" s="14"/>
      <c r="H564" s="489"/>
    </row>
    <row r="565" spans="7:8">
      <c r="G565" s="14"/>
      <c r="H565" s="489"/>
    </row>
    <row r="566" spans="7:8">
      <c r="G566" s="14"/>
      <c r="H566" s="489"/>
    </row>
    <row r="567" spans="7:8">
      <c r="G567" s="14"/>
      <c r="H567" s="489"/>
    </row>
    <row r="568" spans="7:8">
      <c r="G568" s="14"/>
      <c r="H568" s="489"/>
    </row>
    <row r="569" spans="7:8">
      <c r="G569" s="14"/>
      <c r="H569" s="489"/>
    </row>
    <row r="570" spans="7:8">
      <c r="G570" s="14"/>
      <c r="H570" s="489"/>
    </row>
    <row r="571" spans="7:8">
      <c r="G571" s="14"/>
      <c r="H571" s="489"/>
    </row>
    <row r="572" spans="7:8">
      <c r="G572" s="14"/>
      <c r="H572" s="489"/>
    </row>
    <row r="573" spans="7:8">
      <c r="G573" s="14"/>
      <c r="H573" s="489"/>
    </row>
    <row r="574" spans="7:8">
      <c r="G574" s="14"/>
      <c r="H574" s="489"/>
    </row>
    <row r="575" spans="7:8">
      <c r="G575" s="14"/>
      <c r="H575" s="489"/>
    </row>
    <row r="576" spans="7:8">
      <c r="G576" s="14"/>
      <c r="H576" s="489"/>
    </row>
    <row r="577" spans="7:8">
      <c r="G577" s="14"/>
      <c r="H577" s="489"/>
    </row>
    <row r="578" spans="7:8">
      <c r="G578" s="14"/>
      <c r="H578" s="489"/>
    </row>
    <row r="579" spans="7:8">
      <c r="G579" s="14"/>
      <c r="H579" s="489"/>
    </row>
    <row r="580" spans="7:8">
      <c r="G580" s="14"/>
      <c r="H580" s="489"/>
    </row>
    <row r="581" spans="7:8">
      <c r="G581" s="14"/>
      <c r="H581" s="489"/>
    </row>
    <row r="582" spans="7:8">
      <c r="G582" s="14"/>
      <c r="H582" s="489"/>
    </row>
    <row r="583" spans="7:8">
      <c r="G583" s="14"/>
      <c r="H583" s="489"/>
    </row>
    <row r="584" spans="7:8">
      <c r="G584" s="14"/>
      <c r="H584" s="489"/>
    </row>
    <row r="585" spans="7:8">
      <c r="G585" s="14"/>
      <c r="H585" s="489"/>
    </row>
    <row r="586" spans="7:8">
      <c r="G586" s="14"/>
      <c r="H586" s="489"/>
    </row>
    <row r="587" spans="7:8">
      <c r="G587" s="14"/>
      <c r="H587" s="489"/>
    </row>
    <row r="588" spans="7:8">
      <c r="G588" s="14"/>
      <c r="H588" s="489"/>
    </row>
    <row r="589" spans="7:8">
      <c r="G589" s="14"/>
      <c r="H589" s="489"/>
    </row>
    <row r="590" spans="7:8">
      <c r="G590" s="14"/>
      <c r="H590" s="489"/>
    </row>
    <row r="591" spans="7:8">
      <c r="G591" s="14"/>
      <c r="H591" s="489"/>
    </row>
    <row r="592" spans="7:8">
      <c r="G592" s="14"/>
      <c r="H592" s="489"/>
    </row>
    <row r="593" spans="7:8">
      <c r="G593" s="14"/>
      <c r="H593" s="489"/>
    </row>
    <row r="594" spans="7:8">
      <c r="G594" s="14"/>
      <c r="H594" s="489"/>
    </row>
    <row r="595" spans="7:8">
      <c r="G595" s="14"/>
      <c r="H595" s="489"/>
    </row>
    <row r="596" spans="7:8">
      <c r="G596" s="14"/>
      <c r="H596" s="489"/>
    </row>
    <row r="597" spans="7:8">
      <c r="G597" s="14"/>
      <c r="H597" s="489"/>
    </row>
    <row r="598" spans="7:8">
      <c r="G598" s="14"/>
      <c r="H598" s="489"/>
    </row>
    <row r="599" spans="7:8">
      <c r="G599" s="14"/>
      <c r="H599" s="489"/>
    </row>
    <row r="600" spans="7:8">
      <c r="G600" s="14"/>
      <c r="H600" s="489"/>
    </row>
    <row r="601" spans="7:8">
      <c r="G601" s="14"/>
      <c r="H601" s="489"/>
    </row>
    <row r="602" spans="7:8">
      <c r="G602" s="14"/>
      <c r="H602" s="489"/>
    </row>
    <row r="603" spans="7:8">
      <c r="G603" s="14"/>
      <c r="H603" s="489"/>
    </row>
    <row r="604" spans="7:8">
      <c r="G604" s="14"/>
      <c r="H604" s="489"/>
    </row>
    <row r="605" spans="7:8">
      <c r="G605" s="14"/>
      <c r="H605" s="489"/>
    </row>
    <row r="606" spans="7:8">
      <c r="G606" s="14"/>
      <c r="H606" s="489"/>
    </row>
    <row r="607" spans="7:8">
      <c r="G607" s="14"/>
      <c r="H607" s="489"/>
    </row>
    <row r="608" spans="7:8">
      <c r="G608" s="14"/>
      <c r="H608" s="489"/>
    </row>
    <row r="609" spans="7:8">
      <c r="G609" s="14"/>
      <c r="H609" s="489"/>
    </row>
    <row r="610" spans="7:8">
      <c r="G610" s="14"/>
      <c r="H610" s="489"/>
    </row>
    <row r="611" spans="7:8">
      <c r="G611" s="14"/>
      <c r="H611" s="489"/>
    </row>
    <row r="612" spans="7:8">
      <c r="G612" s="14"/>
      <c r="H612" s="489"/>
    </row>
    <row r="613" spans="7:8">
      <c r="G613" s="14"/>
      <c r="H613" s="489"/>
    </row>
    <row r="614" spans="7:8">
      <c r="G614" s="14"/>
      <c r="H614" s="489"/>
    </row>
    <row r="615" spans="7:8">
      <c r="G615" s="14"/>
      <c r="H615" s="489"/>
    </row>
    <row r="616" spans="7:8">
      <c r="G616" s="14"/>
      <c r="H616" s="489"/>
    </row>
    <row r="617" spans="7:8">
      <c r="G617" s="14"/>
      <c r="H617" s="489"/>
    </row>
    <row r="618" spans="7:8">
      <c r="G618" s="14"/>
      <c r="H618" s="489"/>
    </row>
    <row r="619" spans="7:8">
      <c r="G619" s="14"/>
      <c r="H619" s="489"/>
    </row>
    <row r="620" spans="7:8">
      <c r="G620" s="14"/>
      <c r="H620" s="489"/>
    </row>
    <row r="621" spans="7:8">
      <c r="G621" s="14"/>
      <c r="H621" s="489"/>
    </row>
    <row r="622" spans="7:8">
      <c r="G622" s="14"/>
      <c r="H622" s="489"/>
    </row>
    <row r="623" spans="7:8">
      <c r="G623" s="14"/>
      <c r="H623" s="489"/>
    </row>
    <row r="624" spans="7:8">
      <c r="G624" s="14"/>
      <c r="H624" s="489"/>
    </row>
    <row r="625" spans="7:8">
      <c r="G625" s="14"/>
      <c r="H625" s="489"/>
    </row>
    <row r="626" spans="7:8">
      <c r="G626" s="14"/>
      <c r="H626" s="489"/>
    </row>
    <row r="627" spans="7:8">
      <c r="G627" s="14"/>
      <c r="H627" s="489"/>
    </row>
    <row r="628" spans="7:8">
      <c r="G628" s="14"/>
      <c r="H628" s="489"/>
    </row>
    <row r="629" spans="7:8">
      <c r="G629" s="14"/>
      <c r="H629" s="489"/>
    </row>
    <row r="630" spans="7:8">
      <c r="G630" s="14"/>
      <c r="H630" s="489"/>
    </row>
    <row r="631" spans="7:8">
      <c r="G631" s="14"/>
      <c r="H631" s="489"/>
    </row>
    <row r="632" spans="7:8">
      <c r="G632" s="14"/>
      <c r="H632" s="489"/>
    </row>
    <row r="633" spans="7:8">
      <c r="G633" s="14"/>
      <c r="H633" s="489"/>
    </row>
    <row r="634" spans="7:8">
      <c r="G634" s="14"/>
      <c r="H634" s="489"/>
    </row>
    <row r="635" spans="7:8">
      <c r="G635" s="14"/>
      <c r="H635" s="489"/>
    </row>
    <row r="636" spans="7:8">
      <c r="G636" s="14"/>
      <c r="H636" s="489"/>
    </row>
    <row r="637" spans="7:8">
      <c r="G637" s="14"/>
      <c r="H637" s="489"/>
    </row>
    <row r="638" spans="7:8">
      <c r="G638" s="14"/>
      <c r="H638" s="489"/>
    </row>
    <row r="639" spans="7:8">
      <c r="G639" s="14"/>
      <c r="H639" s="489"/>
    </row>
    <row r="640" spans="7:8">
      <c r="G640" s="14"/>
      <c r="H640" s="489"/>
    </row>
    <row r="641" spans="7:8">
      <c r="G641" s="14"/>
      <c r="H641" s="489"/>
    </row>
    <row r="642" spans="7:8">
      <c r="G642" s="14"/>
      <c r="H642" s="489"/>
    </row>
    <row r="643" spans="7:8">
      <c r="G643" s="14"/>
      <c r="H643" s="489"/>
    </row>
    <row r="644" spans="7:8">
      <c r="G644" s="14"/>
      <c r="H644" s="489"/>
    </row>
    <row r="645" spans="7:8">
      <c r="G645" s="14"/>
      <c r="H645" s="489"/>
    </row>
    <row r="646" spans="7:8">
      <c r="G646" s="14"/>
      <c r="H646" s="489"/>
    </row>
    <row r="647" spans="7:8">
      <c r="G647" s="14"/>
      <c r="H647" s="489"/>
    </row>
    <row r="648" spans="7:8">
      <c r="G648" s="14"/>
      <c r="H648" s="489"/>
    </row>
    <row r="649" spans="7:8">
      <c r="G649" s="14"/>
      <c r="H649" s="489"/>
    </row>
    <row r="650" spans="7:8">
      <c r="G650" s="14"/>
      <c r="H650" s="489"/>
    </row>
    <row r="651" spans="7:8">
      <c r="G651" s="14"/>
      <c r="H651" s="489"/>
    </row>
    <row r="652" spans="7:8">
      <c r="G652" s="14"/>
      <c r="H652" s="489"/>
    </row>
    <row r="653" spans="7:8">
      <c r="G653" s="14"/>
      <c r="H653" s="489"/>
    </row>
    <row r="654" spans="7:8">
      <c r="G654" s="14"/>
      <c r="H654" s="489"/>
    </row>
    <row r="655" spans="7:8">
      <c r="G655" s="14"/>
      <c r="H655" s="489"/>
    </row>
    <row r="656" spans="7:8">
      <c r="G656" s="14"/>
      <c r="H656" s="489"/>
    </row>
    <row r="657" spans="7:8">
      <c r="G657" s="14"/>
      <c r="H657" s="489"/>
    </row>
    <row r="658" spans="7:8">
      <c r="G658" s="14"/>
      <c r="H658" s="489"/>
    </row>
    <row r="659" spans="7:8">
      <c r="G659" s="14"/>
      <c r="H659" s="489"/>
    </row>
    <row r="660" spans="7:8">
      <c r="G660" s="14"/>
      <c r="H660" s="489"/>
    </row>
    <row r="661" spans="7:8">
      <c r="G661" s="14"/>
      <c r="H661" s="489"/>
    </row>
    <row r="662" spans="7:8">
      <c r="G662" s="14"/>
      <c r="H662" s="489"/>
    </row>
    <row r="663" spans="7:8">
      <c r="G663" s="14"/>
      <c r="H663" s="489"/>
    </row>
    <row r="664" spans="7:8">
      <c r="G664" s="14"/>
      <c r="H664" s="489"/>
    </row>
    <row r="665" spans="7:8">
      <c r="G665" s="14"/>
      <c r="H665" s="489"/>
    </row>
    <row r="666" spans="7:8">
      <c r="G666" s="14"/>
      <c r="H666" s="489"/>
    </row>
    <row r="667" spans="7:8">
      <c r="G667" s="14"/>
      <c r="H667" s="489"/>
    </row>
    <row r="668" spans="7:8">
      <c r="G668" s="14"/>
      <c r="H668" s="489"/>
    </row>
    <row r="669" spans="7:8">
      <c r="G669" s="14"/>
      <c r="H669" s="489"/>
    </row>
    <row r="670" spans="7:8">
      <c r="G670" s="14"/>
      <c r="H670" s="489"/>
    </row>
    <row r="671" spans="7:8">
      <c r="G671" s="14"/>
      <c r="H671" s="489"/>
    </row>
    <row r="672" spans="7:8">
      <c r="G672" s="14"/>
      <c r="H672" s="489"/>
    </row>
    <row r="673" spans="7:8">
      <c r="G673" s="14"/>
      <c r="H673" s="489"/>
    </row>
    <row r="674" spans="7:8">
      <c r="G674" s="14"/>
      <c r="H674" s="489"/>
    </row>
    <row r="675" spans="7:8">
      <c r="G675" s="14"/>
      <c r="H675" s="489"/>
    </row>
    <row r="676" spans="7:8">
      <c r="G676" s="14"/>
      <c r="H676" s="489"/>
    </row>
    <row r="677" spans="7:8">
      <c r="G677" s="14"/>
      <c r="H677" s="489"/>
    </row>
    <row r="678" spans="7:8">
      <c r="G678" s="14"/>
      <c r="H678" s="489"/>
    </row>
    <row r="679" spans="7:8">
      <c r="G679" s="14"/>
      <c r="H679" s="489"/>
    </row>
    <row r="680" spans="7:8">
      <c r="G680" s="14"/>
      <c r="H680" s="489"/>
    </row>
    <row r="681" spans="7:8">
      <c r="G681" s="14"/>
      <c r="H681" s="489"/>
    </row>
    <row r="682" spans="7:8">
      <c r="G682" s="14"/>
      <c r="H682" s="489"/>
    </row>
    <row r="683" spans="7:8">
      <c r="G683" s="14"/>
      <c r="H683" s="489"/>
    </row>
    <row r="684" spans="7:8">
      <c r="G684" s="14"/>
      <c r="H684" s="489"/>
    </row>
    <row r="685" spans="7:8">
      <c r="G685" s="14"/>
      <c r="H685" s="489"/>
    </row>
    <row r="686" spans="7:8">
      <c r="G686" s="14"/>
      <c r="H686" s="489"/>
    </row>
    <row r="687" spans="7:8">
      <c r="G687" s="14"/>
      <c r="H687" s="489"/>
    </row>
    <row r="688" spans="7:8">
      <c r="G688" s="14"/>
      <c r="H688" s="489"/>
    </row>
    <row r="689" spans="7:8">
      <c r="G689" s="14"/>
      <c r="H689" s="489"/>
    </row>
    <row r="690" spans="7:8">
      <c r="G690" s="14"/>
      <c r="H690" s="489"/>
    </row>
    <row r="691" spans="7:8">
      <c r="G691" s="14"/>
      <c r="H691" s="489"/>
    </row>
    <row r="692" spans="7:8">
      <c r="G692" s="14"/>
      <c r="H692" s="489"/>
    </row>
    <row r="693" spans="7:8">
      <c r="G693" s="14"/>
      <c r="H693" s="489"/>
    </row>
    <row r="694" spans="7:8">
      <c r="G694" s="14"/>
      <c r="H694" s="489"/>
    </row>
    <row r="695" spans="7:8">
      <c r="G695" s="14"/>
      <c r="H695" s="489"/>
    </row>
    <row r="696" spans="7:8">
      <c r="G696" s="14"/>
      <c r="H696" s="489"/>
    </row>
    <row r="697" spans="7:8">
      <c r="G697" s="14"/>
      <c r="H697" s="489"/>
    </row>
    <row r="698" spans="7:8">
      <c r="G698" s="14"/>
      <c r="H698" s="489"/>
    </row>
    <row r="699" spans="7:8">
      <c r="G699" s="14"/>
      <c r="H699" s="489"/>
    </row>
    <row r="700" spans="7:8">
      <c r="G700" s="14"/>
      <c r="H700" s="489"/>
    </row>
    <row r="701" spans="7:8">
      <c r="G701" s="14"/>
      <c r="H701" s="489"/>
    </row>
    <row r="702" spans="7:8">
      <c r="G702" s="14"/>
      <c r="H702" s="489"/>
    </row>
    <row r="703" spans="7:8">
      <c r="G703" s="14"/>
      <c r="H703" s="489"/>
    </row>
    <row r="704" spans="7:8">
      <c r="G704" s="14"/>
      <c r="H704" s="489"/>
    </row>
    <row r="705" spans="7:8">
      <c r="G705" s="14"/>
      <c r="H705" s="489"/>
    </row>
    <row r="706" spans="7:8">
      <c r="G706" s="14"/>
      <c r="H706" s="489"/>
    </row>
    <row r="707" spans="7:8">
      <c r="G707" s="14"/>
      <c r="H707" s="489"/>
    </row>
    <row r="708" spans="7:8">
      <c r="G708" s="14"/>
      <c r="H708" s="489"/>
    </row>
    <row r="709" spans="7:8">
      <c r="G709" s="14"/>
      <c r="H709" s="489"/>
    </row>
    <row r="710" spans="7:8">
      <c r="G710" s="14"/>
      <c r="H710" s="489"/>
    </row>
    <row r="711" spans="7:8">
      <c r="G711" s="14"/>
      <c r="H711" s="489"/>
    </row>
    <row r="712" spans="7:8">
      <c r="G712" s="14"/>
      <c r="H712" s="489"/>
    </row>
    <row r="713" spans="7:8">
      <c r="G713" s="14"/>
      <c r="H713" s="489"/>
    </row>
    <row r="714" spans="7:8">
      <c r="G714" s="14"/>
      <c r="H714" s="489"/>
    </row>
    <row r="715" spans="7:8">
      <c r="G715" s="14"/>
      <c r="H715" s="489"/>
    </row>
    <row r="716" spans="7:8">
      <c r="G716" s="14"/>
      <c r="H716" s="489"/>
    </row>
    <row r="717" spans="7:8">
      <c r="G717" s="14"/>
      <c r="H717" s="489"/>
    </row>
    <row r="718" spans="7:8">
      <c r="G718" s="14"/>
      <c r="H718" s="489"/>
    </row>
    <row r="719" spans="7:8">
      <c r="G719" s="14"/>
      <c r="H719" s="489"/>
    </row>
    <row r="720" spans="7:8">
      <c r="G720" s="14"/>
      <c r="H720" s="489"/>
    </row>
    <row r="721" spans="7:8">
      <c r="G721" s="14"/>
      <c r="H721" s="489"/>
    </row>
    <row r="722" spans="7:8">
      <c r="G722" s="14"/>
      <c r="H722" s="489"/>
    </row>
    <row r="723" spans="7:8">
      <c r="G723" s="14"/>
      <c r="H723" s="489"/>
    </row>
    <row r="724" spans="7:8">
      <c r="G724" s="14"/>
      <c r="H724" s="489"/>
    </row>
    <row r="725" spans="7:8">
      <c r="G725" s="14"/>
      <c r="H725" s="489"/>
    </row>
    <row r="726" spans="7:8">
      <c r="G726" s="14"/>
      <c r="H726" s="489"/>
    </row>
    <row r="727" spans="7:8">
      <c r="G727" s="14"/>
      <c r="H727" s="489"/>
    </row>
    <row r="728" spans="7:8">
      <c r="G728" s="14"/>
      <c r="H728" s="489"/>
    </row>
    <row r="729" spans="7:8">
      <c r="G729" s="14"/>
      <c r="H729" s="489"/>
    </row>
    <row r="730" spans="7:8">
      <c r="G730" s="14"/>
      <c r="H730" s="489"/>
    </row>
    <row r="731" spans="7:8">
      <c r="G731" s="14"/>
      <c r="H731" s="489"/>
    </row>
    <row r="732" spans="7:8">
      <c r="G732" s="14"/>
      <c r="H732" s="489"/>
    </row>
    <row r="733" spans="7:8">
      <c r="G733" s="14"/>
      <c r="H733" s="489"/>
    </row>
    <row r="734" spans="7:8">
      <c r="G734" s="14"/>
      <c r="H734" s="489"/>
    </row>
    <row r="735" spans="7:8">
      <c r="G735" s="14"/>
      <c r="H735" s="489"/>
    </row>
    <row r="736" spans="7:8">
      <c r="G736" s="14"/>
      <c r="H736" s="489"/>
    </row>
    <row r="737" spans="7:8">
      <c r="G737" s="14"/>
      <c r="H737" s="489"/>
    </row>
    <row r="738" spans="7:8">
      <c r="G738" s="14"/>
      <c r="H738" s="489"/>
    </row>
    <row r="739" spans="7:8">
      <c r="G739" s="14"/>
      <c r="H739" s="489"/>
    </row>
    <row r="740" spans="7:8">
      <c r="G740" s="14"/>
      <c r="H740" s="489"/>
    </row>
    <row r="741" spans="7:8">
      <c r="G741" s="14"/>
      <c r="H741" s="489"/>
    </row>
    <row r="742" spans="7:8">
      <c r="G742" s="14"/>
      <c r="H742" s="489"/>
    </row>
    <row r="743" spans="7:8">
      <c r="G743" s="14"/>
      <c r="H743" s="489"/>
    </row>
    <row r="744" spans="7:8">
      <c r="G744" s="14"/>
      <c r="H744" s="489"/>
    </row>
    <row r="745" spans="7:8">
      <c r="G745" s="14"/>
      <c r="H745" s="489"/>
    </row>
    <row r="746" spans="7:8">
      <c r="G746" s="14"/>
      <c r="H746" s="489"/>
    </row>
    <row r="747" spans="7:8">
      <c r="G747" s="14"/>
      <c r="H747" s="489"/>
    </row>
    <row r="748" spans="7:8">
      <c r="G748" s="14"/>
      <c r="H748" s="489"/>
    </row>
    <row r="749" spans="7:8">
      <c r="G749" s="14"/>
      <c r="H749" s="489"/>
    </row>
    <row r="750" spans="7:8">
      <c r="G750" s="14"/>
      <c r="H750" s="489"/>
    </row>
    <row r="751" spans="7:8">
      <c r="G751" s="14"/>
      <c r="H751" s="489"/>
    </row>
    <row r="752" spans="7:8">
      <c r="G752" s="14"/>
      <c r="H752" s="489"/>
    </row>
    <row r="753" spans="7:8">
      <c r="G753" s="14"/>
      <c r="H753" s="489"/>
    </row>
    <row r="754" spans="7:8">
      <c r="G754" s="14"/>
      <c r="H754" s="489"/>
    </row>
    <row r="755" spans="7:8">
      <c r="G755" s="14"/>
      <c r="H755" s="489"/>
    </row>
    <row r="756" spans="7:8">
      <c r="G756" s="14"/>
      <c r="H756" s="489"/>
    </row>
    <row r="757" spans="7:8">
      <c r="G757" s="14"/>
      <c r="H757" s="489"/>
    </row>
    <row r="758" spans="7:8">
      <c r="G758" s="14"/>
      <c r="H758" s="489"/>
    </row>
    <row r="759" spans="7:8">
      <c r="G759" s="14"/>
      <c r="H759" s="489"/>
    </row>
    <row r="760" spans="7:8">
      <c r="G760" s="14"/>
      <c r="H760" s="489"/>
    </row>
    <row r="761" spans="7:8">
      <c r="G761" s="14"/>
      <c r="H761" s="489"/>
    </row>
    <row r="762" spans="7:8">
      <c r="G762" s="14"/>
      <c r="H762" s="489"/>
    </row>
    <row r="763" spans="7:8">
      <c r="G763" s="14"/>
      <c r="H763" s="489"/>
    </row>
    <row r="764" spans="7:8">
      <c r="G764" s="14"/>
      <c r="H764" s="489"/>
    </row>
    <row r="765" spans="7:8">
      <c r="G765" s="14"/>
      <c r="H765" s="489"/>
    </row>
    <row r="766" spans="7:8">
      <c r="G766" s="14"/>
      <c r="H766" s="489"/>
    </row>
    <row r="767" spans="7:8">
      <c r="G767" s="14"/>
      <c r="H767" s="489"/>
    </row>
    <row r="768" spans="7:8">
      <c r="G768" s="14"/>
      <c r="H768" s="489"/>
    </row>
    <row r="769" spans="7:8">
      <c r="G769" s="14"/>
      <c r="H769" s="489"/>
    </row>
    <row r="770" spans="7:8">
      <c r="G770" s="14"/>
      <c r="H770" s="489"/>
    </row>
    <row r="771" spans="7:8">
      <c r="G771" s="14"/>
      <c r="H771" s="489"/>
    </row>
    <row r="772" spans="7:8">
      <c r="G772" s="14"/>
      <c r="H772" s="489"/>
    </row>
    <row r="773" spans="7:8">
      <c r="G773" s="14"/>
      <c r="H773" s="489"/>
    </row>
    <row r="774" spans="7:8">
      <c r="G774" s="14"/>
      <c r="H774" s="489"/>
    </row>
    <row r="775" spans="7:8">
      <c r="G775" s="14"/>
      <c r="H775" s="489"/>
    </row>
    <row r="776" spans="7:8">
      <c r="G776" s="14"/>
      <c r="H776" s="489"/>
    </row>
    <row r="777" spans="7:8">
      <c r="G777" s="14"/>
      <c r="H777" s="489"/>
    </row>
    <row r="778" spans="7:8">
      <c r="G778" s="14"/>
      <c r="H778" s="489"/>
    </row>
    <row r="779" spans="7:8">
      <c r="G779" s="14"/>
      <c r="H779" s="489"/>
    </row>
    <row r="780" spans="7:8">
      <c r="G780" s="14"/>
      <c r="H780" s="489"/>
    </row>
    <row r="781" spans="7:8">
      <c r="G781" s="14"/>
      <c r="H781" s="489"/>
    </row>
    <row r="782" spans="7:8">
      <c r="G782" s="14"/>
      <c r="H782" s="489"/>
    </row>
    <row r="783" spans="7:8">
      <c r="G783" s="14"/>
      <c r="H783" s="489"/>
    </row>
    <row r="784" spans="7:8">
      <c r="G784" s="14"/>
      <c r="H784" s="489"/>
    </row>
    <row r="785" spans="7:8">
      <c r="G785" s="14"/>
      <c r="H785" s="489"/>
    </row>
    <row r="786" spans="7:8">
      <c r="G786" s="14"/>
      <c r="H786" s="489"/>
    </row>
    <row r="787" spans="7:8">
      <c r="G787" s="14"/>
      <c r="H787" s="489"/>
    </row>
    <row r="788" spans="7:8">
      <c r="G788" s="14"/>
      <c r="H788" s="489"/>
    </row>
    <row r="789" spans="7:8">
      <c r="G789" s="14"/>
      <c r="H789" s="489"/>
    </row>
    <row r="790" spans="7:8">
      <c r="G790" s="14"/>
      <c r="H790" s="489"/>
    </row>
    <row r="791" spans="7:8">
      <c r="G791" s="14"/>
      <c r="H791" s="489"/>
    </row>
    <row r="792" spans="7:8">
      <c r="G792" s="14"/>
      <c r="H792" s="489"/>
    </row>
    <row r="793" spans="7:8">
      <c r="G793" s="14"/>
      <c r="H793" s="489"/>
    </row>
    <row r="794" spans="7:8">
      <c r="G794" s="14"/>
      <c r="H794" s="489"/>
    </row>
    <row r="795" spans="7:8">
      <c r="G795" s="14"/>
      <c r="H795" s="489"/>
    </row>
    <row r="796" spans="7:8">
      <c r="G796" s="14"/>
      <c r="H796" s="489"/>
    </row>
    <row r="797" spans="7:8">
      <c r="G797" s="14"/>
      <c r="H797" s="489"/>
    </row>
    <row r="798" spans="7:8">
      <c r="G798" s="14"/>
      <c r="H798" s="489"/>
    </row>
    <row r="799" spans="7:8">
      <c r="G799" s="14"/>
      <c r="H799" s="489"/>
    </row>
    <row r="800" spans="7:8">
      <c r="G800" s="14"/>
      <c r="H800" s="489"/>
    </row>
    <row r="801" spans="7:8">
      <c r="G801" s="14"/>
      <c r="H801" s="489"/>
    </row>
    <row r="802" spans="7:8">
      <c r="G802" s="14"/>
      <c r="H802" s="489"/>
    </row>
    <row r="803" spans="7:8">
      <c r="G803" s="14"/>
      <c r="H803" s="489"/>
    </row>
    <row r="804" spans="7:8">
      <c r="G804" s="14"/>
      <c r="H804" s="489"/>
    </row>
    <row r="805" spans="7:8">
      <c r="G805" s="14"/>
      <c r="H805" s="489"/>
    </row>
    <row r="806" spans="7:8">
      <c r="G806" s="14"/>
      <c r="H806" s="489"/>
    </row>
    <row r="807" spans="7:8">
      <c r="G807" s="14"/>
      <c r="H807" s="489"/>
    </row>
    <row r="808" spans="7:8">
      <c r="G808" s="14"/>
      <c r="H808" s="489"/>
    </row>
    <row r="809" spans="7:8">
      <c r="G809" s="14"/>
      <c r="H809" s="489"/>
    </row>
    <row r="810" spans="7:8">
      <c r="G810" s="14"/>
      <c r="H810" s="489"/>
    </row>
    <row r="811" spans="7:8">
      <c r="G811" s="14"/>
      <c r="H811" s="489"/>
    </row>
    <row r="812" spans="7:8">
      <c r="G812" s="14"/>
      <c r="H812" s="489"/>
    </row>
    <row r="813" spans="7:8">
      <c r="G813" s="14"/>
      <c r="H813" s="489"/>
    </row>
    <row r="814" spans="7:8">
      <c r="G814" s="14"/>
      <c r="H814" s="489"/>
    </row>
    <row r="815" spans="7:8">
      <c r="G815" s="14"/>
      <c r="H815" s="489"/>
    </row>
    <row r="816" spans="7:8">
      <c r="G816" s="14"/>
      <c r="H816" s="489"/>
    </row>
    <row r="817" spans="7:8">
      <c r="G817" s="14"/>
      <c r="H817" s="489"/>
    </row>
    <row r="818" spans="7:8">
      <c r="G818" s="14"/>
      <c r="H818" s="489"/>
    </row>
    <row r="819" spans="7:8">
      <c r="G819" s="14"/>
      <c r="H819" s="489"/>
    </row>
    <row r="820" spans="7:8">
      <c r="G820" s="14"/>
      <c r="H820" s="489"/>
    </row>
    <row r="821" spans="7:8">
      <c r="G821" s="14"/>
      <c r="H821" s="489"/>
    </row>
    <row r="822" spans="7:8">
      <c r="G822" s="14"/>
      <c r="H822" s="489"/>
    </row>
    <row r="823" spans="7:8">
      <c r="G823" s="14"/>
      <c r="H823" s="489"/>
    </row>
    <row r="824" spans="7:8">
      <c r="G824" s="14"/>
      <c r="H824" s="489"/>
    </row>
    <row r="825" spans="7:8">
      <c r="G825" s="14"/>
      <c r="H825" s="489"/>
    </row>
    <row r="826" spans="7:8">
      <c r="G826" s="14"/>
      <c r="H826" s="489"/>
    </row>
    <row r="827" spans="7:8">
      <c r="G827" s="14"/>
      <c r="H827" s="489"/>
    </row>
    <row r="828" spans="7:8">
      <c r="G828" s="14"/>
      <c r="H828" s="489"/>
    </row>
    <row r="829" spans="7:8">
      <c r="G829" s="14"/>
      <c r="H829" s="489"/>
    </row>
    <row r="830" spans="7:8">
      <c r="G830" s="14"/>
      <c r="H830" s="489"/>
    </row>
    <row r="831" spans="7:8">
      <c r="G831" s="14"/>
      <c r="H831" s="489"/>
    </row>
    <row r="832" spans="7:8">
      <c r="G832" s="14"/>
      <c r="H832" s="489"/>
    </row>
    <row r="833" spans="7:8">
      <c r="G833" s="14"/>
      <c r="H833" s="489"/>
    </row>
    <row r="834" spans="7:8">
      <c r="G834" s="14"/>
      <c r="H834" s="489"/>
    </row>
    <row r="835" spans="7:8">
      <c r="G835" s="14"/>
      <c r="H835" s="489"/>
    </row>
    <row r="836" spans="7:8">
      <c r="G836" s="14"/>
      <c r="H836" s="489"/>
    </row>
    <row r="837" spans="7:8">
      <c r="G837" s="14"/>
      <c r="H837" s="489"/>
    </row>
    <row r="838" spans="7:8">
      <c r="G838" s="14"/>
      <c r="H838" s="489"/>
    </row>
    <row r="839" spans="7:8">
      <c r="G839" s="14"/>
      <c r="H839" s="489"/>
    </row>
    <row r="840" spans="7:8">
      <c r="G840" s="14"/>
      <c r="H840" s="489"/>
    </row>
    <row r="841" spans="7:8">
      <c r="G841" s="14"/>
      <c r="H841" s="489"/>
    </row>
    <row r="842" spans="7:8">
      <c r="G842" s="14"/>
      <c r="H842" s="489"/>
    </row>
    <row r="843" spans="7:8">
      <c r="G843" s="14"/>
      <c r="H843" s="489"/>
    </row>
    <row r="844" spans="7:8">
      <c r="G844" s="14"/>
      <c r="H844" s="489"/>
    </row>
    <row r="845" spans="7:8">
      <c r="G845" s="14"/>
      <c r="H845" s="489"/>
    </row>
    <row r="846" spans="7:8">
      <c r="G846" s="14"/>
      <c r="H846" s="489"/>
    </row>
    <row r="847" spans="7:8">
      <c r="G847" s="14"/>
      <c r="H847" s="489"/>
    </row>
    <row r="848" spans="7:8">
      <c r="G848" s="14"/>
      <c r="H848" s="489"/>
    </row>
    <row r="849" spans="7:8">
      <c r="G849" s="14"/>
      <c r="H849" s="489"/>
    </row>
    <row r="850" spans="7:8">
      <c r="G850" s="14"/>
      <c r="H850" s="489"/>
    </row>
    <row r="851" spans="7:8">
      <c r="G851" s="14"/>
      <c r="H851" s="489"/>
    </row>
    <row r="852" spans="7:8">
      <c r="G852" s="14"/>
      <c r="H852" s="489"/>
    </row>
    <row r="853" spans="7:8">
      <c r="G853" s="14"/>
      <c r="H853" s="489"/>
    </row>
    <row r="854" spans="7:8">
      <c r="G854" s="14"/>
    </row>
    <row r="855" spans="7:8">
      <c r="G855" s="14"/>
    </row>
    <row r="856" spans="7:8">
      <c r="G856" s="14"/>
    </row>
    <row r="857" spans="7:8">
      <c r="G857" s="14"/>
    </row>
    <row r="858" spans="7:8">
      <c r="G858" s="14"/>
    </row>
    <row r="859" spans="7:8">
      <c r="G859" s="14"/>
    </row>
    <row r="860" spans="7:8">
      <c r="G860" s="14"/>
    </row>
    <row r="861" spans="7:8">
      <c r="G861" s="14"/>
    </row>
    <row r="862" spans="7:8">
      <c r="G862" s="14"/>
    </row>
    <row r="863" spans="7:8">
      <c r="G863" s="14"/>
    </row>
    <row r="864" spans="7:8">
      <c r="G864" s="14"/>
    </row>
    <row r="865" spans="7:7">
      <c r="G865" s="14"/>
    </row>
    <row r="866" spans="7:7">
      <c r="G866" s="14"/>
    </row>
    <row r="867" spans="7:7">
      <c r="G867" s="14"/>
    </row>
    <row r="868" spans="7:7">
      <c r="G868" s="14"/>
    </row>
    <row r="869" spans="7:7">
      <c r="G869" s="14"/>
    </row>
    <row r="870" spans="7:7">
      <c r="G870" s="14"/>
    </row>
    <row r="871" spans="7:7">
      <c r="G871" s="14"/>
    </row>
    <row r="872" spans="7:7">
      <c r="G872" s="14"/>
    </row>
    <row r="873" spans="7:7">
      <c r="G873" s="14"/>
    </row>
    <row r="874" spans="7:7">
      <c r="G874" s="14"/>
    </row>
    <row r="875" spans="7:7">
      <c r="G875" s="14"/>
    </row>
    <row r="876" spans="7:7">
      <c r="G876" s="14"/>
    </row>
    <row r="877" spans="7:7">
      <c r="G877" s="14"/>
    </row>
    <row r="878" spans="7:7">
      <c r="G878" s="14"/>
    </row>
    <row r="879" spans="7:7">
      <c r="G879" s="14"/>
    </row>
    <row r="880" spans="7:7">
      <c r="G880" s="14"/>
    </row>
    <row r="881" spans="7:7">
      <c r="G881" s="14"/>
    </row>
    <row r="882" spans="7:7">
      <c r="G882" s="14"/>
    </row>
    <row r="883" spans="7:7">
      <c r="G883" s="14"/>
    </row>
    <row r="884" spans="7:7">
      <c r="G884" s="14"/>
    </row>
    <row r="885" spans="7:7">
      <c r="G885" s="14"/>
    </row>
    <row r="886" spans="7:7">
      <c r="G886" s="14"/>
    </row>
    <row r="887" spans="7:7">
      <c r="G887" s="14"/>
    </row>
    <row r="888" spans="7:7">
      <c r="G888" s="14"/>
    </row>
    <row r="889" spans="7:7">
      <c r="G889" s="14"/>
    </row>
    <row r="890" spans="7:7">
      <c r="G890" s="14"/>
    </row>
    <row r="891" spans="7:7">
      <c r="G891" s="14"/>
    </row>
    <row r="892" spans="7:7">
      <c r="G892" s="14"/>
    </row>
    <row r="893" spans="7:7">
      <c r="G893" s="14"/>
    </row>
    <row r="894" spans="7:7">
      <c r="G894" s="14"/>
    </row>
    <row r="895" spans="7:7">
      <c r="G895" s="14"/>
    </row>
    <row r="896" spans="7:7">
      <c r="G896" s="14"/>
    </row>
    <row r="897" spans="7:7">
      <c r="G897" s="14"/>
    </row>
    <row r="898" spans="7:7">
      <c r="G898" s="14"/>
    </row>
    <row r="899" spans="7:7">
      <c r="G899" s="14"/>
    </row>
    <row r="900" spans="7:7">
      <c r="G900" s="14"/>
    </row>
    <row r="901" spans="7:7">
      <c r="G901" s="14"/>
    </row>
    <row r="902" spans="7:7">
      <c r="G902" s="14"/>
    </row>
    <row r="903" spans="7:7">
      <c r="G903" s="14"/>
    </row>
    <row r="904" spans="7:7">
      <c r="G904" s="14"/>
    </row>
    <row r="905" spans="7:7">
      <c r="G905" s="14"/>
    </row>
    <row r="906" spans="7:7">
      <c r="G906" s="14"/>
    </row>
    <row r="907" spans="7:7">
      <c r="G907" s="14"/>
    </row>
    <row r="908" spans="7:7">
      <c r="G908" s="14"/>
    </row>
    <row r="909" spans="7:7">
      <c r="G909" s="14"/>
    </row>
    <row r="910" spans="7:7">
      <c r="G910" s="14"/>
    </row>
    <row r="911" spans="7:7">
      <c r="G911" s="14"/>
    </row>
    <row r="912" spans="7:7">
      <c r="G912" s="14"/>
    </row>
    <row r="913" spans="7:7">
      <c r="G913" s="14"/>
    </row>
    <row r="914" spans="7:7">
      <c r="G914" s="14"/>
    </row>
    <row r="915" spans="7:7">
      <c r="G915" s="14"/>
    </row>
    <row r="916" spans="7:7">
      <c r="G916" s="14"/>
    </row>
    <row r="917" spans="7:7">
      <c r="G917" s="14"/>
    </row>
    <row r="918" spans="7:7">
      <c r="G918" s="14"/>
    </row>
    <row r="919" spans="7:7">
      <c r="G919" s="14"/>
    </row>
    <row r="920" spans="7:7">
      <c r="G920" s="14"/>
    </row>
    <row r="921" spans="7:7">
      <c r="G921" s="14"/>
    </row>
    <row r="922" spans="7:7">
      <c r="G922" s="14"/>
    </row>
    <row r="923" spans="7:7">
      <c r="G923" s="14"/>
    </row>
    <row r="924" spans="7:7">
      <c r="G924" s="14"/>
    </row>
    <row r="925" spans="7:7">
      <c r="G925" s="14"/>
    </row>
    <row r="926" spans="7:7">
      <c r="G926" s="14"/>
    </row>
    <row r="927" spans="7:7">
      <c r="G927" s="14"/>
    </row>
    <row r="928" spans="7:7">
      <c r="G928" s="14"/>
    </row>
    <row r="929" spans="7:7">
      <c r="G929" s="14"/>
    </row>
    <row r="930" spans="7:7">
      <c r="G930" s="14"/>
    </row>
    <row r="931" spans="7:7">
      <c r="G931" s="14"/>
    </row>
    <row r="932" spans="7:7">
      <c r="G932" s="14"/>
    </row>
    <row r="933" spans="7:7">
      <c r="G933" s="14"/>
    </row>
    <row r="934" spans="7:7">
      <c r="G934" s="14"/>
    </row>
    <row r="935" spans="7:7">
      <c r="G935" s="14"/>
    </row>
    <row r="936" spans="7:7">
      <c r="G936" s="14"/>
    </row>
    <row r="937" spans="7:7">
      <c r="G937" s="14"/>
    </row>
    <row r="938" spans="7:7">
      <c r="G938" s="14"/>
    </row>
    <row r="939" spans="7:7">
      <c r="G939" s="14"/>
    </row>
    <row r="940" spans="7:7">
      <c r="G940" s="14"/>
    </row>
    <row r="941" spans="7:7">
      <c r="G941" s="14"/>
    </row>
    <row r="942" spans="7:7">
      <c r="G942" s="14"/>
    </row>
    <row r="943" spans="7:7">
      <c r="G943" s="14"/>
    </row>
    <row r="944" spans="7:7">
      <c r="G944" s="14"/>
    </row>
    <row r="945" spans="7:7">
      <c r="G945" s="14"/>
    </row>
    <row r="946" spans="7:7">
      <c r="G946" s="14"/>
    </row>
    <row r="947" spans="7:7">
      <c r="G947" s="14"/>
    </row>
    <row r="948" spans="7:7">
      <c r="G948" s="14"/>
    </row>
    <row r="949" spans="7:7">
      <c r="G949" s="14"/>
    </row>
    <row r="950" spans="7:7">
      <c r="G950" s="14"/>
    </row>
    <row r="951" spans="7:7">
      <c r="G951" s="14"/>
    </row>
    <row r="952" spans="7:7">
      <c r="G952" s="14"/>
    </row>
    <row r="953" spans="7:7">
      <c r="G953" s="14"/>
    </row>
    <row r="954" spans="7:7">
      <c r="G954" s="14"/>
    </row>
    <row r="955" spans="7:7">
      <c r="G955" s="14"/>
    </row>
    <row r="956" spans="7:7">
      <c r="G956" s="14"/>
    </row>
    <row r="957" spans="7:7">
      <c r="G957" s="14"/>
    </row>
    <row r="958" spans="7:7">
      <c r="G958" s="14"/>
    </row>
    <row r="959" spans="7:7">
      <c r="G959" s="14"/>
    </row>
    <row r="960" spans="7:7">
      <c r="G960" s="14"/>
    </row>
    <row r="961" spans="7:7">
      <c r="G961" s="14"/>
    </row>
    <row r="962" spans="7:7">
      <c r="G962" s="14"/>
    </row>
    <row r="963" spans="7:7">
      <c r="G963" s="14"/>
    </row>
    <row r="964" spans="7:7">
      <c r="G964" s="14"/>
    </row>
    <row r="965" spans="7:7">
      <c r="G965" s="14"/>
    </row>
    <row r="966" spans="7:7">
      <c r="G966" s="14"/>
    </row>
    <row r="967" spans="7:7">
      <c r="G967" s="14"/>
    </row>
    <row r="968" spans="7:7">
      <c r="G968" s="14"/>
    </row>
    <row r="969" spans="7:7">
      <c r="G969" s="14"/>
    </row>
    <row r="970" spans="7:7">
      <c r="G970" s="14"/>
    </row>
    <row r="971" spans="7:7">
      <c r="G971" s="14"/>
    </row>
    <row r="972" spans="7:7">
      <c r="G972" s="14"/>
    </row>
    <row r="973" spans="7:7">
      <c r="G973" s="14"/>
    </row>
    <row r="974" spans="7:7">
      <c r="G974" s="14"/>
    </row>
    <row r="975" spans="7:7">
      <c r="G975" s="14"/>
    </row>
    <row r="976" spans="7:7">
      <c r="G976" s="14"/>
    </row>
    <row r="977" spans="7:7">
      <c r="G977" s="14"/>
    </row>
    <row r="978" spans="7:7">
      <c r="G978" s="14"/>
    </row>
    <row r="979" spans="7:7">
      <c r="G979" s="14"/>
    </row>
    <row r="980" spans="7:7">
      <c r="G980" s="14"/>
    </row>
    <row r="981" spans="7:7">
      <c r="G981" s="14"/>
    </row>
    <row r="982" spans="7:7">
      <c r="G982" s="14"/>
    </row>
    <row r="983" spans="7:7">
      <c r="G983" s="14"/>
    </row>
    <row r="984" spans="7:7">
      <c r="G984" s="14"/>
    </row>
    <row r="985" spans="7:7">
      <c r="G985" s="14"/>
    </row>
    <row r="986" spans="7:7">
      <c r="G986" s="14"/>
    </row>
    <row r="987" spans="7:7">
      <c r="G987" s="14"/>
    </row>
    <row r="988" spans="7:7">
      <c r="G988" s="14"/>
    </row>
    <row r="989" spans="7:7">
      <c r="G989" s="14"/>
    </row>
    <row r="990" spans="7:7">
      <c r="G990" s="14"/>
    </row>
    <row r="991" spans="7:7">
      <c r="G991" s="14"/>
    </row>
    <row r="992" spans="7:7">
      <c r="G992" s="14"/>
    </row>
    <row r="993" spans="7:7">
      <c r="G993" s="14"/>
    </row>
    <row r="994" spans="7:7">
      <c r="G994" s="14"/>
    </row>
    <row r="995" spans="7:7">
      <c r="G995" s="14"/>
    </row>
    <row r="996" spans="7:7">
      <c r="G996" s="14"/>
    </row>
    <row r="997" spans="7:7">
      <c r="G997" s="14"/>
    </row>
    <row r="998" spans="7:7">
      <c r="G998" s="14"/>
    </row>
    <row r="999" spans="7:7">
      <c r="G999" s="14"/>
    </row>
    <row r="1000" spans="7:7">
      <c r="G1000" s="14"/>
    </row>
    <row r="1001" spans="7:7">
      <c r="G1001" s="14"/>
    </row>
    <row r="1002" spans="7:7">
      <c r="G1002" s="14"/>
    </row>
    <row r="1003" spans="7:7">
      <c r="G1003" s="14"/>
    </row>
    <row r="1004" spans="7:7">
      <c r="G1004" s="14"/>
    </row>
    <row r="1005" spans="7:7">
      <c r="G1005" s="14"/>
    </row>
    <row r="1006" spans="7:7">
      <c r="G1006" s="14"/>
    </row>
    <row r="1007" spans="7:7">
      <c r="G1007" s="14"/>
    </row>
    <row r="1008" spans="7:7">
      <c r="G1008" s="14"/>
    </row>
    <row r="1009" spans="7:7">
      <c r="G1009" s="14"/>
    </row>
    <row r="1010" spans="7:7">
      <c r="G1010" s="14"/>
    </row>
    <row r="1011" spans="7:7">
      <c r="G1011" s="14"/>
    </row>
    <row r="1012" spans="7:7">
      <c r="G1012" s="14"/>
    </row>
    <row r="1013" spans="7:7">
      <c r="G1013" s="14"/>
    </row>
    <row r="1014" spans="7:7">
      <c r="G1014" s="14"/>
    </row>
    <row r="1015" spans="7:7">
      <c r="G1015" s="14"/>
    </row>
    <row r="1016" spans="7:7">
      <c r="G1016" s="14"/>
    </row>
    <row r="1017" spans="7:7">
      <c r="G1017" s="14"/>
    </row>
    <row r="1018" spans="7:7">
      <c r="G1018" s="14"/>
    </row>
    <row r="1019" spans="7:7">
      <c r="G1019" s="14"/>
    </row>
    <row r="1020" spans="7:7">
      <c r="G1020" s="14"/>
    </row>
    <row r="1021" spans="7:7">
      <c r="G1021" s="14"/>
    </row>
    <row r="1022" spans="7:7">
      <c r="G1022" s="14"/>
    </row>
    <row r="1023" spans="7:7">
      <c r="G1023" s="14"/>
    </row>
    <row r="1024" spans="7:7">
      <c r="G1024" s="14"/>
    </row>
    <row r="1025" spans="7:7">
      <c r="G1025" s="14"/>
    </row>
    <row r="1026" spans="7:7">
      <c r="G1026" s="14"/>
    </row>
    <row r="1027" spans="7:7">
      <c r="G1027" s="14"/>
    </row>
    <row r="1028" spans="7:7">
      <c r="G1028" s="14"/>
    </row>
    <row r="1029" spans="7:7">
      <c r="G1029" s="14"/>
    </row>
    <row r="1030" spans="7:7">
      <c r="G1030" s="14"/>
    </row>
    <row r="1031" spans="7:7">
      <c r="G1031" s="14"/>
    </row>
    <row r="1032" spans="7:7">
      <c r="G1032" s="14"/>
    </row>
    <row r="1033" spans="7:7">
      <c r="G1033" s="14"/>
    </row>
    <row r="1034" spans="7:7">
      <c r="G1034" s="14"/>
    </row>
    <row r="1035" spans="7:7">
      <c r="G1035" s="14"/>
    </row>
    <row r="1036" spans="7:7">
      <c r="G1036" s="14"/>
    </row>
    <row r="1037" spans="7:7">
      <c r="G1037" s="14"/>
    </row>
    <row r="1038" spans="7:7">
      <c r="G1038" s="14"/>
    </row>
    <row r="1039" spans="7:7">
      <c r="G1039" s="14"/>
    </row>
    <row r="1040" spans="7:7">
      <c r="G1040" s="14"/>
    </row>
    <row r="1041" spans="7:7">
      <c r="G1041" s="14"/>
    </row>
    <row r="1042" spans="7:7">
      <c r="G1042" s="14"/>
    </row>
    <row r="1043" spans="7:7">
      <c r="G1043" s="14"/>
    </row>
    <row r="1044" spans="7:7">
      <c r="G1044" s="14"/>
    </row>
    <row r="1045" spans="7:7">
      <c r="G1045" s="14"/>
    </row>
    <row r="1046" spans="7:7">
      <c r="G1046" s="14"/>
    </row>
    <row r="1047" spans="7:7">
      <c r="G1047" s="14"/>
    </row>
    <row r="1048" spans="7:7">
      <c r="G1048" s="14"/>
    </row>
    <row r="1049" spans="7:7">
      <c r="G1049" s="14"/>
    </row>
    <row r="1050" spans="7:7">
      <c r="G1050" s="14"/>
    </row>
    <row r="1051" spans="7:7">
      <c r="G1051" s="14"/>
    </row>
    <row r="1052" spans="7:7">
      <c r="G1052" s="14"/>
    </row>
    <row r="1053" spans="7:7">
      <c r="G1053" s="14"/>
    </row>
    <row r="1054" spans="7:7">
      <c r="G1054" s="14"/>
    </row>
    <row r="1055" spans="7:7">
      <c r="G1055" s="14"/>
    </row>
    <row r="1056" spans="7:7">
      <c r="G1056" s="14"/>
    </row>
    <row r="1057" spans="7:7">
      <c r="G1057" s="14"/>
    </row>
    <row r="1058" spans="7:7">
      <c r="G1058" s="14"/>
    </row>
    <row r="1059" spans="7:7">
      <c r="G1059" s="14"/>
    </row>
    <row r="1060" spans="7:7">
      <c r="G1060" s="14"/>
    </row>
    <row r="1061" spans="7:7">
      <c r="G1061" s="14"/>
    </row>
    <row r="1062" spans="7:7">
      <c r="G1062" s="14"/>
    </row>
    <row r="1063" spans="7:7">
      <c r="G1063" s="14"/>
    </row>
    <row r="1064" spans="7:7">
      <c r="G1064" s="14"/>
    </row>
    <row r="1065" spans="7:7">
      <c r="G1065" s="14"/>
    </row>
    <row r="1066" spans="7:7">
      <c r="G1066" s="14"/>
    </row>
    <row r="1067" spans="7:7">
      <c r="G1067" s="14"/>
    </row>
    <row r="1068" spans="7:7">
      <c r="G1068" s="14"/>
    </row>
    <row r="1069" spans="7:7">
      <c r="G1069" s="14"/>
    </row>
    <row r="1070" spans="7:7">
      <c r="G1070" s="14"/>
    </row>
    <row r="1071" spans="7:7">
      <c r="G1071" s="14"/>
    </row>
    <row r="1072" spans="7:7">
      <c r="G1072" s="14"/>
    </row>
    <row r="1073" spans="7:7">
      <c r="G1073" s="14"/>
    </row>
    <row r="1074" spans="7:7">
      <c r="G1074" s="14"/>
    </row>
    <row r="1075" spans="7:7">
      <c r="G1075" s="14"/>
    </row>
    <row r="1076" spans="7:7">
      <c r="G1076" s="14"/>
    </row>
    <row r="1077" spans="7:7">
      <c r="G1077" s="14"/>
    </row>
    <row r="1078" spans="7:7">
      <c r="G1078" s="14"/>
    </row>
    <row r="1079" spans="7:7">
      <c r="G1079" s="14"/>
    </row>
    <row r="1080" spans="7:7">
      <c r="G1080" s="14"/>
    </row>
    <row r="1081" spans="7:7">
      <c r="G1081" s="14"/>
    </row>
    <row r="1082" spans="7:7">
      <c r="G1082" s="14"/>
    </row>
    <row r="1083" spans="7:7">
      <c r="G1083" s="14"/>
    </row>
    <row r="1084" spans="7:7">
      <c r="G1084" s="14"/>
    </row>
    <row r="1085" spans="7:7">
      <c r="G1085" s="14"/>
    </row>
    <row r="1086" spans="7:7">
      <c r="G1086" s="14"/>
    </row>
    <row r="1087" spans="7:7">
      <c r="G1087" s="14"/>
    </row>
    <row r="1088" spans="7:7">
      <c r="G1088" s="14"/>
    </row>
    <row r="1089" spans="7:7">
      <c r="G1089" s="14"/>
    </row>
    <row r="1090" spans="7:7">
      <c r="G1090" s="14"/>
    </row>
    <row r="1091" spans="7:7">
      <c r="G1091" s="14"/>
    </row>
    <row r="1092" spans="7:7">
      <c r="G1092" s="14"/>
    </row>
    <row r="1093" spans="7:7">
      <c r="G1093" s="14"/>
    </row>
    <row r="1094" spans="7:7">
      <c r="G1094" s="14"/>
    </row>
    <row r="1095" spans="7:7">
      <c r="G1095" s="14"/>
    </row>
    <row r="1096" spans="7:7">
      <c r="G1096" s="14"/>
    </row>
    <row r="1097" spans="7:7">
      <c r="G1097" s="14"/>
    </row>
    <row r="1098" spans="7:7">
      <c r="G1098" s="14"/>
    </row>
    <row r="1099" spans="7:7">
      <c r="G1099" s="14"/>
    </row>
    <row r="1100" spans="7:7">
      <c r="G1100" s="14"/>
    </row>
    <row r="1101" spans="7:7">
      <c r="G1101" s="14"/>
    </row>
  </sheetData>
  <phoneticPr fontId="3" type="noConversion"/>
  <conditionalFormatting sqref="K32:K131 K134:K484">
    <cfRule type="expression" dxfId="11" priority="2">
      <formula>LEFT(A32,2)="TU"</formula>
    </cfRule>
  </conditionalFormatting>
  <conditionalFormatting sqref="K132:K133">
    <cfRule type="expression" dxfId="10" priority="1">
      <formula>LEFT(A132,2)="TU"</formula>
    </cfRule>
  </conditionalFormatting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A1:S663"/>
  <sheetViews>
    <sheetView topLeftCell="A20" zoomScaleNormal="100" workbookViewId="0">
      <selection activeCell="B43" sqref="B43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319</v>
      </c>
      <c r="F1" s="2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307</v>
      </c>
      <c r="S2" s="131" t="s">
        <v>21</v>
      </c>
    </row>
    <row r="3" spans="1:19" s="93" customFormat="1">
      <c r="A3" s="690" t="s">
        <v>507</v>
      </c>
      <c r="B3" s="691">
        <v>44426</v>
      </c>
      <c r="C3" s="691"/>
      <c r="D3" s="692"/>
      <c r="E3" s="693">
        <v>0</v>
      </c>
      <c r="F3" s="693"/>
      <c r="G3" s="694">
        <f>-LOOKUP(A3,'market px'!K$2:K$497,'market px'!M$2:M$497)*E3/1000000</f>
        <v>0</v>
      </c>
      <c r="H3" s="695"/>
      <c r="I3" s="696">
        <v>104.1588</v>
      </c>
      <c r="J3" s="697">
        <f>VLOOKUP(A3,'market px'!K$2:P$80,6,FALSE)</f>
        <v>104.7786</v>
      </c>
      <c r="K3" s="698">
        <f>(J3-I3)*E3/100</f>
        <v>0</v>
      </c>
      <c r="L3" s="727"/>
      <c r="S3" s="131"/>
    </row>
    <row r="4" spans="1:19" s="93" customFormat="1">
      <c r="A4" s="690" t="s">
        <v>398</v>
      </c>
      <c r="B4" s="691">
        <v>44187</v>
      </c>
      <c r="C4" s="691"/>
      <c r="D4" s="692"/>
      <c r="E4" s="693">
        <v>0</v>
      </c>
      <c r="F4" s="693"/>
      <c r="G4" s="694">
        <f>-LOOKUP(A4,'market px'!K$2:K$497,'market px'!M$2:M$497)*E4/1000000</f>
        <v>0</v>
      </c>
      <c r="H4" s="695"/>
      <c r="I4" s="696">
        <v>100.42570000000001</v>
      </c>
      <c r="J4" s="697">
        <f>VLOOKUP(A4,'market px'!K$2:P$80,6,FALSE)</f>
        <v>100.42570000000001</v>
      </c>
      <c r="K4" s="698">
        <f>(J4-I4)*E4/100</f>
        <v>0</v>
      </c>
      <c r="L4" s="727"/>
      <c r="S4" s="131"/>
    </row>
    <row r="5" spans="1:19" s="93" customFormat="1">
      <c r="A5" s="690" t="s">
        <v>402</v>
      </c>
      <c r="B5" s="691">
        <v>44196</v>
      </c>
      <c r="C5" s="691"/>
      <c r="D5" s="692"/>
      <c r="E5" s="693">
        <v>0</v>
      </c>
      <c r="F5" s="693"/>
      <c r="G5" s="694">
        <f>-LOOKUP(A5,'market px'!K$2:K$497,'market px'!M$2:M$497)*E5/1000000</f>
        <v>0</v>
      </c>
      <c r="H5" s="695"/>
      <c r="I5" s="696">
        <v>100.33669999999999</v>
      </c>
      <c r="J5" s="697">
        <f>VLOOKUP(A5,'market px'!K$2:P$80,6,FALSE)</f>
        <v>100.33669999999999</v>
      </c>
      <c r="K5" s="698">
        <f>(J5-I5)*E5/100</f>
        <v>0</v>
      </c>
      <c r="L5" s="727"/>
      <c r="S5" s="131"/>
    </row>
    <row r="6" spans="1:19" s="93" customFormat="1">
      <c r="A6" s="690" t="s">
        <v>363</v>
      </c>
      <c r="B6" s="691">
        <v>44231</v>
      </c>
      <c r="C6" s="691"/>
      <c r="D6" s="692"/>
      <c r="E6" s="693">
        <v>0</v>
      </c>
      <c r="F6" s="693"/>
      <c r="G6" s="694">
        <f>-LOOKUP(A6,'market px'!K$2:K$497,'market px'!M$2:M$497)*E6/1000000</f>
        <v>0</v>
      </c>
      <c r="H6" s="695"/>
      <c r="I6" s="696">
        <v>97.667400000000001</v>
      </c>
      <c r="J6" s="697">
        <f>VLOOKUP(A6,'market px'!K$2:P$80,6,FALSE)</f>
        <v>97.667400000000001</v>
      </c>
      <c r="K6" s="698">
        <f>(J6-I6)*E6/100</f>
        <v>0</v>
      </c>
      <c r="L6" s="727"/>
      <c r="S6" s="131"/>
    </row>
    <row r="7" spans="1:19" s="102" customFormat="1">
      <c r="A7" s="690"/>
      <c r="B7" s="691"/>
      <c r="C7" s="691"/>
      <c r="D7" s="692"/>
      <c r="E7" s="693"/>
      <c r="F7" s="693"/>
      <c r="G7" s="694"/>
      <c r="H7" s="695"/>
      <c r="I7" s="696"/>
      <c r="J7" s="697"/>
      <c r="K7" s="698"/>
      <c r="L7" s="727"/>
      <c r="M7" s="93"/>
      <c r="N7" s="93"/>
      <c r="O7" s="93"/>
      <c r="P7" s="93"/>
      <c r="Q7" s="93"/>
      <c r="S7" s="103"/>
    </row>
    <row r="8" spans="1:19" s="102" customFormat="1" hidden="1">
      <c r="A8" s="690"/>
      <c r="B8" s="691"/>
      <c r="C8" s="691"/>
      <c r="D8" s="692"/>
      <c r="E8" s="693"/>
      <c r="F8" s="693"/>
      <c r="G8" s="694"/>
      <c r="H8" s="695"/>
      <c r="I8" s="696"/>
      <c r="J8" s="697">
        <v>100.5252</v>
      </c>
      <c r="K8" s="698"/>
      <c r="L8" s="727"/>
      <c r="M8" s="93"/>
      <c r="N8" s="93"/>
      <c r="O8" s="93"/>
      <c r="P8" s="93"/>
      <c r="Q8" s="93"/>
      <c r="S8" s="103"/>
    </row>
    <row r="9" spans="1:19" s="102" customFormat="1" hidden="1">
      <c r="A9" s="690"/>
      <c r="B9" s="691"/>
      <c r="C9" s="691"/>
      <c r="D9" s="692"/>
      <c r="E9" s="693"/>
      <c r="F9" s="693"/>
      <c r="G9" s="694"/>
      <c r="H9" s="695"/>
      <c r="I9" s="696"/>
      <c r="J9" s="697">
        <v>100.5252</v>
      </c>
      <c r="K9" s="698"/>
      <c r="L9" s="727"/>
      <c r="M9" s="93"/>
      <c r="N9" s="93"/>
      <c r="O9" s="93"/>
      <c r="P9" s="93"/>
      <c r="Q9" s="93"/>
      <c r="S9" s="103"/>
    </row>
    <row r="10" spans="1:19" s="102" customFormat="1" hidden="1">
      <c r="A10" s="690"/>
      <c r="B10" s="691"/>
      <c r="C10" s="691"/>
      <c r="D10" s="692"/>
      <c r="E10" s="693"/>
      <c r="F10" s="693"/>
      <c r="G10" s="694"/>
      <c r="H10" s="695"/>
      <c r="I10" s="696"/>
      <c r="J10" s="697"/>
      <c r="K10" s="698"/>
      <c r="L10" s="693"/>
      <c r="M10" s="93"/>
      <c r="N10" s="93"/>
      <c r="O10" s="93"/>
      <c r="P10" s="93"/>
      <c r="Q10" s="93"/>
      <c r="S10" s="103"/>
    </row>
    <row r="11" spans="1:19" s="116" customFormat="1" hidden="1">
      <c r="A11" s="690"/>
      <c r="B11" s="691"/>
      <c r="C11" s="691"/>
      <c r="D11" s="699"/>
      <c r="E11" s="693"/>
      <c r="F11" s="693"/>
      <c r="G11" s="694"/>
      <c r="H11" s="695"/>
      <c r="I11" s="696"/>
      <c r="J11" s="697"/>
      <c r="K11" s="698"/>
      <c r="L11" s="693"/>
      <c r="S11" s="320"/>
    </row>
    <row r="12" spans="1:19" s="116" customFormat="1" hidden="1">
      <c r="A12" s="690"/>
      <c r="B12" s="691"/>
      <c r="C12" s="691"/>
      <c r="D12" s="699"/>
      <c r="E12" s="693"/>
      <c r="F12" s="693"/>
      <c r="G12" s="694"/>
      <c r="H12" s="695"/>
      <c r="I12" s="696"/>
      <c r="J12" s="697"/>
      <c r="K12" s="698"/>
      <c r="L12" s="693"/>
      <c r="S12" s="117"/>
    </row>
    <row r="13" spans="1:19" s="116" customFormat="1" hidden="1">
      <c r="A13" s="690"/>
      <c r="B13" s="691"/>
      <c r="C13" s="691"/>
      <c r="D13" s="699"/>
      <c r="E13" s="693"/>
      <c r="F13" s="693"/>
      <c r="G13" s="694"/>
      <c r="H13" s="695"/>
      <c r="I13" s="696"/>
      <c r="J13" s="697"/>
      <c r="K13" s="698"/>
      <c r="L13" s="693"/>
      <c r="S13" s="117"/>
    </row>
    <row r="14" spans="1:19" s="93" customFormat="1" hidden="1">
      <c r="A14" s="690"/>
      <c r="B14" s="700"/>
      <c r="C14" s="691"/>
      <c r="D14" s="701"/>
      <c r="E14" s="702"/>
      <c r="F14" s="693"/>
      <c r="G14" s="694"/>
      <c r="H14" s="703"/>
      <c r="I14" s="704"/>
      <c r="J14" s="697"/>
      <c r="K14" s="698"/>
      <c r="L14" s="693"/>
    </row>
    <row r="15" spans="1:19" s="93" customFormat="1" hidden="1">
      <c r="A15" s="690"/>
      <c r="B15" s="700"/>
      <c r="C15" s="691"/>
      <c r="D15" s="701"/>
      <c r="E15" s="702"/>
      <c r="F15" s="693"/>
      <c r="G15" s="694"/>
      <c r="H15" s="703"/>
      <c r="I15" s="704"/>
      <c r="J15" s="697"/>
      <c r="K15" s="698"/>
      <c r="L15" s="693"/>
      <c r="S15" s="131" t="s">
        <v>21</v>
      </c>
    </row>
    <row r="16" spans="1:19" s="102" customFormat="1" hidden="1">
      <c r="A16" s="690"/>
      <c r="B16" s="700"/>
      <c r="C16" s="700"/>
      <c r="D16" s="701"/>
      <c r="E16" s="705"/>
      <c r="F16" s="693"/>
      <c r="G16" s="694"/>
      <c r="H16" s="706"/>
      <c r="I16" s="704"/>
      <c r="J16" s="697"/>
      <c r="K16" s="698"/>
      <c r="L16" s="693"/>
      <c r="M16" s="93"/>
      <c r="N16" s="93"/>
      <c r="O16" s="93"/>
      <c r="P16" s="93"/>
      <c r="Q16" s="93"/>
      <c r="S16" s="103"/>
    </row>
    <row r="17" spans="1:19">
      <c r="A17" s="111" t="s">
        <v>166</v>
      </c>
      <c r="B17" s="313"/>
      <c r="C17" s="313"/>
      <c r="D17" s="539"/>
      <c r="E17" s="314">
        <f>SUM(E3:E16)</f>
        <v>0</v>
      </c>
      <c r="F17" s="314"/>
      <c r="G17" s="316">
        <f>SUM(G3:G16)</f>
        <v>0</v>
      </c>
      <c r="H17" s="479"/>
      <c r="I17" s="323"/>
      <c r="J17" s="318"/>
      <c r="K17" s="316">
        <f>SUM(K3:K16)</f>
        <v>0</v>
      </c>
      <c r="L17" s="316"/>
    </row>
    <row r="18" spans="1:19" s="102" customFormat="1">
      <c r="A18" t="s">
        <v>162</v>
      </c>
      <c r="B18" s="14"/>
      <c r="C18" s="14"/>
      <c r="D18" s="534"/>
      <c r="E18" s="2"/>
      <c r="F18" s="14"/>
      <c r="G18"/>
      <c r="H18" s="474"/>
      <c r="I18" s="44"/>
      <c r="J18" s="44"/>
      <c r="K18"/>
      <c r="L18" s="377"/>
      <c r="M18" s="93"/>
      <c r="N18" s="93"/>
      <c r="O18" s="93"/>
      <c r="P18" s="93"/>
      <c r="Q18" s="93"/>
      <c r="S18" s="103"/>
    </row>
    <row r="19" spans="1:19" s="102" customFormat="1">
      <c r="A19" s="206" t="s">
        <v>234</v>
      </c>
      <c r="B19" s="207" t="s">
        <v>176</v>
      </c>
      <c r="C19" s="207" t="s">
        <v>171</v>
      </c>
      <c r="D19" s="535" t="s">
        <v>170</v>
      </c>
      <c r="E19" s="208" t="s">
        <v>11</v>
      </c>
      <c r="F19" s="207" t="s">
        <v>2</v>
      </c>
      <c r="G19" s="209" t="s">
        <v>12</v>
      </c>
      <c r="H19" s="482" t="s">
        <v>18</v>
      </c>
      <c r="I19" s="209" t="s">
        <v>210</v>
      </c>
      <c r="J19" s="207" t="s">
        <v>211</v>
      </c>
      <c r="K19" s="260" t="s">
        <v>212</v>
      </c>
      <c r="L19" s="377"/>
      <c r="M19" s="93"/>
      <c r="N19" s="93"/>
      <c r="O19" s="93"/>
      <c r="P19" s="93"/>
      <c r="Q19" s="93"/>
      <c r="S19" s="103"/>
    </row>
    <row r="20" spans="1:19" s="102" customFormat="1">
      <c r="A20" s="87" t="s">
        <v>346</v>
      </c>
      <c r="B20" s="122">
        <v>43882</v>
      </c>
      <c r="C20" s="122"/>
      <c r="D20" s="536"/>
      <c r="E20" s="88">
        <v>0</v>
      </c>
      <c r="F20" s="122">
        <v>47529</v>
      </c>
      <c r="G20" s="550">
        <f>-LOOKUP(A20,'market px'!K$2:K$497,'market px'!M$2:M$497)*E20/1000000</f>
        <v>0</v>
      </c>
      <c r="H20" s="475" t="s">
        <v>23</v>
      </c>
      <c r="I20" s="396">
        <v>100</v>
      </c>
      <c r="J20" s="129">
        <f>LOOKUP(A20,'market px'!K$2:K$497,'market px'!P$2:$P$497)</f>
        <v>98.219200000000001</v>
      </c>
      <c r="K20" s="104">
        <f t="shared" ref="K20:K25" si="0">(J20-I20)*E20/100</f>
        <v>0</v>
      </c>
      <c r="L20" s="382"/>
      <c r="M20" s="93"/>
      <c r="N20" s="93"/>
      <c r="O20" s="93"/>
      <c r="P20" s="93"/>
      <c r="Q20" s="93"/>
      <c r="S20" s="103"/>
    </row>
    <row r="21" spans="1:19" s="116" customFormat="1">
      <c r="A21" s="87" t="s">
        <v>301</v>
      </c>
      <c r="B21" s="122">
        <v>38853</v>
      </c>
      <c r="C21" s="122"/>
      <c r="D21" s="536"/>
      <c r="E21" s="88">
        <f>1000000*0</f>
        <v>0</v>
      </c>
      <c r="F21" s="122">
        <v>42505</v>
      </c>
      <c r="G21" s="550">
        <f>-LOOKUP(A21,'market px'!K$2:K$497,'market px'!M$2:M$497)*E21/1000000</f>
        <v>0</v>
      </c>
      <c r="H21" s="475" t="s">
        <v>23</v>
      </c>
      <c r="I21" s="129">
        <v>95.90234375</v>
      </c>
      <c r="J21" s="129">
        <f>LOOKUP(A21,'market px'!K$2:K$497,'market px'!P$2:$P$497)</f>
        <v>98.219200000000001</v>
      </c>
      <c r="K21" s="104">
        <f t="shared" si="0"/>
        <v>0</v>
      </c>
      <c r="L21" s="382"/>
      <c r="S21" s="320"/>
    </row>
    <row r="22" spans="1:19" s="116" customFormat="1">
      <c r="A22" s="262" t="s">
        <v>301</v>
      </c>
      <c r="B22" s="265">
        <v>38839</v>
      </c>
      <c r="C22" s="265"/>
      <c r="D22" s="537"/>
      <c r="E22" s="266">
        <f>1000000*0</f>
        <v>0</v>
      </c>
      <c r="F22" s="265">
        <v>39568</v>
      </c>
      <c r="G22" s="551">
        <f>-LOOKUP(A22,'market px'!K$2:K$497,'market px'!M$2:M$497)*E22/1000000</f>
        <v>0</v>
      </c>
      <c r="H22" s="476"/>
      <c r="I22" s="268">
        <v>99.875</v>
      </c>
      <c r="J22" s="268">
        <f>LOOKUP(A22,'market px'!K$2:K$497,'market px'!P$2:$P$497)</f>
        <v>98.219200000000001</v>
      </c>
      <c r="K22" s="269">
        <f t="shared" si="0"/>
        <v>0</v>
      </c>
      <c r="L22" s="382"/>
      <c r="S22" s="117"/>
    </row>
    <row r="23" spans="1:19" s="532" customFormat="1">
      <c r="A23" s="262" t="s">
        <v>301</v>
      </c>
      <c r="B23" s="265">
        <v>38839</v>
      </c>
      <c r="C23" s="265"/>
      <c r="D23" s="537"/>
      <c r="E23" s="266">
        <f>1000000*0</f>
        <v>0</v>
      </c>
      <c r="F23" s="265">
        <v>39568</v>
      </c>
      <c r="G23" s="551">
        <f>-LOOKUP(A23,'market px'!K$2:K$497,'market px'!M$2:M$497)*E23/1000000</f>
        <v>0</v>
      </c>
      <c r="H23" s="476" t="s">
        <v>21</v>
      </c>
      <c r="I23" s="268">
        <v>99.875</v>
      </c>
      <c r="J23" s="268">
        <f>LOOKUP(A23,'market px'!K$2:K$497,'market px'!P$2:$P$497)</f>
        <v>98.219200000000001</v>
      </c>
      <c r="K23" s="269">
        <f t="shared" si="0"/>
        <v>0</v>
      </c>
      <c r="L23" s="382"/>
      <c r="S23" s="533"/>
    </row>
    <row r="24" spans="1:19" s="116" customFormat="1">
      <c r="A24" s="110" t="s">
        <v>301</v>
      </c>
      <c r="B24" s="113">
        <v>38839</v>
      </c>
      <c r="C24" s="113"/>
      <c r="D24" s="538"/>
      <c r="E24" s="114">
        <f>1000000*0</f>
        <v>0</v>
      </c>
      <c r="F24" s="113">
        <v>39568</v>
      </c>
      <c r="G24" s="552">
        <f>-LOOKUP(A24,'market px'!K$2:K$497,'market px'!M$2:M$497)*E24/1000000</f>
        <v>0</v>
      </c>
      <c r="H24" s="477" t="s">
        <v>23</v>
      </c>
      <c r="I24" s="319">
        <v>99.875</v>
      </c>
      <c r="J24" s="319">
        <f>LOOKUP(A24,'market px'!K$2:K$497,'market px'!P$2:$P$497)</f>
        <v>98.219200000000001</v>
      </c>
      <c r="K24" s="261">
        <f t="shared" si="0"/>
        <v>0</v>
      </c>
      <c r="L24" s="382"/>
      <c r="S24" s="117"/>
    </row>
    <row r="25" spans="1:19" s="93" customFormat="1">
      <c r="A25" s="110" t="s">
        <v>301</v>
      </c>
      <c r="B25" s="113">
        <v>38839</v>
      </c>
      <c r="C25" s="113"/>
      <c r="D25" s="538"/>
      <c r="E25" s="114">
        <f>1000000*0</f>
        <v>0</v>
      </c>
      <c r="F25" s="113">
        <v>42019</v>
      </c>
      <c r="G25" s="552">
        <f>-LOOKUP(A25,'market px'!K$2:K$497,'market px'!M$2:M$497)*E25/1000000</f>
        <v>0</v>
      </c>
      <c r="H25" s="478" t="s">
        <v>23</v>
      </c>
      <c r="I25" s="319">
        <v>99.875</v>
      </c>
      <c r="J25" s="319">
        <f>LOOKUP(A25,'market px'!K$2:K$497,'market px'!P$2:$P$497)</f>
        <v>98.219200000000001</v>
      </c>
      <c r="K25" s="261">
        <f t="shared" si="0"/>
        <v>0</v>
      </c>
      <c r="L25" s="382"/>
      <c r="M25"/>
      <c r="N25"/>
      <c r="O25"/>
      <c r="P25"/>
      <c r="Q25"/>
      <c r="S25" s="131" t="s">
        <v>21</v>
      </c>
    </row>
    <row r="26" spans="1:19" s="93" customFormat="1">
      <c r="A26" s="111"/>
      <c r="B26" s="313"/>
      <c r="C26" s="313"/>
      <c r="D26" s="539"/>
      <c r="E26" s="314"/>
      <c r="F26" s="313"/>
      <c r="G26" s="780"/>
      <c r="H26" s="479"/>
      <c r="I26" s="323"/>
      <c r="J26" s="323"/>
      <c r="K26" s="781"/>
      <c r="L26" s="382"/>
      <c r="M26"/>
      <c r="N26"/>
      <c r="O26"/>
      <c r="P26"/>
      <c r="Q26"/>
      <c r="S26" s="131"/>
    </row>
    <row r="27" spans="1:19" s="93" customFormat="1">
      <c r="A27" s="111" t="s">
        <v>166</v>
      </c>
      <c r="B27" s="313"/>
      <c r="C27" s="313"/>
      <c r="D27" s="539"/>
      <c r="E27" s="314">
        <f>SUM(E20:E25)</f>
        <v>0</v>
      </c>
      <c r="F27" s="313"/>
      <c r="G27" s="316">
        <f>SUM(G20:G25)</f>
        <v>0</v>
      </c>
      <c r="H27" s="479"/>
      <c r="I27" s="323"/>
      <c r="J27" s="318"/>
      <c r="K27" s="316">
        <f>SUM(K20:K25)</f>
        <v>0</v>
      </c>
      <c r="L27" s="383"/>
    </row>
    <row r="28" spans="1:19" s="93" customFormat="1">
      <c r="A28" s="93" t="s">
        <v>163</v>
      </c>
      <c r="B28" s="97"/>
      <c r="C28" s="97"/>
      <c r="D28" s="540"/>
      <c r="E28" s="100"/>
      <c r="F28" s="97"/>
      <c r="H28" s="480"/>
      <c r="I28" s="99"/>
      <c r="J28" s="99"/>
      <c r="L28" s="377"/>
    </row>
    <row r="29" spans="1:19" s="93" customFormat="1">
      <c r="A29" s="206" t="s">
        <v>234</v>
      </c>
      <c r="B29" s="207" t="s">
        <v>7</v>
      </c>
      <c r="C29" s="207" t="s">
        <v>171</v>
      </c>
      <c r="D29" s="535" t="s">
        <v>170</v>
      </c>
      <c r="E29" s="208" t="s">
        <v>11</v>
      </c>
      <c r="F29" s="207" t="s">
        <v>2</v>
      </c>
      <c r="G29" s="209" t="s">
        <v>12</v>
      </c>
      <c r="H29" s="482" t="s">
        <v>18</v>
      </c>
      <c r="I29" s="209" t="s">
        <v>213</v>
      </c>
      <c r="J29" s="207" t="s">
        <v>214</v>
      </c>
      <c r="K29" s="260" t="s">
        <v>215</v>
      </c>
      <c r="L29" s="377"/>
    </row>
    <row r="30" spans="1:19" s="270" customFormat="1">
      <c r="A30" s="87" t="s">
        <v>301</v>
      </c>
      <c r="B30" s="122">
        <v>38898</v>
      </c>
      <c r="C30" s="122"/>
      <c r="D30" s="536"/>
      <c r="E30" s="88">
        <f t="shared" ref="E30:E35" si="1">1000000*0</f>
        <v>0</v>
      </c>
      <c r="F30" s="122">
        <v>42505</v>
      </c>
      <c r="G30" s="550">
        <f>-LOOKUP(A30,'market px'!K$2:K$497,'market px'!M$2:M$497)*E30/1000000</f>
        <v>0</v>
      </c>
      <c r="H30" s="475" t="s">
        <v>23</v>
      </c>
      <c r="I30" s="129">
        <v>99.46875</v>
      </c>
      <c r="J30" s="396">
        <f>LOOKUP(A30,'market px'!K$2:K$497,'market px'!P$2:$P$497)</f>
        <v>98.219200000000001</v>
      </c>
      <c r="K30" s="104">
        <f t="shared" ref="K30:K35" si="2">(J30-I30)*E30/100</f>
        <v>0</v>
      </c>
      <c r="L30" s="378"/>
    </row>
    <row r="31" spans="1:19" s="270" customFormat="1" hidden="1">
      <c r="A31" s="87" t="s">
        <v>301</v>
      </c>
      <c r="B31" s="122">
        <v>38853</v>
      </c>
      <c r="C31" s="122"/>
      <c r="D31" s="536"/>
      <c r="E31" s="88">
        <f t="shared" si="1"/>
        <v>0</v>
      </c>
      <c r="F31" s="122">
        <v>42505</v>
      </c>
      <c r="G31" s="550">
        <f>-LOOKUP(A31,'market px'!K$2:K$497,'market px'!M$2:M$497)*E31/1000000</f>
        <v>0</v>
      </c>
      <c r="H31" s="475" t="s">
        <v>23</v>
      </c>
      <c r="I31" s="129">
        <v>95.90234375</v>
      </c>
      <c r="J31" s="129">
        <f>LOOKUP(A31,'market px'!K$2:K$497,'market px'!P$2:$P$497)</f>
        <v>98.219200000000001</v>
      </c>
      <c r="K31" s="104">
        <f t="shared" si="2"/>
        <v>0</v>
      </c>
      <c r="L31" s="378"/>
    </row>
    <row r="32" spans="1:19" s="270" customFormat="1" hidden="1">
      <c r="A32" s="262" t="s">
        <v>301</v>
      </c>
      <c r="B32" s="265">
        <v>38839</v>
      </c>
      <c r="C32" s="265"/>
      <c r="D32" s="537"/>
      <c r="E32" s="266">
        <f t="shared" si="1"/>
        <v>0</v>
      </c>
      <c r="F32" s="265">
        <v>39568</v>
      </c>
      <c r="G32" s="551">
        <f>-LOOKUP(A32,'market px'!K$2:K$497,'market px'!M$2:M$497)*E32/1000000</f>
        <v>0</v>
      </c>
      <c r="H32" s="476"/>
      <c r="I32" s="268">
        <v>99.875</v>
      </c>
      <c r="J32" s="268">
        <f>LOOKUP(A32,'market px'!K$2:K$497,'market px'!P$2:$P$497)</f>
        <v>98.219200000000001</v>
      </c>
      <c r="K32" s="269">
        <f t="shared" si="2"/>
        <v>0</v>
      </c>
      <c r="L32" s="378"/>
    </row>
    <row r="33" spans="1:12" s="270" customFormat="1" hidden="1">
      <c r="A33" s="262" t="s">
        <v>301</v>
      </c>
      <c r="B33" s="265">
        <v>38839</v>
      </c>
      <c r="C33" s="265"/>
      <c r="D33" s="537"/>
      <c r="E33" s="266">
        <f t="shared" si="1"/>
        <v>0</v>
      </c>
      <c r="F33" s="265">
        <v>39568</v>
      </c>
      <c r="G33" s="551">
        <f>-LOOKUP(A33,'market px'!K$2:K$497,'market px'!M$2:M$497)*E33/1000000</f>
        <v>0</v>
      </c>
      <c r="H33" s="476" t="s">
        <v>21</v>
      </c>
      <c r="I33" s="268">
        <v>99.875</v>
      </c>
      <c r="J33" s="268">
        <f>LOOKUP(A33,'market px'!K$2:K$497,'market px'!P$2:$P$497)</f>
        <v>98.219200000000001</v>
      </c>
      <c r="K33" s="269">
        <f t="shared" si="2"/>
        <v>0</v>
      </c>
      <c r="L33" s="378"/>
    </row>
    <row r="34" spans="1:12" s="270" customFormat="1" hidden="1">
      <c r="A34" s="110" t="s">
        <v>301</v>
      </c>
      <c r="B34" s="113">
        <v>38839</v>
      </c>
      <c r="C34" s="113"/>
      <c r="D34" s="538"/>
      <c r="E34" s="114">
        <f t="shared" si="1"/>
        <v>0</v>
      </c>
      <c r="F34" s="113">
        <v>39568</v>
      </c>
      <c r="G34" s="552">
        <f>-LOOKUP(A34,'market px'!K$2:K$497,'market px'!M$2:M$497)*E34/1000000</f>
        <v>0</v>
      </c>
      <c r="H34" s="477" t="s">
        <v>23</v>
      </c>
      <c r="I34" s="319">
        <v>99.875</v>
      </c>
      <c r="J34" s="319">
        <f>LOOKUP(A34,'market px'!K$2:K$497,'market px'!P$2:$P$497)</f>
        <v>98.219200000000001</v>
      </c>
      <c r="K34" s="261">
        <f t="shared" si="2"/>
        <v>0</v>
      </c>
      <c r="L34" s="379"/>
    </row>
    <row r="35" spans="1:12" s="270" customFormat="1" hidden="1">
      <c r="A35" s="110" t="s">
        <v>301</v>
      </c>
      <c r="B35" s="113">
        <v>38839</v>
      </c>
      <c r="C35" s="113"/>
      <c r="D35" s="538"/>
      <c r="E35" s="114">
        <f t="shared" si="1"/>
        <v>0</v>
      </c>
      <c r="F35" s="113">
        <v>42019</v>
      </c>
      <c r="G35" s="552">
        <f>-LOOKUP(A35,'market px'!K$2:K$497,'market px'!M$2:M$497)*E35/1000000</f>
        <v>0</v>
      </c>
      <c r="H35" s="478" t="s">
        <v>23</v>
      </c>
      <c r="I35" s="319">
        <v>99.875</v>
      </c>
      <c r="J35" s="319">
        <f>LOOKUP(A35,'market px'!K$2:K$497,'market px'!P$2:$P$497)</f>
        <v>98.219200000000001</v>
      </c>
      <c r="K35" s="261">
        <f t="shared" si="2"/>
        <v>0</v>
      </c>
      <c r="L35" s="380"/>
    </row>
    <row r="36" spans="1:12" s="270" customFormat="1" ht="17.25" thickBot="1">
      <c r="A36" s="361" t="s">
        <v>166</v>
      </c>
      <c r="B36" s="363"/>
      <c r="C36" s="363"/>
      <c r="D36" s="541"/>
      <c r="E36" s="364">
        <f>SUM(E30:E35)</f>
        <v>0</v>
      </c>
      <c r="F36" s="363"/>
      <c r="G36" s="365">
        <f>SUM(G30:G35)</f>
        <v>0</v>
      </c>
      <c r="H36" s="481"/>
      <c r="I36" s="367"/>
      <c r="J36" s="366"/>
      <c r="K36" s="365">
        <f>SUM(K30:K35)</f>
        <v>0</v>
      </c>
      <c r="L36" s="531"/>
    </row>
    <row r="37" spans="1:12" s="270" customFormat="1" ht="17.25" thickTop="1">
      <c r="A37" s="324" t="s">
        <v>164</v>
      </c>
      <c r="B37" s="313"/>
      <c r="C37" s="313"/>
      <c r="D37" s="539"/>
      <c r="E37" s="314"/>
      <c r="F37" s="313"/>
      <c r="G37" s="316"/>
      <c r="H37" s="479"/>
      <c r="I37" s="323"/>
      <c r="J37" s="318"/>
      <c r="K37" s="316"/>
      <c r="L37" s="380"/>
    </row>
    <row r="38" spans="1:12" s="270" customFormat="1">
      <c r="A38" s="206" t="s">
        <v>99</v>
      </c>
      <c r="B38" s="207" t="s">
        <v>7</v>
      </c>
      <c r="C38" s="207" t="s">
        <v>171</v>
      </c>
      <c r="D38" s="535" t="s">
        <v>170</v>
      </c>
      <c r="E38" s="208" t="s">
        <v>11</v>
      </c>
      <c r="F38" s="207" t="s">
        <v>2</v>
      </c>
      <c r="G38" s="209" t="s">
        <v>12</v>
      </c>
      <c r="H38" s="482" t="s">
        <v>18</v>
      </c>
      <c r="I38" s="209" t="s">
        <v>213</v>
      </c>
      <c r="J38" s="207" t="s">
        <v>214</v>
      </c>
      <c r="K38" s="260" t="s">
        <v>215</v>
      </c>
      <c r="L38" s="377"/>
    </row>
    <row r="39" spans="1:12" s="270" customFormat="1">
      <c r="A39" s="325" t="s">
        <v>658</v>
      </c>
      <c r="B39" s="328" t="s">
        <v>532</v>
      </c>
      <c r="C39" s="328" t="s">
        <v>339</v>
      </c>
      <c r="D39" s="542" t="s">
        <v>339</v>
      </c>
      <c r="E39" s="330">
        <v>0</v>
      </c>
      <c r="F39" s="331" t="s">
        <v>304</v>
      </c>
      <c r="G39" s="332">
        <f t="shared" ref="G39:G45" si="3">-77*E39</f>
        <v>0</v>
      </c>
      <c r="H39" s="483" t="s">
        <v>533</v>
      </c>
      <c r="I39" s="335">
        <v>130.390625</v>
      </c>
      <c r="J39" s="335">
        <f>VLOOKUP(A39,'market px'!$B$2:$F$20,5,FALSE)</f>
        <v>111.28125</v>
      </c>
      <c r="K39" s="845">
        <f t="shared" ref="K39:K45" si="4">IF(LEFT(A39,2)="TU",(J39-I39)*E39/100*100000*2,(J39-I39)*E39/100*100000)</f>
        <v>0</v>
      </c>
      <c r="L39" s="377"/>
    </row>
    <row r="40" spans="1:12" s="270" customFormat="1">
      <c r="A40" s="325" t="s">
        <v>659</v>
      </c>
      <c r="B40" s="328" t="s">
        <v>532</v>
      </c>
      <c r="C40" s="328" t="s">
        <v>339</v>
      </c>
      <c r="D40" s="542" t="s">
        <v>339</v>
      </c>
      <c r="E40" s="330">
        <v>0</v>
      </c>
      <c r="F40" s="331" t="s">
        <v>304</v>
      </c>
      <c r="G40" s="332">
        <f t="shared" si="3"/>
        <v>0</v>
      </c>
      <c r="H40" s="483" t="s">
        <v>534</v>
      </c>
      <c r="I40" s="335">
        <v>130.390625</v>
      </c>
      <c r="J40" s="335">
        <f>VLOOKUP(A40,'market px'!$B$2:$F$20,5,FALSE)</f>
        <v>111.28125</v>
      </c>
      <c r="K40" s="845">
        <f t="shared" si="4"/>
        <v>0</v>
      </c>
      <c r="L40" s="377"/>
    </row>
    <row r="41" spans="1:12" s="270" customFormat="1">
      <c r="A41" s="325" t="s">
        <v>629</v>
      </c>
      <c r="B41" s="328" t="s">
        <v>532</v>
      </c>
      <c r="C41" s="328" t="s">
        <v>339</v>
      </c>
      <c r="D41" s="542" t="s">
        <v>339</v>
      </c>
      <c r="E41" s="330">
        <v>0</v>
      </c>
      <c r="F41" s="331" t="s">
        <v>304</v>
      </c>
      <c r="G41" s="332">
        <f t="shared" si="3"/>
        <v>0</v>
      </c>
      <c r="H41" s="483" t="s">
        <v>535</v>
      </c>
      <c r="I41" s="335">
        <v>130.390625</v>
      </c>
      <c r="J41" s="335">
        <f>VLOOKUP(A41,'market px'!$B$2:$F$20,5,FALSE)</f>
        <v>111.28125</v>
      </c>
      <c r="K41" s="845">
        <f t="shared" si="4"/>
        <v>0</v>
      </c>
      <c r="L41" s="377"/>
    </row>
    <row r="42" spans="1:12" s="270" customFormat="1">
      <c r="A42" s="325" t="s">
        <v>629</v>
      </c>
      <c r="B42" s="328" t="s">
        <v>536</v>
      </c>
      <c r="C42" s="328" t="s">
        <v>339</v>
      </c>
      <c r="D42" s="542" t="s">
        <v>339</v>
      </c>
      <c r="E42" s="330">
        <v>0</v>
      </c>
      <c r="F42" s="331" t="s">
        <v>304</v>
      </c>
      <c r="G42" s="332">
        <f t="shared" si="3"/>
        <v>0</v>
      </c>
      <c r="H42" s="483" t="s">
        <v>537</v>
      </c>
      <c r="I42" s="335">
        <v>130.390625</v>
      </c>
      <c r="J42" s="335">
        <f>VLOOKUP(A42,'market px'!$B$2:$F$20,5,FALSE)</f>
        <v>111.28125</v>
      </c>
      <c r="K42" s="845">
        <f t="shared" si="4"/>
        <v>0</v>
      </c>
      <c r="L42" s="377"/>
    </row>
    <row r="43" spans="1:12" s="270" customFormat="1">
      <c r="A43" s="325" t="s">
        <v>629</v>
      </c>
      <c r="B43" s="328" t="s">
        <v>542</v>
      </c>
      <c r="C43" s="328" t="s">
        <v>339</v>
      </c>
      <c r="D43" s="542" t="s">
        <v>339</v>
      </c>
      <c r="E43" s="330">
        <v>0</v>
      </c>
      <c r="F43" s="331" t="s">
        <v>304</v>
      </c>
      <c r="G43" s="332">
        <f t="shared" si="3"/>
        <v>0</v>
      </c>
      <c r="H43" s="483" t="s">
        <v>543</v>
      </c>
      <c r="I43" s="335">
        <v>130.390625</v>
      </c>
      <c r="J43" s="335">
        <f>VLOOKUP(A43,'market px'!$B$2:$F$20,5,FALSE)</f>
        <v>111.28125</v>
      </c>
      <c r="K43" s="845">
        <f t="shared" si="4"/>
        <v>0</v>
      </c>
      <c r="L43" s="377"/>
    </row>
    <row r="44" spans="1:12" s="270" customFormat="1">
      <c r="A44" s="325" t="s">
        <v>629</v>
      </c>
      <c r="B44" s="328" t="s">
        <v>538</v>
      </c>
      <c r="C44" s="328" t="s">
        <v>339</v>
      </c>
      <c r="D44" s="542" t="s">
        <v>339</v>
      </c>
      <c r="E44" s="330">
        <v>0</v>
      </c>
      <c r="F44" s="331" t="s">
        <v>304</v>
      </c>
      <c r="G44" s="332">
        <f t="shared" si="3"/>
        <v>0</v>
      </c>
      <c r="H44" s="483" t="s">
        <v>540</v>
      </c>
      <c r="I44" s="335">
        <v>130.390625</v>
      </c>
      <c r="J44" s="335">
        <f>VLOOKUP(A44,'market px'!$B$2:$F$20,5,FALSE)</f>
        <v>111.28125</v>
      </c>
      <c r="K44" s="845">
        <f t="shared" si="4"/>
        <v>0</v>
      </c>
      <c r="L44" s="377"/>
    </row>
    <row r="45" spans="1:12" s="270" customFormat="1">
      <c r="A45" s="325" t="s">
        <v>629</v>
      </c>
      <c r="B45" s="328" t="s">
        <v>539</v>
      </c>
      <c r="C45" s="328" t="s">
        <v>339</v>
      </c>
      <c r="D45" s="542" t="s">
        <v>339</v>
      </c>
      <c r="E45" s="330">
        <v>0</v>
      </c>
      <c r="F45" s="330" t="s">
        <v>304</v>
      </c>
      <c r="G45" s="332">
        <f t="shared" si="3"/>
        <v>0</v>
      </c>
      <c r="H45" s="483" t="s">
        <v>541</v>
      </c>
      <c r="I45" s="335">
        <v>130.390625</v>
      </c>
      <c r="J45" s="335">
        <f>VLOOKUP(A45,'market px'!$B$2:$F$20,5,FALSE)</f>
        <v>111.28125</v>
      </c>
      <c r="K45" s="845">
        <f t="shared" si="4"/>
        <v>0</v>
      </c>
      <c r="L45" s="377"/>
    </row>
    <row r="46" spans="1:12">
      <c r="A46" s="349" t="s">
        <v>166</v>
      </c>
      <c r="B46" s="350"/>
      <c r="C46" s="351"/>
      <c r="D46" s="545"/>
      <c r="E46" s="352">
        <f>SUM(E39:E45)</f>
        <v>0</v>
      </c>
      <c r="F46" s="353"/>
      <c r="G46" s="354">
        <f>SUM(G39:G45)</f>
        <v>0</v>
      </c>
      <c r="H46" s="486"/>
      <c r="I46" s="356"/>
      <c r="J46" s="357"/>
      <c r="K46" s="358">
        <f>SUM(K39:K45)</f>
        <v>0</v>
      </c>
      <c r="L46" s="381"/>
    </row>
    <row r="47" spans="1:12">
      <c r="A47" s="359" t="s">
        <v>169</v>
      </c>
      <c r="B47" s="113"/>
      <c r="C47" s="274"/>
      <c r="D47" s="538"/>
      <c r="E47" s="114"/>
      <c r="F47" s="192"/>
      <c r="G47" s="118"/>
      <c r="H47" s="478"/>
      <c r="I47" s="125"/>
      <c r="J47" s="360"/>
      <c r="K47" s="261"/>
      <c r="L47" s="381"/>
    </row>
    <row r="48" spans="1:12">
      <c r="A48" s="206" t="s">
        <v>99</v>
      </c>
      <c r="B48" s="207" t="s">
        <v>7</v>
      </c>
      <c r="C48" s="207" t="s">
        <v>171</v>
      </c>
      <c r="D48" s="535" t="s">
        <v>170</v>
      </c>
      <c r="E48" s="208" t="s">
        <v>11</v>
      </c>
      <c r="F48" s="207" t="s">
        <v>2</v>
      </c>
      <c r="G48" s="209" t="s">
        <v>12</v>
      </c>
      <c r="H48" s="482" t="s">
        <v>18</v>
      </c>
      <c r="I48" s="209" t="s">
        <v>213</v>
      </c>
      <c r="J48" s="207" t="s">
        <v>214</v>
      </c>
      <c r="K48" s="260" t="s">
        <v>215</v>
      </c>
    </row>
    <row r="49" spans="1:12">
      <c r="A49" s="325" t="s">
        <v>337</v>
      </c>
      <c r="B49" s="328">
        <v>42922</v>
      </c>
      <c r="C49" s="329"/>
      <c r="D49" s="542"/>
      <c r="E49" s="330">
        <v>0</v>
      </c>
      <c r="F49" s="331" t="s">
        <v>304</v>
      </c>
      <c r="G49" s="332">
        <v>0</v>
      </c>
      <c r="H49" s="483"/>
      <c r="I49" s="335">
        <v>161.69999999999999</v>
      </c>
      <c r="J49" s="335">
        <f>VLOOKUP(A49,'market px'!$G$2:$I$20,3,FALSE)</f>
        <v>177.66</v>
      </c>
      <c r="K49" s="336">
        <f>(J49-I49)*E49/100*100000</f>
        <v>0</v>
      </c>
    </row>
    <row r="50" spans="1:12">
      <c r="A50" s="325" t="s">
        <v>312</v>
      </c>
      <c r="B50" s="328">
        <v>40835</v>
      </c>
      <c r="C50" s="329"/>
      <c r="D50" s="542"/>
      <c r="E50" s="330">
        <f>100000*0</f>
        <v>0</v>
      </c>
      <c r="F50" s="331" t="s">
        <v>135</v>
      </c>
      <c r="G50" s="332">
        <f>-VLOOKUP(A50,'market px'!G$2:H$20,2,FALSE)*E50/1000000</f>
        <v>0</v>
      </c>
      <c r="H50" s="483"/>
      <c r="I50" s="335">
        <v>135.12</v>
      </c>
      <c r="J50" s="335">
        <f>VLOOKUP(A50,'market px'!$G$2:$I$20,3,FALSE)</f>
        <v>160.49</v>
      </c>
      <c r="K50" s="336">
        <f>(J50-I50)*E50/100</f>
        <v>0</v>
      </c>
    </row>
    <row r="51" spans="1:12">
      <c r="A51" s="337" t="s">
        <v>285</v>
      </c>
      <c r="B51" s="340">
        <v>39090</v>
      </c>
      <c r="C51" s="341"/>
      <c r="D51" s="543"/>
      <c r="E51" s="342">
        <f>-100000*0</f>
        <v>0</v>
      </c>
      <c r="F51" s="343" t="s">
        <v>135</v>
      </c>
      <c r="G51" s="344">
        <f>-VLOOKUP(A51,'market px'!G$2:H$20,2,FALSE)*E51/1000000</f>
        <v>0</v>
      </c>
      <c r="H51" s="484" t="s">
        <v>21</v>
      </c>
      <c r="I51" s="347">
        <v>108.77</v>
      </c>
      <c r="J51" s="347">
        <f>VLOOKUP(A51,'market px'!$G$2:$I$20,3,FALSE)</f>
        <v>117.91</v>
      </c>
      <c r="K51" s="348">
        <f>(J51-I51)*E51/100</f>
        <v>0</v>
      </c>
    </row>
    <row r="52" spans="1:12">
      <c r="A52" s="337" t="s">
        <v>285</v>
      </c>
      <c r="B52" s="340">
        <v>38954</v>
      </c>
      <c r="C52" s="341"/>
      <c r="D52" s="543"/>
      <c r="E52" s="342">
        <f>-100000*0</f>
        <v>0</v>
      </c>
      <c r="F52" s="343" t="s">
        <v>135</v>
      </c>
      <c r="G52" s="344">
        <f>-VLOOKUP(A52,'market px'!G$2:H$20,2,FALSE)*E52/1000000</f>
        <v>0</v>
      </c>
      <c r="H52" s="484"/>
      <c r="I52" s="347">
        <v>109.88</v>
      </c>
      <c r="J52" s="347">
        <f>VLOOKUP(A52,'market px'!$G$2:$I$20,3,FALSE)</f>
        <v>117.91</v>
      </c>
      <c r="K52" s="348">
        <f>(J52-I52)*E52/100</f>
        <v>0</v>
      </c>
      <c r="L52" s="381"/>
    </row>
    <row r="53" spans="1:12">
      <c r="A53" s="285" t="s">
        <v>286</v>
      </c>
      <c r="B53" s="288">
        <v>39220</v>
      </c>
      <c r="C53" s="289" t="s">
        <v>21</v>
      </c>
      <c r="D53" s="544"/>
      <c r="E53" s="290">
        <f>100000*0</f>
        <v>0</v>
      </c>
      <c r="F53" s="291" t="s">
        <v>135</v>
      </c>
      <c r="G53" s="292">
        <f>-VLOOKUP(A53,'market px'!G$2:H$20,2,FALSE)*E53/1000000</f>
        <v>0</v>
      </c>
      <c r="H53" s="485" t="s">
        <v>23</v>
      </c>
      <c r="I53" s="295">
        <v>102.55500000000001</v>
      </c>
      <c r="J53" s="295">
        <f>VLOOKUP(A53,'market px'!$G$2:$I$20,3,FALSE)</f>
        <v>108.84</v>
      </c>
      <c r="K53" s="296">
        <f>(J53-I53)*E53/100</f>
        <v>0</v>
      </c>
      <c r="L53" s="381"/>
    </row>
    <row r="54" spans="1:12">
      <c r="A54" s="285" t="s">
        <v>286</v>
      </c>
      <c r="B54" s="288">
        <v>39224</v>
      </c>
      <c r="C54" s="289" t="s">
        <v>21</v>
      </c>
      <c r="D54" s="544"/>
      <c r="E54" s="290">
        <f>100000*0</f>
        <v>0</v>
      </c>
      <c r="F54" s="291" t="s">
        <v>135</v>
      </c>
      <c r="G54" s="292">
        <f>-VLOOKUP(A54,'market px'!G$2:H$20,2,FALSE)*E54/1000000</f>
        <v>0</v>
      </c>
      <c r="H54" s="485"/>
      <c r="I54" s="295">
        <v>102.89</v>
      </c>
      <c r="J54" s="295">
        <f>VLOOKUP(A54,'market px'!$G$2:$I$20,3,FALSE)</f>
        <v>108.84</v>
      </c>
      <c r="K54" s="296">
        <f>(J54-I54)*E54/100</f>
        <v>0</v>
      </c>
      <c r="L54" s="381"/>
    </row>
    <row r="55" spans="1:12">
      <c r="A55" s="349" t="s">
        <v>166</v>
      </c>
      <c r="B55" s="350"/>
      <c r="C55" s="351"/>
      <c r="D55" s="545"/>
      <c r="E55" s="352">
        <f>SUM(E49:E54)</f>
        <v>0</v>
      </c>
      <c r="F55" s="353"/>
      <c r="G55" s="354">
        <f>SUM(G49:G54)</f>
        <v>0</v>
      </c>
      <c r="H55" s="486"/>
      <c r="I55" s="356"/>
      <c r="J55" s="357"/>
      <c r="K55" s="358">
        <f>SUM(K49:K54)</f>
        <v>0</v>
      </c>
      <c r="L55" s="381"/>
    </row>
    <row r="56" spans="1:12">
      <c r="A56" s="65"/>
      <c r="B56" s="108"/>
      <c r="C56" s="275"/>
      <c r="D56" s="546"/>
      <c r="E56" s="70"/>
      <c r="F56" s="203"/>
      <c r="G56" s="105"/>
      <c r="H56" s="487"/>
      <c r="I56" s="204"/>
      <c r="J56" s="205"/>
      <c r="K56" s="106"/>
    </row>
    <row r="57" spans="1:12">
      <c r="B57"/>
      <c r="C57"/>
      <c r="D57"/>
      <c r="E57"/>
      <c r="F57"/>
      <c r="G57" s="14"/>
      <c r="H57" s="488"/>
      <c r="I57"/>
      <c r="J57"/>
      <c r="L57"/>
    </row>
    <row r="58" spans="1:12">
      <c r="B58"/>
      <c r="C58"/>
      <c r="D58"/>
      <c r="E58"/>
      <c r="F58"/>
      <c r="G58" s="14"/>
      <c r="H58" s="488"/>
      <c r="I58"/>
      <c r="J58"/>
      <c r="L58"/>
    </row>
    <row r="59" spans="1:12">
      <c r="B59"/>
      <c r="C59"/>
      <c r="D59"/>
      <c r="E59"/>
      <c r="F59"/>
      <c r="G59" s="14"/>
      <c r="H59" s="488"/>
      <c r="I59"/>
      <c r="J59"/>
      <c r="L59"/>
    </row>
    <row r="60" spans="1:12">
      <c r="B60"/>
      <c r="C60"/>
      <c r="D60"/>
      <c r="E60"/>
      <c r="F60"/>
      <c r="G60" s="14"/>
      <c r="H60" s="488"/>
      <c r="I60"/>
      <c r="J60"/>
      <c r="L60"/>
    </row>
    <row r="61" spans="1:12">
      <c r="B61"/>
      <c r="C61"/>
      <c r="D61"/>
      <c r="E61"/>
      <c r="F61"/>
      <c r="G61" s="14"/>
      <c r="H61" s="488"/>
      <c r="I61"/>
      <c r="J61"/>
      <c r="L61"/>
    </row>
    <row r="62" spans="1:12">
      <c r="B62"/>
      <c r="C62"/>
      <c r="D62"/>
      <c r="E62"/>
      <c r="F62"/>
      <c r="G62" s="14"/>
      <c r="H62" s="488"/>
      <c r="I62"/>
      <c r="J62"/>
      <c r="L62"/>
    </row>
    <row r="63" spans="1:12">
      <c r="B63"/>
      <c r="C63"/>
      <c r="D63"/>
      <c r="E63"/>
      <c r="F63"/>
      <c r="G63" s="14"/>
      <c r="H63" s="488"/>
      <c r="I63"/>
      <c r="J63"/>
      <c r="L63"/>
    </row>
    <row r="64" spans="1:12">
      <c r="B64"/>
      <c r="C64"/>
      <c r="D64"/>
      <c r="E64"/>
      <c r="F64"/>
      <c r="G64" s="14"/>
      <c r="H64" s="488"/>
      <c r="I64"/>
      <c r="J64"/>
      <c r="L64"/>
    </row>
    <row r="65" spans="2:12">
      <c r="B65"/>
      <c r="C65"/>
      <c r="D65"/>
      <c r="E65"/>
      <c r="F65"/>
      <c r="G65" s="14"/>
      <c r="H65" s="488"/>
      <c r="I65"/>
      <c r="J65"/>
      <c r="L65"/>
    </row>
    <row r="66" spans="2:12">
      <c r="B66"/>
      <c r="C66"/>
      <c r="D66"/>
      <c r="E66"/>
      <c r="F66"/>
      <c r="G66" s="14"/>
      <c r="H66" s="488"/>
      <c r="I66"/>
      <c r="J66"/>
      <c r="L66"/>
    </row>
    <row r="67" spans="2:12">
      <c r="B67"/>
      <c r="C67"/>
      <c r="D67"/>
      <c r="E67"/>
      <c r="F67"/>
      <c r="G67" s="14"/>
      <c r="H67" s="488"/>
      <c r="I67"/>
      <c r="J67"/>
      <c r="L67"/>
    </row>
    <row r="68" spans="2:12">
      <c r="B68"/>
      <c r="C68"/>
      <c r="D68"/>
      <c r="E68"/>
      <c r="F68"/>
      <c r="G68" s="14"/>
      <c r="H68" s="488"/>
      <c r="I68"/>
      <c r="J68"/>
      <c r="L68"/>
    </row>
    <row r="69" spans="2:12">
      <c r="B69"/>
      <c r="C69"/>
      <c r="D69"/>
      <c r="E69"/>
      <c r="F69"/>
      <c r="G69" s="14"/>
      <c r="H69" s="488"/>
      <c r="I69"/>
      <c r="J69"/>
      <c r="L69"/>
    </row>
    <row r="70" spans="2:12">
      <c r="B70"/>
      <c r="C70"/>
      <c r="D70"/>
      <c r="E70"/>
      <c r="F70"/>
      <c r="G70" s="14"/>
      <c r="H70" s="488"/>
      <c r="I70"/>
      <c r="J70"/>
      <c r="L70"/>
    </row>
    <row r="71" spans="2:12">
      <c r="B71"/>
      <c r="C71"/>
      <c r="D71"/>
      <c r="E71"/>
      <c r="F71"/>
      <c r="G71" s="14"/>
      <c r="H71" s="488"/>
      <c r="I71"/>
      <c r="J71"/>
      <c r="L71"/>
    </row>
    <row r="72" spans="2:12">
      <c r="B72"/>
      <c r="C72"/>
      <c r="D72"/>
      <c r="E72"/>
      <c r="F72"/>
      <c r="G72" s="14"/>
      <c r="H72" s="488"/>
      <c r="I72"/>
      <c r="J72"/>
      <c r="L72"/>
    </row>
    <row r="73" spans="2:12">
      <c r="B73"/>
      <c r="C73"/>
      <c r="D73"/>
      <c r="E73"/>
      <c r="F73"/>
      <c r="G73" s="14"/>
      <c r="H73" s="488"/>
      <c r="I73"/>
      <c r="J73"/>
      <c r="L73"/>
    </row>
    <row r="74" spans="2:12">
      <c r="B74"/>
      <c r="C74"/>
      <c r="D74"/>
      <c r="E74"/>
      <c r="F74"/>
      <c r="G74" s="14"/>
      <c r="H74" s="488"/>
      <c r="I74"/>
      <c r="J74"/>
      <c r="L74"/>
    </row>
    <row r="75" spans="2:12">
      <c r="B75"/>
      <c r="C75"/>
      <c r="D75"/>
      <c r="E75"/>
      <c r="F75"/>
      <c r="G75" s="14"/>
      <c r="H75" s="488"/>
      <c r="I75"/>
      <c r="J75"/>
      <c r="L75"/>
    </row>
    <row r="76" spans="2:12">
      <c r="B76"/>
      <c r="C76"/>
      <c r="D76"/>
      <c r="E76"/>
      <c r="F76"/>
      <c r="G76" s="14"/>
      <c r="H76" s="488"/>
      <c r="I76"/>
      <c r="J76"/>
      <c r="L76"/>
    </row>
    <row r="77" spans="2:12">
      <c r="B77"/>
      <c r="C77"/>
      <c r="D77"/>
      <c r="E77"/>
      <c r="F77"/>
      <c r="G77" s="14"/>
      <c r="H77" s="488"/>
      <c r="I77"/>
      <c r="J77"/>
      <c r="L77"/>
    </row>
    <row r="78" spans="2:12">
      <c r="B78"/>
      <c r="C78"/>
      <c r="D78"/>
      <c r="E78"/>
      <c r="F78"/>
      <c r="G78" s="14"/>
      <c r="H78" s="488"/>
      <c r="I78"/>
      <c r="J78"/>
      <c r="L78"/>
    </row>
    <row r="79" spans="2:12">
      <c r="B79"/>
      <c r="C79"/>
      <c r="D79"/>
      <c r="E79"/>
      <c r="F79"/>
      <c r="G79" s="14"/>
      <c r="H79" s="488"/>
      <c r="I79"/>
      <c r="J79"/>
      <c r="L79"/>
    </row>
    <row r="80" spans="2:12">
      <c r="B80"/>
      <c r="C80"/>
      <c r="D80"/>
      <c r="E80"/>
      <c r="F80"/>
      <c r="G80" s="14"/>
      <c r="H80" s="488"/>
      <c r="I80"/>
      <c r="J80"/>
      <c r="L80"/>
    </row>
    <row r="81" spans="2:12">
      <c r="B81"/>
      <c r="C81"/>
      <c r="D81"/>
      <c r="E81"/>
      <c r="F81"/>
      <c r="G81" s="14"/>
      <c r="H81" s="488"/>
      <c r="I81"/>
      <c r="J81"/>
      <c r="L81"/>
    </row>
    <row r="82" spans="2:12">
      <c r="B82"/>
      <c r="C82"/>
      <c r="D82"/>
      <c r="E82"/>
      <c r="F82"/>
      <c r="G82" s="14"/>
      <c r="H82" s="488"/>
      <c r="I82"/>
      <c r="J82"/>
      <c r="L82"/>
    </row>
    <row r="83" spans="2:12">
      <c r="B83"/>
      <c r="C83"/>
      <c r="D83"/>
      <c r="E83"/>
      <c r="F83"/>
      <c r="G83" s="14"/>
      <c r="H83" s="489"/>
      <c r="I83"/>
      <c r="J83"/>
      <c r="L83"/>
    </row>
    <row r="84" spans="2:12">
      <c r="B84"/>
      <c r="C84"/>
      <c r="D84"/>
      <c r="E84"/>
      <c r="F84"/>
      <c r="G84" s="14"/>
      <c r="H84" s="489"/>
      <c r="I84"/>
      <c r="J84"/>
      <c r="L84"/>
    </row>
    <row r="85" spans="2:12">
      <c r="B85"/>
      <c r="C85"/>
      <c r="D85"/>
      <c r="E85"/>
      <c r="F85"/>
      <c r="G85" s="14"/>
      <c r="H85" s="489"/>
      <c r="I85"/>
      <c r="J85"/>
      <c r="L85"/>
    </row>
    <row r="86" spans="2:12">
      <c r="B86"/>
      <c r="C86"/>
      <c r="D86"/>
      <c r="E86"/>
      <c r="F86"/>
      <c r="G86" s="14"/>
      <c r="H86" s="489"/>
      <c r="I86"/>
      <c r="J86"/>
      <c r="L86"/>
    </row>
    <row r="87" spans="2:12">
      <c r="B87"/>
      <c r="C87"/>
      <c r="D87"/>
      <c r="E87"/>
      <c r="F87"/>
      <c r="G87" s="14"/>
      <c r="H87" s="489"/>
      <c r="I87"/>
      <c r="J87"/>
      <c r="L87"/>
    </row>
    <row r="88" spans="2:12">
      <c r="B88"/>
      <c r="C88"/>
      <c r="D88"/>
      <c r="E88"/>
      <c r="F88"/>
      <c r="G88" s="14"/>
      <c r="H88" s="489"/>
      <c r="I88"/>
      <c r="J88"/>
      <c r="L88"/>
    </row>
    <row r="89" spans="2:12">
      <c r="B89"/>
      <c r="C89"/>
      <c r="D89"/>
      <c r="E89"/>
      <c r="F89"/>
      <c r="G89" s="14"/>
      <c r="H89" s="489"/>
      <c r="I89"/>
      <c r="J89"/>
      <c r="L89"/>
    </row>
    <row r="90" spans="2:12">
      <c r="B90"/>
      <c r="C90"/>
      <c r="D90"/>
      <c r="E90"/>
      <c r="F90"/>
      <c r="G90" s="14"/>
      <c r="H90" s="489"/>
      <c r="I90"/>
      <c r="J90"/>
      <c r="L90"/>
    </row>
    <row r="91" spans="2:12">
      <c r="B91"/>
      <c r="C91"/>
      <c r="D91"/>
      <c r="E91"/>
      <c r="F91"/>
      <c r="G91" s="14"/>
      <c r="H91" s="489"/>
      <c r="I91"/>
      <c r="J91"/>
      <c r="L91"/>
    </row>
    <row r="92" spans="2:12">
      <c r="B92"/>
      <c r="C92"/>
      <c r="D92"/>
      <c r="E92"/>
      <c r="F92"/>
      <c r="G92" s="14"/>
      <c r="H92" s="489"/>
      <c r="I92"/>
      <c r="J92"/>
      <c r="L92"/>
    </row>
    <row r="93" spans="2:12">
      <c r="B93"/>
      <c r="C93"/>
      <c r="D93"/>
      <c r="E93"/>
      <c r="F93"/>
      <c r="G93" s="14"/>
      <c r="H93" s="489"/>
      <c r="I93"/>
      <c r="J93"/>
      <c r="L93"/>
    </row>
    <row r="94" spans="2:12">
      <c r="B94"/>
      <c r="C94"/>
      <c r="D94"/>
      <c r="E94"/>
      <c r="F94"/>
      <c r="G94" s="14"/>
      <c r="H94" s="489"/>
      <c r="I94"/>
      <c r="J94"/>
      <c r="L94"/>
    </row>
    <row r="95" spans="2:12">
      <c r="B95"/>
      <c r="C95"/>
      <c r="D95"/>
      <c r="E95"/>
      <c r="F95"/>
      <c r="G95" s="14"/>
      <c r="H95" s="489"/>
      <c r="I95"/>
      <c r="J95"/>
      <c r="L95"/>
    </row>
    <row r="96" spans="2:12">
      <c r="B96"/>
      <c r="C96"/>
      <c r="D96"/>
      <c r="E96"/>
      <c r="F96"/>
      <c r="G96" s="14"/>
      <c r="H96" s="489"/>
      <c r="I96"/>
      <c r="J96"/>
      <c r="L96"/>
    </row>
    <row r="97" spans="2:12">
      <c r="B97"/>
      <c r="C97"/>
      <c r="D97"/>
      <c r="E97"/>
      <c r="F97"/>
      <c r="G97" s="14"/>
      <c r="H97" s="489"/>
      <c r="I97"/>
      <c r="J97"/>
      <c r="L97"/>
    </row>
    <row r="98" spans="2:12">
      <c r="B98"/>
      <c r="C98"/>
      <c r="D98"/>
      <c r="E98"/>
      <c r="F98"/>
      <c r="G98" s="14"/>
      <c r="H98" s="489"/>
      <c r="I98"/>
      <c r="J98"/>
      <c r="L98"/>
    </row>
    <row r="99" spans="2:12">
      <c r="B99"/>
      <c r="C99"/>
      <c r="D99"/>
      <c r="E99"/>
      <c r="F99"/>
      <c r="G99" s="14"/>
      <c r="H99" s="489"/>
      <c r="I99"/>
      <c r="J99"/>
      <c r="L99"/>
    </row>
    <row r="100" spans="2:12">
      <c r="B100"/>
      <c r="C100"/>
      <c r="D100"/>
      <c r="E100"/>
      <c r="F100"/>
      <c r="G100" s="14"/>
      <c r="H100" s="489"/>
      <c r="I100"/>
      <c r="J100"/>
      <c r="L100"/>
    </row>
    <row r="101" spans="2:12">
      <c r="B101"/>
      <c r="C101"/>
      <c r="D101"/>
      <c r="E101"/>
      <c r="F101"/>
      <c r="G101" s="14"/>
      <c r="H101" s="489"/>
      <c r="I101"/>
      <c r="J101"/>
      <c r="L101"/>
    </row>
    <row r="102" spans="2:12">
      <c r="B102"/>
      <c r="C102"/>
      <c r="D102"/>
      <c r="E102"/>
      <c r="F102"/>
      <c r="G102" s="14"/>
      <c r="H102" s="489"/>
      <c r="I102"/>
      <c r="J102"/>
      <c r="L102"/>
    </row>
    <row r="103" spans="2:12">
      <c r="B103"/>
      <c r="C103"/>
      <c r="D103"/>
      <c r="E103"/>
      <c r="F103"/>
      <c r="G103" s="14"/>
      <c r="H103" s="489"/>
      <c r="I103"/>
      <c r="J103"/>
      <c r="L103"/>
    </row>
    <row r="104" spans="2:12">
      <c r="B104"/>
      <c r="C104"/>
      <c r="D104"/>
      <c r="E104"/>
      <c r="F104"/>
      <c r="G104" s="14"/>
      <c r="H104" s="489"/>
      <c r="I104"/>
      <c r="J104"/>
      <c r="L104"/>
    </row>
    <row r="105" spans="2:12">
      <c r="B105"/>
      <c r="C105"/>
      <c r="D105"/>
      <c r="E105"/>
      <c r="F105"/>
      <c r="G105" s="14"/>
      <c r="H105" s="489"/>
      <c r="I105"/>
      <c r="J105"/>
      <c r="L105"/>
    </row>
    <row r="106" spans="2:12">
      <c r="B106"/>
      <c r="C106"/>
      <c r="D106"/>
      <c r="E106"/>
      <c r="F106"/>
      <c r="G106" s="14"/>
      <c r="H106" s="489"/>
      <c r="I106"/>
      <c r="J106"/>
      <c r="L106"/>
    </row>
    <row r="107" spans="2:12">
      <c r="B107"/>
      <c r="C107"/>
      <c r="D107"/>
      <c r="E107"/>
      <c r="F107"/>
      <c r="G107" s="14"/>
      <c r="H107" s="489"/>
      <c r="I107"/>
      <c r="J107"/>
      <c r="L107"/>
    </row>
    <row r="108" spans="2:12">
      <c r="B108"/>
      <c r="C108"/>
      <c r="D108"/>
      <c r="E108"/>
      <c r="F108"/>
      <c r="G108" s="14"/>
      <c r="H108" s="489"/>
      <c r="I108"/>
      <c r="J108"/>
      <c r="L108"/>
    </row>
    <row r="109" spans="2:12">
      <c r="B109"/>
      <c r="C109"/>
      <c r="D109"/>
      <c r="E109"/>
      <c r="F109"/>
      <c r="G109" s="14"/>
      <c r="H109" s="489"/>
      <c r="I109"/>
      <c r="J109"/>
      <c r="L109"/>
    </row>
    <row r="110" spans="2:12">
      <c r="B110"/>
      <c r="C110"/>
      <c r="D110"/>
      <c r="E110"/>
      <c r="F110"/>
      <c r="G110" s="14"/>
      <c r="H110" s="489"/>
      <c r="I110"/>
      <c r="J110"/>
      <c r="L110"/>
    </row>
    <row r="111" spans="2:12">
      <c r="B111"/>
      <c r="C111"/>
      <c r="D111"/>
      <c r="E111"/>
      <c r="F111"/>
      <c r="G111" s="14"/>
      <c r="H111" s="489"/>
      <c r="I111"/>
      <c r="J111"/>
      <c r="L111"/>
    </row>
    <row r="112" spans="2:12">
      <c r="B112"/>
      <c r="C112"/>
      <c r="D112"/>
      <c r="E112"/>
      <c r="F112"/>
      <c r="G112" s="14"/>
      <c r="H112" s="489"/>
      <c r="I112"/>
      <c r="J112"/>
      <c r="L112"/>
    </row>
    <row r="113" spans="2:12">
      <c r="B113"/>
      <c r="C113"/>
      <c r="D113"/>
      <c r="E113"/>
      <c r="F113"/>
      <c r="G113" s="14"/>
      <c r="H113" s="489"/>
      <c r="I113"/>
      <c r="J113"/>
      <c r="L113"/>
    </row>
    <row r="114" spans="2:12">
      <c r="B114"/>
      <c r="C114"/>
      <c r="D114"/>
      <c r="E114"/>
      <c r="F114"/>
      <c r="G114" s="14"/>
      <c r="H114" s="489"/>
      <c r="I114"/>
      <c r="J114"/>
      <c r="L114"/>
    </row>
    <row r="115" spans="2:12">
      <c r="B115"/>
      <c r="C115"/>
      <c r="D115"/>
      <c r="E115"/>
      <c r="F115"/>
      <c r="G115" s="14"/>
      <c r="H115" s="489"/>
      <c r="I115"/>
      <c r="J115"/>
      <c r="L115"/>
    </row>
    <row r="116" spans="2:12">
      <c r="B116"/>
      <c r="C116"/>
      <c r="D116"/>
      <c r="E116"/>
      <c r="F116"/>
      <c r="G116" s="14"/>
      <c r="H116" s="489"/>
      <c r="I116"/>
      <c r="J116"/>
      <c r="L116"/>
    </row>
    <row r="117" spans="2:12">
      <c r="B117"/>
      <c r="C117"/>
      <c r="D117"/>
      <c r="E117"/>
      <c r="F117"/>
      <c r="G117" s="14"/>
      <c r="H117" s="489"/>
      <c r="I117"/>
      <c r="J117"/>
      <c r="L117"/>
    </row>
    <row r="118" spans="2:12">
      <c r="B118"/>
      <c r="C118"/>
      <c r="D118"/>
      <c r="E118"/>
      <c r="F118"/>
      <c r="G118" s="14"/>
      <c r="H118" s="489"/>
      <c r="I118"/>
      <c r="J118"/>
      <c r="L118"/>
    </row>
    <row r="119" spans="2:12">
      <c r="B119"/>
      <c r="C119"/>
      <c r="D119"/>
      <c r="E119"/>
      <c r="F119"/>
      <c r="G119" s="14"/>
      <c r="H119" s="489"/>
      <c r="I119"/>
      <c r="J119"/>
      <c r="L119"/>
    </row>
    <row r="120" spans="2:12">
      <c r="B120"/>
      <c r="C120"/>
      <c r="D120"/>
      <c r="E120"/>
      <c r="F120"/>
      <c r="G120" s="14"/>
      <c r="H120" s="489"/>
      <c r="I120"/>
      <c r="J120"/>
      <c r="L120"/>
    </row>
    <row r="121" spans="2:12">
      <c r="B121"/>
      <c r="C121"/>
      <c r="D121"/>
      <c r="E121"/>
      <c r="F121"/>
      <c r="G121" s="14"/>
      <c r="H121" s="489"/>
      <c r="I121"/>
      <c r="J121"/>
      <c r="L121"/>
    </row>
    <row r="122" spans="2:12">
      <c r="B122"/>
      <c r="C122"/>
      <c r="D122"/>
      <c r="E122"/>
      <c r="F122"/>
      <c r="G122" s="14"/>
      <c r="H122" s="489"/>
      <c r="I122"/>
      <c r="J122"/>
      <c r="L122"/>
    </row>
    <row r="123" spans="2:12">
      <c r="B123"/>
      <c r="C123"/>
      <c r="D123"/>
      <c r="E123"/>
      <c r="F123"/>
      <c r="G123" s="14"/>
      <c r="H123" s="489"/>
      <c r="I123"/>
      <c r="J123"/>
      <c r="L123"/>
    </row>
    <row r="124" spans="2:12">
      <c r="B124"/>
      <c r="C124"/>
      <c r="D124"/>
      <c r="E124"/>
      <c r="F124"/>
      <c r="G124" s="14"/>
      <c r="H124" s="489"/>
      <c r="I124"/>
      <c r="J124"/>
      <c r="L124"/>
    </row>
    <row r="125" spans="2:12">
      <c r="B125"/>
      <c r="C125"/>
      <c r="D125"/>
      <c r="E125"/>
      <c r="F125"/>
      <c r="G125" s="14"/>
      <c r="H125" s="489"/>
      <c r="I125"/>
      <c r="J125"/>
      <c r="L125"/>
    </row>
    <row r="126" spans="2:12">
      <c r="B126"/>
      <c r="C126"/>
      <c r="D126"/>
      <c r="E126"/>
      <c r="F126"/>
      <c r="G126" s="14"/>
      <c r="H126" s="489"/>
      <c r="I126"/>
      <c r="J126"/>
      <c r="L126"/>
    </row>
    <row r="127" spans="2:12">
      <c r="B127"/>
      <c r="C127"/>
      <c r="D127"/>
      <c r="E127"/>
      <c r="F127"/>
      <c r="G127" s="14"/>
      <c r="H127" s="489"/>
      <c r="I127"/>
      <c r="J127"/>
      <c r="L127"/>
    </row>
    <row r="128" spans="2:12">
      <c r="B128"/>
      <c r="C128"/>
      <c r="D128"/>
      <c r="E128"/>
      <c r="F128"/>
      <c r="G128" s="14"/>
      <c r="H128" s="489"/>
      <c r="I128"/>
      <c r="J128"/>
      <c r="L128"/>
    </row>
    <row r="129" spans="2:12">
      <c r="B129"/>
      <c r="C129"/>
      <c r="D129"/>
      <c r="E129"/>
      <c r="F129"/>
      <c r="G129" s="14"/>
      <c r="H129" s="489"/>
      <c r="I129"/>
      <c r="J129"/>
      <c r="L129"/>
    </row>
    <row r="130" spans="2:12">
      <c r="B130"/>
      <c r="C130"/>
      <c r="D130"/>
      <c r="E130"/>
      <c r="F130"/>
      <c r="G130" s="14"/>
      <c r="H130" s="489"/>
      <c r="I130"/>
      <c r="J130"/>
      <c r="L130"/>
    </row>
    <row r="131" spans="2:12">
      <c r="B131"/>
      <c r="C131"/>
      <c r="D131"/>
      <c r="E131"/>
      <c r="F131"/>
      <c r="G131" s="14"/>
      <c r="H131" s="489"/>
      <c r="I131"/>
      <c r="J131"/>
      <c r="L131"/>
    </row>
    <row r="132" spans="2:12">
      <c r="B132"/>
      <c r="C132"/>
      <c r="D132"/>
      <c r="E132"/>
      <c r="F132"/>
      <c r="G132" s="14"/>
      <c r="H132" s="489"/>
      <c r="I132"/>
      <c r="J132"/>
      <c r="L132"/>
    </row>
    <row r="133" spans="2:12">
      <c r="B133"/>
      <c r="C133"/>
      <c r="D133"/>
      <c r="E133"/>
      <c r="F133"/>
      <c r="G133" s="14"/>
      <c r="H133" s="489"/>
      <c r="I133"/>
      <c r="J133"/>
      <c r="L133"/>
    </row>
    <row r="134" spans="2:12">
      <c r="B134"/>
      <c r="C134"/>
      <c r="D134"/>
      <c r="E134"/>
      <c r="F134"/>
      <c r="G134" s="14"/>
      <c r="H134" s="489"/>
      <c r="I134"/>
      <c r="J134"/>
      <c r="L134"/>
    </row>
    <row r="135" spans="2:12">
      <c r="B135"/>
      <c r="C135"/>
      <c r="D135"/>
      <c r="E135"/>
      <c r="F135"/>
      <c r="G135" s="14"/>
      <c r="H135" s="489"/>
      <c r="I135"/>
      <c r="J135"/>
      <c r="L135"/>
    </row>
    <row r="136" spans="2:12">
      <c r="B136"/>
      <c r="C136"/>
      <c r="D136"/>
      <c r="E136"/>
      <c r="F136"/>
      <c r="G136" s="14"/>
      <c r="H136" s="489"/>
      <c r="I136"/>
      <c r="J136"/>
      <c r="L136"/>
    </row>
    <row r="137" spans="2:12">
      <c r="B137"/>
      <c r="C137"/>
      <c r="D137"/>
      <c r="E137"/>
      <c r="F137"/>
      <c r="G137" s="14"/>
      <c r="H137" s="489"/>
      <c r="I137"/>
      <c r="J137"/>
      <c r="L137"/>
    </row>
    <row r="138" spans="2:12">
      <c r="B138"/>
      <c r="C138"/>
      <c r="D138"/>
      <c r="E138"/>
      <c r="F138"/>
      <c r="G138" s="14"/>
      <c r="H138" s="489"/>
      <c r="I138"/>
      <c r="J138"/>
      <c r="L138"/>
    </row>
    <row r="139" spans="2:12">
      <c r="B139"/>
      <c r="C139"/>
      <c r="D139"/>
      <c r="E139"/>
      <c r="F139"/>
      <c r="G139" s="14"/>
      <c r="H139" s="489"/>
      <c r="I139"/>
      <c r="J139"/>
      <c r="L139"/>
    </row>
    <row r="140" spans="2:12">
      <c r="B140"/>
      <c r="C140"/>
      <c r="D140"/>
      <c r="E140"/>
      <c r="F140"/>
      <c r="G140" s="14"/>
      <c r="H140" s="489"/>
      <c r="I140"/>
      <c r="J140"/>
      <c r="L140"/>
    </row>
    <row r="141" spans="2:12">
      <c r="B141"/>
      <c r="C141"/>
      <c r="D141"/>
      <c r="E141"/>
      <c r="F141"/>
      <c r="G141" s="14"/>
      <c r="H141" s="489"/>
      <c r="I141"/>
      <c r="J141"/>
      <c r="L141"/>
    </row>
    <row r="142" spans="2:12">
      <c r="B142"/>
      <c r="C142"/>
      <c r="D142"/>
      <c r="E142"/>
      <c r="F142"/>
      <c r="G142" s="14"/>
      <c r="H142" s="489"/>
      <c r="I142"/>
      <c r="J142"/>
      <c r="L142"/>
    </row>
    <row r="143" spans="2:12">
      <c r="B143"/>
      <c r="C143"/>
      <c r="D143"/>
      <c r="E143"/>
      <c r="F143"/>
      <c r="G143" s="14"/>
      <c r="H143" s="489"/>
      <c r="I143"/>
      <c r="J143"/>
      <c r="L143"/>
    </row>
    <row r="144" spans="2:12">
      <c r="B144"/>
      <c r="C144"/>
      <c r="D144"/>
      <c r="E144"/>
      <c r="F144"/>
      <c r="G144" s="14"/>
      <c r="H144" s="489"/>
      <c r="I144"/>
      <c r="J144"/>
      <c r="L144"/>
    </row>
    <row r="145" spans="2:12">
      <c r="B145"/>
      <c r="C145"/>
      <c r="D145"/>
      <c r="E145"/>
      <c r="F145"/>
      <c r="G145" s="14"/>
      <c r="H145" s="489"/>
      <c r="I145"/>
      <c r="J145"/>
      <c r="L145"/>
    </row>
    <row r="146" spans="2:12">
      <c r="B146"/>
      <c r="C146"/>
      <c r="D146"/>
      <c r="E146"/>
      <c r="F146"/>
      <c r="G146" s="14"/>
      <c r="H146" s="489"/>
      <c r="I146"/>
      <c r="J146"/>
      <c r="L146"/>
    </row>
    <row r="147" spans="2:12">
      <c r="B147"/>
      <c r="C147"/>
      <c r="D147"/>
      <c r="E147"/>
      <c r="F147"/>
      <c r="G147" s="14"/>
      <c r="H147" s="489"/>
      <c r="I147"/>
      <c r="J147"/>
      <c r="L147"/>
    </row>
    <row r="148" spans="2:12">
      <c r="B148"/>
      <c r="C148"/>
      <c r="D148"/>
      <c r="E148"/>
      <c r="F148"/>
      <c r="G148" s="14"/>
      <c r="H148" s="489"/>
      <c r="I148"/>
      <c r="J148"/>
      <c r="L148"/>
    </row>
    <row r="149" spans="2:12">
      <c r="B149"/>
      <c r="C149"/>
      <c r="D149"/>
      <c r="E149"/>
      <c r="F149"/>
      <c r="G149" s="14"/>
      <c r="H149" s="489"/>
      <c r="I149"/>
      <c r="J149"/>
      <c r="L149"/>
    </row>
    <row r="150" spans="2:12">
      <c r="B150"/>
      <c r="C150"/>
      <c r="D150"/>
      <c r="E150"/>
      <c r="F150"/>
      <c r="G150" s="14"/>
      <c r="H150" s="489"/>
      <c r="I150"/>
      <c r="J150"/>
      <c r="L150"/>
    </row>
    <row r="151" spans="2:12">
      <c r="B151"/>
      <c r="C151"/>
      <c r="D151"/>
      <c r="E151"/>
      <c r="F151"/>
      <c r="G151" s="14"/>
      <c r="H151" s="489"/>
      <c r="I151"/>
      <c r="J151"/>
      <c r="L151"/>
    </row>
    <row r="152" spans="2:12">
      <c r="B152"/>
      <c r="C152"/>
      <c r="D152"/>
      <c r="E152"/>
      <c r="F152"/>
      <c r="G152" s="14"/>
      <c r="H152" s="489"/>
      <c r="I152"/>
      <c r="J152"/>
      <c r="L152"/>
    </row>
    <row r="153" spans="2:12">
      <c r="B153"/>
      <c r="C153"/>
      <c r="D153"/>
      <c r="E153"/>
      <c r="F153"/>
      <c r="G153" s="14"/>
      <c r="H153" s="489"/>
      <c r="I153"/>
      <c r="J153"/>
      <c r="L153"/>
    </row>
    <row r="154" spans="2:12">
      <c r="B154"/>
      <c r="C154"/>
      <c r="D154"/>
      <c r="E154"/>
      <c r="F154"/>
      <c r="G154" s="14"/>
      <c r="H154" s="489"/>
      <c r="I154"/>
      <c r="J154"/>
      <c r="L154"/>
    </row>
    <row r="155" spans="2:12">
      <c r="B155"/>
      <c r="C155"/>
      <c r="D155"/>
      <c r="E155"/>
      <c r="F155"/>
      <c r="G155" s="14"/>
      <c r="H155" s="489"/>
      <c r="I155"/>
      <c r="J155"/>
      <c r="L155"/>
    </row>
    <row r="156" spans="2:12">
      <c r="B156"/>
      <c r="C156"/>
      <c r="D156"/>
      <c r="E156"/>
      <c r="F156"/>
      <c r="G156" s="14"/>
      <c r="H156" s="489"/>
      <c r="I156"/>
      <c r="J156"/>
      <c r="L156"/>
    </row>
    <row r="157" spans="2:12">
      <c r="B157"/>
      <c r="C157"/>
      <c r="D157"/>
      <c r="E157"/>
      <c r="F157"/>
      <c r="G157" s="14"/>
      <c r="H157" s="489"/>
      <c r="I157"/>
      <c r="J157"/>
      <c r="L157"/>
    </row>
    <row r="158" spans="2:12">
      <c r="B158"/>
      <c r="C158"/>
      <c r="D158"/>
      <c r="E158"/>
      <c r="F158"/>
      <c r="G158" s="14"/>
      <c r="H158" s="489"/>
      <c r="I158"/>
      <c r="J158"/>
      <c r="L158"/>
    </row>
    <row r="159" spans="2:12">
      <c r="B159"/>
      <c r="C159"/>
      <c r="D159"/>
      <c r="E159"/>
      <c r="F159"/>
      <c r="G159" s="14"/>
      <c r="H159" s="489"/>
      <c r="I159"/>
      <c r="J159"/>
      <c r="L159"/>
    </row>
    <row r="160" spans="2:12">
      <c r="B160"/>
      <c r="C160"/>
      <c r="D160"/>
      <c r="E160"/>
      <c r="F160"/>
      <c r="G160" s="14"/>
      <c r="H160" s="489"/>
      <c r="I160"/>
      <c r="J160"/>
      <c r="L160"/>
    </row>
    <row r="161" spans="2:12">
      <c r="B161"/>
      <c r="C161"/>
      <c r="D161"/>
      <c r="E161"/>
      <c r="F161"/>
      <c r="G161" s="14"/>
      <c r="H161" s="489"/>
      <c r="I161"/>
      <c r="J161"/>
      <c r="L161"/>
    </row>
    <row r="162" spans="2:12">
      <c r="B162"/>
      <c r="C162"/>
      <c r="D162"/>
      <c r="E162"/>
      <c r="F162"/>
      <c r="G162" s="14"/>
      <c r="H162" s="489"/>
      <c r="I162"/>
      <c r="J162"/>
      <c r="L162"/>
    </row>
    <row r="163" spans="2:12">
      <c r="B163"/>
      <c r="C163"/>
      <c r="D163"/>
      <c r="E163"/>
      <c r="F163"/>
      <c r="G163" s="14"/>
      <c r="H163" s="489"/>
      <c r="I163"/>
      <c r="J163"/>
      <c r="L163"/>
    </row>
    <row r="164" spans="2:12">
      <c r="B164"/>
      <c r="C164"/>
      <c r="D164"/>
      <c r="E164"/>
      <c r="F164"/>
      <c r="G164" s="14"/>
      <c r="H164" s="489"/>
      <c r="I164"/>
      <c r="J164"/>
      <c r="L164"/>
    </row>
    <row r="165" spans="2:12">
      <c r="B165"/>
      <c r="C165"/>
      <c r="D165"/>
      <c r="E165"/>
      <c r="F165"/>
      <c r="G165" s="14"/>
      <c r="H165" s="489"/>
      <c r="I165"/>
      <c r="J165"/>
      <c r="L165"/>
    </row>
    <row r="166" spans="2:12">
      <c r="B166"/>
      <c r="C166"/>
      <c r="D166"/>
      <c r="E166"/>
      <c r="F166"/>
      <c r="G166" s="14"/>
      <c r="H166" s="489"/>
      <c r="I166"/>
      <c r="J166"/>
      <c r="L166"/>
    </row>
    <row r="167" spans="2:12">
      <c r="B167"/>
      <c r="C167"/>
      <c r="D167"/>
      <c r="E167"/>
      <c r="F167"/>
      <c r="G167" s="14"/>
      <c r="H167" s="489"/>
      <c r="I167"/>
      <c r="J167"/>
      <c r="L167"/>
    </row>
    <row r="168" spans="2:12">
      <c r="B168"/>
      <c r="C168"/>
      <c r="D168"/>
      <c r="E168"/>
      <c r="F168"/>
      <c r="G168" s="14"/>
      <c r="H168" s="489"/>
      <c r="I168"/>
      <c r="J168"/>
      <c r="L168"/>
    </row>
    <row r="169" spans="2:12">
      <c r="B169"/>
      <c r="C169"/>
      <c r="D169"/>
      <c r="E169"/>
      <c r="F169"/>
      <c r="G169" s="14"/>
      <c r="H169" s="489"/>
      <c r="I169"/>
      <c r="J169"/>
      <c r="L169"/>
    </row>
    <row r="170" spans="2:12">
      <c r="B170"/>
      <c r="C170"/>
      <c r="D170"/>
      <c r="E170"/>
      <c r="F170"/>
      <c r="G170" s="14"/>
      <c r="H170" s="489"/>
      <c r="I170"/>
      <c r="J170"/>
      <c r="L170"/>
    </row>
    <row r="171" spans="2:12">
      <c r="B171"/>
      <c r="C171"/>
      <c r="D171"/>
      <c r="E171"/>
      <c r="F171"/>
      <c r="G171" s="14"/>
      <c r="H171" s="489"/>
      <c r="I171"/>
      <c r="J171"/>
      <c r="L171"/>
    </row>
    <row r="172" spans="2:12">
      <c r="B172"/>
      <c r="C172"/>
      <c r="D172"/>
      <c r="E172"/>
      <c r="F172"/>
      <c r="G172" s="14"/>
      <c r="H172" s="489"/>
      <c r="I172"/>
      <c r="J172"/>
      <c r="L172"/>
    </row>
    <row r="173" spans="2:12">
      <c r="B173"/>
      <c r="C173"/>
      <c r="D173"/>
      <c r="E173"/>
      <c r="F173"/>
      <c r="G173" s="14"/>
      <c r="H173" s="489"/>
      <c r="I173"/>
      <c r="J173"/>
      <c r="L173"/>
    </row>
    <row r="174" spans="2:12">
      <c r="B174"/>
      <c r="C174"/>
      <c r="D174"/>
      <c r="E174"/>
      <c r="F174"/>
      <c r="G174" s="14"/>
      <c r="H174" s="489"/>
      <c r="I174"/>
      <c r="J174"/>
      <c r="L174"/>
    </row>
    <row r="175" spans="2:12">
      <c r="B175"/>
      <c r="C175"/>
      <c r="D175"/>
      <c r="E175"/>
      <c r="F175"/>
      <c r="G175" s="14"/>
      <c r="H175" s="489"/>
      <c r="I175"/>
      <c r="J175"/>
      <c r="L175"/>
    </row>
    <row r="176" spans="2:12">
      <c r="B176"/>
      <c r="C176"/>
      <c r="D176"/>
      <c r="E176"/>
      <c r="F176"/>
      <c r="G176" s="14"/>
      <c r="H176" s="489"/>
      <c r="I176"/>
      <c r="J176"/>
      <c r="L176"/>
    </row>
    <row r="177" spans="2:12">
      <c r="B177"/>
      <c r="C177"/>
      <c r="D177"/>
      <c r="E177"/>
      <c r="F177"/>
      <c r="G177" s="14"/>
      <c r="H177" s="489"/>
      <c r="I177"/>
      <c r="J177"/>
      <c r="L177"/>
    </row>
    <row r="178" spans="2:12">
      <c r="B178"/>
      <c r="C178"/>
      <c r="D178"/>
      <c r="E178"/>
      <c r="F178"/>
      <c r="G178" s="14"/>
      <c r="H178" s="489"/>
      <c r="I178"/>
      <c r="J178"/>
      <c r="L178"/>
    </row>
    <row r="179" spans="2:12">
      <c r="B179"/>
      <c r="C179"/>
      <c r="D179"/>
      <c r="E179"/>
      <c r="F179"/>
      <c r="G179" s="14"/>
      <c r="H179" s="489"/>
      <c r="I179"/>
      <c r="J179"/>
      <c r="L179"/>
    </row>
    <row r="180" spans="2:12">
      <c r="B180"/>
      <c r="C180"/>
      <c r="D180"/>
      <c r="E180"/>
      <c r="F180"/>
      <c r="G180" s="14"/>
      <c r="H180" s="489"/>
      <c r="I180"/>
      <c r="J180"/>
      <c r="L180"/>
    </row>
    <row r="181" spans="2:12">
      <c r="B181"/>
      <c r="C181"/>
      <c r="D181"/>
      <c r="E181"/>
      <c r="F181"/>
      <c r="G181" s="14"/>
      <c r="H181" s="489"/>
      <c r="I181"/>
      <c r="J181"/>
      <c r="L181"/>
    </row>
    <row r="182" spans="2:12">
      <c r="B182"/>
      <c r="C182"/>
      <c r="D182"/>
      <c r="E182"/>
      <c r="F182"/>
      <c r="G182" s="14"/>
      <c r="H182" s="489"/>
      <c r="I182"/>
      <c r="J182"/>
      <c r="L182"/>
    </row>
    <row r="183" spans="2:12">
      <c r="B183"/>
      <c r="C183"/>
      <c r="D183"/>
      <c r="E183"/>
      <c r="F183"/>
      <c r="G183" s="14"/>
      <c r="H183" s="489"/>
      <c r="I183"/>
      <c r="J183"/>
      <c r="L183"/>
    </row>
    <row r="184" spans="2:12">
      <c r="B184"/>
      <c r="C184"/>
      <c r="D184"/>
      <c r="E184"/>
      <c r="F184"/>
      <c r="G184" s="14"/>
      <c r="H184" s="489"/>
      <c r="I184"/>
      <c r="J184"/>
      <c r="L184"/>
    </row>
    <row r="185" spans="2:12">
      <c r="B185"/>
      <c r="C185"/>
      <c r="D185"/>
      <c r="E185"/>
      <c r="F185"/>
      <c r="G185" s="14"/>
      <c r="H185" s="489"/>
      <c r="I185"/>
      <c r="J185"/>
      <c r="L185"/>
    </row>
    <row r="186" spans="2:12">
      <c r="B186"/>
      <c r="C186"/>
      <c r="D186"/>
      <c r="E186"/>
      <c r="F186"/>
      <c r="G186" s="14"/>
      <c r="H186" s="489"/>
      <c r="I186"/>
      <c r="J186"/>
      <c r="L186"/>
    </row>
    <row r="187" spans="2:12">
      <c r="B187"/>
      <c r="C187"/>
      <c r="D187"/>
      <c r="E187"/>
      <c r="F187"/>
      <c r="G187" s="14"/>
      <c r="H187" s="489"/>
      <c r="I187"/>
      <c r="J187"/>
      <c r="L187"/>
    </row>
    <row r="188" spans="2:12">
      <c r="B188"/>
      <c r="C188"/>
      <c r="D188"/>
      <c r="E188"/>
      <c r="F188"/>
      <c r="G188" s="14"/>
      <c r="H188" s="489"/>
      <c r="I188"/>
      <c r="J188"/>
      <c r="L188"/>
    </row>
    <row r="189" spans="2:12">
      <c r="B189"/>
      <c r="C189"/>
      <c r="D189"/>
      <c r="E189"/>
      <c r="F189"/>
      <c r="G189" s="14"/>
      <c r="H189" s="489"/>
      <c r="I189"/>
      <c r="J189"/>
      <c r="L189"/>
    </row>
    <row r="190" spans="2:12">
      <c r="B190"/>
      <c r="C190"/>
      <c r="D190"/>
      <c r="E190"/>
      <c r="F190"/>
      <c r="G190" s="14"/>
      <c r="H190" s="489"/>
      <c r="I190"/>
      <c r="J190"/>
      <c r="L190"/>
    </row>
    <row r="191" spans="2:12">
      <c r="B191"/>
      <c r="C191"/>
      <c r="D191"/>
      <c r="E191"/>
      <c r="F191"/>
      <c r="G191" s="14"/>
      <c r="H191" s="489"/>
      <c r="I191"/>
      <c r="J191"/>
      <c r="L191"/>
    </row>
    <row r="192" spans="2:12">
      <c r="B192"/>
      <c r="C192"/>
      <c r="D192"/>
      <c r="E192"/>
      <c r="F192"/>
      <c r="G192" s="14"/>
      <c r="H192" s="489"/>
      <c r="I192"/>
      <c r="J192"/>
      <c r="L192"/>
    </row>
    <row r="193" spans="2:12">
      <c r="B193"/>
      <c r="C193"/>
      <c r="D193"/>
      <c r="E193"/>
      <c r="F193"/>
      <c r="G193" s="14"/>
      <c r="H193" s="489"/>
      <c r="I193"/>
      <c r="J193"/>
      <c r="L193"/>
    </row>
    <row r="194" spans="2:12">
      <c r="B194"/>
      <c r="C194"/>
      <c r="D194"/>
      <c r="E194"/>
      <c r="F194"/>
      <c r="G194" s="14"/>
      <c r="H194" s="489"/>
      <c r="I194"/>
      <c r="J194"/>
      <c r="L194"/>
    </row>
    <row r="195" spans="2:12">
      <c r="B195"/>
      <c r="C195"/>
      <c r="D195"/>
      <c r="E195"/>
      <c r="F195"/>
      <c r="G195" s="14"/>
      <c r="H195" s="489"/>
      <c r="I195"/>
      <c r="J195"/>
      <c r="L195"/>
    </row>
    <row r="196" spans="2:12">
      <c r="B196"/>
      <c r="C196"/>
      <c r="D196"/>
      <c r="E196"/>
      <c r="F196"/>
      <c r="G196" s="14"/>
      <c r="H196" s="489"/>
      <c r="I196"/>
      <c r="J196"/>
      <c r="L196"/>
    </row>
    <row r="197" spans="2:12">
      <c r="B197"/>
      <c r="C197"/>
      <c r="D197"/>
      <c r="E197"/>
      <c r="F197"/>
      <c r="G197" s="14"/>
      <c r="H197" s="489"/>
      <c r="I197"/>
      <c r="J197"/>
      <c r="L197"/>
    </row>
    <row r="198" spans="2:12">
      <c r="B198"/>
      <c r="C198"/>
      <c r="D198"/>
      <c r="E198"/>
      <c r="F198"/>
      <c r="G198" s="14"/>
      <c r="H198" s="489"/>
      <c r="I198"/>
      <c r="J198"/>
      <c r="L198"/>
    </row>
    <row r="199" spans="2:12">
      <c r="B199"/>
      <c r="C199"/>
      <c r="D199"/>
      <c r="E199"/>
      <c r="F199"/>
      <c r="G199" s="14"/>
      <c r="H199" s="489"/>
      <c r="I199"/>
      <c r="J199"/>
      <c r="L199"/>
    </row>
    <row r="200" spans="2:12">
      <c r="B200"/>
      <c r="C200"/>
      <c r="D200"/>
      <c r="E200"/>
      <c r="F200"/>
      <c r="G200" s="14"/>
      <c r="H200" s="489"/>
      <c r="I200"/>
      <c r="J200"/>
      <c r="L200"/>
    </row>
    <row r="201" spans="2:12">
      <c r="B201"/>
      <c r="C201"/>
      <c r="D201"/>
      <c r="E201"/>
      <c r="F201"/>
      <c r="G201" s="14"/>
      <c r="H201" s="489"/>
      <c r="I201"/>
      <c r="J201"/>
      <c r="L201"/>
    </row>
    <row r="202" spans="2:12">
      <c r="B202"/>
      <c r="C202"/>
      <c r="D202"/>
      <c r="E202"/>
      <c r="F202"/>
      <c r="G202" s="14"/>
      <c r="H202" s="489"/>
      <c r="I202"/>
      <c r="J202"/>
      <c r="L202"/>
    </row>
    <row r="203" spans="2:12">
      <c r="B203"/>
      <c r="C203"/>
      <c r="D203"/>
      <c r="E203"/>
      <c r="F203"/>
      <c r="G203" s="14"/>
      <c r="H203" s="489"/>
      <c r="I203"/>
      <c r="J203"/>
      <c r="L203"/>
    </row>
    <row r="204" spans="2:12">
      <c r="B204"/>
      <c r="C204"/>
      <c r="D204"/>
      <c r="E204"/>
      <c r="F204"/>
      <c r="G204" s="14"/>
      <c r="H204" s="489"/>
      <c r="I204"/>
      <c r="J204"/>
      <c r="L204"/>
    </row>
    <row r="205" spans="2:12">
      <c r="B205"/>
      <c r="C205"/>
      <c r="D205"/>
      <c r="E205"/>
      <c r="F205"/>
      <c r="G205" s="14"/>
      <c r="H205" s="489"/>
      <c r="I205"/>
      <c r="J205"/>
      <c r="L205"/>
    </row>
    <row r="206" spans="2:12">
      <c r="B206"/>
      <c r="C206"/>
      <c r="D206"/>
      <c r="E206"/>
      <c r="F206"/>
      <c r="G206" s="14"/>
      <c r="H206" s="489"/>
      <c r="I206"/>
      <c r="J206"/>
      <c r="L206"/>
    </row>
    <row r="207" spans="2:12">
      <c r="B207"/>
      <c r="C207"/>
      <c r="D207"/>
      <c r="E207"/>
      <c r="F207"/>
      <c r="G207" s="14"/>
      <c r="H207" s="489"/>
      <c r="I207"/>
      <c r="J207"/>
      <c r="L207"/>
    </row>
    <row r="208" spans="2:12">
      <c r="B208"/>
      <c r="C208"/>
      <c r="D208"/>
      <c r="E208"/>
      <c r="F208"/>
      <c r="G208" s="14"/>
      <c r="H208" s="489"/>
      <c r="I208"/>
      <c r="J208"/>
      <c r="L208"/>
    </row>
    <row r="209" spans="2:12">
      <c r="B209"/>
      <c r="C209"/>
      <c r="D209"/>
      <c r="E209"/>
      <c r="F209"/>
      <c r="G209" s="14"/>
      <c r="H209" s="489"/>
      <c r="I209"/>
      <c r="J209"/>
      <c r="L209"/>
    </row>
    <row r="210" spans="2:12">
      <c r="B210"/>
      <c r="C210"/>
      <c r="D210"/>
      <c r="E210"/>
      <c r="F210"/>
      <c r="G210" s="14"/>
      <c r="H210" s="489"/>
      <c r="I210"/>
      <c r="J210"/>
      <c r="L210"/>
    </row>
    <row r="211" spans="2:12">
      <c r="B211"/>
      <c r="C211"/>
      <c r="D211"/>
      <c r="E211"/>
      <c r="F211"/>
      <c r="G211" s="14"/>
      <c r="H211" s="489"/>
      <c r="I211"/>
      <c r="J211"/>
      <c r="L211"/>
    </row>
    <row r="212" spans="2:12">
      <c r="B212"/>
      <c r="C212"/>
      <c r="D212"/>
      <c r="E212"/>
      <c r="F212"/>
      <c r="G212" s="14"/>
      <c r="H212" s="489"/>
      <c r="I212"/>
      <c r="J212"/>
      <c r="L212"/>
    </row>
    <row r="213" spans="2:12">
      <c r="B213"/>
      <c r="C213"/>
      <c r="D213"/>
      <c r="E213"/>
      <c r="F213"/>
      <c r="G213" s="14"/>
      <c r="H213" s="489"/>
      <c r="I213"/>
      <c r="J213"/>
      <c r="L213"/>
    </row>
    <row r="214" spans="2:12">
      <c r="B214"/>
      <c r="C214"/>
      <c r="D214"/>
      <c r="E214"/>
      <c r="F214"/>
      <c r="G214" s="14"/>
      <c r="H214" s="489"/>
      <c r="I214"/>
      <c r="J214"/>
      <c r="L214"/>
    </row>
    <row r="215" spans="2:12">
      <c r="B215"/>
      <c r="C215"/>
      <c r="D215"/>
      <c r="E215"/>
      <c r="F215"/>
      <c r="G215" s="14"/>
      <c r="H215" s="489"/>
      <c r="I215"/>
      <c r="J215"/>
      <c r="L215"/>
    </row>
    <row r="216" spans="2:12">
      <c r="B216"/>
      <c r="C216"/>
      <c r="D216"/>
      <c r="E216"/>
      <c r="F216"/>
      <c r="G216" s="14"/>
      <c r="H216" s="489"/>
      <c r="I216"/>
      <c r="J216"/>
      <c r="L216"/>
    </row>
    <row r="217" spans="2:12">
      <c r="B217"/>
      <c r="C217"/>
      <c r="D217"/>
      <c r="E217"/>
      <c r="F217"/>
      <c r="G217" s="14"/>
      <c r="H217" s="489"/>
      <c r="I217"/>
      <c r="J217"/>
      <c r="L217"/>
    </row>
    <row r="218" spans="2:12">
      <c r="B218"/>
      <c r="C218"/>
      <c r="D218"/>
      <c r="E218"/>
      <c r="F218"/>
      <c r="G218" s="14"/>
      <c r="H218" s="489"/>
      <c r="I218"/>
      <c r="J218"/>
      <c r="L218"/>
    </row>
    <row r="219" spans="2:12">
      <c r="B219"/>
      <c r="C219"/>
      <c r="D219"/>
      <c r="E219"/>
      <c r="F219"/>
      <c r="G219" s="14"/>
      <c r="H219" s="489"/>
      <c r="I219"/>
      <c r="J219"/>
      <c r="L219"/>
    </row>
    <row r="220" spans="2:12">
      <c r="B220"/>
      <c r="C220"/>
      <c r="D220"/>
      <c r="E220"/>
      <c r="F220"/>
      <c r="G220" s="14"/>
      <c r="H220" s="489"/>
      <c r="I220"/>
      <c r="J220"/>
      <c r="L220"/>
    </row>
    <row r="221" spans="2:12">
      <c r="B221"/>
      <c r="C221"/>
      <c r="D221"/>
      <c r="E221"/>
      <c r="F221"/>
      <c r="G221" s="14"/>
      <c r="H221" s="489"/>
      <c r="I221"/>
      <c r="J221"/>
      <c r="L221"/>
    </row>
    <row r="222" spans="2:12">
      <c r="B222"/>
      <c r="C222"/>
      <c r="D222"/>
      <c r="E222"/>
      <c r="F222"/>
      <c r="G222" s="14"/>
      <c r="H222" s="489"/>
      <c r="I222"/>
      <c r="J222"/>
      <c r="L222"/>
    </row>
    <row r="223" spans="2:12">
      <c r="B223"/>
      <c r="C223"/>
      <c r="D223"/>
      <c r="E223"/>
      <c r="F223"/>
      <c r="G223" s="14"/>
      <c r="H223" s="489"/>
      <c r="I223"/>
      <c r="J223"/>
      <c r="L223"/>
    </row>
    <row r="224" spans="2:12">
      <c r="B224"/>
      <c r="C224"/>
      <c r="D224"/>
      <c r="E224"/>
      <c r="F224"/>
      <c r="G224" s="14"/>
      <c r="H224" s="489"/>
      <c r="I224"/>
      <c r="J224"/>
      <c r="L224"/>
    </row>
    <row r="225" spans="2:12">
      <c r="B225"/>
      <c r="C225"/>
      <c r="D225"/>
      <c r="E225"/>
      <c r="F225"/>
      <c r="G225" s="14"/>
      <c r="H225" s="489"/>
      <c r="I225"/>
      <c r="J225"/>
      <c r="L225"/>
    </row>
    <row r="226" spans="2:12">
      <c r="B226"/>
      <c r="C226"/>
      <c r="D226"/>
      <c r="E226"/>
      <c r="F226"/>
      <c r="G226" s="14"/>
      <c r="H226" s="489"/>
      <c r="I226"/>
      <c r="J226"/>
      <c r="L226"/>
    </row>
    <row r="227" spans="2:12">
      <c r="B227"/>
      <c r="C227"/>
      <c r="D227"/>
      <c r="E227"/>
      <c r="F227"/>
      <c r="G227" s="14"/>
      <c r="H227" s="489"/>
      <c r="I227"/>
      <c r="J227"/>
      <c r="L227"/>
    </row>
    <row r="228" spans="2:12">
      <c r="B228"/>
      <c r="C228"/>
      <c r="D228"/>
      <c r="E228"/>
      <c r="F228"/>
      <c r="G228" s="14"/>
      <c r="H228" s="489"/>
      <c r="I228"/>
      <c r="J228"/>
      <c r="L228"/>
    </row>
    <row r="229" spans="2:12">
      <c r="B229"/>
      <c r="C229"/>
      <c r="D229"/>
      <c r="E229"/>
      <c r="F229"/>
      <c r="G229" s="14"/>
      <c r="H229" s="489"/>
      <c r="I229"/>
      <c r="J229"/>
      <c r="L229"/>
    </row>
    <row r="230" spans="2:12">
      <c r="B230"/>
      <c r="C230"/>
      <c r="D230"/>
      <c r="E230"/>
      <c r="F230"/>
      <c r="G230" s="14"/>
      <c r="H230" s="489"/>
      <c r="I230"/>
      <c r="J230"/>
      <c r="L230"/>
    </row>
    <row r="231" spans="2:12">
      <c r="B231"/>
      <c r="C231"/>
      <c r="D231"/>
      <c r="E231"/>
      <c r="F231"/>
      <c r="G231" s="14"/>
      <c r="H231" s="489"/>
      <c r="I231"/>
      <c r="J231"/>
      <c r="L231"/>
    </row>
    <row r="232" spans="2:12">
      <c r="B232"/>
      <c r="C232"/>
      <c r="D232"/>
      <c r="E232"/>
      <c r="F232"/>
      <c r="G232" s="14"/>
      <c r="H232" s="489"/>
      <c r="I232"/>
      <c r="J232"/>
      <c r="L232"/>
    </row>
    <row r="233" spans="2:12">
      <c r="B233"/>
      <c r="C233"/>
      <c r="D233"/>
      <c r="E233"/>
      <c r="F233"/>
      <c r="G233" s="14"/>
      <c r="H233" s="489"/>
      <c r="I233"/>
      <c r="J233"/>
      <c r="L233"/>
    </row>
    <row r="234" spans="2:12">
      <c r="B234"/>
      <c r="C234"/>
      <c r="D234"/>
      <c r="E234"/>
      <c r="F234"/>
      <c r="G234" s="14"/>
      <c r="H234" s="489"/>
      <c r="I234"/>
      <c r="J234"/>
      <c r="L234"/>
    </row>
    <row r="235" spans="2:12">
      <c r="B235"/>
      <c r="C235"/>
      <c r="D235"/>
      <c r="E235"/>
      <c r="F235"/>
      <c r="G235" s="14"/>
      <c r="H235" s="489"/>
      <c r="I235"/>
      <c r="J235"/>
      <c r="L235"/>
    </row>
    <row r="236" spans="2:12">
      <c r="B236"/>
      <c r="C236"/>
      <c r="D236"/>
      <c r="E236"/>
      <c r="F236"/>
      <c r="G236" s="14"/>
      <c r="H236" s="489"/>
      <c r="I236"/>
      <c r="J236"/>
      <c r="L236"/>
    </row>
    <row r="237" spans="2:12">
      <c r="B237"/>
      <c r="C237"/>
      <c r="D237"/>
      <c r="E237"/>
      <c r="F237"/>
      <c r="G237" s="14"/>
      <c r="H237" s="489"/>
      <c r="I237"/>
      <c r="J237"/>
      <c r="L237"/>
    </row>
    <row r="238" spans="2:12">
      <c r="B238"/>
      <c r="C238"/>
      <c r="D238"/>
      <c r="E238"/>
      <c r="F238"/>
      <c r="G238" s="14"/>
      <c r="H238" s="489"/>
      <c r="I238"/>
      <c r="J238"/>
      <c r="L238"/>
    </row>
    <row r="239" spans="2:12">
      <c r="B239"/>
      <c r="C239"/>
      <c r="D239"/>
      <c r="E239"/>
      <c r="F239"/>
      <c r="G239" s="14"/>
      <c r="H239" s="489"/>
      <c r="I239"/>
      <c r="J239"/>
      <c r="L239"/>
    </row>
    <row r="240" spans="2:12">
      <c r="B240"/>
      <c r="C240"/>
      <c r="D240"/>
      <c r="E240"/>
      <c r="F240"/>
      <c r="G240" s="14"/>
      <c r="H240" s="489"/>
      <c r="I240"/>
      <c r="J240"/>
      <c r="L240"/>
    </row>
    <row r="241" spans="2:12">
      <c r="B241"/>
      <c r="C241"/>
      <c r="D241"/>
      <c r="E241"/>
      <c r="F241"/>
      <c r="G241" s="14"/>
      <c r="H241" s="489"/>
      <c r="I241"/>
      <c r="J241"/>
      <c r="L241"/>
    </row>
    <row r="242" spans="2:12">
      <c r="B242"/>
      <c r="C242"/>
      <c r="D242"/>
      <c r="E242"/>
      <c r="F242"/>
      <c r="G242" s="14"/>
      <c r="H242" s="489"/>
      <c r="I242"/>
      <c r="J242"/>
      <c r="L242"/>
    </row>
    <row r="243" spans="2:12">
      <c r="B243"/>
      <c r="C243"/>
      <c r="D243"/>
      <c r="E243"/>
      <c r="F243"/>
      <c r="G243" s="14"/>
      <c r="H243" s="489"/>
      <c r="I243"/>
      <c r="J243"/>
      <c r="L243"/>
    </row>
    <row r="244" spans="2:12">
      <c r="B244"/>
      <c r="C244"/>
      <c r="D244"/>
      <c r="E244"/>
      <c r="F244"/>
      <c r="G244" s="14"/>
      <c r="H244" s="489"/>
      <c r="I244"/>
      <c r="J244"/>
      <c r="L244"/>
    </row>
    <row r="245" spans="2:12">
      <c r="B245"/>
      <c r="C245"/>
      <c r="D245"/>
      <c r="E245"/>
      <c r="F245"/>
      <c r="G245" s="14"/>
      <c r="H245" s="489"/>
      <c r="I245"/>
      <c r="J245"/>
      <c r="L245"/>
    </row>
    <row r="246" spans="2:12">
      <c r="B246"/>
      <c r="C246"/>
      <c r="D246"/>
      <c r="E246"/>
      <c r="F246"/>
      <c r="G246" s="14"/>
      <c r="H246" s="489"/>
      <c r="I246"/>
      <c r="J246"/>
      <c r="L246"/>
    </row>
    <row r="247" spans="2:12">
      <c r="B247"/>
      <c r="C247"/>
      <c r="D247"/>
      <c r="E247"/>
      <c r="F247"/>
      <c r="G247" s="14"/>
      <c r="H247" s="489"/>
      <c r="I247"/>
      <c r="J247"/>
      <c r="L247"/>
    </row>
    <row r="248" spans="2:12">
      <c r="B248"/>
      <c r="C248"/>
      <c r="D248"/>
      <c r="E248"/>
      <c r="F248"/>
      <c r="G248" s="14"/>
      <c r="H248" s="489"/>
      <c r="I248"/>
      <c r="J248"/>
      <c r="L248"/>
    </row>
    <row r="249" spans="2:12">
      <c r="B249"/>
      <c r="C249"/>
      <c r="D249"/>
      <c r="E249"/>
      <c r="F249"/>
      <c r="G249" s="14"/>
      <c r="H249" s="489"/>
      <c r="I249"/>
      <c r="J249"/>
      <c r="L249"/>
    </row>
    <row r="250" spans="2:12">
      <c r="B250"/>
      <c r="C250"/>
      <c r="D250"/>
      <c r="E250"/>
      <c r="F250"/>
      <c r="G250" s="14"/>
      <c r="H250" s="489"/>
      <c r="I250"/>
      <c r="J250"/>
      <c r="L250"/>
    </row>
    <row r="251" spans="2:12">
      <c r="B251"/>
      <c r="C251"/>
      <c r="D251"/>
      <c r="E251"/>
      <c r="F251"/>
      <c r="G251" s="14"/>
      <c r="H251" s="489"/>
      <c r="I251"/>
      <c r="J251"/>
      <c r="L251"/>
    </row>
    <row r="252" spans="2:12">
      <c r="B252"/>
      <c r="C252"/>
      <c r="D252"/>
      <c r="E252"/>
      <c r="F252"/>
      <c r="G252" s="14"/>
      <c r="H252" s="489"/>
      <c r="I252"/>
      <c r="J252"/>
      <c r="L252"/>
    </row>
    <row r="253" spans="2:12">
      <c r="B253"/>
      <c r="C253"/>
      <c r="D253"/>
      <c r="E253"/>
      <c r="F253"/>
      <c r="G253" s="14"/>
      <c r="H253" s="489"/>
      <c r="I253"/>
      <c r="J253"/>
      <c r="L253"/>
    </row>
    <row r="254" spans="2:12">
      <c r="B254"/>
      <c r="C254"/>
      <c r="D254"/>
      <c r="E254"/>
      <c r="F254"/>
      <c r="G254" s="14"/>
      <c r="H254" s="489"/>
      <c r="I254"/>
      <c r="J254"/>
      <c r="L254"/>
    </row>
    <row r="255" spans="2:12">
      <c r="B255"/>
      <c r="C255"/>
      <c r="D255"/>
      <c r="E255"/>
      <c r="F255"/>
      <c r="G255" s="14"/>
      <c r="H255" s="489"/>
      <c r="I255"/>
      <c r="J255"/>
      <c r="L255"/>
    </row>
    <row r="256" spans="2:12">
      <c r="B256"/>
      <c r="C256"/>
      <c r="D256"/>
      <c r="E256"/>
      <c r="F256"/>
      <c r="G256" s="14"/>
      <c r="H256" s="489"/>
      <c r="I256"/>
      <c r="J256"/>
      <c r="L256"/>
    </row>
    <row r="257" spans="2:12">
      <c r="B257"/>
      <c r="C257"/>
      <c r="D257"/>
      <c r="E257"/>
      <c r="F257"/>
      <c r="G257" s="14"/>
      <c r="H257" s="489"/>
      <c r="I257"/>
      <c r="J257"/>
      <c r="L257"/>
    </row>
    <row r="258" spans="2:12">
      <c r="B258"/>
      <c r="C258"/>
      <c r="D258"/>
      <c r="E258"/>
      <c r="F258"/>
      <c r="G258" s="14"/>
      <c r="H258" s="489"/>
      <c r="I258"/>
      <c r="J258"/>
      <c r="L258"/>
    </row>
    <row r="259" spans="2:12">
      <c r="B259"/>
      <c r="C259"/>
      <c r="D259"/>
      <c r="E259"/>
      <c r="F259"/>
      <c r="G259" s="14"/>
      <c r="H259" s="489"/>
      <c r="I259"/>
      <c r="J259"/>
      <c r="L259"/>
    </row>
    <row r="260" spans="2:12">
      <c r="B260"/>
      <c r="C260"/>
      <c r="D260"/>
      <c r="E260"/>
      <c r="F260"/>
      <c r="G260" s="14"/>
      <c r="H260" s="489"/>
      <c r="I260"/>
      <c r="J260"/>
      <c r="L260"/>
    </row>
    <row r="261" spans="2:12">
      <c r="B261"/>
      <c r="C261"/>
      <c r="D261"/>
      <c r="E261"/>
      <c r="F261"/>
      <c r="G261" s="14"/>
      <c r="H261" s="489"/>
      <c r="I261"/>
      <c r="J261"/>
      <c r="L261"/>
    </row>
    <row r="262" spans="2:12">
      <c r="B262"/>
      <c r="C262"/>
      <c r="D262"/>
      <c r="E262"/>
      <c r="F262"/>
      <c r="G262" s="14"/>
      <c r="H262" s="489"/>
      <c r="I262"/>
      <c r="J262"/>
      <c r="L262"/>
    </row>
    <row r="263" spans="2:12">
      <c r="B263"/>
      <c r="C263"/>
      <c r="D263"/>
      <c r="E263"/>
      <c r="F263"/>
      <c r="G263" s="14"/>
      <c r="H263" s="489"/>
      <c r="I263"/>
      <c r="J263"/>
      <c r="L263"/>
    </row>
    <row r="264" spans="2:12">
      <c r="B264"/>
      <c r="C264"/>
      <c r="D264"/>
      <c r="E264"/>
      <c r="F264"/>
      <c r="G264" s="14"/>
      <c r="H264" s="489"/>
      <c r="I264"/>
      <c r="J264"/>
      <c r="L264"/>
    </row>
    <row r="265" spans="2:12">
      <c r="B265"/>
      <c r="C265"/>
      <c r="D265"/>
      <c r="E265"/>
      <c r="F265"/>
      <c r="G265" s="14"/>
      <c r="H265" s="489"/>
      <c r="I265"/>
      <c r="J265"/>
      <c r="L265"/>
    </row>
    <row r="266" spans="2:12">
      <c r="B266"/>
      <c r="C266"/>
      <c r="D266"/>
      <c r="E266"/>
      <c r="F266"/>
      <c r="G266" s="14"/>
      <c r="H266" s="489"/>
      <c r="I266"/>
      <c r="J266"/>
      <c r="L266"/>
    </row>
    <row r="267" spans="2:12">
      <c r="B267"/>
      <c r="C267"/>
      <c r="D267"/>
      <c r="E267"/>
      <c r="F267"/>
      <c r="G267" s="14"/>
      <c r="H267" s="489"/>
      <c r="I267"/>
      <c r="J267"/>
      <c r="L267"/>
    </row>
    <row r="268" spans="2:12">
      <c r="B268"/>
      <c r="C268"/>
      <c r="D268"/>
      <c r="E268"/>
      <c r="F268"/>
      <c r="G268" s="14"/>
      <c r="H268" s="489"/>
      <c r="I268"/>
      <c r="J268"/>
      <c r="L268"/>
    </row>
    <row r="269" spans="2:12">
      <c r="B269"/>
      <c r="C269"/>
      <c r="D269"/>
      <c r="E269"/>
      <c r="F269"/>
      <c r="G269" s="14"/>
      <c r="H269" s="489"/>
      <c r="I269"/>
      <c r="J269"/>
      <c r="L269"/>
    </row>
    <row r="270" spans="2:12">
      <c r="B270"/>
      <c r="C270"/>
      <c r="D270"/>
      <c r="E270"/>
      <c r="F270"/>
      <c r="G270" s="14"/>
      <c r="H270" s="489"/>
      <c r="I270"/>
      <c r="J270"/>
      <c r="L270"/>
    </row>
    <row r="271" spans="2:12">
      <c r="B271"/>
      <c r="C271"/>
      <c r="D271"/>
      <c r="E271"/>
      <c r="F271"/>
      <c r="G271" s="14"/>
      <c r="H271" s="489"/>
      <c r="I271"/>
      <c r="J271"/>
      <c r="L271"/>
    </row>
    <row r="272" spans="2:12">
      <c r="B272"/>
      <c r="C272"/>
      <c r="D272"/>
      <c r="E272"/>
      <c r="F272"/>
      <c r="G272" s="14"/>
      <c r="H272" s="489"/>
      <c r="I272"/>
      <c r="J272"/>
      <c r="L272"/>
    </row>
    <row r="273" spans="2:12">
      <c r="B273"/>
      <c r="C273"/>
      <c r="D273"/>
      <c r="E273"/>
      <c r="F273"/>
      <c r="G273" s="14"/>
      <c r="H273" s="489"/>
      <c r="I273"/>
      <c r="J273"/>
      <c r="L273"/>
    </row>
    <row r="274" spans="2:12">
      <c r="B274"/>
      <c r="C274"/>
      <c r="D274"/>
      <c r="E274"/>
      <c r="F274"/>
      <c r="G274" s="14"/>
      <c r="H274" s="489"/>
      <c r="I274"/>
      <c r="J274"/>
      <c r="L274"/>
    </row>
    <row r="275" spans="2:12">
      <c r="B275"/>
      <c r="C275"/>
      <c r="D275"/>
      <c r="E275"/>
      <c r="F275"/>
      <c r="G275" s="14"/>
      <c r="H275" s="489"/>
      <c r="I275"/>
      <c r="J275"/>
      <c r="L275"/>
    </row>
    <row r="276" spans="2:12">
      <c r="B276"/>
      <c r="C276"/>
      <c r="D276"/>
      <c r="E276"/>
      <c r="F276"/>
      <c r="G276" s="14"/>
      <c r="H276" s="489"/>
      <c r="I276"/>
      <c r="J276"/>
      <c r="L276"/>
    </row>
    <row r="277" spans="2:12">
      <c r="B277"/>
      <c r="C277"/>
      <c r="D277"/>
      <c r="E277"/>
      <c r="F277"/>
      <c r="G277" s="14"/>
      <c r="H277" s="489"/>
      <c r="I277"/>
      <c r="J277"/>
      <c r="L277"/>
    </row>
    <row r="278" spans="2:12">
      <c r="B278"/>
      <c r="C278"/>
      <c r="D278"/>
      <c r="E278"/>
      <c r="F278"/>
      <c r="G278" s="14"/>
      <c r="H278" s="489"/>
      <c r="I278"/>
      <c r="J278"/>
      <c r="L278"/>
    </row>
    <row r="279" spans="2:12">
      <c r="B279"/>
      <c r="C279"/>
      <c r="D279"/>
      <c r="E279"/>
      <c r="F279"/>
      <c r="G279" s="14"/>
      <c r="H279" s="489"/>
      <c r="I279"/>
      <c r="J279"/>
      <c r="L279"/>
    </row>
    <row r="280" spans="2:12">
      <c r="B280"/>
      <c r="C280"/>
      <c r="D280"/>
      <c r="E280"/>
      <c r="F280"/>
      <c r="G280" s="14"/>
      <c r="H280" s="489"/>
      <c r="I280"/>
      <c r="J280"/>
      <c r="L280"/>
    </row>
    <row r="281" spans="2:12">
      <c r="B281"/>
      <c r="C281"/>
      <c r="D281"/>
      <c r="E281"/>
      <c r="F281"/>
      <c r="G281" s="14"/>
      <c r="H281" s="489"/>
      <c r="I281"/>
      <c r="J281"/>
      <c r="L281"/>
    </row>
    <row r="282" spans="2:12">
      <c r="B282"/>
      <c r="C282"/>
      <c r="D282"/>
      <c r="E282"/>
      <c r="F282"/>
      <c r="G282" s="14"/>
      <c r="H282" s="489"/>
      <c r="I282"/>
      <c r="J282"/>
      <c r="L282"/>
    </row>
    <row r="283" spans="2:12">
      <c r="B283"/>
      <c r="C283"/>
      <c r="D283"/>
      <c r="E283"/>
      <c r="F283"/>
      <c r="G283" s="14"/>
      <c r="H283" s="489"/>
      <c r="I283"/>
      <c r="J283"/>
      <c r="L283"/>
    </row>
    <row r="284" spans="2:12">
      <c r="B284"/>
      <c r="C284"/>
      <c r="D284"/>
      <c r="E284"/>
      <c r="F284"/>
      <c r="G284" s="14"/>
      <c r="H284" s="489"/>
      <c r="I284"/>
      <c r="J284"/>
      <c r="L284"/>
    </row>
    <row r="285" spans="2:12">
      <c r="B285"/>
      <c r="C285"/>
      <c r="D285"/>
      <c r="E285"/>
      <c r="F285"/>
      <c r="G285" s="14"/>
      <c r="H285" s="489"/>
      <c r="I285"/>
      <c r="J285"/>
      <c r="L285"/>
    </row>
    <row r="286" spans="2:12">
      <c r="B286"/>
      <c r="C286"/>
      <c r="D286"/>
      <c r="E286"/>
      <c r="F286"/>
      <c r="G286" s="14"/>
      <c r="H286" s="489"/>
      <c r="I286"/>
      <c r="J286"/>
      <c r="L286"/>
    </row>
    <row r="287" spans="2:12">
      <c r="B287"/>
      <c r="C287"/>
      <c r="D287"/>
      <c r="E287"/>
      <c r="F287"/>
      <c r="G287" s="14"/>
      <c r="H287" s="489"/>
      <c r="I287"/>
      <c r="J287"/>
      <c r="L287"/>
    </row>
    <row r="288" spans="2:12">
      <c r="B288"/>
      <c r="C288"/>
      <c r="D288"/>
      <c r="E288"/>
      <c r="F288"/>
      <c r="G288" s="14"/>
      <c r="H288" s="489"/>
      <c r="I288"/>
      <c r="J288"/>
      <c r="L288"/>
    </row>
    <row r="289" spans="2:12">
      <c r="B289"/>
      <c r="C289"/>
      <c r="D289"/>
      <c r="E289"/>
      <c r="F289"/>
      <c r="G289" s="14"/>
      <c r="H289" s="489"/>
      <c r="I289"/>
      <c r="J289"/>
      <c r="L289"/>
    </row>
    <row r="290" spans="2:12">
      <c r="B290"/>
      <c r="C290"/>
      <c r="D290"/>
      <c r="E290"/>
      <c r="F290"/>
      <c r="G290" s="14"/>
      <c r="H290" s="489"/>
      <c r="I290"/>
      <c r="J290"/>
      <c r="L290"/>
    </row>
    <row r="291" spans="2:12">
      <c r="B291"/>
      <c r="C291"/>
      <c r="D291"/>
      <c r="E291"/>
      <c r="F291"/>
      <c r="G291" s="14"/>
      <c r="H291" s="489"/>
      <c r="I291"/>
      <c r="J291"/>
      <c r="L291"/>
    </row>
    <row r="292" spans="2:12">
      <c r="B292"/>
      <c r="C292"/>
      <c r="D292"/>
      <c r="E292"/>
      <c r="F292"/>
      <c r="G292" s="14"/>
      <c r="H292" s="489"/>
      <c r="I292"/>
      <c r="J292"/>
      <c r="L292"/>
    </row>
    <row r="293" spans="2:12">
      <c r="B293"/>
      <c r="C293"/>
      <c r="D293"/>
      <c r="E293"/>
      <c r="F293"/>
      <c r="G293" s="14"/>
      <c r="H293" s="489"/>
      <c r="I293"/>
      <c r="J293"/>
      <c r="L293"/>
    </row>
    <row r="294" spans="2:12">
      <c r="B294"/>
      <c r="C294"/>
      <c r="D294"/>
      <c r="E294"/>
      <c r="F294"/>
      <c r="G294" s="14"/>
      <c r="H294" s="489"/>
      <c r="I294"/>
      <c r="J294"/>
      <c r="L294"/>
    </row>
    <row r="295" spans="2:12">
      <c r="B295"/>
      <c r="C295"/>
      <c r="D295"/>
      <c r="E295"/>
      <c r="F295"/>
      <c r="G295" s="14"/>
      <c r="H295" s="489"/>
      <c r="I295"/>
      <c r="J295"/>
      <c r="L295"/>
    </row>
    <row r="296" spans="2:12">
      <c r="B296"/>
      <c r="C296"/>
      <c r="D296"/>
      <c r="E296"/>
      <c r="F296"/>
      <c r="G296" s="14"/>
      <c r="H296" s="489"/>
      <c r="I296"/>
      <c r="J296"/>
      <c r="L296"/>
    </row>
    <row r="297" spans="2:12">
      <c r="B297"/>
      <c r="C297"/>
      <c r="D297"/>
      <c r="E297"/>
      <c r="F297"/>
      <c r="G297" s="14"/>
      <c r="H297" s="489"/>
      <c r="I297"/>
      <c r="J297"/>
      <c r="L297"/>
    </row>
    <row r="298" spans="2:12">
      <c r="B298"/>
      <c r="C298"/>
      <c r="D298"/>
      <c r="E298"/>
      <c r="F298"/>
      <c r="G298" s="14"/>
      <c r="H298" s="489"/>
      <c r="I298"/>
      <c r="J298"/>
      <c r="L298"/>
    </row>
    <row r="299" spans="2:12">
      <c r="B299"/>
      <c r="C299"/>
      <c r="D299"/>
      <c r="E299"/>
      <c r="F299"/>
      <c r="G299" s="14"/>
      <c r="H299" s="489"/>
      <c r="I299"/>
      <c r="J299"/>
      <c r="L299"/>
    </row>
    <row r="300" spans="2:12">
      <c r="B300"/>
      <c r="C300"/>
      <c r="D300"/>
      <c r="E300"/>
      <c r="F300"/>
      <c r="G300" s="14"/>
      <c r="H300" s="489"/>
      <c r="I300"/>
      <c r="J300"/>
      <c r="L300"/>
    </row>
    <row r="301" spans="2:12">
      <c r="B301"/>
      <c r="C301"/>
      <c r="D301"/>
      <c r="E301"/>
      <c r="F301"/>
      <c r="G301" s="14"/>
      <c r="H301" s="489"/>
      <c r="I301"/>
      <c r="J301"/>
      <c r="L301"/>
    </row>
    <row r="302" spans="2:12">
      <c r="B302"/>
      <c r="C302"/>
      <c r="D302"/>
      <c r="E302"/>
      <c r="F302"/>
      <c r="G302" s="14"/>
      <c r="H302" s="489"/>
      <c r="I302"/>
      <c r="J302"/>
      <c r="L302"/>
    </row>
    <row r="303" spans="2:12">
      <c r="B303"/>
      <c r="C303"/>
      <c r="D303"/>
      <c r="E303"/>
      <c r="F303"/>
      <c r="G303" s="14"/>
      <c r="H303" s="489"/>
      <c r="I303"/>
      <c r="J303"/>
      <c r="L303"/>
    </row>
    <row r="304" spans="2:12">
      <c r="B304"/>
      <c r="C304"/>
      <c r="D304"/>
      <c r="E304"/>
      <c r="F304"/>
      <c r="G304" s="14"/>
      <c r="H304" s="489"/>
      <c r="I304"/>
      <c r="J304"/>
      <c r="L304"/>
    </row>
    <row r="305" spans="2:12">
      <c r="B305"/>
      <c r="C305"/>
      <c r="D305"/>
      <c r="E305"/>
      <c r="F305"/>
      <c r="G305" s="14"/>
      <c r="H305" s="489"/>
      <c r="I305"/>
      <c r="J305"/>
      <c r="L305"/>
    </row>
    <row r="306" spans="2:12">
      <c r="B306"/>
      <c r="C306"/>
      <c r="D306"/>
      <c r="E306"/>
      <c r="F306"/>
      <c r="G306" s="14"/>
      <c r="H306" s="489"/>
      <c r="I306"/>
      <c r="J306"/>
      <c r="L306"/>
    </row>
    <row r="307" spans="2:12">
      <c r="B307"/>
      <c r="C307"/>
      <c r="D307"/>
      <c r="E307"/>
      <c r="F307"/>
      <c r="G307" s="14"/>
      <c r="H307" s="489"/>
      <c r="I307"/>
      <c r="J307"/>
      <c r="L307"/>
    </row>
    <row r="308" spans="2:12">
      <c r="B308"/>
      <c r="C308"/>
      <c r="D308"/>
      <c r="E308"/>
      <c r="F308"/>
      <c r="G308" s="14"/>
      <c r="H308" s="489"/>
      <c r="I308"/>
      <c r="J308"/>
      <c r="L308"/>
    </row>
    <row r="309" spans="2:12">
      <c r="B309"/>
      <c r="C309"/>
      <c r="D309"/>
      <c r="E309"/>
      <c r="F309"/>
      <c r="G309" s="14"/>
      <c r="H309" s="489"/>
      <c r="I309"/>
      <c r="J309"/>
      <c r="L309"/>
    </row>
    <row r="310" spans="2:12">
      <c r="B310"/>
      <c r="C310"/>
      <c r="D310"/>
      <c r="E310"/>
      <c r="F310"/>
      <c r="G310" s="14"/>
      <c r="H310" s="489"/>
      <c r="I310"/>
      <c r="J310"/>
      <c r="L310"/>
    </row>
    <row r="311" spans="2:12">
      <c r="B311"/>
      <c r="C311"/>
      <c r="D311"/>
      <c r="E311"/>
      <c r="F311"/>
      <c r="G311" s="14"/>
      <c r="H311" s="489"/>
      <c r="I311"/>
      <c r="J311"/>
      <c r="L311"/>
    </row>
    <row r="312" spans="2:12">
      <c r="B312"/>
      <c r="C312"/>
      <c r="D312"/>
      <c r="E312"/>
      <c r="F312"/>
      <c r="G312" s="14"/>
      <c r="H312" s="489"/>
      <c r="I312"/>
      <c r="J312"/>
      <c r="L312"/>
    </row>
    <row r="313" spans="2:12">
      <c r="B313"/>
      <c r="C313"/>
      <c r="D313"/>
      <c r="E313"/>
      <c r="F313"/>
      <c r="G313" s="14"/>
      <c r="H313" s="489"/>
      <c r="I313"/>
      <c r="J313"/>
      <c r="L313"/>
    </row>
    <row r="314" spans="2:12">
      <c r="B314"/>
      <c r="C314"/>
      <c r="D314"/>
      <c r="E314"/>
      <c r="F314"/>
      <c r="G314" s="14"/>
      <c r="H314" s="489"/>
      <c r="I314"/>
      <c r="J314"/>
      <c r="L314"/>
    </row>
    <row r="315" spans="2:12">
      <c r="B315"/>
      <c r="C315"/>
      <c r="D315"/>
      <c r="E315"/>
      <c r="F315"/>
      <c r="G315" s="14"/>
      <c r="H315" s="489"/>
      <c r="I315"/>
      <c r="J315"/>
      <c r="L315"/>
    </row>
    <row r="316" spans="2:12">
      <c r="B316"/>
      <c r="C316"/>
      <c r="D316"/>
      <c r="E316"/>
      <c r="F316"/>
      <c r="G316" s="14"/>
      <c r="H316" s="489"/>
      <c r="I316"/>
      <c r="J316"/>
      <c r="L316"/>
    </row>
    <row r="317" spans="2:12">
      <c r="B317"/>
      <c r="C317"/>
      <c r="D317"/>
      <c r="E317"/>
      <c r="F317"/>
      <c r="G317" s="14"/>
      <c r="H317" s="489"/>
      <c r="I317"/>
      <c r="J317"/>
      <c r="L317"/>
    </row>
    <row r="318" spans="2:12">
      <c r="B318"/>
      <c r="C318"/>
      <c r="D318"/>
      <c r="E318"/>
      <c r="F318"/>
      <c r="G318" s="14"/>
      <c r="H318" s="489"/>
      <c r="I318"/>
      <c r="J318"/>
      <c r="L318"/>
    </row>
    <row r="319" spans="2:12">
      <c r="B319"/>
      <c r="C319"/>
      <c r="D319"/>
      <c r="E319"/>
      <c r="F319"/>
      <c r="G319" s="14"/>
      <c r="H319" s="489"/>
      <c r="I319"/>
      <c r="J319"/>
      <c r="L319"/>
    </row>
    <row r="320" spans="2:12">
      <c r="B320"/>
      <c r="C320"/>
      <c r="D320"/>
      <c r="E320"/>
      <c r="F320"/>
      <c r="G320" s="14"/>
      <c r="H320" s="489"/>
      <c r="I320"/>
      <c r="J320"/>
      <c r="L320"/>
    </row>
    <row r="321" spans="2:12">
      <c r="B321"/>
      <c r="C321"/>
      <c r="D321"/>
      <c r="E321"/>
      <c r="F321"/>
      <c r="G321" s="14"/>
      <c r="H321" s="489"/>
      <c r="I321"/>
      <c r="J321"/>
      <c r="L321"/>
    </row>
    <row r="322" spans="2:12">
      <c r="B322"/>
      <c r="C322"/>
      <c r="D322"/>
      <c r="E322"/>
      <c r="F322"/>
      <c r="G322" s="14"/>
      <c r="H322" s="489"/>
      <c r="I322"/>
      <c r="J322"/>
      <c r="L322"/>
    </row>
    <row r="323" spans="2:12">
      <c r="B323"/>
      <c r="C323"/>
      <c r="D323"/>
      <c r="E323"/>
      <c r="F323"/>
      <c r="G323" s="14"/>
      <c r="H323" s="489"/>
      <c r="I323"/>
      <c r="J323"/>
      <c r="L323"/>
    </row>
    <row r="324" spans="2:12">
      <c r="B324"/>
      <c r="C324"/>
      <c r="D324"/>
      <c r="E324"/>
      <c r="F324"/>
      <c r="G324" s="14"/>
      <c r="H324" s="489"/>
      <c r="I324"/>
      <c r="J324"/>
      <c r="L324"/>
    </row>
    <row r="325" spans="2:12">
      <c r="B325"/>
      <c r="C325"/>
      <c r="D325"/>
      <c r="E325"/>
      <c r="F325"/>
      <c r="G325" s="14"/>
      <c r="H325" s="489"/>
      <c r="I325"/>
      <c r="J325"/>
      <c r="L325"/>
    </row>
    <row r="326" spans="2:12">
      <c r="B326"/>
      <c r="C326"/>
      <c r="D326"/>
      <c r="E326"/>
      <c r="F326"/>
      <c r="G326" s="14"/>
      <c r="H326" s="489"/>
      <c r="I326"/>
      <c r="J326"/>
      <c r="L326"/>
    </row>
    <row r="327" spans="2:12">
      <c r="B327"/>
      <c r="C327"/>
      <c r="D327"/>
      <c r="E327"/>
      <c r="F327"/>
      <c r="G327" s="14"/>
      <c r="H327" s="489"/>
      <c r="I327"/>
      <c r="J327"/>
      <c r="L327"/>
    </row>
    <row r="328" spans="2:12">
      <c r="B328"/>
      <c r="C328"/>
      <c r="D328"/>
      <c r="E328"/>
      <c r="F328"/>
      <c r="G328" s="14"/>
      <c r="H328" s="489"/>
      <c r="I328"/>
      <c r="J328"/>
      <c r="L328"/>
    </row>
    <row r="329" spans="2:12">
      <c r="B329"/>
      <c r="C329"/>
      <c r="D329"/>
      <c r="E329"/>
      <c r="F329"/>
      <c r="G329" s="14"/>
      <c r="H329" s="489"/>
      <c r="I329"/>
      <c r="J329"/>
      <c r="L329"/>
    </row>
    <row r="330" spans="2:12">
      <c r="B330"/>
      <c r="C330"/>
      <c r="D330"/>
      <c r="E330"/>
      <c r="F330"/>
      <c r="G330" s="14"/>
      <c r="H330" s="489"/>
      <c r="I330"/>
      <c r="J330"/>
      <c r="L330"/>
    </row>
    <row r="331" spans="2:12">
      <c r="B331"/>
      <c r="C331"/>
      <c r="D331"/>
      <c r="E331"/>
      <c r="F331"/>
      <c r="G331" s="14"/>
      <c r="H331" s="489"/>
      <c r="I331"/>
      <c r="J331"/>
      <c r="L331"/>
    </row>
    <row r="332" spans="2:12">
      <c r="B332"/>
      <c r="C332"/>
      <c r="D332"/>
      <c r="E332"/>
      <c r="F332"/>
      <c r="G332" s="14"/>
      <c r="H332" s="489"/>
      <c r="I332"/>
      <c r="J332"/>
      <c r="L332"/>
    </row>
    <row r="333" spans="2:12">
      <c r="B333"/>
      <c r="C333"/>
      <c r="D333"/>
      <c r="E333"/>
      <c r="F333"/>
      <c r="G333" s="14"/>
      <c r="H333" s="489"/>
      <c r="I333"/>
      <c r="J333"/>
      <c r="L333"/>
    </row>
    <row r="334" spans="2:12">
      <c r="B334"/>
      <c r="C334"/>
      <c r="D334"/>
      <c r="E334"/>
      <c r="F334"/>
      <c r="G334" s="14"/>
      <c r="H334" s="489"/>
      <c r="I334"/>
      <c r="J334"/>
      <c r="L334"/>
    </row>
    <row r="335" spans="2:12">
      <c r="B335"/>
      <c r="C335"/>
      <c r="D335"/>
      <c r="E335"/>
      <c r="F335"/>
      <c r="G335" s="14"/>
      <c r="H335" s="489"/>
      <c r="I335"/>
      <c r="J335"/>
      <c r="L335"/>
    </row>
    <row r="336" spans="2:12">
      <c r="B336"/>
      <c r="C336"/>
      <c r="D336"/>
      <c r="E336"/>
      <c r="F336"/>
      <c r="G336" s="14"/>
      <c r="H336" s="489"/>
      <c r="I336"/>
      <c r="J336"/>
      <c r="L336"/>
    </row>
    <row r="337" spans="2:12">
      <c r="B337"/>
      <c r="C337"/>
      <c r="D337"/>
      <c r="E337"/>
      <c r="F337"/>
      <c r="G337" s="14"/>
      <c r="H337" s="489"/>
      <c r="I337"/>
      <c r="J337"/>
      <c r="L337"/>
    </row>
    <row r="338" spans="2:12">
      <c r="B338"/>
      <c r="C338"/>
      <c r="D338"/>
      <c r="E338"/>
      <c r="F338"/>
      <c r="G338" s="14"/>
      <c r="H338" s="489"/>
      <c r="I338"/>
      <c r="J338"/>
      <c r="L338"/>
    </row>
    <row r="339" spans="2:12">
      <c r="B339"/>
      <c r="C339"/>
      <c r="D339"/>
      <c r="E339"/>
      <c r="F339"/>
      <c r="G339" s="14"/>
      <c r="H339" s="489"/>
      <c r="I339"/>
      <c r="J339"/>
      <c r="L339"/>
    </row>
    <row r="340" spans="2:12">
      <c r="B340"/>
      <c r="C340"/>
      <c r="D340"/>
      <c r="E340"/>
      <c r="F340"/>
      <c r="G340" s="14"/>
      <c r="H340" s="489"/>
      <c r="I340"/>
      <c r="J340"/>
      <c r="L340"/>
    </row>
    <row r="341" spans="2:12">
      <c r="B341"/>
      <c r="C341"/>
      <c r="D341"/>
      <c r="E341"/>
      <c r="F341"/>
      <c r="G341" s="14"/>
      <c r="H341" s="489"/>
      <c r="I341"/>
      <c r="J341"/>
      <c r="L341"/>
    </row>
    <row r="342" spans="2:12">
      <c r="B342"/>
      <c r="C342"/>
      <c r="D342"/>
      <c r="E342"/>
      <c r="F342"/>
      <c r="G342" s="14"/>
      <c r="H342" s="489"/>
      <c r="I342"/>
      <c r="J342"/>
      <c r="L342"/>
    </row>
    <row r="343" spans="2:12">
      <c r="B343"/>
      <c r="C343"/>
      <c r="D343"/>
      <c r="E343"/>
      <c r="F343"/>
      <c r="G343" s="14"/>
      <c r="H343" s="489"/>
      <c r="I343"/>
      <c r="J343"/>
      <c r="L343"/>
    </row>
    <row r="344" spans="2:12">
      <c r="B344"/>
      <c r="C344"/>
      <c r="D344"/>
      <c r="E344"/>
      <c r="F344"/>
      <c r="G344" s="14"/>
      <c r="H344" s="489"/>
      <c r="I344"/>
      <c r="J344"/>
      <c r="L344"/>
    </row>
    <row r="345" spans="2:12">
      <c r="B345"/>
      <c r="C345"/>
      <c r="D345"/>
      <c r="E345"/>
      <c r="F345"/>
      <c r="G345" s="14"/>
      <c r="H345" s="489"/>
      <c r="I345"/>
      <c r="J345"/>
      <c r="L345"/>
    </row>
    <row r="346" spans="2:12">
      <c r="B346"/>
      <c r="C346"/>
      <c r="D346"/>
      <c r="E346"/>
      <c r="F346"/>
      <c r="G346" s="14"/>
      <c r="H346" s="489"/>
      <c r="I346"/>
      <c r="J346"/>
      <c r="L346"/>
    </row>
    <row r="347" spans="2:12">
      <c r="B347"/>
      <c r="C347"/>
      <c r="D347"/>
      <c r="E347"/>
      <c r="F347"/>
      <c r="G347" s="14"/>
      <c r="H347" s="489"/>
      <c r="I347"/>
      <c r="J347"/>
      <c r="L347"/>
    </row>
    <row r="348" spans="2:12">
      <c r="B348"/>
      <c r="C348"/>
      <c r="D348"/>
      <c r="E348"/>
      <c r="F348"/>
      <c r="G348" s="14"/>
      <c r="H348" s="489"/>
      <c r="I348"/>
      <c r="J348"/>
      <c r="L348"/>
    </row>
    <row r="349" spans="2:12">
      <c r="B349"/>
      <c r="C349"/>
      <c r="D349"/>
      <c r="E349"/>
      <c r="F349"/>
      <c r="G349" s="14"/>
      <c r="H349" s="489"/>
      <c r="I349"/>
      <c r="J349"/>
      <c r="L349"/>
    </row>
    <row r="350" spans="2:12">
      <c r="B350"/>
      <c r="C350"/>
      <c r="D350"/>
      <c r="E350"/>
      <c r="F350"/>
      <c r="G350" s="14"/>
      <c r="H350" s="489"/>
      <c r="I350"/>
      <c r="J350"/>
      <c r="L350"/>
    </row>
    <row r="351" spans="2:12">
      <c r="B351"/>
      <c r="C351"/>
      <c r="D351"/>
      <c r="E351"/>
      <c r="F351"/>
      <c r="G351" s="14"/>
      <c r="H351" s="489"/>
      <c r="I351"/>
      <c r="J351"/>
      <c r="L351"/>
    </row>
    <row r="352" spans="2:12">
      <c r="B352"/>
      <c r="C352"/>
      <c r="D352"/>
      <c r="E352"/>
      <c r="F352"/>
      <c r="G352" s="14"/>
      <c r="H352" s="489"/>
      <c r="I352"/>
      <c r="J352"/>
      <c r="L352"/>
    </row>
    <row r="353" spans="2:12">
      <c r="B353"/>
      <c r="C353"/>
      <c r="D353"/>
      <c r="E353"/>
      <c r="F353"/>
      <c r="G353" s="14"/>
      <c r="H353" s="489"/>
      <c r="I353"/>
      <c r="J353"/>
      <c r="L353"/>
    </row>
    <row r="354" spans="2:12">
      <c r="B354"/>
      <c r="C354"/>
      <c r="D354"/>
      <c r="E354"/>
      <c r="F354"/>
      <c r="G354" s="14"/>
      <c r="H354" s="489"/>
      <c r="I354"/>
      <c r="J354"/>
      <c r="L354"/>
    </row>
    <row r="355" spans="2:12">
      <c r="B355"/>
      <c r="C355"/>
      <c r="D355"/>
      <c r="E355"/>
      <c r="F355"/>
      <c r="G355" s="14"/>
      <c r="H355" s="489"/>
      <c r="I355"/>
      <c r="J355"/>
      <c r="L355"/>
    </row>
    <row r="356" spans="2:12">
      <c r="B356"/>
      <c r="C356"/>
      <c r="D356"/>
      <c r="E356"/>
      <c r="F356"/>
      <c r="G356" s="14"/>
      <c r="H356" s="489"/>
      <c r="I356"/>
      <c r="J356"/>
      <c r="L356"/>
    </row>
    <row r="357" spans="2:12">
      <c r="B357"/>
      <c r="C357"/>
      <c r="D357"/>
      <c r="E357"/>
      <c r="F357"/>
      <c r="G357" s="14"/>
      <c r="H357" s="489"/>
      <c r="I357"/>
      <c r="J357"/>
      <c r="L357"/>
    </row>
    <row r="358" spans="2:12">
      <c r="B358"/>
      <c r="C358"/>
      <c r="D358"/>
      <c r="E358"/>
      <c r="F358"/>
      <c r="G358" s="14"/>
      <c r="H358" s="489"/>
      <c r="I358"/>
      <c r="J358"/>
      <c r="L358"/>
    </row>
    <row r="359" spans="2:12">
      <c r="B359"/>
      <c r="C359"/>
      <c r="D359"/>
      <c r="E359"/>
      <c r="F359"/>
      <c r="G359" s="14"/>
      <c r="H359" s="489"/>
      <c r="I359"/>
      <c r="J359"/>
      <c r="L359"/>
    </row>
    <row r="360" spans="2:12">
      <c r="B360"/>
      <c r="C360"/>
      <c r="D360"/>
      <c r="E360"/>
      <c r="F360"/>
      <c r="G360" s="14"/>
      <c r="H360" s="489"/>
      <c r="I360"/>
      <c r="J360"/>
      <c r="L360"/>
    </row>
    <row r="361" spans="2:12">
      <c r="B361"/>
      <c r="C361"/>
      <c r="D361"/>
      <c r="E361"/>
      <c r="F361"/>
      <c r="G361" s="14"/>
      <c r="H361" s="489"/>
      <c r="I361"/>
      <c r="J361"/>
      <c r="L361"/>
    </row>
    <row r="362" spans="2:12">
      <c r="B362"/>
      <c r="C362"/>
      <c r="D362"/>
      <c r="E362"/>
      <c r="F362"/>
      <c r="G362" s="14"/>
      <c r="H362" s="489"/>
      <c r="I362"/>
      <c r="J362"/>
      <c r="L362"/>
    </row>
    <row r="363" spans="2:12">
      <c r="B363"/>
      <c r="C363"/>
      <c r="D363"/>
      <c r="E363"/>
      <c r="F363"/>
      <c r="G363" s="14"/>
      <c r="H363" s="489"/>
      <c r="I363"/>
      <c r="J363"/>
      <c r="L363"/>
    </row>
    <row r="364" spans="2:12">
      <c r="B364"/>
      <c r="C364"/>
      <c r="D364"/>
      <c r="E364"/>
      <c r="F364"/>
      <c r="G364" s="14"/>
      <c r="H364" s="489"/>
      <c r="I364"/>
      <c r="J364"/>
      <c r="L364"/>
    </row>
    <row r="365" spans="2:12">
      <c r="B365"/>
      <c r="C365"/>
      <c r="D365"/>
      <c r="E365"/>
      <c r="F365"/>
      <c r="G365" s="14"/>
      <c r="H365" s="489"/>
      <c r="I365"/>
      <c r="J365"/>
      <c r="L365"/>
    </row>
    <row r="366" spans="2:12">
      <c r="B366"/>
      <c r="C366"/>
      <c r="D366"/>
      <c r="E366"/>
      <c r="F366"/>
      <c r="G366" s="14"/>
      <c r="H366" s="489"/>
      <c r="I366"/>
      <c r="J366"/>
      <c r="L366"/>
    </row>
    <row r="367" spans="2:12">
      <c r="B367"/>
      <c r="C367"/>
      <c r="D367"/>
      <c r="E367"/>
      <c r="F367"/>
      <c r="G367" s="14"/>
      <c r="H367" s="489"/>
      <c r="I367"/>
      <c r="J367"/>
      <c r="L367"/>
    </row>
    <row r="368" spans="2:12">
      <c r="B368"/>
      <c r="C368"/>
      <c r="D368"/>
      <c r="E368"/>
      <c r="F368"/>
      <c r="G368" s="14"/>
      <c r="H368" s="489"/>
      <c r="I368"/>
      <c r="J368"/>
      <c r="L368"/>
    </row>
    <row r="369" spans="2:12">
      <c r="B369"/>
      <c r="C369"/>
      <c r="D369"/>
      <c r="E369"/>
      <c r="F369"/>
      <c r="G369" s="14"/>
      <c r="H369" s="489"/>
      <c r="I369"/>
      <c r="J369"/>
      <c r="L369"/>
    </row>
    <row r="370" spans="2:12">
      <c r="B370"/>
      <c r="C370"/>
      <c r="D370"/>
      <c r="E370"/>
      <c r="F370"/>
      <c r="G370" s="14"/>
      <c r="H370" s="489"/>
      <c r="I370"/>
      <c r="J370"/>
      <c r="L370"/>
    </row>
    <row r="371" spans="2:12">
      <c r="B371"/>
      <c r="C371"/>
      <c r="D371"/>
      <c r="E371"/>
      <c r="F371"/>
      <c r="G371" s="14"/>
      <c r="H371" s="489"/>
      <c r="I371"/>
      <c r="J371"/>
      <c r="L371"/>
    </row>
    <row r="372" spans="2:12">
      <c r="B372"/>
      <c r="C372"/>
      <c r="D372"/>
      <c r="E372"/>
      <c r="F372"/>
      <c r="G372" s="14"/>
      <c r="H372" s="489"/>
      <c r="I372"/>
      <c r="J372"/>
      <c r="L372"/>
    </row>
    <row r="373" spans="2:12">
      <c r="B373"/>
      <c r="C373"/>
      <c r="D373"/>
      <c r="E373"/>
      <c r="F373"/>
      <c r="G373" s="14"/>
      <c r="H373" s="489"/>
      <c r="I373"/>
      <c r="J373"/>
      <c r="L373"/>
    </row>
    <row r="374" spans="2:12">
      <c r="B374"/>
      <c r="C374"/>
      <c r="D374"/>
      <c r="E374"/>
      <c r="F374"/>
      <c r="G374" s="14"/>
      <c r="H374" s="489"/>
      <c r="I374"/>
      <c r="J374"/>
      <c r="L374"/>
    </row>
    <row r="375" spans="2:12">
      <c r="B375"/>
      <c r="C375"/>
      <c r="D375"/>
      <c r="E375"/>
      <c r="F375"/>
      <c r="G375" s="14"/>
      <c r="H375" s="489"/>
      <c r="I375"/>
      <c r="J375"/>
      <c r="L375"/>
    </row>
    <row r="376" spans="2:12">
      <c r="B376"/>
      <c r="C376"/>
      <c r="D376"/>
      <c r="E376"/>
      <c r="F376"/>
      <c r="G376" s="14"/>
      <c r="H376" s="489"/>
      <c r="I376"/>
      <c r="J376"/>
      <c r="L376"/>
    </row>
    <row r="377" spans="2:12">
      <c r="B377"/>
      <c r="C377"/>
      <c r="D377"/>
      <c r="E377"/>
      <c r="F377"/>
      <c r="G377" s="14"/>
      <c r="H377" s="489"/>
      <c r="I377"/>
      <c r="J377"/>
      <c r="L377"/>
    </row>
    <row r="378" spans="2:12">
      <c r="B378"/>
      <c r="C378"/>
      <c r="D378"/>
      <c r="E378"/>
      <c r="F378"/>
      <c r="G378" s="14"/>
      <c r="H378" s="489"/>
      <c r="I378"/>
      <c r="J378"/>
      <c r="L378"/>
    </row>
    <row r="379" spans="2:12">
      <c r="B379"/>
      <c r="C379"/>
      <c r="D379"/>
      <c r="E379"/>
      <c r="F379"/>
      <c r="G379" s="14"/>
      <c r="H379" s="489"/>
      <c r="I379"/>
      <c r="J379"/>
      <c r="L379"/>
    </row>
    <row r="380" spans="2:12">
      <c r="B380"/>
      <c r="C380"/>
      <c r="D380"/>
      <c r="E380"/>
      <c r="F380"/>
      <c r="G380" s="14"/>
      <c r="H380" s="489"/>
      <c r="I380"/>
      <c r="J380"/>
      <c r="L380"/>
    </row>
    <row r="381" spans="2:12">
      <c r="B381"/>
      <c r="C381"/>
      <c r="D381"/>
      <c r="E381"/>
      <c r="F381"/>
      <c r="G381" s="14"/>
      <c r="H381" s="489"/>
      <c r="I381"/>
      <c r="J381"/>
      <c r="L381"/>
    </row>
    <row r="382" spans="2:12">
      <c r="B382"/>
      <c r="C382"/>
      <c r="D382"/>
      <c r="E382"/>
      <c r="F382"/>
      <c r="G382" s="14"/>
      <c r="H382" s="489"/>
      <c r="I382"/>
      <c r="J382"/>
      <c r="L382"/>
    </row>
    <row r="383" spans="2:12">
      <c r="B383"/>
      <c r="C383"/>
      <c r="D383"/>
      <c r="E383"/>
      <c r="F383"/>
      <c r="G383" s="14"/>
      <c r="H383" s="489"/>
      <c r="I383"/>
      <c r="J383"/>
      <c r="L383"/>
    </row>
    <row r="384" spans="2:12">
      <c r="B384"/>
      <c r="C384"/>
      <c r="D384"/>
      <c r="E384"/>
      <c r="F384"/>
      <c r="G384" s="14"/>
      <c r="H384" s="489"/>
      <c r="I384"/>
      <c r="J384"/>
      <c r="L384"/>
    </row>
    <row r="385" spans="2:12">
      <c r="B385"/>
      <c r="C385"/>
      <c r="D385"/>
      <c r="E385"/>
      <c r="F385"/>
      <c r="G385" s="14"/>
      <c r="H385" s="489"/>
      <c r="I385"/>
      <c r="J385"/>
      <c r="L385"/>
    </row>
    <row r="386" spans="2:12">
      <c r="B386"/>
      <c r="C386"/>
      <c r="D386"/>
      <c r="E386"/>
      <c r="F386"/>
      <c r="G386" s="14"/>
      <c r="H386" s="489"/>
      <c r="I386"/>
      <c r="J386"/>
      <c r="L386"/>
    </row>
    <row r="387" spans="2:12">
      <c r="B387"/>
      <c r="C387"/>
      <c r="D387"/>
      <c r="E387"/>
      <c r="F387"/>
      <c r="G387" s="14"/>
      <c r="H387" s="489"/>
      <c r="I387"/>
      <c r="J387"/>
      <c r="L387"/>
    </row>
    <row r="388" spans="2:12">
      <c r="B388"/>
      <c r="C388"/>
      <c r="D388"/>
      <c r="E388"/>
      <c r="F388"/>
      <c r="G388" s="14"/>
      <c r="H388" s="489"/>
      <c r="I388"/>
      <c r="J388"/>
      <c r="L388"/>
    </row>
    <row r="389" spans="2:12">
      <c r="B389"/>
      <c r="C389"/>
      <c r="D389"/>
      <c r="E389"/>
      <c r="F389"/>
      <c r="G389" s="14"/>
      <c r="H389" s="489"/>
      <c r="I389"/>
      <c r="J389"/>
      <c r="L389"/>
    </row>
    <row r="390" spans="2:12">
      <c r="B390"/>
      <c r="C390"/>
      <c r="D390"/>
      <c r="E390"/>
      <c r="F390"/>
      <c r="G390" s="14"/>
      <c r="H390" s="489"/>
      <c r="I390"/>
      <c r="J390"/>
      <c r="L390"/>
    </row>
    <row r="391" spans="2:12">
      <c r="B391"/>
      <c r="C391"/>
      <c r="D391"/>
      <c r="E391"/>
      <c r="F391"/>
      <c r="G391" s="14"/>
      <c r="H391" s="489"/>
      <c r="I391"/>
      <c r="J391"/>
      <c r="L391"/>
    </row>
    <row r="392" spans="2:12">
      <c r="B392"/>
      <c r="C392"/>
      <c r="D392"/>
      <c r="E392"/>
      <c r="F392"/>
      <c r="G392" s="14"/>
      <c r="H392" s="489"/>
      <c r="I392"/>
      <c r="J392"/>
      <c r="L392"/>
    </row>
    <row r="393" spans="2:12">
      <c r="B393"/>
      <c r="C393"/>
      <c r="D393"/>
      <c r="E393"/>
      <c r="F393"/>
      <c r="G393" s="14"/>
      <c r="H393" s="489"/>
      <c r="I393"/>
      <c r="J393"/>
      <c r="L393"/>
    </row>
    <row r="394" spans="2:12">
      <c r="B394"/>
      <c r="C394"/>
      <c r="D394"/>
      <c r="E394"/>
      <c r="F394"/>
      <c r="G394" s="14"/>
      <c r="H394" s="489"/>
      <c r="I394"/>
      <c r="J394"/>
      <c r="L394"/>
    </row>
    <row r="395" spans="2:12">
      <c r="B395"/>
      <c r="C395"/>
      <c r="D395"/>
      <c r="E395"/>
      <c r="F395"/>
      <c r="G395" s="14"/>
      <c r="H395" s="489"/>
      <c r="I395"/>
      <c r="J395"/>
      <c r="L395"/>
    </row>
    <row r="396" spans="2:12">
      <c r="B396"/>
      <c r="C396"/>
      <c r="D396"/>
      <c r="E396"/>
      <c r="F396"/>
      <c r="G396" s="14"/>
      <c r="H396" s="489"/>
      <c r="I396"/>
      <c r="J396"/>
      <c r="L396"/>
    </row>
    <row r="397" spans="2:12">
      <c r="B397"/>
      <c r="C397"/>
      <c r="D397"/>
      <c r="E397"/>
      <c r="F397"/>
      <c r="G397" s="14"/>
      <c r="H397" s="489"/>
      <c r="I397"/>
      <c r="J397"/>
      <c r="L397"/>
    </row>
    <row r="398" spans="2:12">
      <c r="B398"/>
      <c r="C398"/>
      <c r="D398"/>
      <c r="E398"/>
      <c r="F398"/>
      <c r="G398" s="14"/>
      <c r="H398" s="489"/>
      <c r="I398"/>
      <c r="J398"/>
      <c r="L398"/>
    </row>
    <row r="399" spans="2:12">
      <c r="B399"/>
      <c r="C399"/>
      <c r="D399"/>
      <c r="E399"/>
      <c r="F399"/>
      <c r="G399" s="14"/>
      <c r="H399" s="489"/>
      <c r="I399"/>
      <c r="J399"/>
      <c r="L399"/>
    </row>
    <row r="400" spans="2:12">
      <c r="B400"/>
      <c r="C400"/>
      <c r="D400"/>
      <c r="E400"/>
      <c r="F400"/>
      <c r="G400" s="14"/>
      <c r="H400" s="489"/>
      <c r="I400"/>
      <c r="J400"/>
      <c r="L400"/>
    </row>
    <row r="401" spans="2:12">
      <c r="B401"/>
      <c r="C401"/>
      <c r="D401"/>
      <c r="E401"/>
      <c r="F401"/>
      <c r="G401" s="14"/>
      <c r="H401" s="489"/>
      <c r="I401"/>
      <c r="J401"/>
      <c r="L401"/>
    </row>
    <row r="402" spans="2:12">
      <c r="B402"/>
      <c r="C402"/>
      <c r="D402"/>
      <c r="E402"/>
      <c r="F402"/>
      <c r="G402" s="14"/>
      <c r="H402" s="489"/>
      <c r="I402"/>
      <c r="J402"/>
      <c r="L402"/>
    </row>
    <row r="403" spans="2:12">
      <c r="B403"/>
      <c r="C403"/>
      <c r="D403"/>
      <c r="E403"/>
      <c r="F403"/>
      <c r="G403" s="14"/>
      <c r="H403" s="489"/>
      <c r="I403"/>
      <c r="J403"/>
      <c r="L403"/>
    </row>
    <row r="404" spans="2:12">
      <c r="B404"/>
      <c r="C404"/>
      <c r="D404"/>
      <c r="E404"/>
      <c r="F404"/>
      <c r="G404" s="14"/>
      <c r="H404" s="489"/>
      <c r="I404"/>
      <c r="J404"/>
      <c r="L404"/>
    </row>
    <row r="405" spans="2:12">
      <c r="B405"/>
      <c r="C405"/>
      <c r="D405"/>
      <c r="E405"/>
      <c r="F405"/>
      <c r="G405" s="14"/>
      <c r="H405" s="489"/>
      <c r="I405"/>
      <c r="J405"/>
      <c r="L405"/>
    </row>
    <row r="406" spans="2:12">
      <c r="B406"/>
      <c r="C406"/>
      <c r="D406"/>
      <c r="E406"/>
      <c r="F406"/>
      <c r="G406" s="14"/>
      <c r="H406" s="489"/>
      <c r="I406"/>
      <c r="J406"/>
      <c r="L406"/>
    </row>
    <row r="407" spans="2:12">
      <c r="B407"/>
      <c r="C407"/>
      <c r="D407"/>
      <c r="E407"/>
      <c r="F407"/>
      <c r="G407" s="14"/>
      <c r="H407" s="489"/>
      <c r="I407"/>
      <c r="J407"/>
      <c r="L407"/>
    </row>
    <row r="408" spans="2:12">
      <c r="B408"/>
      <c r="C408"/>
      <c r="D408"/>
      <c r="E408"/>
      <c r="F408"/>
      <c r="G408" s="14"/>
      <c r="H408" s="489"/>
      <c r="I408"/>
      <c r="J408"/>
      <c r="L408"/>
    </row>
    <row r="409" spans="2:12">
      <c r="B409"/>
      <c r="C409"/>
      <c r="D409"/>
      <c r="E409"/>
      <c r="F409"/>
      <c r="G409" s="14"/>
      <c r="H409" s="489"/>
      <c r="I409"/>
      <c r="J409"/>
      <c r="L409"/>
    </row>
    <row r="410" spans="2:12">
      <c r="B410"/>
      <c r="C410"/>
      <c r="D410"/>
      <c r="E410"/>
      <c r="F410"/>
      <c r="G410" s="14"/>
      <c r="H410" s="489"/>
      <c r="I410"/>
      <c r="J410"/>
      <c r="L410"/>
    </row>
    <row r="411" spans="2:12">
      <c r="B411"/>
      <c r="C411"/>
      <c r="D411"/>
      <c r="E411"/>
      <c r="F411"/>
      <c r="G411" s="14"/>
      <c r="H411" s="489"/>
      <c r="I411"/>
      <c r="J411"/>
      <c r="L411"/>
    </row>
    <row r="412" spans="2:12">
      <c r="B412"/>
      <c r="C412"/>
      <c r="D412"/>
      <c r="E412"/>
      <c r="F412"/>
      <c r="G412" s="14"/>
      <c r="H412" s="489"/>
      <c r="I412"/>
      <c r="J412"/>
      <c r="L412"/>
    </row>
    <row r="413" spans="2:12">
      <c r="B413"/>
      <c r="C413"/>
      <c r="D413"/>
      <c r="E413"/>
      <c r="F413"/>
      <c r="G413" s="14"/>
      <c r="H413" s="489"/>
      <c r="I413"/>
      <c r="J413"/>
      <c r="L413"/>
    </row>
    <row r="414" spans="2:12">
      <c r="B414"/>
      <c r="C414"/>
      <c r="D414"/>
      <c r="E414"/>
      <c r="F414"/>
      <c r="G414" s="14"/>
      <c r="H414" s="489"/>
      <c r="I414"/>
      <c r="J414"/>
      <c r="L414"/>
    </row>
    <row r="415" spans="2:12">
      <c r="B415"/>
      <c r="C415"/>
      <c r="D415"/>
      <c r="E415"/>
      <c r="F415"/>
      <c r="G415" s="14"/>
      <c r="H415" s="489"/>
      <c r="I415"/>
      <c r="J415"/>
      <c r="L415"/>
    </row>
    <row r="416" spans="2:12">
      <c r="B416"/>
      <c r="C416"/>
      <c r="D416"/>
      <c r="E416"/>
      <c r="F416"/>
      <c r="G416" s="14"/>
      <c r="I416"/>
      <c r="J416"/>
      <c r="L416"/>
    </row>
    <row r="417" spans="2:12">
      <c r="B417"/>
      <c r="C417"/>
      <c r="D417"/>
      <c r="E417"/>
      <c r="F417"/>
      <c r="G417" s="14"/>
      <c r="I417"/>
      <c r="J417"/>
      <c r="L417"/>
    </row>
    <row r="418" spans="2:12">
      <c r="B418"/>
      <c r="C418"/>
      <c r="D418"/>
      <c r="E418"/>
      <c r="F418"/>
      <c r="G418" s="14"/>
      <c r="I418"/>
      <c r="J418"/>
      <c r="L418"/>
    </row>
    <row r="419" spans="2:12">
      <c r="B419"/>
      <c r="C419"/>
      <c r="D419"/>
      <c r="E419"/>
      <c r="F419"/>
      <c r="G419" s="14"/>
      <c r="I419"/>
      <c r="J419"/>
      <c r="L419"/>
    </row>
    <row r="420" spans="2:12">
      <c r="B420"/>
      <c r="C420"/>
      <c r="D420"/>
      <c r="E420"/>
      <c r="F420"/>
      <c r="G420" s="14"/>
      <c r="I420"/>
      <c r="J420"/>
      <c r="L420"/>
    </row>
    <row r="421" spans="2:12">
      <c r="B421"/>
      <c r="C421"/>
      <c r="D421"/>
      <c r="E421"/>
      <c r="F421"/>
      <c r="G421" s="14"/>
      <c r="I421"/>
      <c r="J421"/>
      <c r="L421"/>
    </row>
    <row r="422" spans="2:12">
      <c r="B422"/>
      <c r="C422"/>
      <c r="D422"/>
      <c r="E422"/>
      <c r="F422"/>
      <c r="G422" s="14"/>
      <c r="I422"/>
      <c r="J422"/>
      <c r="L422"/>
    </row>
    <row r="423" spans="2:12">
      <c r="B423"/>
      <c r="C423"/>
      <c r="D423"/>
      <c r="E423"/>
      <c r="F423"/>
      <c r="G423" s="14"/>
      <c r="I423"/>
      <c r="J423"/>
      <c r="L423"/>
    </row>
    <row r="424" spans="2:12">
      <c r="B424"/>
      <c r="C424"/>
      <c r="D424"/>
      <c r="E424"/>
      <c r="F424"/>
      <c r="G424" s="14"/>
      <c r="I424"/>
      <c r="J424"/>
      <c r="L424"/>
    </row>
    <row r="425" spans="2:12">
      <c r="B425"/>
      <c r="C425"/>
      <c r="D425"/>
      <c r="E425"/>
      <c r="F425"/>
      <c r="G425" s="14"/>
      <c r="H425"/>
      <c r="I425"/>
      <c r="J425"/>
      <c r="L425"/>
    </row>
    <row r="426" spans="2:12">
      <c r="B426"/>
      <c r="C426"/>
      <c r="D426"/>
      <c r="E426"/>
      <c r="F426"/>
      <c r="G426" s="14"/>
      <c r="H426"/>
      <c r="I426"/>
      <c r="J426"/>
      <c r="L426"/>
    </row>
    <row r="427" spans="2:12">
      <c r="B427"/>
      <c r="C427"/>
      <c r="D427"/>
      <c r="E427"/>
      <c r="F427"/>
      <c r="G427" s="14"/>
      <c r="H427"/>
      <c r="I427"/>
      <c r="J427"/>
      <c r="L427"/>
    </row>
    <row r="428" spans="2:12">
      <c r="B428"/>
      <c r="C428"/>
      <c r="D428"/>
      <c r="E428"/>
      <c r="F428"/>
      <c r="G428" s="14"/>
      <c r="H428"/>
      <c r="I428"/>
      <c r="J428"/>
      <c r="L428"/>
    </row>
    <row r="429" spans="2:12">
      <c r="B429"/>
      <c r="C429"/>
      <c r="D429"/>
      <c r="E429"/>
      <c r="F429"/>
      <c r="G429" s="14"/>
      <c r="H429"/>
      <c r="I429"/>
      <c r="J429"/>
      <c r="L429"/>
    </row>
    <row r="430" spans="2:12">
      <c r="B430"/>
      <c r="C430"/>
      <c r="D430"/>
      <c r="E430"/>
      <c r="F430"/>
      <c r="G430" s="14"/>
      <c r="H430"/>
      <c r="I430"/>
      <c r="J430"/>
      <c r="L430"/>
    </row>
    <row r="431" spans="2:12">
      <c r="B431"/>
      <c r="C431"/>
      <c r="D431"/>
      <c r="E431"/>
      <c r="F431"/>
      <c r="G431" s="14"/>
      <c r="H431"/>
      <c r="I431"/>
      <c r="J431"/>
      <c r="L431"/>
    </row>
    <row r="432" spans="2:12">
      <c r="B432"/>
      <c r="C432"/>
      <c r="D432"/>
      <c r="E432"/>
      <c r="F432"/>
      <c r="G432" s="14"/>
      <c r="H432"/>
      <c r="I432"/>
      <c r="J432"/>
      <c r="L432"/>
    </row>
    <row r="433" spans="2:12">
      <c r="B433"/>
      <c r="C433"/>
      <c r="D433"/>
      <c r="E433"/>
      <c r="F433"/>
      <c r="G433" s="14"/>
      <c r="H433"/>
      <c r="I433"/>
      <c r="J433"/>
      <c r="L433"/>
    </row>
    <row r="434" spans="2:12">
      <c r="B434"/>
      <c r="C434"/>
      <c r="D434"/>
      <c r="E434"/>
      <c r="F434"/>
      <c r="G434" s="14"/>
      <c r="H434"/>
      <c r="I434"/>
      <c r="J434"/>
      <c r="L434"/>
    </row>
    <row r="435" spans="2:12">
      <c r="B435"/>
      <c r="C435"/>
      <c r="D435"/>
      <c r="E435"/>
      <c r="F435"/>
      <c r="G435" s="14"/>
      <c r="H435"/>
      <c r="I435"/>
      <c r="J435"/>
      <c r="L435"/>
    </row>
    <row r="436" spans="2:12">
      <c r="B436"/>
      <c r="C436"/>
      <c r="D436"/>
      <c r="E436"/>
      <c r="F436"/>
      <c r="G436" s="14"/>
      <c r="H436"/>
      <c r="I436"/>
      <c r="J436"/>
      <c r="L436"/>
    </row>
    <row r="437" spans="2:12">
      <c r="B437"/>
      <c r="C437"/>
      <c r="D437"/>
      <c r="E437"/>
      <c r="F437"/>
      <c r="G437" s="14"/>
      <c r="H437"/>
      <c r="I437"/>
      <c r="J437"/>
      <c r="L437"/>
    </row>
    <row r="438" spans="2:12">
      <c r="B438"/>
      <c r="C438"/>
      <c r="D438"/>
      <c r="E438"/>
      <c r="F438"/>
      <c r="G438" s="14"/>
      <c r="H438"/>
      <c r="I438"/>
      <c r="J438"/>
      <c r="L438"/>
    </row>
    <row r="439" spans="2:12">
      <c r="B439"/>
      <c r="C439"/>
      <c r="D439"/>
      <c r="E439"/>
      <c r="F439"/>
      <c r="G439" s="14"/>
      <c r="H439"/>
      <c r="I439"/>
      <c r="J439"/>
      <c r="L439"/>
    </row>
    <row r="440" spans="2:12">
      <c r="B440"/>
      <c r="C440"/>
      <c r="D440"/>
      <c r="E440"/>
      <c r="F440"/>
      <c r="G440" s="14"/>
      <c r="H440"/>
      <c r="I440"/>
      <c r="J440"/>
      <c r="L440"/>
    </row>
    <row r="441" spans="2:12">
      <c r="B441"/>
      <c r="C441"/>
      <c r="D441"/>
      <c r="E441"/>
      <c r="F441"/>
      <c r="G441" s="14"/>
      <c r="H441"/>
      <c r="I441"/>
      <c r="J441"/>
      <c r="L441"/>
    </row>
    <row r="442" spans="2:12">
      <c r="B442"/>
      <c r="C442"/>
      <c r="D442"/>
      <c r="E442"/>
      <c r="F442"/>
      <c r="G442" s="14"/>
      <c r="H442"/>
      <c r="I442"/>
      <c r="J442"/>
      <c r="L442"/>
    </row>
    <row r="443" spans="2:12">
      <c r="B443"/>
      <c r="C443"/>
      <c r="D443"/>
      <c r="E443"/>
      <c r="F443"/>
      <c r="G443" s="14"/>
      <c r="H443"/>
      <c r="I443"/>
      <c r="J443"/>
      <c r="L443"/>
    </row>
    <row r="444" spans="2:12">
      <c r="B444"/>
      <c r="C444"/>
      <c r="D444"/>
      <c r="E444"/>
      <c r="F444"/>
      <c r="G444" s="14"/>
      <c r="H444"/>
      <c r="I444"/>
      <c r="J444"/>
      <c r="L444"/>
    </row>
    <row r="445" spans="2:12">
      <c r="B445"/>
      <c r="C445"/>
      <c r="D445"/>
      <c r="E445"/>
      <c r="F445"/>
      <c r="G445" s="14"/>
      <c r="H445"/>
      <c r="I445"/>
      <c r="J445"/>
      <c r="L445"/>
    </row>
    <row r="446" spans="2:12">
      <c r="B446"/>
      <c r="C446"/>
      <c r="D446"/>
      <c r="E446"/>
      <c r="F446"/>
      <c r="G446" s="14"/>
      <c r="H446"/>
      <c r="I446"/>
      <c r="J446"/>
      <c r="L446"/>
    </row>
    <row r="447" spans="2:12">
      <c r="B447"/>
      <c r="C447"/>
      <c r="D447"/>
      <c r="E447"/>
      <c r="F447"/>
      <c r="G447" s="14"/>
      <c r="H447"/>
      <c r="I447"/>
      <c r="J447"/>
      <c r="L447"/>
    </row>
    <row r="448" spans="2:12">
      <c r="B448"/>
      <c r="C448"/>
      <c r="D448"/>
      <c r="E448"/>
      <c r="F448"/>
      <c r="G448" s="14"/>
      <c r="H448"/>
      <c r="I448"/>
      <c r="J448"/>
      <c r="L448"/>
    </row>
    <row r="449" spans="2:12">
      <c r="B449"/>
      <c r="C449"/>
      <c r="D449"/>
      <c r="E449"/>
      <c r="F449"/>
      <c r="G449" s="14"/>
      <c r="H449"/>
      <c r="I449"/>
      <c r="J449"/>
      <c r="L449"/>
    </row>
    <row r="450" spans="2:12">
      <c r="B450"/>
      <c r="C450"/>
      <c r="D450"/>
      <c r="E450"/>
      <c r="F450"/>
      <c r="G450" s="14"/>
      <c r="H450"/>
      <c r="I450"/>
      <c r="J450"/>
      <c r="L450"/>
    </row>
    <row r="451" spans="2:12">
      <c r="B451"/>
      <c r="C451"/>
      <c r="D451"/>
      <c r="E451"/>
      <c r="F451"/>
      <c r="G451" s="14"/>
      <c r="H451"/>
      <c r="I451"/>
      <c r="J451"/>
      <c r="L451"/>
    </row>
    <row r="452" spans="2:12">
      <c r="B452"/>
      <c r="C452"/>
      <c r="D452"/>
      <c r="E452"/>
      <c r="F452"/>
      <c r="G452" s="14"/>
      <c r="H452"/>
      <c r="I452"/>
      <c r="J452"/>
      <c r="L452"/>
    </row>
    <row r="453" spans="2:12">
      <c r="B453"/>
      <c r="C453"/>
      <c r="D453"/>
      <c r="E453"/>
      <c r="F453"/>
      <c r="G453" s="14"/>
      <c r="H453"/>
      <c r="I453"/>
      <c r="J453"/>
      <c r="L453"/>
    </row>
    <row r="454" spans="2:12">
      <c r="B454"/>
      <c r="C454"/>
      <c r="D454"/>
      <c r="E454"/>
      <c r="F454"/>
      <c r="G454" s="14"/>
      <c r="H454"/>
      <c r="I454"/>
      <c r="J454"/>
      <c r="L454"/>
    </row>
    <row r="455" spans="2:12">
      <c r="B455"/>
      <c r="C455"/>
      <c r="D455"/>
      <c r="E455"/>
      <c r="F455"/>
      <c r="G455" s="14"/>
      <c r="H455"/>
      <c r="I455"/>
      <c r="J455"/>
      <c r="L455"/>
    </row>
    <row r="456" spans="2:12">
      <c r="B456"/>
      <c r="C456"/>
      <c r="D456"/>
      <c r="E456"/>
      <c r="F456"/>
      <c r="G456" s="14"/>
      <c r="H456"/>
      <c r="I456"/>
      <c r="J456"/>
      <c r="L456"/>
    </row>
    <row r="457" spans="2:12">
      <c r="B457"/>
      <c r="C457"/>
      <c r="D457"/>
      <c r="E457"/>
      <c r="F457"/>
      <c r="G457" s="14"/>
      <c r="H457"/>
      <c r="I457"/>
      <c r="J457"/>
      <c r="L457"/>
    </row>
    <row r="458" spans="2:12">
      <c r="B458"/>
      <c r="C458"/>
      <c r="D458"/>
      <c r="E458"/>
      <c r="F458"/>
      <c r="G458" s="14"/>
      <c r="H458"/>
      <c r="I458"/>
      <c r="J458"/>
      <c r="L458"/>
    </row>
    <row r="459" spans="2:12">
      <c r="B459"/>
      <c r="C459"/>
      <c r="D459"/>
      <c r="E459"/>
      <c r="F459"/>
      <c r="G459" s="14"/>
      <c r="H459"/>
      <c r="I459"/>
      <c r="J459"/>
      <c r="L459"/>
    </row>
    <row r="460" spans="2:12">
      <c r="B460"/>
      <c r="C460"/>
      <c r="D460"/>
      <c r="E460"/>
      <c r="F460"/>
      <c r="G460" s="14"/>
      <c r="H460"/>
      <c r="I460"/>
      <c r="J460"/>
      <c r="L460"/>
    </row>
    <row r="461" spans="2:12">
      <c r="B461"/>
      <c r="C461"/>
      <c r="D461"/>
      <c r="E461"/>
      <c r="F461"/>
      <c r="G461" s="14"/>
      <c r="H461"/>
      <c r="I461"/>
      <c r="J461"/>
      <c r="L461"/>
    </row>
    <row r="462" spans="2:12">
      <c r="B462"/>
      <c r="C462"/>
      <c r="D462"/>
      <c r="E462"/>
      <c r="F462"/>
      <c r="G462" s="14"/>
      <c r="H462"/>
      <c r="I462"/>
      <c r="J462"/>
      <c r="L462"/>
    </row>
    <row r="463" spans="2:12">
      <c r="B463"/>
      <c r="C463"/>
      <c r="D463"/>
      <c r="E463"/>
      <c r="F463"/>
      <c r="G463" s="14"/>
      <c r="H463"/>
      <c r="I463"/>
      <c r="J463"/>
      <c r="L463"/>
    </row>
    <row r="464" spans="2:12">
      <c r="B464"/>
      <c r="C464"/>
      <c r="D464"/>
      <c r="E464"/>
      <c r="F464"/>
      <c r="G464" s="14"/>
      <c r="H464"/>
      <c r="I464"/>
      <c r="J464"/>
      <c r="L464"/>
    </row>
    <row r="465" spans="2:12">
      <c r="B465"/>
      <c r="C465"/>
      <c r="D465"/>
      <c r="E465"/>
      <c r="F465"/>
      <c r="G465" s="14"/>
      <c r="H465"/>
      <c r="I465"/>
      <c r="J465"/>
      <c r="L465"/>
    </row>
    <row r="466" spans="2:12">
      <c r="B466"/>
      <c r="C466"/>
      <c r="D466"/>
      <c r="E466"/>
      <c r="F466"/>
      <c r="G466" s="14"/>
      <c r="H466"/>
      <c r="I466"/>
      <c r="J466"/>
      <c r="L466"/>
    </row>
    <row r="467" spans="2:12">
      <c r="B467"/>
      <c r="C467"/>
      <c r="D467"/>
      <c r="E467"/>
      <c r="F467"/>
      <c r="G467" s="14"/>
      <c r="H467"/>
      <c r="I467"/>
      <c r="J467"/>
      <c r="L467"/>
    </row>
    <row r="468" spans="2:12">
      <c r="B468"/>
      <c r="C468"/>
      <c r="D468"/>
      <c r="E468"/>
      <c r="F468"/>
      <c r="G468" s="14"/>
      <c r="H468"/>
      <c r="I468"/>
      <c r="J468"/>
      <c r="L468"/>
    </row>
    <row r="469" spans="2:12">
      <c r="B469"/>
      <c r="C469"/>
      <c r="D469"/>
      <c r="E469"/>
      <c r="F469"/>
      <c r="G469" s="14"/>
      <c r="H469"/>
      <c r="I469"/>
      <c r="J469"/>
      <c r="L469"/>
    </row>
    <row r="470" spans="2:12">
      <c r="B470"/>
      <c r="C470"/>
      <c r="D470"/>
      <c r="E470"/>
      <c r="F470"/>
      <c r="G470" s="14"/>
      <c r="H470"/>
      <c r="I470"/>
      <c r="J470"/>
      <c r="L470"/>
    </row>
    <row r="471" spans="2:12">
      <c r="B471"/>
      <c r="C471"/>
      <c r="D471"/>
      <c r="E471"/>
      <c r="F471"/>
      <c r="G471" s="14"/>
      <c r="H471"/>
      <c r="I471"/>
      <c r="J471"/>
      <c r="L471"/>
    </row>
    <row r="472" spans="2:12">
      <c r="B472"/>
      <c r="C472"/>
      <c r="D472"/>
      <c r="E472"/>
      <c r="F472"/>
      <c r="G472" s="14"/>
      <c r="H472"/>
      <c r="I472"/>
      <c r="J472"/>
      <c r="L472"/>
    </row>
    <row r="473" spans="2:12">
      <c r="B473"/>
      <c r="C473"/>
      <c r="D473"/>
      <c r="E473"/>
      <c r="F473"/>
      <c r="G473" s="14"/>
      <c r="H473"/>
      <c r="I473"/>
      <c r="J473"/>
      <c r="L473"/>
    </row>
    <row r="474" spans="2:12">
      <c r="B474"/>
      <c r="C474"/>
      <c r="D474"/>
      <c r="E474"/>
      <c r="F474"/>
      <c r="G474" s="14"/>
      <c r="H474"/>
      <c r="I474"/>
      <c r="J474"/>
      <c r="L474"/>
    </row>
    <row r="475" spans="2:12">
      <c r="B475"/>
      <c r="C475"/>
      <c r="D475"/>
      <c r="E475"/>
      <c r="F475"/>
      <c r="G475" s="14"/>
      <c r="H475"/>
      <c r="I475"/>
      <c r="J475"/>
      <c r="L475"/>
    </row>
    <row r="476" spans="2:12">
      <c r="B476"/>
      <c r="C476"/>
      <c r="D476"/>
      <c r="E476"/>
      <c r="F476"/>
      <c r="G476" s="14"/>
      <c r="H476"/>
      <c r="I476"/>
      <c r="J476"/>
      <c r="L476"/>
    </row>
    <row r="477" spans="2:12">
      <c r="B477"/>
      <c r="C477"/>
      <c r="D477"/>
      <c r="E477"/>
      <c r="F477"/>
      <c r="G477" s="14"/>
      <c r="H477"/>
      <c r="I477"/>
      <c r="J477"/>
      <c r="L477"/>
    </row>
    <row r="478" spans="2:12">
      <c r="B478"/>
      <c r="C478"/>
      <c r="D478"/>
      <c r="E478"/>
      <c r="F478"/>
      <c r="G478" s="14"/>
      <c r="H478"/>
      <c r="I478"/>
      <c r="J478"/>
      <c r="L478"/>
    </row>
    <row r="479" spans="2:12">
      <c r="B479"/>
      <c r="C479"/>
      <c r="D479"/>
      <c r="E479"/>
      <c r="F479"/>
      <c r="G479" s="14"/>
      <c r="H479"/>
      <c r="I479"/>
      <c r="J479"/>
      <c r="L479"/>
    </row>
    <row r="480" spans="2:12">
      <c r="B480"/>
      <c r="C480"/>
      <c r="D480"/>
      <c r="E480"/>
      <c r="F480"/>
      <c r="G480" s="14"/>
      <c r="H480"/>
      <c r="I480"/>
      <c r="J480"/>
      <c r="L480"/>
    </row>
    <row r="481" spans="2:12">
      <c r="B481"/>
      <c r="C481"/>
      <c r="D481"/>
      <c r="E481"/>
      <c r="F481"/>
      <c r="G481" s="14"/>
      <c r="H481"/>
      <c r="I481"/>
      <c r="J481"/>
      <c r="L481"/>
    </row>
    <row r="482" spans="2:12">
      <c r="B482"/>
      <c r="C482"/>
      <c r="D482"/>
      <c r="E482"/>
      <c r="F482"/>
      <c r="G482" s="14"/>
      <c r="H482"/>
      <c r="I482"/>
      <c r="J482"/>
      <c r="L482"/>
    </row>
    <row r="483" spans="2:12">
      <c r="B483"/>
      <c r="C483"/>
      <c r="D483"/>
      <c r="E483"/>
      <c r="F483"/>
      <c r="G483" s="14"/>
      <c r="H483"/>
      <c r="I483"/>
      <c r="J483"/>
      <c r="L483"/>
    </row>
    <row r="484" spans="2:12">
      <c r="B484"/>
      <c r="C484"/>
      <c r="D484"/>
      <c r="E484"/>
      <c r="F484"/>
      <c r="G484" s="14"/>
      <c r="H484"/>
      <c r="I484"/>
      <c r="J484"/>
      <c r="L484"/>
    </row>
    <row r="485" spans="2:12">
      <c r="B485"/>
      <c r="C485"/>
      <c r="D485"/>
      <c r="E485"/>
      <c r="F485"/>
      <c r="G485" s="14"/>
      <c r="H485"/>
      <c r="I485"/>
      <c r="J485"/>
      <c r="L485"/>
    </row>
    <row r="486" spans="2:12">
      <c r="B486"/>
      <c r="C486"/>
      <c r="D486"/>
      <c r="E486"/>
      <c r="F486"/>
      <c r="G486" s="14"/>
      <c r="H486"/>
      <c r="I486"/>
      <c r="J486"/>
      <c r="L486"/>
    </row>
    <row r="487" spans="2:12">
      <c r="B487"/>
      <c r="C487"/>
      <c r="D487"/>
      <c r="E487"/>
      <c r="F487"/>
      <c r="G487" s="14"/>
      <c r="H487"/>
      <c r="I487"/>
      <c r="J487"/>
      <c r="L487"/>
    </row>
    <row r="488" spans="2:12">
      <c r="B488"/>
      <c r="C488"/>
      <c r="D488"/>
      <c r="E488"/>
      <c r="F488"/>
      <c r="G488" s="14"/>
      <c r="H488"/>
      <c r="I488"/>
      <c r="J488"/>
      <c r="L488"/>
    </row>
    <row r="489" spans="2:12">
      <c r="B489"/>
      <c r="C489"/>
      <c r="D489"/>
      <c r="E489"/>
      <c r="F489"/>
      <c r="G489" s="14"/>
      <c r="H489"/>
      <c r="I489"/>
      <c r="J489"/>
      <c r="L489"/>
    </row>
    <row r="490" spans="2:12">
      <c r="B490"/>
      <c r="C490"/>
      <c r="D490"/>
      <c r="E490"/>
      <c r="F490"/>
      <c r="G490" s="14"/>
      <c r="H490"/>
      <c r="I490"/>
      <c r="J490"/>
      <c r="L490"/>
    </row>
    <row r="491" spans="2:12">
      <c r="B491"/>
      <c r="C491"/>
      <c r="D491"/>
      <c r="E491"/>
      <c r="F491"/>
      <c r="G491" s="14"/>
      <c r="H491"/>
      <c r="I491"/>
      <c r="J491"/>
      <c r="L491"/>
    </row>
    <row r="492" spans="2:12">
      <c r="B492"/>
      <c r="C492"/>
      <c r="D492"/>
      <c r="E492"/>
      <c r="F492"/>
      <c r="G492" s="14"/>
      <c r="H492"/>
      <c r="I492"/>
      <c r="J492"/>
      <c r="L492"/>
    </row>
    <row r="493" spans="2:12">
      <c r="B493"/>
      <c r="C493"/>
      <c r="D493"/>
      <c r="E493"/>
      <c r="F493"/>
      <c r="G493" s="14"/>
      <c r="H493"/>
      <c r="I493"/>
      <c r="J493"/>
      <c r="L493"/>
    </row>
    <row r="494" spans="2:12">
      <c r="B494"/>
      <c r="C494"/>
      <c r="D494"/>
      <c r="E494"/>
      <c r="F494"/>
      <c r="G494" s="14"/>
      <c r="H494"/>
      <c r="I494"/>
      <c r="J494"/>
      <c r="L494"/>
    </row>
    <row r="495" spans="2:12">
      <c r="B495"/>
      <c r="C495"/>
      <c r="D495"/>
      <c r="E495"/>
      <c r="F495"/>
      <c r="G495" s="14"/>
      <c r="H495"/>
      <c r="I495"/>
      <c r="J495"/>
      <c r="L495"/>
    </row>
    <row r="496" spans="2:12">
      <c r="B496"/>
      <c r="C496"/>
      <c r="D496"/>
      <c r="E496"/>
      <c r="F496"/>
      <c r="G496" s="14"/>
      <c r="H496"/>
      <c r="I496"/>
      <c r="J496"/>
      <c r="L496"/>
    </row>
    <row r="497" spans="2:12">
      <c r="B497"/>
      <c r="C497"/>
      <c r="D497"/>
      <c r="E497"/>
      <c r="F497"/>
      <c r="G497" s="14"/>
      <c r="H497"/>
      <c r="I497"/>
      <c r="J497"/>
      <c r="L497"/>
    </row>
    <row r="498" spans="2:12">
      <c r="B498"/>
      <c r="C498"/>
      <c r="D498"/>
      <c r="E498"/>
      <c r="F498"/>
      <c r="G498" s="14"/>
      <c r="H498"/>
      <c r="I498"/>
      <c r="J498"/>
      <c r="L498"/>
    </row>
    <row r="499" spans="2:12">
      <c r="B499"/>
      <c r="C499"/>
      <c r="D499"/>
      <c r="E499"/>
      <c r="F499"/>
      <c r="G499" s="14"/>
      <c r="H499"/>
      <c r="I499"/>
      <c r="J499"/>
      <c r="L499"/>
    </row>
    <row r="500" spans="2:12">
      <c r="B500"/>
      <c r="C500"/>
      <c r="D500"/>
      <c r="E500"/>
      <c r="F500"/>
      <c r="G500" s="14"/>
      <c r="H500"/>
      <c r="I500"/>
      <c r="J500"/>
      <c r="L500"/>
    </row>
    <row r="501" spans="2:12">
      <c r="B501"/>
      <c r="C501"/>
      <c r="D501"/>
      <c r="E501"/>
      <c r="F501"/>
      <c r="G501" s="14"/>
      <c r="H501"/>
      <c r="I501"/>
      <c r="J501"/>
      <c r="L501"/>
    </row>
    <row r="502" spans="2:12">
      <c r="B502"/>
      <c r="C502"/>
      <c r="D502"/>
      <c r="E502"/>
      <c r="F502"/>
      <c r="G502" s="14"/>
      <c r="H502"/>
      <c r="I502"/>
      <c r="J502"/>
      <c r="L502"/>
    </row>
    <row r="503" spans="2:12">
      <c r="B503"/>
      <c r="C503"/>
      <c r="D503"/>
      <c r="E503"/>
      <c r="F503"/>
      <c r="G503" s="14"/>
      <c r="H503"/>
      <c r="I503"/>
      <c r="J503"/>
      <c r="L503"/>
    </row>
    <row r="504" spans="2:12">
      <c r="B504"/>
      <c r="C504"/>
      <c r="D504"/>
      <c r="E504"/>
      <c r="F504"/>
      <c r="G504" s="14"/>
      <c r="H504"/>
      <c r="I504"/>
      <c r="J504"/>
      <c r="L504"/>
    </row>
    <row r="505" spans="2:12">
      <c r="B505"/>
      <c r="C505"/>
      <c r="D505"/>
      <c r="E505"/>
      <c r="F505"/>
      <c r="G505" s="14"/>
      <c r="H505"/>
      <c r="I505"/>
      <c r="J505"/>
      <c r="L505"/>
    </row>
    <row r="506" spans="2:12">
      <c r="B506"/>
      <c r="C506"/>
      <c r="D506"/>
      <c r="E506"/>
      <c r="F506"/>
      <c r="G506" s="14"/>
      <c r="H506"/>
      <c r="I506"/>
      <c r="J506"/>
      <c r="L506"/>
    </row>
    <row r="507" spans="2:12">
      <c r="B507"/>
      <c r="C507"/>
      <c r="D507"/>
      <c r="E507"/>
      <c r="F507"/>
      <c r="G507" s="14"/>
      <c r="H507"/>
      <c r="I507"/>
      <c r="J507"/>
      <c r="L507"/>
    </row>
    <row r="508" spans="2:12">
      <c r="B508"/>
      <c r="C508"/>
      <c r="D508"/>
      <c r="E508"/>
      <c r="F508"/>
      <c r="G508" s="14"/>
      <c r="H508"/>
      <c r="I508"/>
      <c r="J508"/>
      <c r="L508"/>
    </row>
    <row r="509" spans="2:12">
      <c r="B509"/>
      <c r="C509"/>
      <c r="D509"/>
      <c r="E509"/>
      <c r="F509"/>
      <c r="G509" s="14"/>
      <c r="H509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</sheetData>
  <phoneticPr fontId="3" type="noConversion"/>
  <conditionalFormatting sqref="G39:G45">
    <cfRule type="expression" dxfId="9" priority="2">
      <formula>AND(IF(E39&lt;&gt;0,1),IF(G39=0,1))</formula>
    </cfRule>
  </conditionalFormatting>
  <conditionalFormatting sqref="K39:K45">
    <cfRule type="expression" dxfId="8" priority="1">
      <formula>LEFT(A39,2)="TU"</formula>
    </cfRule>
  </conditionalFormatting>
  <printOptions horizontalCentered="1"/>
  <pageMargins left="0.27559055118110237" right="0.15748031496062992" top="0.59055118110236227" bottom="0.59055118110236227" header="0.59055118110236227" footer="0.51181102362204722"/>
  <pageSetup paperSize="9" scale="80" fitToHeight="3" orientation="landscape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C000"/>
  </sheetPr>
  <dimension ref="A1:S753"/>
  <sheetViews>
    <sheetView topLeftCell="A124" zoomScaleNormal="100" workbookViewId="0">
      <selection activeCell="B147" sqref="B147:J153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9.625" style="2" customWidth="1"/>
    <col min="7" max="7" width="10" customWidth="1"/>
    <col min="8" max="8" width="14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346</v>
      </c>
      <c r="B3" s="122">
        <v>43882</v>
      </c>
      <c r="C3" s="122"/>
      <c r="D3" s="536"/>
      <c r="E3" s="88">
        <v>0</v>
      </c>
      <c r="F3" s="122">
        <v>47529</v>
      </c>
      <c r="G3" s="550">
        <v>-7384</v>
      </c>
      <c r="H3" s="475" t="s">
        <v>289</v>
      </c>
      <c r="I3" s="396">
        <v>100</v>
      </c>
      <c r="J3" s="129">
        <v>103.5230375</v>
      </c>
      <c r="K3" s="104">
        <f t="shared" ref="K3:K8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157</v>
      </c>
      <c r="B4" s="122">
        <v>38853</v>
      </c>
      <c r="C4" s="122"/>
      <c r="D4" s="536"/>
      <c r="E4" s="88">
        <v>0</v>
      </c>
      <c r="F4" s="88"/>
      <c r="G4" s="124">
        <v>0</v>
      </c>
      <c r="H4" s="475"/>
      <c r="I4" s="129">
        <v>100.40625</v>
      </c>
      <c r="J4" s="129">
        <v>99.53125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 t="s">
        <v>158</v>
      </c>
      <c r="B5" s="265">
        <v>38839</v>
      </c>
      <c r="C5" s="265"/>
      <c r="D5" s="537"/>
      <c r="E5" s="266">
        <v>0</v>
      </c>
      <c r="F5" s="266"/>
      <c r="G5" s="551">
        <v>0</v>
      </c>
      <c r="H5" s="476"/>
      <c r="I5" s="268">
        <v>99.875</v>
      </c>
      <c r="J5" s="268">
        <v>0</v>
      </c>
      <c r="K5" s="269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 t="s">
        <v>159</v>
      </c>
      <c r="B6" s="265">
        <v>38839</v>
      </c>
      <c r="C6" s="265"/>
      <c r="D6" s="537"/>
      <c r="E6" s="266">
        <v>0</v>
      </c>
      <c r="F6" s="266"/>
      <c r="G6" s="551">
        <v>0</v>
      </c>
      <c r="H6" s="476" t="s">
        <v>21</v>
      </c>
      <c r="I6" s="268">
        <v>99.875</v>
      </c>
      <c r="J6" s="268">
        <v>0</v>
      </c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16" customFormat="1">
      <c r="A7" s="110" t="s">
        <v>160</v>
      </c>
      <c r="B7" s="113">
        <v>38839</v>
      </c>
      <c r="C7" s="113"/>
      <c r="D7" s="538"/>
      <c r="E7" s="114">
        <v>0</v>
      </c>
      <c r="F7" s="114"/>
      <c r="G7" s="552">
        <v>0</v>
      </c>
      <c r="H7" s="477" t="s">
        <v>23</v>
      </c>
      <c r="I7" s="319">
        <v>99.875</v>
      </c>
      <c r="J7" s="319">
        <v>0</v>
      </c>
      <c r="K7" s="261">
        <f t="shared" si="0"/>
        <v>0</v>
      </c>
      <c r="L7" s="382"/>
      <c r="S7" s="320"/>
    </row>
    <row r="8" spans="1:19" s="116" customFormat="1">
      <c r="A8" s="110" t="s">
        <v>160</v>
      </c>
      <c r="B8" s="113">
        <v>38839</v>
      </c>
      <c r="C8" s="113"/>
      <c r="D8" s="538"/>
      <c r="E8" s="114">
        <v>0</v>
      </c>
      <c r="F8" s="114"/>
      <c r="G8" s="552">
        <v>0</v>
      </c>
      <c r="H8" s="478" t="s">
        <v>23</v>
      </c>
      <c r="I8" s="319">
        <v>99.875</v>
      </c>
      <c r="J8" s="319">
        <v>0</v>
      </c>
      <c r="K8" s="261">
        <f t="shared" si="0"/>
        <v>0</v>
      </c>
      <c r="L8" s="382"/>
      <c r="S8" s="117"/>
    </row>
    <row r="9" spans="1:19" s="116" customFormat="1">
      <c r="A9" s="111" t="s">
        <v>166</v>
      </c>
      <c r="B9" s="313"/>
      <c r="C9" s="313"/>
      <c r="D9" s="539"/>
      <c r="E9" s="314">
        <f>SUM(E3:E8)</f>
        <v>0</v>
      </c>
      <c r="F9" s="314"/>
      <c r="G9" s="316">
        <f>SUM(G3:G8)</f>
        <v>-7384</v>
      </c>
      <c r="H9" s="479"/>
      <c r="I9" s="323"/>
      <c r="J9" s="318"/>
      <c r="K9" s="316">
        <f>SUM(K3:K8)</f>
        <v>0</v>
      </c>
      <c r="L9" s="383"/>
      <c r="S9" s="117"/>
    </row>
    <row r="10" spans="1:19" s="93" customFormat="1">
      <c r="A10" s="93" t="s">
        <v>163</v>
      </c>
      <c r="B10" s="97"/>
      <c r="C10" s="97"/>
      <c r="D10" s="540"/>
      <c r="E10" s="100"/>
      <c r="F10" s="100"/>
      <c r="H10" s="480"/>
      <c r="I10" s="99"/>
      <c r="J10" s="99"/>
      <c r="L10" s="377"/>
    </row>
    <row r="11" spans="1:19" s="93" customFormat="1">
      <c r="A11" s="206" t="s">
        <v>234</v>
      </c>
      <c r="B11" s="207" t="s">
        <v>7</v>
      </c>
      <c r="C11" s="207" t="s">
        <v>171</v>
      </c>
      <c r="D11" s="535" t="s">
        <v>170</v>
      </c>
      <c r="E11" s="208" t="s">
        <v>11</v>
      </c>
      <c r="F11" s="207" t="s">
        <v>2</v>
      </c>
      <c r="G11" s="209" t="s">
        <v>12</v>
      </c>
      <c r="H11" s="482" t="s">
        <v>18</v>
      </c>
      <c r="I11" s="209" t="s">
        <v>210</v>
      </c>
      <c r="J11" s="207" t="s">
        <v>216</v>
      </c>
      <c r="K11" s="260" t="s">
        <v>212</v>
      </c>
      <c r="L11" s="377"/>
      <c r="S11" s="131" t="s">
        <v>21</v>
      </c>
    </row>
    <row r="12" spans="1:19" s="102" customFormat="1">
      <c r="A12" s="87" t="s">
        <v>154</v>
      </c>
      <c r="B12" s="122">
        <v>38898</v>
      </c>
      <c r="C12" s="122"/>
      <c r="D12" s="536"/>
      <c r="E12" s="88">
        <v>0</v>
      </c>
      <c r="F12" s="88"/>
      <c r="G12" s="124">
        <v>0</v>
      </c>
      <c r="H12" s="475" t="s">
        <v>23</v>
      </c>
      <c r="I12" s="129">
        <v>99.46875</v>
      </c>
      <c r="J12" s="129">
        <v>0</v>
      </c>
      <c r="K12" s="104">
        <f t="shared" ref="K12:K17" si="1">(J12-I12)*E12/100</f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87" t="s">
        <v>154</v>
      </c>
      <c r="B13" s="122">
        <v>38853</v>
      </c>
      <c r="C13" s="122"/>
      <c r="D13" s="536"/>
      <c r="E13" s="88">
        <v>0</v>
      </c>
      <c r="F13" s="88"/>
      <c r="G13" s="124">
        <v>0</v>
      </c>
      <c r="H13" s="475" t="s">
        <v>23</v>
      </c>
      <c r="I13" s="129">
        <v>95.90234375</v>
      </c>
      <c r="J13" s="129">
        <v>0</v>
      </c>
      <c r="K13" s="104">
        <f t="shared" si="1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 t="s">
        <v>156</v>
      </c>
      <c r="B14" s="265">
        <v>38839</v>
      </c>
      <c r="C14" s="265"/>
      <c r="D14" s="537"/>
      <c r="E14" s="266">
        <v>0</v>
      </c>
      <c r="F14" s="266"/>
      <c r="G14" s="151">
        <v>0</v>
      </c>
      <c r="H14" s="476"/>
      <c r="I14" s="268">
        <v>99.875</v>
      </c>
      <c r="J14" s="268">
        <v>0</v>
      </c>
      <c r="K14" s="269">
        <f t="shared" si="1"/>
        <v>0</v>
      </c>
      <c r="L14" s="378"/>
      <c r="M14" s="93"/>
      <c r="N14" s="93"/>
      <c r="O14" s="93"/>
      <c r="P14" s="93"/>
      <c r="Q14" s="93"/>
      <c r="S14" s="103"/>
    </row>
    <row r="15" spans="1:19" s="102" customFormat="1">
      <c r="A15" s="262" t="s">
        <v>156</v>
      </c>
      <c r="B15" s="265">
        <v>38839</v>
      </c>
      <c r="C15" s="265"/>
      <c r="D15" s="537"/>
      <c r="E15" s="266">
        <v>0</v>
      </c>
      <c r="F15" s="266"/>
      <c r="G15" s="151">
        <v>0</v>
      </c>
      <c r="H15" s="476" t="s">
        <v>21</v>
      </c>
      <c r="I15" s="268">
        <v>99.875</v>
      </c>
      <c r="J15" s="268">
        <v>0</v>
      </c>
      <c r="K15" s="269">
        <f t="shared" si="1"/>
        <v>0</v>
      </c>
      <c r="L15" s="378"/>
      <c r="M15" s="93"/>
      <c r="N15" s="93"/>
      <c r="O15" s="93"/>
      <c r="P15" s="93"/>
      <c r="Q15" s="93"/>
      <c r="S15" s="103"/>
    </row>
    <row r="16" spans="1:19" s="116" customFormat="1">
      <c r="A16" s="110" t="s">
        <v>155</v>
      </c>
      <c r="B16" s="113">
        <v>38839</v>
      </c>
      <c r="C16" s="113"/>
      <c r="D16" s="538"/>
      <c r="E16" s="114">
        <v>0</v>
      </c>
      <c r="F16" s="114"/>
      <c r="G16" s="118">
        <v>0</v>
      </c>
      <c r="H16" s="477" t="s">
        <v>23</v>
      </c>
      <c r="I16" s="319">
        <v>99.875</v>
      </c>
      <c r="J16" s="319">
        <v>0</v>
      </c>
      <c r="K16" s="261">
        <f t="shared" si="1"/>
        <v>0</v>
      </c>
      <c r="L16" s="379"/>
      <c r="S16" s="320"/>
    </row>
    <row r="17" spans="1:19" s="116" customFormat="1">
      <c r="A17" s="110" t="s">
        <v>155</v>
      </c>
      <c r="B17" s="113">
        <v>38839</v>
      </c>
      <c r="C17" s="113"/>
      <c r="D17" s="538"/>
      <c r="E17" s="114">
        <v>0</v>
      </c>
      <c r="F17" s="114"/>
      <c r="G17" s="118">
        <v>0</v>
      </c>
      <c r="H17" s="478" t="s">
        <v>23</v>
      </c>
      <c r="I17" s="319">
        <v>99.875</v>
      </c>
      <c r="J17" s="319">
        <v>0</v>
      </c>
      <c r="K17" s="261">
        <f t="shared" si="1"/>
        <v>0</v>
      </c>
      <c r="L17" s="380"/>
      <c r="S17" s="117"/>
    </row>
    <row r="18" spans="1:19" s="532" customFormat="1" ht="17.25" thickBot="1">
      <c r="A18" s="361" t="s">
        <v>166</v>
      </c>
      <c r="B18" s="363"/>
      <c r="C18" s="363"/>
      <c r="D18" s="541"/>
      <c r="E18" s="364">
        <f>SUM(E12:E17)</f>
        <v>0</v>
      </c>
      <c r="F18" s="364"/>
      <c r="G18" s="365">
        <f>SUM(G12:G17)</f>
        <v>0</v>
      </c>
      <c r="H18" s="481"/>
      <c r="I18" s="367"/>
      <c r="J18" s="366"/>
      <c r="K18" s="365">
        <f>SUM(K12:K17)</f>
        <v>0</v>
      </c>
      <c r="L18" s="531"/>
      <c r="S18" s="533"/>
    </row>
    <row r="19" spans="1:19" s="116" customFormat="1" ht="17.25" thickTop="1">
      <c r="A19" s="324" t="s">
        <v>164</v>
      </c>
      <c r="B19" s="313"/>
      <c r="C19" s="313"/>
      <c r="D19" s="539"/>
      <c r="E19" s="314"/>
      <c r="F19" s="314"/>
      <c r="G19" s="316"/>
      <c r="H19" s="479"/>
      <c r="I19" s="323"/>
      <c r="J19" s="318"/>
      <c r="K19" s="316"/>
      <c r="L19" s="380"/>
      <c r="S19" s="117"/>
    </row>
    <row r="20" spans="1:19" s="93" customFormat="1">
      <c r="A20" s="206" t="s">
        <v>99</v>
      </c>
      <c r="B20" s="207" t="s">
        <v>7</v>
      </c>
      <c r="C20" s="207" t="s">
        <v>171</v>
      </c>
      <c r="D20" s="535" t="s">
        <v>170</v>
      </c>
      <c r="E20" s="208" t="s">
        <v>11</v>
      </c>
      <c r="F20" s="207" t="s">
        <v>2</v>
      </c>
      <c r="G20" s="209" t="s">
        <v>12</v>
      </c>
      <c r="H20" s="482" t="s">
        <v>18</v>
      </c>
      <c r="I20" s="209" t="s">
        <v>210</v>
      </c>
      <c r="J20" s="207" t="s">
        <v>216</v>
      </c>
      <c r="K20" s="260" t="s">
        <v>212</v>
      </c>
      <c r="L20" s="377"/>
      <c r="M20"/>
      <c r="N20"/>
      <c r="O20"/>
      <c r="P20"/>
      <c r="Q20"/>
      <c r="S20" s="131" t="s">
        <v>21</v>
      </c>
    </row>
    <row r="21" spans="1:19" s="93" customFormat="1">
      <c r="A21" s="325" t="s">
        <v>526</v>
      </c>
      <c r="B21" s="328"/>
      <c r="C21" s="328"/>
      <c r="D21" s="542"/>
      <c r="E21" s="330"/>
      <c r="F21" s="330"/>
      <c r="G21" s="332"/>
      <c r="H21" s="483"/>
      <c r="I21" s="335"/>
      <c r="J21" s="335"/>
      <c r="K21" s="296">
        <f t="shared" ref="K21:K84" si="2">IF(LEFT(A21,2)="TU",(J21-I21)*E21/100*100000*2,(J21-I21)*E21/100*100000)</f>
        <v>0</v>
      </c>
      <c r="L21" s="377"/>
    </row>
    <row r="22" spans="1:19" s="93" customFormat="1">
      <c r="A22" s="325" t="s">
        <v>526</v>
      </c>
      <c r="B22" s="328"/>
      <c r="C22" s="328"/>
      <c r="D22" s="542"/>
      <c r="E22" s="330"/>
      <c r="F22" s="330"/>
      <c r="G22" s="332"/>
      <c r="H22" s="483"/>
      <c r="I22" s="335"/>
      <c r="J22" s="335"/>
      <c r="K22" s="296">
        <f t="shared" si="2"/>
        <v>0</v>
      </c>
      <c r="L22" s="377"/>
    </row>
    <row r="23" spans="1:19" s="93" customFormat="1">
      <c r="A23" s="325" t="s">
        <v>526</v>
      </c>
      <c r="B23" s="328"/>
      <c r="C23" s="328"/>
      <c r="D23" s="542"/>
      <c r="E23" s="330"/>
      <c r="F23" s="331"/>
      <c r="G23" s="332"/>
      <c r="H23" s="483"/>
      <c r="I23" s="335"/>
      <c r="J23" s="335"/>
      <c r="K23" s="296">
        <f t="shared" si="2"/>
        <v>0</v>
      </c>
      <c r="L23" s="377"/>
    </row>
    <row r="24" spans="1:19" s="93" customFormat="1">
      <c r="A24" s="325" t="s">
        <v>526</v>
      </c>
      <c r="B24" s="328"/>
      <c r="C24" s="328"/>
      <c r="D24" s="542"/>
      <c r="E24" s="330"/>
      <c r="F24" s="331"/>
      <c r="G24" s="332"/>
      <c r="H24" s="483"/>
      <c r="I24" s="335"/>
      <c r="J24" s="335"/>
      <c r="K24" s="296">
        <f t="shared" si="2"/>
        <v>0</v>
      </c>
      <c r="L24" s="377"/>
    </row>
    <row r="25" spans="1:19" s="270" customFormat="1">
      <c r="A25" s="325" t="s">
        <v>396</v>
      </c>
      <c r="B25" s="328"/>
      <c r="C25" s="328"/>
      <c r="D25" s="542"/>
      <c r="E25" s="330"/>
      <c r="F25" s="331"/>
      <c r="G25" s="332"/>
      <c r="H25" s="483"/>
      <c r="I25" s="335"/>
      <c r="J25" s="335"/>
      <c r="K25" s="296">
        <f t="shared" si="2"/>
        <v>0</v>
      </c>
      <c r="L25" s="381"/>
    </row>
    <row r="26" spans="1:19" s="270" customFormat="1">
      <c r="A26" s="325" t="s">
        <v>396</v>
      </c>
      <c r="B26" s="328"/>
      <c r="C26" s="328"/>
      <c r="D26" s="542"/>
      <c r="E26" s="330"/>
      <c r="F26" s="331"/>
      <c r="G26" s="332"/>
      <c r="H26" s="483"/>
      <c r="I26" s="335"/>
      <c r="J26" s="335"/>
      <c r="K26" s="296">
        <f t="shared" si="2"/>
        <v>0</v>
      </c>
      <c r="L26" s="381"/>
    </row>
    <row r="27" spans="1:19" s="270" customFormat="1">
      <c r="A27" s="325" t="s">
        <v>396</v>
      </c>
      <c r="B27" s="328"/>
      <c r="C27" s="328"/>
      <c r="D27" s="542"/>
      <c r="E27" s="330"/>
      <c r="F27" s="330"/>
      <c r="G27" s="332"/>
      <c r="H27" s="483"/>
      <c r="I27" s="335"/>
      <c r="J27" s="335"/>
      <c r="K27" s="296">
        <f t="shared" si="2"/>
        <v>0</v>
      </c>
      <c r="L27" s="381"/>
    </row>
    <row r="28" spans="1:19" s="270" customFormat="1">
      <c r="A28" s="325" t="s">
        <v>396</v>
      </c>
      <c r="B28" s="328"/>
      <c r="C28" s="328"/>
      <c r="D28" s="542"/>
      <c r="E28" s="330"/>
      <c r="F28" s="331"/>
      <c r="G28" s="332"/>
      <c r="H28" s="483"/>
      <c r="I28" s="335"/>
      <c r="J28" s="335"/>
      <c r="K28" s="296">
        <f t="shared" si="2"/>
        <v>0</v>
      </c>
      <c r="L28" s="381"/>
    </row>
    <row r="29" spans="1:19" s="270" customFormat="1">
      <c r="A29" s="325" t="s">
        <v>396</v>
      </c>
      <c r="B29" s="328"/>
      <c r="C29" s="328"/>
      <c r="D29" s="542"/>
      <c r="E29" s="330"/>
      <c r="F29" s="331"/>
      <c r="G29" s="332"/>
      <c r="H29" s="483"/>
      <c r="I29" s="335"/>
      <c r="J29" s="335"/>
      <c r="K29" s="296">
        <f t="shared" si="2"/>
        <v>0</v>
      </c>
      <c r="L29" s="381"/>
    </row>
    <row r="30" spans="1:19" s="270" customFormat="1">
      <c r="A30" s="325" t="s">
        <v>396</v>
      </c>
      <c r="B30" s="328"/>
      <c r="C30" s="328"/>
      <c r="D30" s="542"/>
      <c r="E30" s="330"/>
      <c r="F30" s="331"/>
      <c r="G30" s="332"/>
      <c r="H30" s="483"/>
      <c r="I30" s="335"/>
      <c r="J30" s="335"/>
      <c r="K30" s="296">
        <f t="shared" si="2"/>
        <v>0</v>
      </c>
      <c r="L30" s="381"/>
    </row>
    <row r="31" spans="1:19" s="270" customFormat="1">
      <c r="A31" s="325" t="s">
        <v>396</v>
      </c>
      <c r="B31" s="328"/>
      <c r="C31" s="328"/>
      <c r="D31" s="542"/>
      <c r="E31" s="330"/>
      <c r="F31" s="331"/>
      <c r="G31" s="332"/>
      <c r="H31" s="483"/>
      <c r="I31" s="335"/>
      <c r="J31" s="335"/>
      <c r="K31" s="296">
        <f t="shared" si="2"/>
        <v>0</v>
      </c>
      <c r="L31" s="381"/>
    </row>
    <row r="32" spans="1:19" s="270" customFormat="1">
      <c r="A32" s="325" t="s">
        <v>396</v>
      </c>
      <c r="B32" s="328"/>
      <c r="C32" s="328"/>
      <c r="D32" s="542"/>
      <c r="E32" s="330"/>
      <c r="F32" s="331"/>
      <c r="G32" s="332"/>
      <c r="H32" s="483"/>
      <c r="I32" s="335"/>
      <c r="J32" s="335"/>
      <c r="K32" s="296">
        <f t="shared" si="2"/>
        <v>0</v>
      </c>
      <c r="L32" s="381"/>
    </row>
    <row r="33" spans="1:12" s="270" customFormat="1">
      <c r="A33" s="325" t="s">
        <v>396</v>
      </c>
      <c r="B33" s="328"/>
      <c r="C33" s="328"/>
      <c r="D33" s="542"/>
      <c r="E33" s="330"/>
      <c r="F33" s="331"/>
      <c r="G33" s="332"/>
      <c r="H33" s="483"/>
      <c r="I33" s="335"/>
      <c r="J33" s="335"/>
      <c r="K33" s="296">
        <f t="shared" si="2"/>
        <v>0</v>
      </c>
      <c r="L33" s="381"/>
    </row>
    <row r="34" spans="1:12" s="270" customFormat="1">
      <c r="A34" s="325" t="s">
        <v>396</v>
      </c>
      <c r="B34" s="328"/>
      <c r="C34" s="328"/>
      <c r="D34" s="542"/>
      <c r="E34" s="330"/>
      <c r="F34" s="331"/>
      <c r="G34" s="332"/>
      <c r="H34" s="483"/>
      <c r="I34" s="335"/>
      <c r="J34" s="335"/>
      <c r="K34" s="296">
        <f t="shared" si="2"/>
        <v>0</v>
      </c>
      <c r="L34" s="381"/>
    </row>
    <row r="35" spans="1:12" s="270" customFormat="1">
      <c r="A35" s="325" t="s">
        <v>396</v>
      </c>
      <c r="B35" s="328"/>
      <c r="C35" s="328"/>
      <c r="D35" s="542"/>
      <c r="E35" s="330"/>
      <c r="F35" s="331"/>
      <c r="G35" s="332"/>
      <c r="H35" s="483"/>
      <c r="I35" s="335"/>
      <c r="J35" s="335"/>
      <c r="K35" s="296">
        <f t="shared" si="2"/>
        <v>0</v>
      </c>
      <c r="L35" s="381"/>
    </row>
    <row r="36" spans="1:12" s="270" customFormat="1">
      <c r="A36" s="325" t="s">
        <v>396</v>
      </c>
      <c r="B36" s="328"/>
      <c r="C36" s="328"/>
      <c r="D36" s="542"/>
      <c r="E36" s="330"/>
      <c r="F36" s="331"/>
      <c r="G36" s="332"/>
      <c r="H36" s="483"/>
      <c r="I36" s="335"/>
      <c r="J36" s="335"/>
      <c r="K36" s="296">
        <f t="shared" si="2"/>
        <v>0</v>
      </c>
      <c r="L36" s="381"/>
    </row>
    <row r="37" spans="1:12" s="270" customFormat="1">
      <c r="A37" s="325" t="s">
        <v>430</v>
      </c>
      <c r="B37" s="328"/>
      <c r="C37" s="328"/>
      <c r="D37" s="542"/>
      <c r="E37" s="330"/>
      <c r="F37" s="331"/>
      <c r="G37" s="332"/>
      <c r="H37" s="483"/>
      <c r="I37" s="335"/>
      <c r="J37" s="335"/>
      <c r="K37" s="296">
        <f t="shared" si="2"/>
        <v>0</v>
      </c>
      <c r="L37" s="381"/>
    </row>
    <row r="38" spans="1:12" s="93" customFormat="1">
      <c r="A38" s="325" t="s">
        <v>430</v>
      </c>
      <c r="B38" s="328"/>
      <c r="C38" s="328"/>
      <c r="D38" s="542"/>
      <c r="E38" s="330"/>
      <c r="F38" s="331"/>
      <c r="G38" s="332"/>
      <c r="H38" s="483"/>
      <c r="I38" s="335"/>
      <c r="J38" s="335"/>
      <c r="K38" s="296">
        <f t="shared" si="2"/>
        <v>0</v>
      </c>
      <c r="L38" s="377"/>
    </row>
    <row r="39" spans="1:12" s="93" customFormat="1">
      <c r="A39" s="325" t="s">
        <v>430</v>
      </c>
      <c r="B39" s="328"/>
      <c r="C39" s="328"/>
      <c r="D39" s="542"/>
      <c r="E39" s="330"/>
      <c r="F39" s="331"/>
      <c r="G39" s="332"/>
      <c r="H39" s="483"/>
      <c r="I39" s="335"/>
      <c r="J39" s="335"/>
      <c r="K39" s="296">
        <f t="shared" si="2"/>
        <v>0</v>
      </c>
      <c r="L39" s="377"/>
    </row>
    <row r="40" spans="1:12" s="93" customFormat="1">
      <c r="A40" s="325" t="s">
        <v>430</v>
      </c>
      <c r="B40" s="328"/>
      <c r="C40" s="328"/>
      <c r="D40" s="542"/>
      <c r="E40" s="330"/>
      <c r="F40" s="331"/>
      <c r="G40" s="332"/>
      <c r="H40" s="483"/>
      <c r="I40" s="335"/>
      <c r="J40" s="335"/>
      <c r="K40" s="296">
        <f t="shared" si="2"/>
        <v>0</v>
      </c>
      <c r="L40" s="377"/>
    </row>
    <row r="41" spans="1:12" s="93" customFormat="1">
      <c r="A41" s="325" t="s">
        <v>430</v>
      </c>
      <c r="B41" s="328"/>
      <c r="C41" s="328"/>
      <c r="D41" s="542"/>
      <c r="E41" s="330"/>
      <c r="F41" s="331"/>
      <c r="G41" s="332"/>
      <c r="H41" s="483"/>
      <c r="I41" s="335"/>
      <c r="J41" s="335"/>
      <c r="K41" s="296">
        <f t="shared" si="2"/>
        <v>0</v>
      </c>
      <c r="L41" s="377"/>
    </row>
    <row r="42" spans="1:12" s="93" customFormat="1">
      <c r="A42" s="325" t="s">
        <v>430</v>
      </c>
      <c r="B42" s="328"/>
      <c r="C42" s="328"/>
      <c r="D42" s="542"/>
      <c r="E42" s="330"/>
      <c r="F42" s="331"/>
      <c r="G42" s="332"/>
      <c r="H42" s="483"/>
      <c r="I42" s="335"/>
      <c r="J42" s="335"/>
      <c r="K42" s="296">
        <f t="shared" si="2"/>
        <v>0</v>
      </c>
      <c r="L42" s="377"/>
    </row>
    <row r="43" spans="1:12" s="93" customFormat="1">
      <c r="A43" s="325" t="s">
        <v>430</v>
      </c>
      <c r="B43" s="328"/>
      <c r="C43" s="328"/>
      <c r="D43" s="542"/>
      <c r="E43" s="330"/>
      <c r="F43" s="331"/>
      <c r="G43" s="332"/>
      <c r="H43" s="483"/>
      <c r="I43" s="335"/>
      <c r="J43" s="335"/>
      <c r="K43" s="296">
        <f t="shared" si="2"/>
        <v>0</v>
      </c>
      <c r="L43" s="377"/>
    </row>
    <row r="44" spans="1:12" s="93" customFormat="1">
      <c r="A44" s="325" t="s">
        <v>430</v>
      </c>
      <c r="B44" s="328"/>
      <c r="C44" s="328"/>
      <c r="D44" s="542"/>
      <c r="E44" s="330"/>
      <c r="F44" s="331"/>
      <c r="G44" s="332"/>
      <c r="H44" s="483"/>
      <c r="I44" s="335"/>
      <c r="J44" s="335"/>
      <c r="K44" s="296">
        <f t="shared" si="2"/>
        <v>0</v>
      </c>
      <c r="L44" s="377"/>
    </row>
    <row r="45" spans="1:12" s="93" customFormat="1">
      <c r="A45" s="325" t="s">
        <v>431</v>
      </c>
      <c r="B45" s="328"/>
      <c r="C45" s="328"/>
      <c r="D45" s="542"/>
      <c r="E45" s="330"/>
      <c r="F45" s="331"/>
      <c r="G45" s="332"/>
      <c r="H45" s="483"/>
      <c r="I45" s="335"/>
      <c r="J45" s="335"/>
      <c r="K45" s="296">
        <f t="shared" si="2"/>
        <v>0</v>
      </c>
      <c r="L45" s="377"/>
    </row>
    <row r="46" spans="1:12" s="93" customFormat="1">
      <c r="A46" s="325" t="s">
        <v>431</v>
      </c>
      <c r="B46" s="328"/>
      <c r="C46" s="328"/>
      <c r="D46" s="542"/>
      <c r="E46" s="330"/>
      <c r="F46" s="331"/>
      <c r="G46" s="332"/>
      <c r="H46" s="483"/>
      <c r="I46" s="335"/>
      <c r="J46" s="335"/>
      <c r="K46" s="296">
        <f t="shared" si="2"/>
        <v>0</v>
      </c>
      <c r="L46" s="377"/>
    </row>
    <row r="47" spans="1:12" s="93" customFormat="1">
      <c r="A47" s="325" t="s">
        <v>431</v>
      </c>
      <c r="B47" s="328"/>
      <c r="C47" s="328"/>
      <c r="D47" s="542"/>
      <c r="E47" s="330"/>
      <c r="F47" s="331"/>
      <c r="G47" s="332"/>
      <c r="H47" s="483"/>
      <c r="I47" s="335"/>
      <c r="J47" s="335"/>
      <c r="K47" s="296">
        <f t="shared" si="2"/>
        <v>0</v>
      </c>
      <c r="L47" s="377"/>
    </row>
    <row r="48" spans="1:12" s="93" customFormat="1">
      <c r="A48" s="325" t="s">
        <v>431</v>
      </c>
      <c r="B48" s="328"/>
      <c r="C48" s="328"/>
      <c r="D48" s="542"/>
      <c r="E48" s="330"/>
      <c r="F48" s="331"/>
      <c r="G48" s="332"/>
      <c r="H48" s="483"/>
      <c r="I48" s="335"/>
      <c r="J48" s="335"/>
      <c r="K48" s="296">
        <f t="shared" si="2"/>
        <v>0</v>
      </c>
      <c r="L48" s="377"/>
    </row>
    <row r="49" spans="1:12" s="93" customFormat="1">
      <c r="A49" s="325" t="s">
        <v>431</v>
      </c>
      <c r="B49" s="328"/>
      <c r="C49" s="328"/>
      <c r="D49" s="542"/>
      <c r="E49" s="330"/>
      <c r="F49" s="331"/>
      <c r="G49" s="332"/>
      <c r="H49" s="483"/>
      <c r="I49" s="335"/>
      <c r="J49" s="335"/>
      <c r="K49" s="296">
        <f t="shared" si="2"/>
        <v>0</v>
      </c>
      <c r="L49" s="377"/>
    </row>
    <row r="50" spans="1:12" s="93" customFormat="1">
      <c r="A50" s="325" t="s">
        <v>431</v>
      </c>
      <c r="B50" s="328"/>
      <c r="C50" s="328"/>
      <c r="D50" s="542"/>
      <c r="E50" s="330"/>
      <c r="F50" s="331"/>
      <c r="G50" s="332"/>
      <c r="H50" s="483"/>
      <c r="I50" s="335"/>
      <c r="J50" s="335"/>
      <c r="K50" s="296">
        <f t="shared" si="2"/>
        <v>0</v>
      </c>
      <c r="L50" s="377"/>
    </row>
    <row r="51" spans="1:12" s="93" customFormat="1">
      <c r="A51" s="325" t="s">
        <v>431</v>
      </c>
      <c r="B51" s="328"/>
      <c r="C51" s="328"/>
      <c r="D51" s="542"/>
      <c r="E51" s="330"/>
      <c r="F51" s="331"/>
      <c r="G51" s="332"/>
      <c r="H51" s="483"/>
      <c r="I51" s="335"/>
      <c r="J51" s="335"/>
      <c r="K51" s="296">
        <f t="shared" si="2"/>
        <v>0</v>
      </c>
      <c r="L51" s="377"/>
    </row>
    <row r="52" spans="1:12" s="93" customFormat="1">
      <c r="A52" s="325" t="s">
        <v>431</v>
      </c>
      <c r="B52" s="328"/>
      <c r="C52" s="328"/>
      <c r="D52" s="542"/>
      <c r="E52" s="330"/>
      <c r="F52" s="331"/>
      <c r="G52" s="332"/>
      <c r="H52" s="483"/>
      <c r="I52" s="335"/>
      <c r="J52" s="335"/>
      <c r="K52" s="296">
        <f t="shared" si="2"/>
        <v>0</v>
      </c>
      <c r="L52" s="377"/>
    </row>
    <row r="53" spans="1:12" s="93" customFormat="1">
      <c r="A53" s="325" t="s">
        <v>431</v>
      </c>
      <c r="B53" s="328"/>
      <c r="C53" s="328"/>
      <c r="D53" s="542"/>
      <c r="E53" s="330"/>
      <c r="F53" s="331"/>
      <c r="G53" s="332"/>
      <c r="H53" s="483"/>
      <c r="I53" s="335"/>
      <c r="J53" s="335"/>
      <c r="K53" s="296">
        <f t="shared" si="2"/>
        <v>0</v>
      </c>
      <c r="L53" s="377"/>
    </row>
    <row r="54" spans="1:12" s="93" customFormat="1">
      <c r="A54" s="325" t="s">
        <v>431</v>
      </c>
      <c r="B54" s="328"/>
      <c r="C54" s="328"/>
      <c r="D54" s="542"/>
      <c r="E54" s="330"/>
      <c r="F54" s="331"/>
      <c r="G54" s="332"/>
      <c r="H54" s="483"/>
      <c r="I54" s="335"/>
      <c r="J54" s="335"/>
      <c r="K54" s="296">
        <f t="shared" si="2"/>
        <v>0</v>
      </c>
      <c r="L54" s="377"/>
    </row>
    <row r="55" spans="1:12" s="93" customFormat="1">
      <c r="A55" s="325" t="s">
        <v>431</v>
      </c>
      <c r="B55" s="328"/>
      <c r="C55" s="328"/>
      <c r="D55" s="542"/>
      <c r="E55" s="330"/>
      <c r="F55" s="331"/>
      <c r="G55" s="332"/>
      <c r="H55" s="483"/>
      <c r="I55" s="335"/>
      <c r="J55" s="335"/>
      <c r="K55" s="296">
        <f t="shared" si="2"/>
        <v>0</v>
      </c>
      <c r="L55" s="377"/>
    </row>
    <row r="56" spans="1:12" s="93" customFormat="1">
      <c r="A56" s="325" t="s">
        <v>431</v>
      </c>
      <c r="B56" s="328"/>
      <c r="C56" s="328"/>
      <c r="D56" s="542"/>
      <c r="E56" s="330"/>
      <c r="F56" s="331"/>
      <c r="G56" s="332"/>
      <c r="H56" s="483"/>
      <c r="I56" s="335"/>
      <c r="J56" s="335"/>
      <c r="K56" s="296">
        <f t="shared" si="2"/>
        <v>0</v>
      </c>
      <c r="L56" s="377"/>
    </row>
    <row r="57" spans="1:12" s="93" customFormat="1">
      <c r="A57" s="325" t="s">
        <v>431</v>
      </c>
      <c r="B57" s="328"/>
      <c r="C57" s="328"/>
      <c r="D57" s="542"/>
      <c r="E57" s="330"/>
      <c r="F57" s="331"/>
      <c r="G57" s="332"/>
      <c r="H57" s="483"/>
      <c r="I57" s="335"/>
      <c r="J57" s="335"/>
      <c r="K57" s="296">
        <f t="shared" si="2"/>
        <v>0</v>
      </c>
      <c r="L57" s="377"/>
    </row>
    <row r="58" spans="1:12" s="93" customFormat="1">
      <c r="A58" s="325" t="s">
        <v>431</v>
      </c>
      <c r="B58" s="328"/>
      <c r="C58" s="328"/>
      <c r="D58" s="542"/>
      <c r="E58" s="330"/>
      <c r="F58" s="331"/>
      <c r="G58" s="332"/>
      <c r="H58" s="483"/>
      <c r="I58" s="335"/>
      <c r="J58" s="335"/>
      <c r="K58" s="296">
        <f t="shared" si="2"/>
        <v>0</v>
      </c>
      <c r="L58" s="377"/>
    </row>
    <row r="59" spans="1:12" s="93" customFormat="1">
      <c r="A59" s="325" t="s">
        <v>431</v>
      </c>
      <c r="B59" s="328"/>
      <c r="C59" s="328"/>
      <c r="D59" s="542"/>
      <c r="E59" s="330"/>
      <c r="F59" s="331"/>
      <c r="G59" s="332"/>
      <c r="H59" s="483"/>
      <c r="I59" s="335"/>
      <c r="J59" s="335"/>
      <c r="K59" s="296">
        <f t="shared" si="2"/>
        <v>0</v>
      </c>
      <c r="L59" s="377"/>
    </row>
    <row r="60" spans="1:12" s="93" customFormat="1">
      <c r="A60" s="325" t="s">
        <v>431</v>
      </c>
      <c r="B60" s="328"/>
      <c r="C60" s="328"/>
      <c r="D60" s="542"/>
      <c r="E60" s="330"/>
      <c r="F60" s="331"/>
      <c r="G60" s="332"/>
      <c r="H60" s="483"/>
      <c r="I60" s="335"/>
      <c r="J60" s="335"/>
      <c r="K60" s="296">
        <f t="shared" si="2"/>
        <v>0</v>
      </c>
      <c r="L60" s="377"/>
    </row>
    <row r="61" spans="1:12" s="93" customFormat="1">
      <c r="A61" s="325" t="s">
        <v>431</v>
      </c>
      <c r="B61" s="328"/>
      <c r="C61" s="328"/>
      <c r="D61" s="542"/>
      <c r="E61" s="330"/>
      <c r="F61" s="331"/>
      <c r="G61" s="332"/>
      <c r="H61" s="483"/>
      <c r="I61" s="335"/>
      <c r="J61" s="335"/>
      <c r="K61" s="296">
        <f t="shared" si="2"/>
        <v>0</v>
      </c>
      <c r="L61" s="377"/>
    </row>
    <row r="62" spans="1:12" s="93" customFormat="1">
      <c r="A62" s="325" t="s">
        <v>431</v>
      </c>
      <c r="B62" s="328"/>
      <c r="C62" s="328"/>
      <c r="D62" s="542"/>
      <c r="E62" s="330"/>
      <c r="F62" s="331"/>
      <c r="G62" s="332"/>
      <c r="H62" s="483"/>
      <c r="I62" s="335"/>
      <c r="J62" s="335"/>
      <c r="K62" s="296">
        <f t="shared" si="2"/>
        <v>0</v>
      </c>
      <c r="L62" s="377"/>
    </row>
    <row r="63" spans="1:12" s="93" customFormat="1">
      <c r="A63" s="325" t="s">
        <v>430</v>
      </c>
      <c r="B63" s="328"/>
      <c r="C63" s="328"/>
      <c r="D63" s="542"/>
      <c r="E63" s="330"/>
      <c r="F63" s="331"/>
      <c r="G63" s="332"/>
      <c r="H63" s="483"/>
      <c r="I63" s="335"/>
      <c r="J63" s="335"/>
      <c r="K63" s="296">
        <f t="shared" si="2"/>
        <v>0</v>
      </c>
      <c r="L63" s="377"/>
    </row>
    <row r="64" spans="1:12" s="93" customFormat="1">
      <c r="A64" s="325" t="s">
        <v>430</v>
      </c>
      <c r="B64" s="328"/>
      <c r="C64" s="328"/>
      <c r="D64" s="542"/>
      <c r="E64" s="330"/>
      <c r="F64" s="331"/>
      <c r="G64" s="332"/>
      <c r="H64" s="483"/>
      <c r="I64" s="335"/>
      <c r="J64" s="335"/>
      <c r="K64" s="296">
        <f t="shared" si="2"/>
        <v>0</v>
      </c>
      <c r="L64" s="377"/>
    </row>
    <row r="65" spans="1:12" s="93" customFormat="1">
      <c r="A65" s="325" t="s">
        <v>431</v>
      </c>
      <c r="B65" s="328"/>
      <c r="C65" s="328"/>
      <c r="D65" s="542"/>
      <c r="E65" s="330"/>
      <c r="F65" s="331"/>
      <c r="G65" s="332"/>
      <c r="H65" s="483"/>
      <c r="I65" s="335"/>
      <c r="J65" s="335"/>
      <c r="K65" s="296">
        <f t="shared" si="2"/>
        <v>0</v>
      </c>
      <c r="L65" s="377"/>
    </row>
    <row r="66" spans="1:12" s="93" customFormat="1">
      <c r="A66" s="325" t="s">
        <v>431</v>
      </c>
      <c r="B66" s="328"/>
      <c r="C66" s="328"/>
      <c r="D66" s="542"/>
      <c r="E66" s="330"/>
      <c r="F66" s="331"/>
      <c r="G66" s="332"/>
      <c r="H66" s="483"/>
      <c r="I66" s="335"/>
      <c r="J66" s="335"/>
      <c r="K66" s="296">
        <f t="shared" si="2"/>
        <v>0</v>
      </c>
      <c r="L66" s="377"/>
    </row>
    <row r="67" spans="1:12" s="93" customFormat="1">
      <c r="A67" s="325" t="s">
        <v>431</v>
      </c>
      <c r="B67" s="328"/>
      <c r="C67" s="328"/>
      <c r="D67" s="542"/>
      <c r="E67" s="330"/>
      <c r="F67" s="331"/>
      <c r="G67" s="332"/>
      <c r="H67" s="483"/>
      <c r="I67" s="335"/>
      <c r="J67" s="335"/>
      <c r="K67" s="296">
        <f t="shared" si="2"/>
        <v>0</v>
      </c>
      <c r="L67" s="377"/>
    </row>
    <row r="68" spans="1:12" s="93" customFormat="1">
      <c r="A68" s="325" t="s">
        <v>499</v>
      </c>
      <c r="B68" s="328"/>
      <c r="C68" s="328"/>
      <c r="D68" s="542"/>
      <c r="E68" s="330"/>
      <c r="F68" s="331"/>
      <c r="G68" s="332"/>
      <c r="H68" s="483"/>
      <c r="I68" s="335"/>
      <c r="J68" s="335"/>
      <c r="K68" s="296">
        <f t="shared" si="2"/>
        <v>0</v>
      </c>
      <c r="L68" s="377"/>
    </row>
    <row r="69" spans="1:12" s="93" customFormat="1">
      <c r="A69" s="325" t="s">
        <v>499</v>
      </c>
      <c r="B69" s="328"/>
      <c r="C69" s="328"/>
      <c r="D69" s="542"/>
      <c r="E69" s="330"/>
      <c r="F69" s="331"/>
      <c r="G69" s="332"/>
      <c r="H69" s="483"/>
      <c r="I69" s="335"/>
      <c r="J69" s="335"/>
      <c r="K69" s="296">
        <f t="shared" si="2"/>
        <v>0</v>
      </c>
      <c r="L69" s="377"/>
    </row>
    <row r="70" spans="1:12" s="93" customFormat="1">
      <c r="A70" s="325" t="s">
        <v>499</v>
      </c>
      <c r="B70" s="328"/>
      <c r="C70" s="328"/>
      <c r="D70" s="542"/>
      <c r="E70" s="330"/>
      <c r="F70" s="331"/>
      <c r="G70" s="332"/>
      <c r="H70" s="483"/>
      <c r="I70" s="335"/>
      <c r="J70" s="335"/>
      <c r="K70" s="296">
        <f t="shared" si="2"/>
        <v>0</v>
      </c>
      <c r="L70" s="377"/>
    </row>
    <row r="71" spans="1:12" s="93" customFormat="1">
      <c r="A71" s="325" t="s">
        <v>499</v>
      </c>
      <c r="B71" s="328"/>
      <c r="C71" s="328"/>
      <c r="D71" s="542"/>
      <c r="E71" s="330"/>
      <c r="F71" s="331"/>
      <c r="G71" s="332"/>
      <c r="H71" s="483"/>
      <c r="I71" s="335"/>
      <c r="J71" s="335"/>
      <c r="K71" s="296">
        <f t="shared" si="2"/>
        <v>0</v>
      </c>
      <c r="L71" s="377"/>
    </row>
    <row r="72" spans="1:12" s="93" customFormat="1">
      <c r="A72" s="325" t="s">
        <v>499</v>
      </c>
      <c r="B72" s="328"/>
      <c r="C72" s="328"/>
      <c r="D72" s="542"/>
      <c r="E72" s="330"/>
      <c r="F72" s="331"/>
      <c r="G72" s="332"/>
      <c r="H72" s="483"/>
      <c r="I72" s="335"/>
      <c r="J72" s="335"/>
      <c r="K72" s="296">
        <f t="shared" si="2"/>
        <v>0</v>
      </c>
      <c r="L72" s="377"/>
    </row>
    <row r="73" spans="1:12" s="93" customFormat="1">
      <c r="A73" s="325" t="s">
        <v>499</v>
      </c>
      <c r="B73" s="328"/>
      <c r="C73" s="328"/>
      <c r="D73" s="542"/>
      <c r="E73" s="330"/>
      <c r="F73" s="331"/>
      <c r="G73" s="332"/>
      <c r="H73" s="483"/>
      <c r="I73" s="335"/>
      <c r="J73" s="335"/>
      <c r="K73" s="296">
        <f t="shared" si="2"/>
        <v>0</v>
      </c>
      <c r="L73" s="377"/>
    </row>
    <row r="74" spans="1:12" s="93" customFormat="1">
      <c r="A74" s="325" t="s">
        <v>499</v>
      </c>
      <c r="B74" s="328"/>
      <c r="C74" s="328"/>
      <c r="D74" s="542"/>
      <c r="E74" s="330"/>
      <c r="F74" s="331"/>
      <c r="G74" s="332"/>
      <c r="H74" s="483"/>
      <c r="I74" s="335"/>
      <c r="J74" s="335"/>
      <c r="K74" s="296">
        <f t="shared" si="2"/>
        <v>0</v>
      </c>
      <c r="L74" s="377"/>
    </row>
    <row r="75" spans="1:12" s="93" customFormat="1">
      <c r="A75" s="325" t="s">
        <v>499</v>
      </c>
      <c r="B75" s="328"/>
      <c r="C75" s="328"/>
      <c r="D75" s="542"/>
      <c r="E75" s="330"/>
      <c r="F75" s="331"/>
      <c r="G75" s="332"/>
      <c r="H75" s="483"/>
      <c r="I75" s="335"/>
      <c r="J75" s="335"/>
      <c r="K75" s="296">
        <f t="shared" si="2"/>
        <v>0</v>
      </c>
      <c r="L75" s="377"/>
    </row>
    <row r="76" spans="1:12" s="93" customFormat="1">
      <c r="A76" s="325" t="s">
        <v>499</v>
      </c>
      <c r="B76" s="333"/>
      <c r="C76" s="333"/>
      <c r="D76" s="819"/>
      <c r="E76" s="325"/>
      <c r="F76" s="333"/>
      <c r="G76" s="333"/>
      <c r="H76" s="334"/>
      <c r="I76" s="820"/>
      <c r="J76" s="820"/>
      <c r="K76" s="296">
        <f t="shared" si="2"/>
        <v>0</v>
      </c>
      <c r="L76" s="377"/>
    </row>
    <row r="77" spans="1:12" s="93" customFormat="1">
      <c r="A77" s="325" t="s">
        <v>499</v>
      </c>
      <c r="B77" s="328"/>
      <c r="C77" s="328"/>
      <c r="D77" s="542"/>
      <c r="E77" s="330"/>
      <c r="F77" s="331"/>
      <c r="G77" s="332"/>
      <c r="H77" s="483"/>
      <c r="I77" s="335"/>
      <c r="J77" s="335"/>
      <c r="K77" s="296">
        <f t="shared" si="2"/>
        <v>0</v>
      </c>
      <c r="L77" s="377"/>
    </row>
    <row r="78" spans="1:12" s="93" customFormat="1">
      <c r="A78" s="325" t="s">
        <v>499</v>
      </c>
      <c r="B78" s="328"/>
      <c r="C78" s="328"/>
      <c r="D78" s="542"/>
      <c r="E78" s="330"/>
      <c r="F78" s="331"/>
      <c r="G78" s="332"/>
      <c r="H78" s="483"/>
      <c r="I78" s="335"/>
      <c r="J78" s="335"/>
      <c r="K78" s="296">
        <f t="shared" si="2"/>
        <v>0</v>
      </c>
      <c r="L78" s="377"/>
    </row>
    <row r="79" spans="1:12" s="93" customFormat="1">
      <c r="A79" s="325" t="s">
        <v>499</v>
      </c>
      <c r="B79" s="328"/>
      <c r="C79" s="328"/>
      <c r="D79" s="542"/>
      <c r="E79" s="330"/>
      <c r="F79" s="331"/>
      <c r="G79" s="332"/>
      <c r="H79" s="483"/>
      <c r="I79" s="335"/>
      <c r="J79" s="335"/>
      <c r="K79" s="296">
        <f t="shared" si="2"/>
        <v>0</v>
      </c>
      <c r="L79" s="377"/>
    </row>
    <row r="80" spans="1:12" s="93" customFormat="1">
      <c r="A80" s="325" t="s">
        <v>511</v>
      </c>
      <c r="B80" s="328"/>
      <c r="C80" s="328"/>
      <c r="D80" s="542"/>
      <c r="E80" s="330"/>
      <c r="F80" s="331"/>
      <c r="G80" s="332"/>
      <c r="H80" s="483"/>
      <c r="I80" s="335"/>
      <c r="J80" s="335"/>
      <c r="K80" s="296">
        <f t="shared" si="2"/>
        <v>0</v>
      </c>
      <c r="L80" s="377"/>
    </row>
    <row r="81" spans="1:12" s="93" customFormat="1">
      <c r="A81" s="325" t="s">
        <v>511</v>
      </c>
      <c r="B81" s="328"/>
      <c r="C81" s="328"/>
      <c r="D81" s="542"/>
      <c r="E81" s="330"/>
      <c r="F81" s="331"/>
      <c r="G81" s="332"/>
      <c r="H81" s="483"/>
      <c r="I81" s="335"/>
      <c r="J81" s="335"/>
      <c r="K81" s="296">
        <f t="shared" si="2"/>
        <v>0</v>
      </c>
      <c r="L81" s="377"/>
    </row>
    <row r="82" spans="1:12" s="93" customFormat="1">
      <c r="A82" s="325" t="s">
        <v>511</v>
      </c>
      <c r="B82" s="328"/>
      <c r="C82" s="328"/>
      <c r="D82" s="542"/>
      <c r="E82" s="330"/>
      <c r="F82" s="331"/>
      <c r="G82" s="332"/>
      <c r="H82" s="483"/>
      <c r="I82" s="335"/>
      <c r="J82" s="335"/>
      <c r="K82" s="296">
        <f t="shared" si="2"/>
        <v>0</v>
      </c>
      <c r="L82" s="377"/>
    </row>
    <row r="83" spans="1:12" s="93" customFormat="1">
      <c r="A83" s="325" t="s">
        <v>511</v>
      </c>
      <c r="B83" s="328"/>
      <c r="C83" s="328"/>
      <c r="D83" s="542"/>
      <c r="E83" s="330"/>
      <c r="F83" s="331"/>
      <c r="G83" s="332"/>
      <c r="H83" s="483"/>
      <c r="I83" s="335"/>
      <c r="J83" s="335"/>
      <c r="K83" s="296">
        <f t="shared" si="2"/>
        <v>0</v>
      </c>
      <c r="L83" s="377"/>
    </row>
    <row r="84" spans="1:12" s="93" customFormat="1">
      <c r="A84" s="325" t="s">
        <v>511</v>
      </c>
      <c r="B84" s="328"/>
      <c r="C84" s="328"/>
      <c r="D84" s="542"/>
      <c r="E84" s="330"/>
      <c r="F84" s="331"/>
      <c r="G84" s="332"/>
      <c r="H84" s="483"/>
      <c r="I84" s="335"/>
      <c r="J84" s="335"/>
      <c r="K84" s="296">
        <f t="shared" si="2"/>
        <v>0</v>
      </c>
      <c r="L84" s="377"/>
    </row>
    <row r="85" spans="1:12" s="93" customFormat="1">
      <c r="A85" s="325" t="s">
        <v>511</v>
      </c>
      <c r="B85" s="328"/>
      <c r="C85" s="328"/>
      <c r="D85" s="542"/>
      <c r="E85" s="330"/>
      <c r="F85" s="331"/>
      <c r="G85" s="332"/>
      <c r="H85" s="483"/>
      <c r="I85" s="335"/>
      <c r="J85" s="335"/>
      <c r="K85" s="296">
        <f t="shared" ref="K85:K131" si="3">IF(LEFT(A85,2)="TU",(J85-I85)*E85/100*100000*2,(J85-I85)*E85/100*100000)</f>
        <v>0</v>
      </c>
      <c r="L85" s="377"/>
    </row>
    <row r="86" spans="1:12" s="93" customFormat="1">
      <c r="A86" s="325" t="s">
        <v>511</v>
      </c>
      <c r="B86" s="328"/>
      <c r="C86" s="328"/>
      <c r="D86" s="542"/>
      <c r="E86" s="330"/>
      <c r="F86" s="331"/>
      <c r="G86" s="332"/>
      <c r="H86" s="483"/>
      <c r="I86" s="335"/>
      <c r="J86" s="335"/>
      <c r="K86" s="296">
        <f t="shared" si="3"/>
        <v>0</v>
      </c>
      <c r="L86" s="377"/>
    </row>
    <row r="87" spans="1:12" s="93" customFormat="1">
      <c r="A87" s="325" t="s">
        <v>511</v>
      </c>
      <c r="B87" s="328"/>
      <c r="C87" s="328"/>
      <c r="D87" s="542"/>
      <c r="E87" s="330"/>
      <c r="F87" s="331"/>
      <c r="G87" s="332"/>
      <c r="H87" s="483"/>
      <c r="I87" s="335"/>
      <c r="J87" s="335"/>
      <c r="K87" s="296">
        <f t="shared" si="3"/>
        <v>0</v>
      </c>
      <c r="L87" s="377"/>
    </row>
    <row r="88" spans="1:12" s="93" customFormat="1">
      <c r="A88" s="325" t="s">
        <v>511</v>
      </c>
      <c r="B88" s="328"/>
      <c r="C88" s="328"/>
      <c r="D88" s="542"/>
      <c r="E88" s="330"/>
      <c r="F88" s="331"/>
      <c r="G88" s="332"/>
      <c r="H88" s="483"/>
      <c r="I88" s="335"/>
      <c r="J88" s="335"/>
      <c r="K88" s="296">
        <f t="shared" si="3"/>
        <v>0</v>
      </c>
      <c r="L88" s="377"/>
    </row>
    <row r="89" spans="1:12" s="93" customFormat="1">
      <c r="A89" s="325" t="s">
        <v>511</v>
      </c>
      <c r="B89" s="328"/>
      <c r="C89" s="328"/>
      <c r="D89" s="542"/>
      <c r="E89" s="330"/>
      <c r="F89" s="331"/>
      <c r="G89" s="332"/>
      <c r="H89" s="483"/>
      <c r="I89" s="335"/>
      <c r="J89" s="335"/>
      <c r="K89" s="296">
        <f t="shared" si="3"/>
        <v>0</v>
      </c>
      <c r="L89" s="377"/>
    </row>
    <row r="90" spans="1:12" s="93" customFormat="1">
      <c r="A90" s="325" t="s">
        <v>511</v>
      </c>
      <c r="B90" s="328"/>
      <c r="C90" s="328"/>
      <c r="D90" s="542"/>
      <c r="E90" s="330"/>
      <c r="F90" s="331"/>
      <c r="G90" s="332"/>
      <c r="H90" s="483"/>
      <c r="I90" s="335"/>
      <c r="J90" s="335"/>
      <c r="K90" s="296">
        <f t="shared" si="3"/>
        <v>0</v>
      </c>
      <c r="L90" s="377"/>
    </row>
    <row r="91" spans="1:12" s="93" customFormat="1">
      <c r="A91" s="325" t="s">
        <v>510</v>
      </c>
      <c r="B91" s="328"/>
      <c r="C91" s="328"/>
      <c r="D91" s="542"/>
      <c r="E91" s="330"/>
      <c r="F91" s="331"/>
      <c r="G91" s="332"/>
      <c r="H91" s="483"/>
      <c r="I91" s="335"/>
      <c r="J91" s="335"/>
      <c r="K91" s="296">
        <f t="shared" si="3"/>
        <v>0</v>
      </c>
      <c r="L91" s="377"/>
    </row>
    <row r="92" spans="1:12" s="93" customFormat="1">
      <c r="A92" s="325" t="s">
        <v>510</v>
      </c>
      <c r="B92" s="328"/>
      <c r="C92" s="328"/>
      <c r="D92" s="542"/>
      <c r="E92" s="330"/>
      <c r="F92" s="331"/>
      <c r="G92" s="332"/>
      <c r="H92" s="483"/>
      <c r="I92" s="335"/>
      <c r="J92" s="335"/>
      <c r="K92" s="296">
        <f t="shared" si="3"/>
        <v>0</v>
      </c>
      <c r="L92" s="377"/>
    </row>
    <row r="93" spans="1:12" s="93" customFormat="1">
      <c r="A93" s="325" t="s">
        <v>511</v>
      </c>
      <c r="B93" s="328"/>
      <c r="C93" s="328"/>
      <c r="D93" s="542"/>
      <c r="E93" s="330"/>
      <c r="F93" s="331"/>
      <c r="G93" s="332"/>
      <c r="H93" s="483"/>
      <c r="I93" s="335"/>
      <c r="J93" s="335"/>
      <c r="K93" s="296">
        <f t="shared" si="3"/>
        <v>0</v>
      </c>
      <c r="L93" s="377"/>
    </row>
    <row r="94" spans="1:12" s="93" customFormat="1">
      <c r="A94" s="325" t="s">
        <v>511</v>
      </c>
      <c r="B94" s="328"/>
      <c r="C94" s="328"/>
      <c r="D94" s="542"/>
      <c r="E94" s="330"/>
      <c r="F94" s="331"/>
      <c r="G94" s="332"/>
      <c r="H94" s="483"/>
      <c r="I94" s="335"/>
      <c r="J94" s="335"/>
      <c r="K94" s="296">
        <f t="shared" si="3"/>
        <v>0</v>
      </c>
      <c r="L94" s="377"/>
    </row>
    <row r="95" spans="1:12" s="270" customFormat="1">
      <c r="A95" s="325" t="s">
        <v>511</v>
      </c>
      <c r="B95" s="328"/>
      <c r="C95" s="328"/>
      <c r="D95" s="542"/>
      <c r="E95" s="330"/>
      <c r="F95" s="331"/>
      <c r="G95" s="332"/>
      <c r="H95" s="483"/>
      <c r="I95" s="335"/>
      <c r="J95" s="335"/>
      <c r="K95" s="296">
        <f t="shared" si="3"/>
        <v>0</v>
      </c>
      <c r="L95" s="381" t="s">
        <v>348</v>
      </c>
    </row>
    <row r="96" spans="1:12" s="270" customFormat="1">
      <c r="A96" s="325" t="s">
        <v>511</v>
      </c>
      <c r="B96" s="328"/>
      <c r="C96" s="328"/>
      <c r="D96" s="542"/>
      <c r="E96" s="330"/>
      <c r="F96" s="331"/>
      <c r="G96" s="332"/>
      <c r="H96" s="483"/>
      <c r="I96" s="335"/>
      <c r="J96" s="335"/>
      <c r="K96" s="296">
        <f t="shared" si="3"/>
        <v>0</v>
      </c>
      <c r="L96" s="381"/>
    </row>
    <row r="97" spans="1:17" s="270" customFormat="1">
      <c r="A97" s="325" t="s">
        <v>511</v>
      </c>
      <c r="B97" s="328"/>
      <c r="C97" s="328"/>
      <c r="D97" s="542"/>
      <c r="E97" s="330"/>
      <c r="F97" s="331"/>
      <c r="G97" s="332"/>
      <c r="H97" s="483"/>
      <c r="I97" s="335"/>
      <c r="J97" s="335"/>
      <c r="K97" s="296">
        <f t="shared" si="3"/>
        <v>0</v>
      </c>
      <c r="L97" s="381"/>
    </row>
    <row r="98" spans="1:17" s="270" customFormat="1">
      <c r="A98" s="325" t="s">
        <v>511</v>
      </c>
      <c r="B98" s="328"/>
      <c r="C98" s="328"/>
      <c r="D98" s="542"/>
      <c r="E98" s="330"/>
      <c r="F98" s="331"/>
      <c r="G98" s="332"/>
      <c r="H98" s="483"/>
      <c r="I98" s="335"/>
      <c r="J98" s="335"/>
      <c r="K98" s="296">
        <f t="shared" si="3"/>
        <v>0</v>
      </c>
      <c r="L98" s="381"/>
    </row>
    <row r="99" spans="1:17" s="93" customFormat="1">
      <c r="A99" s="325" t="s">
        <v>511</v>
      </c>
      <c r="B99" s="328"/>
      <c r="C99" s="328"/>
      <c r="D99" s="542"/>
      <c r="E99" s="330"/>
      <c r="F99" s="331"/>
      <c r="G99" s="332"/>
      <c r="H99" s="483"/>
      <c r="I99" s="335"/>
      <c r="J99" s="335"/>
      <c r="K99" s="296">
        <f t="shared" si="3"/>
        <v>0</v>
      </c>
      <c r="L99" s="377"/>
      <c r="M99"/>
      <c r="N99"/>
      <c r="O99"/>
      <c r="P99"/>
      <c r="Q99"/>
    </row>
    <row r="100" spans="1:17">
      <c r="A100" s="325" t="s">
        <v>511</v>
      </c>
      <c r="B100" s="328"/>
      <c r="C100" s="328"/>
      <c r="D100" s="542"/>
      <c r="E100" s="330"/>
      <c r="F100" s="331"/>
      <c r="G100" s="332"/>
      <c r="H100" s="483"/>
      <c r="I100" s="335"/>
      <c r="J100" s="335"/>
      <c r="K100" s="296">
        <f t="shared" si="3"/>
        <v>0</v>
      </c>
    </row>
    <row r="101" spans="1:17">
      <c r="A101" s="325" t="s">
        <v>511</v>
      </c>
      <c r="B101" s="328"/>
      <c r="C101" s="328"/>
      <c r="D101" s="542"/>
      <c r="E101" s="330"/>
      <c r="F101" s="331"/>
      <c r="G101" s="332"/>
      <c r="H101" s="483"/>
      <c r="I101" s="335"/>
      <c r="J101" s="335"/>
      <c r="K101" s="296">
        <f t="shared" si="3"/>
        <v>0</v>
      </c>
    </row>
    <row r="102" spans="1:17">
      <c r="A102" s="325" t="s">
        <v>511</v>
      </c>
      <c r="B102" s="328"/>
      <c r="C102" s="328"/>
      <c r="D102" s="542"/>
      <c r="E102" s="330"/>
      <c r="F102" s="331"/>
      <c r="G102" s="332"/>
      <c r="H102" s="483"/>
      <c r="I102" s="335"/>
      <c r="J102" s="335"/>
      <c r="K102" s="296">
        <f t="shared" si="3"/>
        <v>0</v>
      </c>
    </row>
    <row r="103" spans="1:17">
      <c r="A103" s="325" t="s">
        <v>511</v>
      </c>
      <c r="B103" s="328"/>
      <c r="C103" s="328"/>
      <c r="D103" s="542"/>
      <c r="E103" s="330"/>
      <c r="F103" s="331"/>
      <c r="G103" s="332"/>
      <c r="H103" s="483"/>
      <c r="I103" s="335"/>
      <c r="J103" s="335"/>
      <c r="K103" s="296">
        <f t="shared" si="3"/>
        <v>0</v>
      </c>
    </row>
    <row r="104" spans="1:17">
      <c r="A104" s="325" t="s">
        <v>511</v>
      </c>
      <c r="B104" s="328"/>
      <c r="C104" s="328"/>
      <c r="D104" s="542"/>
      <c r="E104" s="330"/>
      <c r="F104" s="331"/>
      <c r="G104" s="332"/>
      <c r="H104" s="483"/>
      <c r="I104" s="335"/>
      <c r="J104" s="335"/>
      <c r="K104" s="296">
        <f t="shared" si="3"/>
        <v>0</v>
      </c>
    </row>
    <row r="105" spans="1:17">
      <c r="A105" s="325" t="s">
        <v>511</v>
      </c>
      <c r="B105" s="328"/>
      <c r="C105" s="328"/>
      <c r="D105" s="542"/>
      <c r="E105" s="330"/>
      <c r="F105" s="331"/>
      <c r="G105" s="332"/>
      <c r="H105" s="483"/>
      <c r="I105" s="335"/>
      <c r="J105" s="335"/>
      <c r="K105" s="296">
        <f t="shared" si="3"/>
        <v>0</v>
      </c>
      <c r="L105"/>
    </row>
    <row r="106" spans="1:17">
      <c r="A106" s="325" t="s">
        <v>511</v>
      </c>
      <c r="B106" s="328"/>
      <c r="C106" s="328"/>
      <c r="D106" s="542"/>
      <c r="E106" s="330"/>
      <c r="F106" s="331"/>
      <c r="G106" s="332"/>
      <c r="H106" s="483"/>
      <c r="I106" s="335"/>
      <c r="J106" s="335"/>
      <c r="K106" s="296">
        <f t="shared" si="3"/>
        <v>0</v>
      </c>
      <c r="L106"/>
    </row>
    <row r="107" spans="1:17">
      <c r="A107" s="325" t="s">
        <v>511</v>
      </c>
      <c r="B107" s="328"/>
      <c r="C107" s="328"/>
      <c r="D107" s="542"/>
      <c r="E107" s="330"/>
      <c r="F107" s="331"/>
      <c r="G107" s="332"/>
      <c r="H107" s="483"/>
      <c r="I107" s="335"/>
      <c r="J107" s="335"/>
      <c r="K107" s="296">
        <f t="shared" si="3"/>
        <v>0</v>
      </c>
      <c r="L107"/>
    </row>
    <row r="108" spans="1:17">
      <c r="A108" s="325" t="s">
        <v>511</v>
      </c>
      <c r="B108" s="328"/>
      <c r="C108" s="328"/>
      <c r="D108" s="542"/>
      <c r="E108" s="330"/>
      <c r="F108" s="331"/>
      <c r="G108" s="332"/>
      <c r="H108" s="483"/>
      <c r="I108" s="335"/>
      <c r="J108" s="335"/>
      <c r="K108" s="296">
        <f t="shared" si="3"/>
        <v>0</v>
      </c>
      <c r="L108"/>
    </row>
    <row r="109" spans="1:17">
      <c r="A109" s="325" t="s">
        <v>511</v>
      </c>
      <c r="B109" s="328"/>
      <c r="C109" s="328"/>
      <c r="D109" s="542"/>
      <c r="E109" s="330"/>
      <c r="F109" s="331"/>
      <c r="G109" s="332"/>
      <c r="H109" s="483"/>
      <c r="I109" s="335"/>
      <c r="J109" s="335"/>
      <c r="K109" s="296">
        <f t="shared" si="3"/>
        <v>0</v>
      </c>
      <c r="L109"/>
    </row>
    <row r="110" spans="1:17">
      <c r="A110" s="325" t="s">
        <v>526</v>
      </c>
      <c r="B110" s="328"/>
      <c r="C110" s="328"/>
      <c r="D110" s="542"/>
      <c r="E110" s="330"/>
      <c r="F110" s="331"/>
      <c r="G110" s="332"/>
      <c r="H110" s="483"/>
      <c r="I110" s="335"/>
      <c r="J110" s="335"/>
      <c r="K110" s="296">
        <f t="shared" si="3"/>
        <v>0</v>
      </c>
      <c r="L110"/>
    </row>
    <row r="111" spans="1:17">
      <c r="A111" s="325" t="s">
        <v>526</v>
      </c>
      <c r="B111" s="328"/>
      <c r="C111" s="328"/>
      <c r="D111" s="542"/>
      <c r="E111" s="330"/>
      <c r="F111" s="331"/>
      <c r="G111" s="332"/>
      <c r="H111" s="483"/>
      <c r="I111" s="335"/>
      <c r="J111" s="335"/>
      <c r="K111" s="296">
        <f t="shared" si="3"/>
        <v>0</v>
      </c>
      <c r="L111"/>
    </row>
    <row r="112" spans="1:17">
      <c r="A112" s="325" t="s">
        <v>526</v>
      </c>
      <c r="B112" s="328"/>
      <c r="C112" s="328"/>
      <c r="D112" s="542"/>
      <c r="E112" s="330"/>
      <c r="F112" s="331"/>
      <c r="G112" s="332"/>
      <c r="H112" s="483"/>
      <c r="I112" s="335"/>
      <c r="J112" s="335"/>
      <c r="K112" s="296">
        <f t="shared" si="3"/>
        <v>0</v>
      </c>
      <c r="L112"/>
    </row>
    <row r="113" spans="1:12">
      <c r="A113" s="325" t="s">
        <v>526</v>
      </c>
      <c r="B113" s="328"/>
      <c r="C113" s="328"/>
      <c r="D113" s="542"/>
      <c r="E113" s="330"/>
      <c r="F113" s="331"/>
      <c r="G113" s="332"/>
      <c r="H113" s="483"/>
      <c r="I113" s="335"/>
      <c r="J113" s="335"/>
      <c r="K113" s="296">
        <f t="shared" si="3"/>
        <v>0</v>
      </c>
      <c r="L113"/>
    </row>
    <row r="114" spans="1:12">
      <c r="A114" s="325" t="s">
        <v>526</v>
      </c>
      <c r="B114" s="328"/>
      <c r="C114" s="328"/>
      <c r="D114" s="542"/>
      <c r="E114" s="330"/>
      <c r="F114" s="331"/>
      <c r="G114" s="332"/>
      <c r="H114" s="483"/>
      <c r="I114" s="335"/>
      <c r="J114" s="335"/>
      <c r="K114" s="296">
        <f t="shared" si="3"/>
        <v>0</v>
      </c>
      <c r="L114"/>
    </row>
    <row r="115" spans="1:12">
      <c r="A115" s="325" t="s">
        <v>526</v>
      </c>
      <c r="B115" s="328"/>
      <c r="C115" s="328"/>
      <c r="D115" s="542"/>
      <c r="E115" s="330"/>
      <c r="F115" s="331"/>
      <c r="G115" s="332"/>
      <c r="H115" s="483"/>
      <c r="I115" s="335"/>
      <c r="J115" s="335"/>
      <c r="K115" s="296">
        <f t="shared" si="3"/>
        <v>0</v>
      </c>
      <c r="L115"/>
    </row>
    <row r="116" spans="1:12">
      <c r="A116" s="325"/>
      <c r="B116" s="328"/>
      <c r="C116" s="328"/>
      <c r="D116" s="542"/>
      <c r="E116" s="330"/>
      <c r="F116" s="331"/>
      <c r="G116" s="332"/>
      <c r="H116" s="483"/>
      <c r="I116" s="335"/>
      <c r="J116" s="335"/>
      <c r="K116" s="296">
        <f t="shared" si="3"/>
        <v>0</v>
      </c>
      <c r="L116"/>
    </row>
    <row r="117" spans="1:12">
      <c r="A117" s="325"/>
      <c r="B117" s="328"/>
      <c r="C117" s="328"/>
      <c r="D117" s="542"/>
      <c r="E117" s="330"/>
      <c r="F117" s="331"/>
      <c r="G117" s="332"/>
      <c r="H117" s="483"/>
      <c r="I117" s="335"/>
      <c r="J117" s="335"/>
      <c r="K117" s="296">
        <f t="shared" si="3"/>
        <v>0</v>
      </c>
      <c r="L117"/>
    </row>
    <row r="118" spans="1:12">
      <c r="A118" s="325"/>
      <c r="B118" s="328"/>
      <c r="C118" s="328"/>
      <c r="D118" s="542"/>
      <c r="E118" s="330"/>
      <c r="F118" s="331"/>
      <c r="G118" s="332"/>
      <c r="H118" s="483"/>
      <c r="I118" s="335"/>
      <c r="J118" s="335"/>
      <c r="K118" s="296">
        <f t="shared" si="3"/>
        <v>0</v>
      </c>
      <c r="L118"/>
    </row>
    <row r="119" spans="1:12">
      <c r="A119" s="325"/>
      <c r="B119" s="328"/>
      <c r="C119" s="328"/>
      <c r="D119" s="542"/>
      <c r="E119" s="330"/>
      <c r="F119" s="331"/>
      <c r="G119" s="332"/>
      <c r="H119" s="483"/>
      <c r="I119" s="335"/>
      <c r="J119" s="335"/>
      <c r="K119" s="296">
        <f t="shared" si="3"/>
        <v>0</v>
      </c>
      <c r="L119"/>
    </row>
    <row r="120" spans="1:12">
      <c r="A120" s="325"/>
      <c r="B120" s="328"/>
      <c r="C120" s="328"/>
      <c r="D120" s="542"/>
      <c r="E120" s="330"/>
      <c r="F120" s="331"/>
      <c r="G120" s="332"/>
      <c r="H120" s="483"/>
      <c r="I120" s="335"/>
      <c r="J120" s="335"/>
      <c r="K120" s="296">
        <f t="shared" si="3"/>
        <v>0</v>
      </c>
      <c r="L120"/>
    </row>
    <row r="121" spans="1:12">
      <c r="A121" s="325"/>
      <c r="B121" s="328"/>
      <c r="C121" s="328"/>
      <c r="D121" s="542"/>
      <c r="E121" s="330"/>
      <c r="F121" s="331"/>
      <c r="G121" s="332"/>
      <c r="H121" s="483"/>
      <c r="I121" s="335"/>
      <c r="J121" s="335"/>
      <c r="K121" s="296">
        <f t="shared" si="3"/>
        <v>0</v>
      </c>
      <c r="L121"/>
    </row>
    <row r="122" spans="1:12">
      <c r="A122" s="325"/>
      <c r="B122" s="328"/>
      <c r="C122" s="328"/>
      <c r="D122" s="542"/>
      <c r="E122" s="330"/>
      <c r="F122" s="331"/>
      <c r="G122" s="332"/>
      <c r="H122" s="483"/>
      <c r="I122" s="335"/>
      <c r="J122" s="335"/>
      <c r="K122" s="296">
        <f t="shared" si="3"/>
        <v>0</v>
      </c>
      <c r="L122"/>
    </row>
    <row r="123" spans="1:12">
      <c r="A123" s="325"/>
      <c r="B123" s="328"/>
      <c r="C123" s="328"/>
      <c r="D123" s="542"/>
      <c r="E123" s="330"/>
      <c r="F123" s="331"/>
      <c r="G123" s="332"/>
      <c r="H123" s="483"/>
      <c r="I123" s="335"/>
      <c r="J123" s="335"/>
      <c r="K123" s="296">
        <f t="shared" si="3"/>
        <v>0</v>
      </c>
      <c r="L123"/>
    </row>
    <row r="124" spans="1:12">
      <c r="A124" s="325"/>
      <c r="B124" s="328"/>
      <c r="C124" s="328"/>
      <c r="D124" s="542"/>
      <c r="E124" s="330"/>
      <c r="F124" s="331"/>
      <c r="G124" s="332"/>
      <c r="H124" s="483"/>
      <c r="I124" s="335"/>
      <c r="J124" s="335"/>
      <c r="K124" s="296">
        <f t="shared" si="3"/>
        <v>0</v>
      </c>
      <c r="L124"/>
    </row>
    <row r="125" spans="1:12">
      <c r="A125" s="325"/>
      <c r="B125" s="328"/>
      <c r="C125" s="328"/>
      <c r="D125" s="542"/>
      <c r="E125" s="330"/>
      <c r="F125" s="331"/>
      <c r="G125" s="332"/>
      <c r="H125" s="483"/>
      <c r="I125" s="335"/>
      <c r="J125" s="335"/>
      <c r="K125" s="296">
        <f t="shared" si="3"/>
        <v>0</v>
      </c>
      <c r="L125"/>
    </row>
    <row r="126" spans="1:12">
      <c r="A126" s="325"/>
      <c r="B126" s="328"/>
      <c r="C126" s="328"/>
      <c r="D126" s="542"/>
      <c r="E126" s="330"/>
      <c r="F126" s="331"/>
      <c r="G126" s="332"/>
      <c r="H126" s="483"/>
      <c r="I126" s="335"/>
      <c r="J126" s="335"/>
      <c r="K126" s="296">
        <f t="shared" si="3"/>
        <v>0</v>
      </c>
      <c r="L126"/>
    </row>
    <row r="127" spans="1:12">
      <c r="A127" s="325"/>
      <c r="B127" s="328"/>
      <c r="C127" s="328"/>
      <c r="D127" s="542"/>
      <c r="E127" s="330"/>
      <c r="F127" s="331"/>
      <c r="G127" s="332"/>
      <c r="H127" s="483"/>
      <c r="I127" s="335"/>
      <c r="J127" s="335"/>
      <c r="K127" s="296">
        <f t="shared" si="3"/>
        <v>0</v>
      </c>
      <c r="L127"/>
    </row>
    <row r="128" spans="1:12">
      <c r="A128" s="325"/>
      <c r="B128" s="328"/>
      <c r="C128" s="328"/>
      <c r="D128" s="542"/>
      <c r="E128" s="330"/>
      <c r="F128" s="331"/>
      <c r="G128" s="332"/>
      <c r="H128" s="483"/>
      <c r="I128" s="335"/>
      <c r="J128" s="335"/>
      <c r="K128" s="296">
        <f t="shared" si="3"/>
        <v>0</v>
      </c>
      <c r="L128"/>
    </row>
    <row r="129" spans="1:12">
      <c r="A129" s="325"/>
      <c r="B129" s="328"/>
      <c r="C129" s="328"/>
      <c r="D129" s="542"/>
      <c r="E129" s="330"/>
      <c r="F129" s="331"/>
      <c r="G129" s="332"/>
      <c r="H129" s="483"/>
      <c r="I129" s="335"/>
      <c r="J129" s="335"/>
      <c r="K129" s="296">
        <f t="shared" si="3"/>
        <v>0</v>
      </c>
      <c r="L129"/>
    </row>
    <row r="130" spans="1:12">
      <c r="A130" s="325"/>
      <c r="B130" s="328"/>
      <c r="C130" s="328"/>
      <c r="D130" s="542"/>
      <c r="E130" s="330"/>
      <c r="F130" s="331"/>
      <c r="G130" s="332"/>
      <c r="H130" s="483"/>
      <c r="I130" s="335"/>
      <c r="J130" s="335"/>
      <c r="K130" s="296">
        <f t="shared" si="3"/>
        <v>0</v>
      </c>
      <c r="L130"/>
    </row>
    <row r="131" spans="1:12">
      <c r="A131" s="325"/>
      <c r="B131" s="328"/>
      <c r="C131" s="328"/>
      <c r="D131" s="542"/>
      <c r="E131" s="330"/>
      <c r="F131" s="331"/>
      <c r="G131" s="332"/>
      <c r="H131" s="483"/>
      <c r="I131" s="335"/>
      <c r="J131" s="335"/>
      <c r="K131" s="296">
        <f t="shared" si="3"/>
        <v>0</v>
      </c>
      <c r="L131"/>
    </row>
    <row r="132" spans="1:12">
      <c r="A132" s="349" t="s">
        <v>166</v>
      </c>
      <c r="B132" s="350"/>
      <c r="C132" s="351"/>
      <c r="D132" s="545"/>
      <c r="E132" s="352">
        <f>SUM(E21:E25)</f>
        <v>0</v>
      </c>
      <c r="F132" s="352"/>
      <c r="G132" s="354">
        <f>SUM(G21:G25)</f>
        <v>0</v>
      </c>
      <c r="H132" s="486"/>
      <c r="I132" s="356"/>
      <c r="J132" s="357"/>
      <c r="K132" s="358">
        <f>SUM(K21:K131)+L96</f>
        <v>0</v>
      </c>
      <c r="L132"/>
    </row>
    <row r="133" spans="1:12">
      <c r="A133" s="359" t="s">
        <v>169</v>
      </c>
      <c r="B133" s="113"/>
      <c r="C133" s="274"/>
      <c r="D133" s="538"/>
      <c r="E133" s="114"/>
      <c r="F133" s="114"/>
      <c r="G133" s="118"/>
      <c r="H133" s="478"/>
      <c r="I133" s="125"/>
      <c r="J133" s="360"/>
      <c r="K133" s="261"/>
      <c r="L133"/>
    </row>
    <row r="134" spans="1:12">
      <c r="A134" s="206" t="s">
        <v>99</v>
      </c>
      <c r="B134" s="207" t="s">
        <v>7</v>
      </c>
      <c r="C134" s="207" t="s">
        <v>171</v>
      </c>
      <c r="D134" s="535" t="s">
        <v>170</v>
      </c>
      <c r="E134" s="208" t="s">
        <v>11</v>
      </c>
      <c r="F134" s="208"/>
      <c r="G134" s="209" t="s">
        <v>12</v>
      </c>
      <c r="H134" s="482" t="s">
        <v>18</v>
      </c>
      <c r="I134" s="209" t="s">
        <v>210</v>
      </c>
      <c r="J134" s="207" t="s">
        <v>216</v>
      </c>
      <c r="K134" s="260" t="s">
        <v>212</v>
      </c>
      <c r="L134"/>
    </row>
    <row r="135" spans="1:12">
      <c r="A135" s="325" t="s">
        <v>308</v>
      </c>
      <c r="B135" s="328">
        <v>42922</v>
      </c>
      <c r="C135" s="328"/>
      <c r="D135" s="542"/>
      <c r="E135" s="330">
        <v>0</v>
      </c>
      <c r="F135" s="330" t="s">
        <v>304</v>
      </c>
      <c r="G135" s="332">
        <v>0</v>
      </c>
      <c r="H135" s="483">
        <v>2017070600003</v>
      </c>
      <c r="I135" s="335">
        <v>161.69999999999999</v>
      </c>
      <c r="J135" s="335">
        <v>160.93</v>
      </c>
      <c r="K135" s="336">
        <f>(J135-I135)*E135/100*10000</f>
        <v>0</v>
      </c>
      <c r="L135"/>
    </row>
    <row r="136" spans="1:12">
      <c r="A136" s="325" t="s">
        <v>308</v>
      </c>
      <c r="B136" s="328">
        <v>42922</v>
      </c>
      <c r="C136" s="328"/>
      <c r="D136" s="542"/>
      <c r="E136" s="330">
        <v>0</v>
      </c>
      <c r="F136" s="330" t="s">
        <v>304</v>
      </c>
      <c r="G136" s="332">
        <v>0</v>
      </c>
      <c r="H136" s="483">
        <v>2017070600004</v>
      </c>
      <c r="I136" s="335">
        <v>161.5</v>
      </c>
      <c r="J136" s="335">
        <v>160.93</v>
      </c>
      <c r="K136" s="336">
        <f>(J136-I136)*E136/100*10000</f>
        <v>0</v>
      </c>
      <c r="L136"/>
    </row>
    <row r="137" spans="1:12">
      <c r="A137" s="325"/>
      <c r="B137" s="328"/>
      <c r="C137" s="328"/>
      <c r="D137" s="542"/>
      <c r="E137" s="330"/>
      <c r="F137" s="330"/>
      <c r="G137" s="332"/>
      <c r="H137" s="483"/>
      <c r="I137" s="335"/>
      <c r="J137" s="335"/>
      <c r="K137" s="336"/>
      <c r="L137"/>
    </row>
    <row r="138" spans="1:12">
      <c r="A138" s="325"/>
      <c r="B138" s="328"/>
      <c r="C138" s="328"/>
      <c r="D138" s="542"/>
      <c r="E138" s="330"/>
      <c r="F138" s="330"/>
      <c r="G138" s="332"/>
      <c r="H138" s="483"/>
      <c r="I138" s="335"/>
      <c r="J138" s="335"/>
      <c r="K138" s="336"/>
      <c r="L138"/>
    </row>
    <row r="139" spans="1:12">
      <c r="A139" s="325" t="s">
        <v>260</v>
      </c>
      <c r="B139" s="328">
        <v>40835</v>
      </c>
      <c r="C139" s="329"/>
      <c r="D139" s="542"/>
      <c r="E139" s="330">
        <v>0</v>
      </c>
      <c r="F139" s="330"/>
      <c r="G139" s="332">
        <v>0</v>
      </c>
      <c r="H139" s="483"/>
      <c r="I139" s="335">
        <v>135.12</v>
      </c>
      <c r="J139" s="335">
        <v>0</v>
      </c>
      <c r="K139" s="336">
        <f>(J139-I139)*E139/100</f>
        <v>0</v>
      </c>
      <c r="L139"/>
    </row>
    <row r="140" spans="1:12">
      <c r="A140" s="337" t="s">
        <v>167</v>
      </c>
      <c r="B140" s="340">
        <v>39090</v>
      </c>
      <c r="C140" s="341"/>
      <c r="D140" s="543"/>
      <c r="E140" s="342">
        <v>0</v>
      </c>
      <c r="F140" s="342"/>
      <c r="G140" s="344">
        <v>0</v>
      </c>
      <c r="H140" s="484" t="s">
        <v>21</v>
      </c>
      <c r="I140" s="347">
        <v>108.77</v>
      </c>
      <c r="J140" s="347">
        <v>0</v>
      </c>
      <c r="K140" s="348">
        <f>(J140-I140)*E140/100</f>
        <v>0</v>
      </c>
      <c r="L140"/>
    </row>
    <row r="141" spans="1:12">
      <c r="A141" s="337" t="s">
        <v>167</v>
      </c>
      <c r="B141" s="340">
        <v>38954</v>
      </c>
      <c r="C141" s="341"/>
      <c r="D141" s="543"/>
      <c r="E141" s="342">
        <v>0</v>
      </c>
      <c r="F141" s="342"/>
      <c r="G141" s="344">
        <v>0</v>
      </c>
      <c r="H141" s="484"/>
      <c r="I141" s="347">
        <v>109.88</v>
      </c>
      <c r="J141" s="347">
        <v>0</v>
      </c>
      <c r="K141" s="348">
        <f>(J141-I141)*E141/100</f>
        <v>0</v>
      </c>
      <c r="L141"/>
    </row>
    <row r="142" spans="1:12">
      <c r="A142" s="285" t="s">
        <v>168</v>
      </c>
      <c r="B142" s="288">
        <v>39220</v>
      </c>
      <c r="C142" s="289" t="s">
        <v>21</v>
      </c>
      <c r="D142" s="544"/>
      <c r="E142" s="290">
        <v>0</v>
      </c>
      <c r="F142" s="290"/>
      <c r="G142" s="292">
        <v>0</v>
      </c>
      <c r="H142" s="485" t="s">
        <v>23</v>
      </c>
      <c r="I142" s="295">
        <v>102.55500000000001</v>
      </c>
      <c r="J142" s="295">
        <v>0</v>
      </c>
      <c r="K142" s="296">
        <f>(J142-I142)*E142/100</f>
        <v>0</v>
      </c>
      <c r="L142"/>
    </row>
    <row r="143" spans="1:12">
      <c r="A143" s="285" t="s">
        <v>168</v>
      </c>
      <c r="B143" s="288">
        <v>39224</v>
      </c>
      <c r="C143" s="289" t="s">
        <v>21</v>
      </c>
      <c r="D143" s="544"/>
      <c r="E143" s="290">
        <v>0</v>
      </c>
      <c r="F143" s="290"/>
      <c r="G143" s="292">
        <v>0</v>
      </c>
      <c r="H143" s="485"/>
      <c r="I143" s="295">
        <v>102.89</v>
      </c>
      <c r="J143" s="295">
        <v>0</v>
      </c>
      <c r="K143" s="296">
        <f>(J143-I143)*E143/100</f>
        <v>0</v>
      </c>
      <c r="L143"/>
    </row>
    <row r="144" spans="1:12">
      <c r="A144" s="349" t="s">
        <v>166</v>
      </c>
      <c r="B144" s="350"/>
      <c r="C144" s="351"/>
      <c r="D144" s="545"/>
      <c r="E144" s="352">
        <f>SUM(E135:E143)</f>
        <v>0</v>
      </c>
      <c r="F144" s="352"/>
      <c r="G144" s="354">
        <f>SUM(G135:G143)</f>
        <v>0</v>
      </c>
      <c r="H144" s="486"/>
      <c r="I144" s="356"/>
      <c r="J144" s="357"/>
      <c r="K144" s="358">
        <f>SUM(K135:K143)</f>
        <v>0</v>
      </c>
      <c r="L144"/>
    </row>
    <row r="145" spans="1:12">
      <c r="A145" s="716" t="s">
        <v>326</v>
      </c>
      <c r="B145" s="108"/>
      <c r="C145" s="275"/>
      <c r="D145" s="546"/>
      <c r="E145" s="70"/>
      <c r="F145" s="203"/>
      <c r="G145" s="105"/>
      <c r="H145" s="487"/>
      <c r="I145" s="204"/>
      <c r="J145" s="205"/>
      <c r="K145" s="106"/>
      <c r="L145"/>
    </row>
    <row r="146" spans="1:12">
      <c r="A146" s="206" t="s">
        <v>99</v>
      </c>
      <c r="B146" s="207" t="s">
        <v>7</v>
      </c>
      <c r="C146" s="207" t="s">
        <v>171</v>
      </c>
      <c r="D146" s="535" t="s">
        <v>170</v>
      </c>
      <c r="E146" s="208" t="s">
        <v>11</v>
      </c>
      <c r="F146" s="207" t="s">
        <v>2</v>
      </c>
      <c r="G146" s="209" t="s">
        <v>12</v>
      </c>
      <c r="H146" s="482" t="s">
        <v>18</v>
      </c>
      <c r="I146" s="209" t="s">
        <v>10</v>
      </c>
      <c r="J146" s="207" t="s">
        <v>216</v>
      </c>
      <c r="K146" s="260" t="s">
        <v>212</v>
      </c>
      <c r="L146"/>
    </row>
    <row r="147" spans="1:12">
      <c r="A147" s="325" t="s">
        <v>507</v>
      </c>
      <c r="B147" s="328"/>
      <c r="C147" s="329"/>
      <c r="D147" s="542"/>
      <c r="E147" s="330"/>
      <c r="F147" s="331"/>
      <c r="G147" s="332"/>
      <c r="H147" s="483"/>
      <c r="I147" s="335"/>
      <c r="J147" s="335"/>
      <c r="K147" s="336">
        <f t="shared" ref="K147:K153" si="4">(J147-I147)*E147/100</f>
        <v>0</v>
      </c>
      <c r="L147"/>
    </row>
    <row r="148" spans="1:12">
      <c r="A148" s="325" t="s">
        <v>402</v>
      </c>
      <c r="B148" s="328"/>
      <c r="C148" s="329"/>
      <c r="D148" s="542"/>
      <c r="E148" s="330"/>
      <c r="F148" s="331"/>
      <c r="G148" s="332"/>
      <c r="H148" s="483"/>
      <c r="I148" s="335"/>
      <c r="J148" s="335"/>
      <c r="K148" s="336">
        <f t="shared" si="4"/>
        <v>0</v>
      </c>
      <c r="L148"/>
    </row>
    <row r="149" spans="1:12">
      <c r="A149" s="337" t="s">
        <v>402</v>
      </c>
      <c r="B149" s="340"/>
      <c r="C149" s="341"/>
      <c r="D149" s="543"/>
      <c r="E149" s="342"/>
      <c r="F149" s="343"/>
      <c r="G149" s="344"/>
      <c r="H149" s="484"/>
      <c r="I149" s="347"/>
      <c r="J149" s="347"/>
      <c r="K149" s="348">
        <f t="shared" si="4"/>
        <v>0</v>
      </c>
      <c r="L149"/>
    </row>
    <row r="150" spans="1:12">
      <c r="A150" s="337" t="s">
        <v>460</v>
      </c>
      <c r="B150" s="340"/>
      <c r="C150" s="341"/>
      <c r="D150" s="543"/>
      <c r="E150" s="342"/>
      <c r="F150" s="343"/>
      <c r="G150" s="344"/>
      <c r="H150" s="484"/>
      <c r="I150" s="347"/>
      <c r="J150" s="347"/>
      <c r="K150" s="348">
        <f t="shared" si="4"/>
        <v>0</v>
      </c>
      <c r="L150"/>
    </row>
    <row r="151" spans="1:12">
      <c r="A151" s="285" t="s">
        <v>402</v>
      </c>
      <c r="B151" s="288"/>
      <c r="C151" s="289"/>
      <c r="D151" s="544"/>
      <c r="E151" s="290"/>
      <c r="F151" s="291"/>
      <c r="G151" s="292"/>
      <c r="H151" s="485"/>
      <c r="I151" s="295"/>
      <c r="J151" s="295"/>
      <c r="K151" s="296">
        <f t="shared" si="4"/>
        <v>0</v>
      </c>
      <c r="L151"/>
    </row>
    <row r="152" spans="1:12">
      <c r="A152" s="285" t="s">
        <v>363</v>
      </c>
      <c r="B152" s="288"/>
      <c r="C152" s="289"/>
      <c r="D152" s="544"/>
      <c r="E152" s="290"/>
      <c r="F152" s="291"/>
      <c r="G152" s="292"/>
      <c r="H152" s="485"/>
      <c r="I152" s="295"/>
      <c r="J152" s="295"/>
      <c r="K152" s="296">
        <f t="shared" si="4"/>
        <v>0</v>
      </c>
      <c r="L152"/>
    </row>
    <row r="153" spans="1:12">
      <c r="A153" s="285" t="s">
        <v>402</v>
      </c>
      <c r="B153" s="288"/>
      <c r="C153" s="289"/>
      <c r="D153" s="544"/>
      <c r="E153" s="290"/>
      <c r="F153" s="291"/>
      <c r="G153" s="292"/>
      <c r="H153" s="485"/>
      <c r="I153" s="295"/>
      <c r="J153" s="295"/>
      <c r="K153" s="296">
        <f t="shared" si="4"/>
        <v>0</v>
      </c>
      <c r="L153"/>
    </row>
    <row r="154" spans="1:12">
      <c r="A154" s="111" t="s">
        <v>329</v>
      </c>
      <c r="B154" s="313"/>
      <c r="C154" s="313"/>
      <c r="D154" s="539"/>
      <c r="E154" s="314">
        <f>SUM(E147:E153)</f>
        <v>0</v>
      </c>
      <c r="F154" s="314"/>
      <c r="G154" s="316">
        <f>SUM(G147:G153)</f>
        <v>0</v>
      </c>
      <c r="H154" s="479"/>
      <c r="I154" s="323"/>
      <c r="J154" s="318"/>
      <c r="K154" s="316">
        <f>SUM(K147:K153)</f>
        <v>0</v>
      </c>
      <c r="L154"/>
    </row>
    <row r="155" spans="1:12">
      <c r="G155" s="14"/>
      <c r="H155" s="488"/>
      <c r="L155"/>
    </row>
    <row r="156" spans="1:12">
      <c r="G156" s="14"/>
      <c r="H156" s="488"/>
      <c r="L156"/>
    </row>
    <row r="157" spans="1:12">
      <c r="G157" s="14"/>
      <c r="H157" s="488"/>
      <c r="L157"/>
    </row>
    <row r="158" spans="1:12">
      <c r="B158"/>
      <c r="C158"/>
      <c r="D158"/>
      <c r="E158"/>
      <c r="F158"/>
      <c r="G158" s="14"/>
      <c r="H158" s="488"/>
      <c r="I158"/>
      <c r="J158"/>
      <c r="L158"/>
    </row>
    <row r="159" spans="1:12">
      <c r="B159"/>
      <c r="C159"/>
      <c r="D159"/>
      <c r="E159"/>
      <c r="F159"/>
      <c r="G159" s="14"/>
      <c r="H159" s="488"/>
      <c r="I159"/>
      <c r="J159"/>
      <c r="L159"/>
    </row>
    <row r="160" spans="1:12">
      <c r="B160"/>
      <c r="C160"/>
      <c r="D160"/>
      <c r="E160"/>
      <c r="F160"/>
      <c r="G160" s="14"/>
      <c r="H160" s="488"/>
      <c r="I160"/>
      <c r="J160"/>
      <c r="L160"/>
    </row>
    <row r="161" spans="2:12">
      <c r="B161"/>
      <c r="C161"/>
      <c r="D161"/>
      <c r="E161"/>
      <c r="F161"/>
      <c r="G161" s="14"/>
      <c r="H161" s="488"/>
      <c r="I161"/>
      <c r="J161"/>
      <c r="L161"/>
    </row>
    <row r="162" spans="2:12">
      <c r="B162"/>
      <c r="C162"/>
      <c r="D162"/>
      <c r="E162"/>
      <c r="F162"/>
      <c r="G162" s="14"/>
      <c r="H162" s="488"/>
      <c r="I162"/>
      <c r="J162"/>
      <c r="L162"/>
    </row>
    <row r="163" spans="2:12">
      <c r="B163"/>
      <c r="C163"/>
      <c r="D163"/>
      <c r="E163"/>
      <c r="F163"/>
      <c r="G163" s="14"/>
      <c r="H163" s="488"/>
      <c r="I163"/>
      <c r="J163"/>
      <c r="L163"/>
    </row>
    <row r="164" spans="2:12">
      <c r="B164"/>
      <c r="C164"/>
      <c r="D164"/>
      <c r="E164"/>
      <c r="F164"/>
      <c r="G164" s="14"/>
      <c r="H164" s="488"/>
      <c r="I164"/>
      <c r="J164"/>
      <c r="L164"/>
    </row>
    <row r="165" spans="2:12">
      <c r="B165"/>
      <c r="C165"/>
      <c r="D165"/>
      <c r="E165"/>
      <c r="F165"/>
      <c r="G165" s="14"/>
      <c r="H165" s="488"/>
      <c r="I165"/>
      <c r="J165"/>
      <c r="L165"/>
    </row>
    <row r="166" spans="2:12">
      <c r="B166"/>
      <c r="C166"/>
      <c r="D166"/>
      <c r="E166"/>
      <c r="F166"/>
      <c r="G166" s="14"/>
      <c r="H166" s="488"/>
      <c r="I166"/>
      <c r="J166"/>
      <c r="L166"/>
    </row>
    <row r="167" spans="2:12">
      <c r="B167"/>
      <c r="C167"/>
      <c r="D167"/>
      <c r="E167"/>
      <c r="F167"/>
      <c r="G167" s="14"/>
      <c r="H167" s="488"/>
      <c r="I167"/>
      <c r="J167"/>
      <c r="L167"/>
    </row>
    <row r="168" spans="2:12">
      <c r="B168"/>
      <c r="C168"/>
      <c r="D168"/>
      <c r="E168"/>
      <c r="F168"/>
      <c r="G168" s="14"/>
      <c r="H168" s="488"/>
      <c r="I168"/>
      <c r="J168"/>
      <c r="L168"/>
    </row>
    <row r="169" spans="2:12">
      <c r="B169"/>
      <c r="C169"/>
      <c r="D169"/>
      <c r="E169"/>
      <c r="F169"/>
      <c r="G169" s="14"/>
      <c r="H169" s="488"/>
      <c r="I169"/>
      <c r="J169"/>
      <c r="L169"/>
    </row>
    <row r="170" spans="2:12">
      <c r="B170"/>
      <c r="C170"/>
      <c r="D170"/>
      <c r="E170"/>
      <c r="F170"/>
      <c r="G170" s="14"/>
      <c r="H170" s="488"/>
      <c r="I170"/>
      <c r="J170"/>
      <c r="L170"/>
    </row>
    <row r="171" spans="2:12">
      <c r="B171"/>
      <c r="C171"/>
      <c r="D171"/>
      <c r="E171"/>
      <c r="F171"/>
      <c r="G171" s="14"/>
      <c r="H171" s="488"/>
      <c r="I171"/>
      <c r="J171"/>
      <c r="L171"/>
    </row>
    <row r="172" spans="2:12">
      <c r="B172"/>
      <c r="C172"/>
      <c r="D172"/>
      <c r="E172"/>
      <c r="F172"/>
      <c r="G172" s="14"/>
      <c r="H172" s="488"/>
      <c r="I172"/>
      <c r="J172"/>
      <c r="L172"/>
    </row>
    <row r="173" spans="2:12">
      <c r="B173"/>
      <c r="C173"/>
      <c r="D173"/>
      <c r="E173"/>
      <c r="F173"/>
      <c r="G173" s="14"/>
      <c r="H173" s="489"/>
      <c r="I173"/>
      <c r="J173"/>
      <c r="L173"/>
    </row>
    <row r="174" spans="2:12">
      <c r="B174"/>
      <c r="C174"/>
      <c r="D174"/>
      <c r="E174"/>
      <c r="F174"/>
      <c r="G174" s="14"/>
      <c r="H174" s="489"/>
      <c r="I174"/>
      <c r="J174"/>
      <c r="L174"/>
    </row>
    <row r="175" spans="2:12">
      <c r="B175"/>
      <c r="C175"/>
      <c r="D175"/>
      <c r="E175"/>
      <c r="F175"/>
      <c r="G175" s="14"/>
      <c r="H175" s="489"/>
      <c r="I175"/>
      <c r="J175"/>
      <c r="L175"/>
    </row>
    <row r="176" spans="2:12">
      <c r="B176"/>
      <c r="C176"/>
      <c r="D176"/>
      <c r="E176"/>
      <c r="F176"/>
      <c r="G176" s="14"/>
      <c r="H176" s="489"/>
      <c r="I176"/>
      <c r="J176"/>
      <c r="L176"/>
    </row>
    <row r="177" spans="2:12">
      <c r="B177"/>
      <c r="C177"/>
      <c r="D177"/>
      <c r="E177"/>
      <c r="F177"/>
      <c r="G177" s="14"/>
      <c r="H177" s="489"/>
      <c r="I177"/>
      <c r="J177"/>
      <c r="L177"/>
    </row>
    <row r="178" spans="2:12">
      <c r="B178"/>
      <c r="C178"/>
      <c r="D178"/>
      <c r="E178"/>
      <c r="F178"/>
      <c r="G178" s="14"/>
      <c r="H178" s="489"/>
      <c r="I178"/>
      <c r="J178"/>
      <c r="L178"/>
    </row>
    <row r="179" spans="2:12">
      <c r="B179"/>
      <c r="C179"/>
      <c r="D179"/>
      <c r="E179"/>
      <c r="F179"/>
      <c r="G179" s="14"/>
      <c r="H179" s="489"/>
      <c r="I179"/>
      <c r="J179"/>
      <c r="L179"/>
    </row>
    <row r="180" spans="2:12">
      <c r="B180"/>
      <c r="C180"/>
      <c r="D180"/>
      <c r="E180"/>
      <c r="F180"/>
      <c r="G180" s="14"/>
      <c r="H180" s="489"/>
      <c r="I180"/>
      <c r="J180"/>
      <c r="L180"/>
    </row>
    <row r="181" spans="2:12">
      <c r="B181"/>
      <c r="C181"/>
      <c r="D181"/>
      <c r="E181"/>
      <c r="F181"/>
      <c r="G181" s="14"/>
      <c r="H181" s="489"/>
      <c r="I181"/>
      <c r="J181"/>
      <c r="L181"/>
    </row>
    <row r="182" spans="2:12">
      <c r="B182"/>
      <c r="C182"/>
      <c r="D182"/>
      <c r="E182"/>
      <c r="F182"/>
      <c r="G182" s="14"/>
      <c r="H182" s="489"/>
      <c r="I182"/>
      <c r="J182"/>
      <c r="L182"/>
    </row>
    <row r="183" spans="2:12">
      <c r="B183"/>
      <c r="C183"/>
      <c r="D183"/>
      <c r="E183"/>
      <c r="F183"/>
      <c r="G183" s="14"/>
      <c r="H183" s="489"/>
      <c r="I183"/>
      <c r="J183"/>
      <c r="L183"/>
    </row>
    <row r="184" spans="2:12">
      <c r="B184"/>
      <c r="C184"/>
      <c r="D184"/>
      <c r="E184"/>
      <c r="F184"/>
      <c r="G184" s="14"/>
      <c r="H184" s="489"/>
      <c r="I184"/>
      <c r="J184"/>
      <c r="L184"/>
    </row>
    <row r="185" spans="2:12">
      <c r="B185"/>
      <c r="C185"/>
      <c r="D185"/>
      <c r="E185"/>
      <c r="F185"/>
      <c r="G185" s="14"/>
      <c r="H185" s="489"/>
      <c r="I185"/>
      <c r="J185"/>
      <c r="L185"/>
    </row>
    <row r="186" spans="2:12">
      <c r="B186"/>
      <c r="C186"/>
      <c r="D186"/>
      <c r="E186"/>
      <c r="F186"/>
      <c r="G186" s="14"/>
      <c r="H186" s="489"/>
      <c r="I186"/>
      <c r="J186"/>
      <c r="L186"/>
    </row>
    <row r="187" spans="2:12">
      <c r="B187"/>
      <c r="C187"/>
      <c r="D187"/>
      <c r="E187"/>
      <c r="F187"/>
      <c r="G187" s="14"/>
      <c r="H187" s="489"/>
      <c r="I187"/>
      <c r="J187"/>
      <c r="L187"/>
    </row>
    <row r="188" spans="2:12">
      <c r="B188"/>
      <c r="C188"/>
      <c r="D188"/>
      <c r="E188"/>
      <c r="F188"/>
      <c r="G188" s="14"/>
      <c r="H188" s="489"/>
      <c r="I188"/>
      <c r="J188"/>
      <c r="L188"/>
    </row>
    <row r="189" spans="2:12">
      <c r="B189"/>
      <c r="C189"/>
      <c r="D189"/>
      <c r="E189"/>
      <c r="F189"/>
      <c r="G189" s="14"/>
      <c r="H189" s="489"/>
      <c r="I189"/>
      <c r="J189"/>
      <c r="L189"/>
    </row>
    <row r="190" spans="2:12">
      <c r="B190"/>
      <c r="C190"/>
      <c r="D190"/>
      <c r="E190"/>
      <c r="F190"/>
      <c r="G190" s="14"/>
      <c r="H190" s="489"/>
      <c r="I190"/>
      <c r="J190"/>
      <c r="L190"/>
    </row>
    <row r="191" spans="2:12">
      <c r="B191"/>
      <c r="C191"/>
      <c r="D191"/>
      <c r="E191"/>
      <c r="F191"/>
      <c r="G191" s="14"/>
      <c r="H191" s="489"/>
      <c r="I191"/>
      <c r="J191"/>
      <c r="L191"/>
    </row>
    <row r="192" spans="2:12">
      <c r="B192"/>
      <c r="C192"/>
      <c r="D192"/>
      <c r="E192"/>
      <c r="F192"/>
      <c r="G192" s="14"/>
      <c r="H192" s="489"/>
      <c r="I192"/>
      <c r="J192"/>
      <c r="L192"/>
    </row>
    <row r="193" spans="2:12">
      <c r="B193"/>
      <c r="C193"/>
      <c r="D193"/>
      <c r="E193"/>
      <c r="F193"/>
      <c r="G193" s="14"/>
      <c r="H193" s="489"/>
      <c r="I193"/>
      <c r="J193"/>
      <c r="L193"/>
    </row>
    <row r="194" spans="2:12">
      <c r="B194"/>
      <c r="C194"/>
      <c r="D194"/>
      <c r="E194"/>
      <c r="F194"/>
      <c r="G194" s="14"/>
      <c r="H194" s="489"/>
      <c r="I194"/>
      <c r="J194"/>
      <c r="L194"/>
    </row>
    <row r="195" spans="2:12">
      <c r="B195"/>
      <c r="C195"/>
      <c r="D195"/>
      <c r="E195"/>
      <c r="F195"/>
      <c r="G195" s="14"/>
      <c r="H195" s="489"/>
      <c r="I195"/>
      <c r="J195"/>
      <c r="L195"/>
    </row>
    <row r="196" spans="2:12">
      <c r="B196"/>
      <c r="C196"/>
      <c r="D196"/>
      <c r="E196"/>
      <c r="F196"/>
      <c r="G196" s="14"/>
      <c r="H196" s="489"/>
      <c r="I196"/>
      <c r="J196"/>
      <c r="L196"/>
    </row>
    <row r="197" spans="2:12">
      <c r="B197"/>
      <c r="C197"/>
      <c r="D197"/>
      <c r="E197"/>
      <c r="F197"/>
      <c r="G197" s="14"/>
      <c r="H197" s="489"/>
      <c r="I197"/>
      <c r="J197"/>
      <c r="L197"/>
    </row>
    <row r="198" spans="2:12">
      <c r="B198"/>
      <c r="C198"/>
      <c r="D198"/>
      <c r="E198"/>
      <c r="F198"/>
      <c r="G198" s="14"/>
      <c r="H198" s="489"/>
      <c r="I198"/>
      <c r="J198"/>
      <c r="L198"/>
    </row>
    <row r="199" spans="2:12">
      <c r="B199"/>
      <c r="C199"/>
      <c r="D199"/>
      <c r="E199"/>
      <c r="F199"/>
      <c r="G199" s="14"/>
      <c r="H199" s="489"/>
      <c r="I199"/>
      <c r="J199"/>
      <c r="L199"/>
    </row>
    <row r="200" spans="2:12">
      <c r="B200"/>
      <c r="C200"/>
      <c r="D200"/>
      <c r="E200"/>
      <c r="F200"/>
      <c r="G200" s="14"/>
      <c r="H200" s="489"/>
      <c r="I200"/>
      <c r="J200"/>
      <c r="L200"/>
    </row>
    <row r="201" spans="2:12">
      <c r="B201"/>
      <c r="C201"/>
      <c r="D201"/>
      <c r="E201"/>
      <c r="F201"/>
      <c r="G201" s="14"/>
      <c r="H201" s="489"/>
      <c r="I201"/>
      <c r="J201"/>
      <c r="L201"/>
    </row>
    <row r="202" spans="2:12">
      <c r="B202"/>
      <c r="C202"/>
      <c r="D202"/>
      <c r="E202"/>
      <c r="F202"/>
      <c r="G202" s="14"/>
      <c r="H202" s="489"/>
      <c r="I202"/>
      <c r="J202"/>
      <c r="L202"/>
    </row>
    <row r="203" spans="2:12">
      <c r="B203"/>
      <c r="C203"/>
      <c r="D203"/>
      <c r="E203"/>
      <c r="F203"/>
      <c r="G203" s="14"/>
      <c r="H203" s="489"/>
      <c r="I203"/>
      <c r="J203"/>
      <c r="L203"/>
    </row>
    <row r="204" spans="2:12">
      <c r="B204"/>
      <c r="C204"/>
      <c r="D204"/>
      <c r="E204"/>
      <c r="F204"/>
      <c r="G204" s="14"/>
      <c r="H204" s="489"/>
      <c r="I204"/>
      <c r="J204"/>
      <c r="L204"/>
    </row>
    <row r="205" spans="2:12">
      <c r="B205"/>
      <c r="C205"/>
      <c r="D205"/>
      <c r="E205"/>
      <c r="F205"/>
      <c r="G205" s="14"/>
      <c r="H205" s="489"/>
      <c r="I205"/>
      <c r="J205"/>
      <c r="L205"/>
    </row>
    <row r="206" spans="2:12">
      <c r="B206"/>
      <c r="C206"/>
      <c r="D206"/>
      <c r="E206"/>
      <c r="F206"/>
      <c r="G206" s="14"/>
      <c r="H206" s="489"/>
      <c r="I206"/>
      <c r="J206"/>
      <c r="L206"/>
    </row>
    <row r="207" spans="2:12">
      <c r="B207"/>
      <c r="C207"/>
      <c r="D207"/>
      <c r="E207"/>
      <c r="F207"/>
      <c r="G207" s="14"/>
      <c r="H207" s="489"/>
      <c r="I207"/>
      <c r="J207"/>
      <c r="L207"/>
    </row>
    <row r="208" spans="2:12">
      <c r="B208"/>
      <c r="C208"/>
      <c r="D208"/>
      <c r="E208"/>
      <c r="F208"/>
      <c r="G208" s="14"/>
      <c r="H208" s="489"/>
      <c r="I208"/>
      <c r="J208"/>
      <c r="L208"/>
    </row>
    <row r="209" spans="2:12">
      <c r="B209"/>
      <c r="C209"/>
      <c r="D209"/>
      <c r="E209"/>
      <c r="F209"/>
      <c r="G209" s="14"/>
      <c r="H209" s="489"/>
      <c r="I209"/>
      <c r="J209"/>
      <c r="L209"/>
    </row>
    <row r="210" spans="2:12">
      <c r="B210"/>
      <c r="C210"/>
      <c r="D210"/>
      <c r="E210"/>
      <c r="F210"/>
      <c r="G210" s="14"/>
      <c r="H210" s="489"/>
      <c r="I210"/>
      <c r="J210"/>
      <c r="L210"/>
    </row>
    <row r="211" spans="2:12">
      <c r="B211"/>
      <c r="C211"/>
      <c r="D211"/>
      <c r="E211"/>
      <c r="F211"/>
      <c r="G211" s="14"/>
      <c r="H211" s="489"/>
      <c r="I211"/>
      <c r="J211"/>
      <c r="L211"/>
    </row>
    <row r="212" spans="2:12">
      <c r="B212"/>
      <c r="C212"/>
      <c r="D212"/>
      <c r="E212"/>
      <c r="F212"/>
      <c r="G212" s="14"/>
      <c r="H212" s="489"/>
      <c r="I212"/>
      <c r="J212"/>
      <c r="L212"/>
    </row>
    <row r="213" spans="2:12">
      <c r="B213"/>
      <c r="C213"/>
      <c r="D213"/>
      <c r="E213"/>
      <c r="F213"/>
      <c r="G213" s="14"/>
      <c r="H213" s="489"/>
      <c r="I213"/>
      <c r="J213"/>
      <c r="L213"/>
    </row>
    <row r="214" spans="2:12">
      <c r="B214"/>
      <c r="C214"/>
      <c r="D214"/>
      <c r="E214"/>
      <c r="F214"/>
      <c r="G214" s="14"/>
      <c r="H214" s="489"/>
      <c r="I214"/>
      <c r="J214"/>
      <c r="L214"/>
    </row>
    <row r="215" spans="2:12">
      <c r="B215"/>
      <c r="C215"/>
      <c r="D215"/>
      <c r="E215"/>
      <c r="F215"/>
      <c r="G215" s="14"/>
      <c r="H215" s="489"/>
      <c r="I215"/>
      <c r="J215"/>
      <c r="L215"/>
    </row>
    <row r="216" spans="2:12">
      <c r="B216"/>
      <c r="C216"/>
      <c r="D216"/>
      <c r="E216"/>
      <c r="F216"/>
      <c r="G216" s="14"/>
      <c r="H216" s="489"/>
      <c r="I216"/>
      <c r="J216"/>
      <c r="L216"/>
    </row>
    <row r="217" spans="2:12">
      <c r="B217"/>
      <c r="C217"/>
      <c r="D217"/>
      <c r="E217"/>
      <c r="F217"/>
      <c r="G217" s="14"/>
      <c r="H217" s="489"/>
      <c r="I217"/>
      <c r="J217"/>
      <c r="L217"/>
    </row>
    <row r="218" spans="2:12">
      <c r="B218"/>
      <c r="C218"/>
      <c r="D218"/>
      <c r="E218"/>
      <c r="F218"/>
      <c r="G218" s="14"/>
      <c r="H218" s="489"/>
      <c r="I218"/>
      <c r="J218"/>
      <c r="L218"/>
    </row>
    <row r="219" spans="2:12">
      <c r="B219"/>
      <c r="C219"/>
      <c r="D219"/>
      <c r="E219"/>
      <c r="F219"/>
      <c r="G219" s="14"/>
      <c r="H219" s="489"/>
      <c r="I219"/>
      <c r="J219"/>
      <c r="L219"/>
    </row>
    <row r="220" spans="2:12">
      <c r="B220"/>
      <c r="C220"/>
      <c r="D220"/>
      <c r="E220"/>
      <c r="F220"/>
      <c r="G220" s="14"/>
      <c r="H220" s="489"/>
      <c r="I220"/>
      <c r="J220"/>
      <c r="L220"/>
    </row>
    <row r="221" spans="2:12">
      <c r="B221"/>
      <c r="C221"/>
      <c r="D221"/>
      <c r="E221"/>
      <c r="F221"/>
      <c r="G221" s="14"/>
      <c r="H221" s="489"/>
      <c r="I221"/>
      <c r="J221"/>
      <c r="L221"/>
    </row>
    <row r="222" spans="2:12">
      <c r="B222"/>
      <c r="C222"/>
      <c r="D222"/>
      <c r="E222"/>
      <c r="F222"/>
      <c r="G222" s="14"/>
      <c r="H222" s="489"/>
      <c r="I222"/>
      <c r="J222"/>
      <c r="L222"/>
    </row>
    <row r="223" spans="2:12">
      <c r="B223"/>
      <c r="C223"/>
      <c r="D223"/>
      <c r="E223"/>
      <c r="F223"/>
      <c r="G223" s="14"/>
      <c r="H223" s="489"/>
      <c r="I223"/>
      <c r="J223"/>
      <c r="L223"/>
    </row>
    <row r="224" spans="2:12">
      <c r="B224"/>
      <c r="C224"/>
      <c r="D224"/>
      <c r="E224"/>
      <c r="F224"/>
      <c r="G224" s="14"/>
      <c r="H224" s="489"/>
      <c r="I224"/>
      <c r="J224"/>
      <c r="L224"/>
    </row>
    <row r="225" spans="2:12">
      <c r="B225"/>
      <c r="C225"/>
      <c r="D225"/>
      <c r="E225"/>
      <c r="F225"/>
      <c r="G225" s="14"/>
      <c r="H225" s="489"/>
      <c r="I225"/>
      <c r="J225"/>
      <c r="L225"/>
    </row>
    <row r="226" spans="2:12">
      <c r="B226"/>
      <c r="C226"/>
      <c r="D226"/>
      <c r="E226"/>
      <c r="F226"/>
      <c r="G226" s="14"/>
      <c r="H226" s="489"/>
      <c r="I226"/>
      <c r="J226"/>
      <c r="L226"/>
    </row>
    <row r="227" spans="2:12">
      <c r="B227"/>
      <c r="C227"/>
      <c r="D227"/>
      <c r="E227"/>
      <c r="F227"/>
      <c r="G227" s="14"/>
      <c r="H227" s="489"/>
      <c r="I227"/>
      <c r="J227"/>
      <c r="L227"/>
    </row>
    <row r="228" spans="2:12">
      <c r="B228"/>
      <c r="C228"/>
      <c r="D228"/>
      <c r="E228"/>
      <c r="F228"/>
      <c r="G228" s="14"/>
      <c r="H228" s="489"/>
      <c r="I228"/>
      <c r="J228"/>
      <c r="L228"/>
    </row>
    <row r="229" spans="2:12">
      <c r="B229"/>
      <c r="C229"/>
      <c r="D229"/>
      <c r="E229"/>
      <c r="F229"/>
      <c r="G229" s="14"/>
      <c r="H229" s="489"/>
      <c r="I229"/>
      <c r="J229"/>
      <c r="L229"/>
    </row>
    <row r="230" spans="2:12">
      <c r="B230"/>
      <c r="C230"/>
      <c r="D230"/>
      <c r="E230"/>
      <c r="F230"/>
      <c r="G230" s="14"/>
      <c r="H230" s="489"/>
      <c r="I230"/>
      <c r="J230"/>
      <c r="L230"/>
    </row>
    <row r="231" spans="2:12">
      <c r="B231"/>
      <c r="C231"/>
      <c r="D231"/>
      <c r="E231"/>
      <c r="F231"/>
      <c r="G231" s="14"/>
      <c r="H231" s="489"/>
      <c r="I231"/>
      <c r="J231"/>
      <c r="L231"/>
    </row>
    <row r="232" spans="2:12">
      <c r="B232"/>
      <c r="C232"/>
      <c r="D232"/>
      <c r="E232"/>
      <c r="F232"/>
      <c r="G232" s="14"/>
      <c r="H232" s="489"/>
      <c r="I232"/>
      <c r="J232"/>
      <c r="L232"/>
    </row>
    <row r="233" spans="2:12">
      <c r="B233"/>
      <c r="C233"/>
      <c r="D233"/>
      <c r="E233"/>
      <c r="F233"/>
      <c r="G233" s="14"/>
      <c r="H233" s="489"/>
      <c r="I233"/>
      <c r="J233"/>
      <c r="L233"/>
    </row>
    <row r="234" spans="2:12">
      <c r="B234"/>
      <c r="C234"/>
      <c r="D234"/>
      <c r="E234"/>
      <c r="F234"/>
      <c r="G234" s="14"/>
      <c r="H234" s="489"/>
      <c r="I234"/>
      <c r="J234"/>
      <c r="L234"/>
    </row>
    <row r="235" spans="2:12">
      <c r="B235"/>
      <c r="C235"/>
      <c r="D235"/>
      <c r="E235"/>
      <c r="F235"/>
      <c r="G235" s="14"/>
      <c r="H235" s="489"/>
      <c r="I235"/>
      <c r="J235"/>
      <c r="L235"/>
    </row>
    <row r="236" spans="2:12">
      <c r="B236"/>
      <c r="C236"/>
      <c r="D236"/>
      <c r="E236"/>
      <c r="F236"/>
      <c r="G236" s="14"/>
      <c r="H236" s="489"/>
      <c r="I236"/>
      <c r="J236"/>
      <c r="L236"/>
    </row>
    <row r="237" spans="2:12">
      <c r="B237"/>
      <c r="C237"/>
      <c r="D237"/>
      <c r="E237"/>
      <c r="F237"/>
      <c r="G237" s="14"/>
      <c r="H237" s="489"/>
      <c r="I237"/>
      <c r="J237"/>
      <c r="L237"/>
    </row>
    <row r="238" spans="2:12">
      <c r="B238"/>
      <c r="C238"/>
      <c r="D238"/>
      <c r="E238"/>
      <c r="F238"/>
      <c r="G238" s="14"/>
      <c r="H238" s="489"/>
      <c r="I238"/>
      <c r="J238"/>
      <c r="L238"/>
    </row>
    <row r="239" spans="2:12">
      <c r="B239"/>
      <c r="C239"/>
      <c r="D239"/>
      <c r="E239"/>
      <c r="F239"/>
      <c r="G239" s="14"/>
      <c r="H239" s="489"/>
      <c r="I239"/>
      <c r="J239"/>
      <c r="L239"/>
    </row>
    <row r="240" spans="2:12">
      <c r="B240"/>
      <c r="C240"/>
      <c r="D240"/>
      <c r="E240"/>
      <c r="F240"/>
      <c r="G240" s="14"/>
      <c r="H240" s="489"/>
      <c r="I240"/>
      <c r="J240"/>
      <c r="L240"/>
    </row>
    <row r="241" spans="2:12">
      <c r="B241"/>
      <c r="C241"/>
      <c r="D241"/>
      <c r="E241"/>
      <c r="F241"/>
      <c r="G241" s="14"/>
      <c r="H241" s="489"/>
      <c r="I241"/>
      <c r="J241"/>
      <c r="L241"/>
    </row>
    <row r="242" spans="2:12">
      <c r="B242"/>
      <c r="C242"/>
      <c r="D242"/>
      <c r="E242"/>
      <c r="F242"/>
      <c r="G242" s="14"/>
      <c r="H242" s="489"/>
      <c r="I242"/>
      <c r="J242"/>
      <c r="L242"/>
    </row>
    <row r="243" spans="2:12">
      <c r="B243"/>
      <c r="C243"/>
      <c r="D243"/>
      <c r="E243"/>
      <c r="F243"/>
      <c r="G243" s="14"/>
      <c r="H243" s="489"/>
      <c r="I243"/>
      <c r="J243"/>
      <c r="L243"/>
    </row>
    <row r="244" spans="2:12">
      <c r="B244"/>
      <c r="C244"/>
      <c r="D244"/>
      <c r="E244"/>
      <c r="F244"/>
      <c r="G244" s="14"/>
      <c r="H244" s="489"/>
      <c r="I244"/>
      <c r="J244"/>
      <c r="L244"/>
    </row>
    <row r="245" spans="2:12">
      <c r="B245"/>
      <c r="C245"/>
      <c r="D245"/>
      <c r="E245"/>
      <c r="F245"/>
      <c r="G245" s="14"/>
      <c r="H245" s="489"/>
      <c r="I245"/>
      <c r="J245"/>
      <c r="L245"/>
    </row>
    <row r="246" spans="2:12">
      <c r="B246"/>
      <c r="C246"/>
      <c r="D246"/>
      <c r="E246"/>
      <c r="F246"/>
      <c r="G246" s="14"/>
      <c r="H246" s="489"/>
      <c r="I246"/>
      <c r="J246"/>
      <c r="L246"/>
    </row>
    <row r="247" spans="2:12">
      <c r="B247"/>
      <c r="C247"/>
      <c r="D247"/>
      <c r="E247"/>
      <c r="F247"/>
      <c r="G247" s="14"/>
      <c r="H247" s="489"/>
      <c r="I247"/>
      <c r="J247"/>
      <c r="L247"/>
    </row>
    <row r="248" spans="2:12">
      <c r="B248"/>
      <c r="C248"/>
      <c r="D248"/>
      <c r="E248"/>
      <c r="F248"/>
      <c r="G248" s="14"/>
      <c r="H248" s="489"/>
      <c r="I248"/>
      <c r="J248"/>
      <c r="L248"/>
    </row>
    <row r="249" spans="2:12">
      <c r="B249"/>
      <c r="C249"/>
      <c r="D249"/>
      <c r="E249"/>
      <c r="F249"/>
      <c r="G249" s="14"/>
      <c r="H249" s="489"/>
      <c r="I249"/>
      <c r="J249"/>
      <c r="L249"/>
    </row>
    <row r="250" spans="2:12">
      <c r="B250"/>
      <c r="C250"/>
      <c r="D250"/>
      <c r="E250"/>
      <c r="F250"/>
      <c r="G250" s="14"/>
      <c r="H250" s="489"/>
      <c r="I250"/>
      <c r="J250"/>
      <c r="L250"/>
    </row>
    <row r="251" spans="2:12">
      <c r="B251"/>
      <c r="C251"/>
      <c r="D251"/>
      <c r="E251"/>
      <c r="F251"/>
      <c r="G251" s="14"/>
      <c r="H251" s="489"/>
      <c r="I251"/>
      <c r="J251"/>
      <c r="L251"/>
    </row>
    <row r="252" spans="2:12">
      <c r="B252"/>
      <c r="C252"/>
      <c r="D252"/>
      <c r="E252"/>
      <c r="F252"/>
      <c r="G252" s="14"/>
      <c r="H252" s="489"/>
      <c r="I252"/>
      <c r="J252"/>
      <c r="L252"/>
    </row>
    <row r="253" spans="2:12">
      <c r="B253"/>
      <c r="C253"/>
      <c r="D253"/>
      <c r="E253"/>
      <c r="F253"/>
      <c r="G253" s="14"/>
      <c r="H253" s="489"/>
      <c r="I253"/>
      <c r="J253"/>
      <c r="L253"/>
    </row>
    <row r="254" spans="2:12">
      <c r="B254"/>
      <c r="C254"/>
      <c r="D254"/>
      <c r="E254"/>
      <c r="F254"/>
      <c r="G254" s="14"/>
      <c r="H254" s="489"/>
      <c r="I254"/>
      <c r="J254"/>
      <c r="L254"/>
    </row>
    <row r="255" spans="2:12">
      <c r="B255"/>
      <c r="C255"/>
      <c r="D255"/>
      <c r="E255"/>
      <c r="F255"/>
      <c r="G255" s="14"/>
      <c r="H255" s="489"/>
      <c r="I255"/>
      <c r="J255"/>
      <c r="L255"/>
    </row>
    <row r="256" spans="2:12">
      <c r="B256"/>
      <c r="C256"/>
      <c r="D256"/>
      <c r="E256"/>
      <c r="F256"/>
      <c r="G256" s="14"/>
      <c r="H256" s="489"/>
      <c r="I256"/>
      <c r="J256"/>
      <c r="L256"/>
    </row>
    <row r="257" spans="2:12">
      <c r="B257"/>
      <c r="C257"/>
      <c r="D257"/>
      <c r="E257"/>
      <c r="F257"/>
      <c r="G257" s="14"/>
      <c r="H257" s="489"/>
      <c r="I257"/>
      <c r="J257"/>
      <c r="L257"/>
    </row>
    <row r="258" spans="2:12">
      <c r="B258"/>
      <c r="C258"/>
      <c r="D258"/>
      <c r="E258"/>
      <c r="F258"/>
      <c r="G258" s="14"/>
      <c r="H258" s="489"/>
      <c r="I258"/>
      <c r="J258"/>
      <c r="L258"/>
    </row>
    <row r="259" spans="2:12">
      <c r="B259"/>
      <c r="C259"/>
      <c r="D259"/>
      <c r="E259"/>
      <c r="F259"/>
      <c r="G259" s="14"/>
      <c r="H259" s="489"/>
      <c r="I259"/>
      <c r="J259"/>
      <c r="L259"/>
    </row>
    <row r="260" spans="2:12">
      <c r="B260"/>
      <c r="C260"/>
      <c r="D260"/>
      <c r="E260"/>
      <c r="F260"/>
      <c r="G260" s="14"/>
      <c r="H260" s="489"/>
      <c r="I260"/>
      <c r="J260"/>
      <c r="L260"/>
    </row>
    <row r="261" spans="2:12">
      <c r="B261"/>
      <c r="C261"/>
      <c r="D261"/>
      <c r="E261"/>
      <c r="F261"/>
      <c r="G261" s="14"/>
      <c r="H261" s="489"/>
      <c r="I261"/>
      <c r="J261"/>
      <c r="L261"/>
    </row>
    <row r="262" spans="2:12">
      <c r="B262"/>
      <c r="C262"/>
      <c r="D262"/>
      <c r="E262"/>
      <c r="F262"/>
      <c r="G262" s="14"/>
      <c r="H262" s="489"/>
      <c r="I262"/>
      <c r="J262"/>
      <c r="L262"/>
    </row>
    <row r="263" spans="2:12">
      <c r="B263"/>
      <c r="C263"/>
      <c r="D263"/>
      <c r="E263"/>
      <c r="F263"/>
      <c r="G263" s="14"/>
      <c r="H263" s="489"/>
      <c r="I263"/>
      <c r="J263"/>
      <c r="L263"/>
    </row>
    <row r="264" spans="2:12">
      <c r="B264"/>
      <c r="C264"/>
      <c r="D264"/>
      <c r="E264"/>
      <c r="F264"/>
      <c r="G264" s="14"/>
      <c r="H264" s="489"/>
      <c r="I264"/>
      <c r="J264"/>
      <c r="L264"/>
    </row>
    <row r="265" spans="2:12">
      <c r="B265"/>
      <c r="C265"/>
      <c r="D265"/>
      <c r="E265"/>
      <c r="F265"/>
      <c r="G265" s="14"/>
      <c r="H265" s="489"/>
      <c r="I265"/>
      <c r="J265"/>
      <c r="L265"/>
    </row>
    <row r="266" spans="2:12">
      <c r="B266"/>
      <c r="C266"/>
      <c r="D266"/>
      <c r="E266"/>
      <c r="F266"/>
      <c r="G266" s="14"/>
      <c r="H266" s="489"/>
      <c r="I266"/>
      <c r="J266"/>
      <c r="L266"/>
    </row>
    <row r="267" spans="2:12">
      <c r="B267"/>
      <c r="C267"/>
      <c r="D267"/>
      <c r="E267"/>
      <c r="F267"/>
      <c r="G267" s="14"/>
      <c r="H267" s="489"/>
      <c r="I267"/>
      <c r="J267"/>
      <c r="L267"/>
    </row>
    <row r="268" spans="2:12">
      <c r="B268"/>
      <c r="C268"/>
      <c r="D268"/>
      <c r="E268"/>
      <c r="F268"/>
      <c r="G268" s="14"/>
      <c r="H268" s="489"/>
      <c r="I268"/>
      <c r="J268"/>
      <c r="L268"/>
    </row>
    <row r="269" spans="2:12">
      <c r="B269"/>
      <c r="C269"/>
      <c r="D269"/>
      <c r="E269"/>
      <c r="F269"/>
      <c r="G269" s="14"/>
      <c r="H269" s="489"/>
      <c r="I269"/>
      <c r="J269"/>
      <c r="L269"/>
    </row>
    <row r="270" spans="2:12">
      <c r="B270"/>
      <c r="C270"/>
      <c r="D270"/>
      <c r="E270"/>
      <c r="F270"/>
      <c r="G270" s="14"/>
      <c r="H270" s="489"/>
      <c r="I270"/>
      <c r="J270"/>
      <c r="L270"/>
    </row>
    <row r="271" spans="2:12">
      <c r="B271"/>
      <c r="C271"/>
      <c r="D271"/>
      <c r="E271"/>
      <c r="F271"/>
      <c r="G271" s="14"/>
      <c r="H271" s="489"/>
      <c r="I271"/>
      <c r="J271"/>
      <c r="L271"/>
    </row>
    <row r="272" spans="2:12">
      <c r="B272"/>
      <c r="C272"/>
      <c r="D272"/>
      <c r="E272"/>
      <c r="F272"/>
      <c r="G272" s="14"/>
      <c r="H272" s="489"/>
      <c r="I272"/>
      <c r="J272"/>
      <c r="L272"/>
    </row>
    <row r="273" spans="2:12">
      <c r="B273"/>
      <c r="C273"/>
      <c r="D273"/>
      <c r="E273"/>
      <c r="F273"/>
      <c r="G273" s="14"/>
      <c r="H273" s="489"/>
      <c r="I273"/>
      <c r="J273"/>
      <c r="L273"/>
    </row>
    <row r="274" spans="2:12">
      <c r="B274"/>
      <c r="C274"/>
      <c r="D274"/>
      <c r="E274"/>
      <c r="F274"/>
      <c r="G274" s="14"/>
      <c r="H274" s="489"/>
      <c r="I274"/>
      <c r="J274"/>
      <c r="L274"/>
    </row>
    <row r="275" spans="2:12">
      <c r="B275"/>
      <c r="C275"/>
      <c r="D275"/>
      <c r="E275"/>
      <c r="F275"/>
      <c r="G275" s="14"/>
      <c r="H275" s="489"/>
      <c r="I275"/>
      <c r="J275"/>
      <c r="L275"/>
    </row>
    <row r="276" spans="2:12">
      <c r="B276"/>
      <c r="C276"/>
      <c r="D276"/>
      <c r="E276"/>
      <c r="F276"/>
      <c r="G276" s="14"/>
      <c r="H276" s="489"/>
      <c r="I276"/>
      <c r="J276"/>
      <c r="L276"/>
    </row>
    <row r="277" spans="2:12">
      <c r="B277"/>
      <c r="C277"/>
      <c r="D277"/>
      <c r="E277"/>
      <c r="F277"/>
      <c r="G277" s="14"/>
      <c r="H277" s="489"/>
      <c r="I277"/>
      <c r="J277"/>
      <c r="L277"/>
    </row>
    <row r="278" spans="2:12">
      <c r="B278"/>
      <c r="C278"/>
      <c r="D278"/>
      <c r="E278"/>
      <c r="F278"/>
      <c r="G278" s="14"/>
      <c r="H278" s="489"/>
      <c r="I278"/>
      <c r="J278"/>
      <c r="L278"/>
    </row>
    <row r="279" spans="2:12">
      <c r="B279"/>
      <c r="C279"/>
      <c r="D279"/>
      <c r="E279"/>
      <c r="F279"/>
      <c r="G279" s="14"/>
      <c r="H279" s="489"/>
      <c r="I279"/>
      <c r="J279"/>
      <c r="L279"/>
    </row>
    <row r="280" spans="2:12">
      <c r="B280"/>
      <c r="C280"/>
      <c r="D280"/>
      <c r="E280"/>
      <c r="F280"/>
      <c r="G280" s="14"/>
      <c r="H280" s="489"/>
      <c r="I280"/>
      <c r="J280"/>
      <c r="L280"/>
    </row>
    <row r="281" spans="2:12">
      <c r="B281"/>
      <c r="C281"/>
      <c r="D281"/>
      <c r="E281"/>
      <c r="F281"/>
      <c r="G281" s="14"/>
      <c r="H281" s="489"/>
      <c r="I281"/>
      <c r="J281"/>
      <c r="L281"/>
    </row>
    <row r="282" spans="2:12">
      <c r="B282"/>
      <c r="C282"/>
      <c r="D282"/>
      <c r="E282"/>
      <c r="F282"/>
      <c r="G282" s="14"/>
      <c r="H282" s="489"/>
      <c r="I282"/>
      <c r="J282"/>
      <c r="L282"/>
    </row>
    <row r="283" spans="2:12">
      <c r="B283"/>
      <c r="C283"/>
      <c r="D283"/>
      <c r="E283"/>
      <c r="F283"/>
      <c r="G283" s="14"/>
      <c r="H283" s="489"/>
      <c r="I283"/>
      <c r="J283"/>
      <c r="L283"/>
    </row>
    <row r="284" spans="2:12">
      <c r="B284"/>
      <c r="C284"/>
      <c r="D284"/>
      <c r="E284"/>
      <c r="F284"/>
      <c r="G284" s="14"/>
      <c r="H284" s="489"/>
      <c r="I284"/>
      <c r="J284"/>
      <c r="L284"/>
    </row>
    <row r="285" spans="2:12">
      <c r="B285"/>
      <c r="C285"/>
      <c r="D285"/>
      <c r="E285"/>
      <c r="F285"/>
      <c r="G285" s="14"/>
      <c r="H285" s="489"/>
      <c r="I285"/>
      <c r="J285"/>
      <c r="L285"/>
    </row>
    <row r="286" spans="2:12">
      <c r="B286"/>
      <c r="C286"/>
      <c r="D286"/>
      <c r="E286"/>
      <c r="F286"/>
      <c r="G286" s="14"/>
      <c r="H286" s="489"/>
      <c r="I286"/>
      <c r="J286"/>
      <c r="L286"/>
    </row>
    <row r="287" spans="2:12">
      <c r="B287"/>
      <c r="C287"/>
      <c r="D287"/>
      <c r="E287"/>
      <c r="F287"/>
      <c r="G287" s="14"/>
      <c r="H287" s="489"/>
      <c r="I287"/>
      <c r="J287"/>
      <c r="L287"/>
    </row>
    <row r="288" spans="2:12">
      <c r="B288"/>
      <c r="C288"/>
      <c r="D288"/>
      <c r="E288"/>
      <c r="F288"/>
      <c r="G288" s="14"/>
      <c r="H288" s="489"/>
      <c r="I288"/>
      <c r="J288"/>
      <c r="L288"/>
    </row>
    <row r="289" spans="2:12">
      <c r="B289"/>
      <c r="C289"/>
      <c r="D289"/>
      <c r="E289"/>
      <c r="F289"/>
      <c r="G289" s="14"/>
      <c r="H289" s="489"/>
      <c r="I289"/>
      <c r="J289"/>
      <c r="L289"/>
    </row>
    <row r="290" spans="2:12">
      <c r="B290"/>
      <c r="C290"/>
      <c r="D290"/>
      <c r="E290"/>
      <c r="F290"/>
      <c r="G290" s="14"/>
      <c r="H290" s="489"/>
      <c r="I290"/>
      <c r="J290"/>
      <c r="L290"/>
    </row>
    <row r="291" spans="2:12">
      <c r="B291"/>
      <c r="C291"/>
      <c r="D291"/>
      <c r="E291"/>
      <c r="F291"/>
      <c r="G291" s="14"/>
      <c r="H291" s="489"/>
      <c r="I291"/>
      <c r="J291"/>
      <c r="L291"/>
    </row>
    <row r="292" spans="2:12">
      <c r="B292"/>
      <c r="C292"/>
      <c r="D292"/>
      <c r="E292"/>
      <c r="F292"/>
      <c r="G292" s="14"/>
      <c r="H292" s="489"/>
      <c r="I292"/>
      <c r="J292"/>
      <c r="L292"/>
    </row>
    <row r="293" spans="2:12">
      <c r="B293"/>
      <c r="C293"/>
      <c r="D293"/>
      <c r="E293"/>
      <c r="F293"/>
      <c r="G293" s="14"/>
      <c r="H293" s="489"/>
      <c r="I293"/>
      <c r="J293"/>
      <c r="L293"/>
    </row>
    <row r="294" spans="2:12">
      <c r="B294"/>
      <c r="C294"/>
      <c r="D294"/>
      <c r="E294"/>
      <c r="F294"/>
      <c r="G294" s="14"/>
      <c r="H294" s="489"/>
      <c r="I294"/>
      <c r="J294"/>
      <c r="L294"/>
    </row>
    <row r="295" spans="2:12">
      <c r="B295"/>
      <c r="C295"/>
      <c r="D295"/>
      <c r="E295"/>
      <c r="F295"/>
      <c r="G295" s="14"/>
      <c r="H295" s="489"/>
      <c r="I295"/>
      <c r="J295"/>
      <c r="L295"/>
    </row>
    <row r="296" spans="2:12">
      <c r="B296"/>
      <c r="C296"/>
      <c r="D296"/>
      <c r="E296"/>
      <c r="F296"/>
      <c r="G296" s="14"/>
      <c r="H296" s="489"/>
      <c r="I296"/>
      <c r="J296"/>
      <c r="L296"/>
    </row>
    <row r="297" spans="2:12">
      <c r="B297"/>
      <c r="C297"/>
      <c r="D297"/>
      <c r="E297"/>
      <c r="F297"/>
      <c r="G297" s="14"/>
      <c r="H297" s="489"/>
      <c r="I297"/>
      <c r="J297"/>
      <c r="L297"/>
    </row>
    <row r="298" spans="2:12">
      <c r="B298"/>
      <c r="C298"/>
      <c r="D298"/>
      <c r="E298"/>
      <c r="F298"/>
      <c r="G298" s="14"/>
      <c r="H298" s="489"/>
      <c r="I298"/>
      <c r="J298"/>
      <c r="L298"/>
    </row>
    <row r="299" spans="2:12">
      <c r="B299"/>
      <c r="C299"/>
      <c r="D299"/>
      <c r="E299"/>
      <c r="F299"/>
      <c r="G299" s="14"/>
      <c r="H299" s="489"/>
      <c r="I299"/>
      <c r="J299"/>
      <c r="L299"/>
    </row>
    <row r="300" spans="2:12">
      <c r="B300"/>
      <c r="C300"/>
      <c r="D300"/>
      <c r="E300"/>
      <c r="F300"/>
      <c r="G300" s="14"/>
      <c r="H300" s="489"/>
      <c r="I300"/>
      <c r="J300"/>
      <c r="L300"/>
    </row>
    <row r="301" spans="2:12">
      <c r="B301"/>
      <c r="C301"/>
      <c r="D301"/>
      <c r="E301"/>
      <c r="F301"/>
      <c r="G301" s="14"/>
      <c r="H301" s="489"/>
      <c r="I301"/>
      <c r="J301"/>
      <c r="L301"/>
    </row>
    <row r="302" spans="2:12">
      <c r="B302"/>
      <c r="C302"/>
      <c r="D302"/>
      <c r="E302"/>
      <c r="F302"/>
      <c r="G302" s="14"/>
      <c r="H302" s="489"/>
      <c r="I302"/>
      <c r="J302"/>
      <c r="L302"/>
    </row>
    <row r="303" spans="2:12">
      <c r="B303"/>
      <c r="C303"/>
      <c r="D303"/>
      <c r="E303"/>
      <c r="F303"/>
      <c r="G303" s="14"/>
      <c r="H303" s="489"/>
      <c r="I303"/>
      <c r="J303"/>
      <c r="L303"/>
    </row>
    <row r="304" spans="2:12">
      <c r="B304"/>
      <c r="C304"/>
      <c r="D304"/>
      <c r="E304"/>
      <c r="F304"/>
      <c r="G304" s="14"/>
      <c r="H304" s="489"/>
      <c r="I304"/>
      <c r="J304"/>
      <c r="L304"/>
    </row>
    <row r="305" spans="2:12">
      <c r="B305"/>
      <c r="C305"/>
      <c r="D305"/>
      <c r="E305"/>
      <c r="F305"/>
      <c r="G305" s="14"/>
      <c r="H305" s="489"/>
      <c r="I305"/>
      <c r="J305"/>
      <c r="L305"/>
    </row>
    <row r="306" spans="2:12">
      <c r="B306"/>
      <c r="C306"/>
      <c r="D306"/>
      <c r="E306"/>
      <c r="F306"/>
      <c r="G306" s="14"/>
      <c r="H306" s="489"/>
      <c r="I306"/>
      <c r="J306"/>
      <c r="L306"/>
    </row>
    <row r="307" spans="2:12">
      <c r="B307"/>
      <c r="C307"/>
      <c r="D307"/>
      <c r="E307"/>
      <c r="F307"/>
      <c r="G307" s="14"/>
      <c r="H307" s="489"/>
      <c r="I307"/>
      <c r="J307"/>
      <c r="L307"/>
    </row>
    <row r="308" spans="2:12">
      <c r="B308"/>
      <c r="C308"/>
      <c r="D308"/>
      <c r="E308"/>
      <c r="F308"/>
      <c r="G308" s="14"/>
      <c r="H308" s="489"/>
      <c r="I308"/>
      <c r="J308"/>
      <c r="L308"/>
    </row>
    <row r="309" spans="2:12">
      <c r="B309"/>
      <c r="C309"/>
      <c r="D309"/>
      <c r="E309"/>
      <c r="F309"/>
      <c r="G309" s="14"/>
      <c r="H309" s="489"/>
      <c r="I309"/>
      <c r="J309"/>
      <c r="L309"/>
    </row>
    <row r="310" spans="2:12">
      <c r="B310"/>
      <c r="C310"/>
      <c r="D310"/>
      <c r="E310"/>
      <c r="F310"/>
      <c r="G310" s="14"/>
      <c r="H310" s="489"/>
      <c r="I310"/>
      <c r="J310"/>
      <c r="L310"/>
    </row>
    <row r="311" spans="2:12">
      <c r="B311"/>
      <c r="C311"/>
      <c r="D311"/>
      <c r="E311"/>
      <c r="F311"/>
      <c r="G311" s="14"/>
      <c r="H311" s="489"/>
      <c r="I311"/>
      <c r="J311"/>
      <c r="L311"/>
    </row>
    <row r="312" spans="2:12">
      <c r="B312"/>
      <c r="C312"/>
      <c r="D312"/>
      <c r="E312"/>
      <c r="F312"/>
      <c r="G312" s="14"/>
      <c r="H312" s="489"/>
      <c r="I312"/>
      <c r="J312"/>
      <c r="L312"/>
    </row>
    <row r="313" spans="2:12">
      <c r="B313"/>
      <c r="C313"/>
      <c r="D313"/>
      <c r="E313"/>
      <c r="F313"/>
      <c r="G313" s="14"/>
      <c r="H313" s="489"/>
      <c r="I313"/>
      <c r="J313"/>
      <c r="L313"/>
    </row>
    <row r="314" spans="2:12">
      <c r="B314"/>
      <c r="C314"/>
      <c r="D314"/>
      <c r="E314"/>
      <c r="F314"/>
      <c r="G314" s="14"/>
      <c r="H314" s="489"/>
      <c r="I314"/>
      <c r="J314"/>
      <c r="L314"/>
    </row>
    <row r="315" spans="2:12">
      <c r="B315"/>
      <c r="C315"/>
      <c r="D315"/>
      <c r="E315"/>
      <c r="F315"/>
      <c r="G315" s="14"/>
      <c r="H315" s="489"/>
      <c r="I315"/>
      <c r="J315"/>
      <c r="L315"/>
    </row>
    <row r="316" spans="2:12">
      <c r="B316"/>
      <c r="C316"/>
      <c r="D316"/>
      <c r="E316"/>
      <c r="F316"/>
      <c r="G316" s="14"/>
      <c r="H316" s="489"/>
      <c r="I316"/>
      <c r="J316"/>
      <c r="L316"/>
    </row>
    <row r="317" spans="2:12">
      <c r="B317"/>
      <c r="C317"/>
      <c r="D317"/>
      <c r="E317"/>
      <c r="F317"/>
      <c r="G317" s="14"/>
      <c r="H317" s="489"/>
      <c r="I317"/>
      <c r="J317"/>
      <c r="L317"/>
    </row>
    <row r="318" spans="2:12">
      <c r="B318"/>
      <c r="C318"/>
      <c r="D318"/>
      <c r="E318"/>
      <c r="F318"/>
      <c r="G318" s="14"/>
      <c r="H318" s="489"/>
      <c r="I318"/>
      <c r="J318"/>
      <c r="L318"/>
    </row>
    <row r="319" spans="2:12">
      <c r="B319"/>
      <c r="C319"/>
      <c r="D319"/>
      <c r="E319"/>
      <c r="F319"/>
      <c r="G319" s="14"/>
      <c r="H319" s="489"/>
      <c r="I319"/>
      <c r="J319"/>
      <c r="L319"/>
    </row>
    <row r="320" spans="2:12">
      <c r="B320"/>
      <c r="C320"/>
      <c r="D320"/>
      <c r="E320"/>
      <c r="F320"/>
      <c r="G320" s="14"/>
      <c r="H320" s="489"/>
      <c r="I320"/>
      <c r="J320"/>
      <c r="L320"/>
    </row>
    <row r="321" spans="2:12">
      <c r="B321"/>
      <c r="C321"/>
      <c r="D321"/>
      <c r="E321"/>
      <c r="F321"/>
      <c r="G321" s="14"/>
      <c r="H321" s="489"/>
      <c r="I321"/>
      <c r="J321"/>
      <c r="L321"/>
    </row>
    <row r="322" spans="2:12">
      <c r="B322"/>
      <c r="C322"/>
      <c r="D322"/>
      <c r="E322"/>
      <c r="F322"/>
      <c r="G322" s="14"/>
      <c r="H322" s="489"/>
      <c r="I322"/>
      <c r="J322"/>
      <c r="L322"/>
    </row>
    <row r="323" spans="2:12">
      <c r="B323"/>
      <c r="C323"/>
      <c r="D323"/>
      <c r="E323"/>
      <c r="F323"/>
      <c r="G323" s="14"/>
      <c r="H323" s="489"/>
      <c r="I323"/>
      <c r="J323"/>
      <c r="L323"/>
    </row>
    <row r="324" spans="2:12">
      <c r="B324"/>
      <c r="C324"/>
      <c r="D324"/>
      <c r="E324"/>
      <c r="F324"/>
      <c r="G324" s="14"/>
      <c r="H324" s="489"/>
      <c r="I324"/>
      <c r="J324"/>
      <c r="L324"/>
    </row>
    <row r="325" spans="2:12">
      <c r="B325"/>
      <c r="C325"/>
      <c r="D325"/>
      <c r="E325"/>
      <c r="F325"/>
      <c r="G325" s="14"/>
      <c r="H325" s="489"/>
      <c r="I325"/>
      <c r="J325"/>
      <c r="L325"/>
    </row>
    <row r="326" spans="2:12">
      <c r="B326"/>
      <c r="C326"/>
      <c r="D326"/>
      <c r="E326"/>
      <c r="F326"/>
      <c r="G326" s="14"/>
      <c r="H326" s="489"/>
      <c r="I326"/>
      <c r="J326"/>
      <c r="L326"/>
    </row>
    <row r="327" spans="2:12">
      <c r="B327"/>
      <c r="C327"/>
      <c r="D327"/>
      <c r="E327"/>
      <c r="F327"/>
      <c r="G327" s="14"/>
      <c r="H327" s="489"/>
      <c r="I327"/>
      <c r="J327"/>
      <c r="L327"/>
    </row>
    <row r="328" spans="2:12">
      <c r="B328"/>
      <c r="C328"/>
      <c r="D328"/>
      <c r="E328"/>
      <c r="F328"/>
      <c r="G328" s="14"/>
      <c r="H328" s="489"/>
      <c r="I328"/>
      <c r="J328"/>
      <c r="L328"/>
    </row>
    <row r="329" spans="2:12">
      <c r="B329"/>
      <c r="C329"/>
      <c r="D329"/>
      <c r="E329"/>
      <c r="F329"/>
      <c r="G329" s="14"/>
      <c r="H329" s="489"/>
      <c r="I329"/>
      <c r="J329"/>
      <c r="L329"/>
    </row>
    <row r="330" spans="2:12">
      <c r="B330"/>
      <c r="C330"/>
      <c r="D330"/>
      <c r="E330"/>
      <c r="F330"/>
      <c r="G330" s="14"/>
      <c r="H330" s="489"/>
      <c r="I330"/>
      <c r="J330"/>
      <c r="L330"/>
    </row>
    <row r="331" spans="2:12">
      <c r="B331"/>
      <c r="C331"/>
      <c r="D331"/>
      <c r="E331"/>
      <c r="F331"/>
      <c r="G331" s="14"/>
      <c r="H331" s="489"/>
      <c r="I331"/>
      <c r="J331"/>
      <c r="L331"/>
    </row>
    <row r="332" spans="2:12">
      <c r="B332"/>
      <c r="C332"/>
      <c r="D332"/>
      <c r="E332"/>
      <c r="F332"/>
      <c r="G332" s="14"/>
      <c r="H332" s="489"/>
      <c r="I332"/>
      <c r="J332"/>
      <c r="L332"/>
    </row>
    <row r="333" spans="2:12">
      <c r="B333"/>
      <c r="C333"/>
      <c r="D333"/>
      <c r="E333"/>
      <c r="F333"/>
      <c r="G333" s="14"/>
      <c r="H333" s="489"/>
      <c r="I333"/>
      <c r="J333"/>
      <c r="L333"/>
    </row>
    <row r="334" spans="2:12">
      <c r="B334"/>
      <c r="C334"/>
      <c r="D334"/>
      <c r="E334"/>
      <c r="F334"/>
      <c r="G334" s="14"/>
      <c r="H334" s="489"/>
      <c r="I334"/>
      <c r="J334"/>
      <c r="L334"/>
    </row>
    <row r="335" spans="2:12">
      <c r="B335"/>
      <c r="C335"/>
      <c r="D335"/>
      <c r="E335"/>
      <c r="F335"/>
      <c r="G335" s="14"/>
      <c r="H335" s="489"/>
      <c r="I335"/>
      <c r="J335"/>
      <c r="L335"/>
    </row>
    <row r="336" spans="2:12">
      <c r="B336"/>
      <c r="C336"/>
      <c r="D336"/>
      <c r="E336"/>
      <c r="F336"/>
      <c r="G336" s="14"/>
      <c r="H336" s="489"/>
      <c r="I336"/>
      <c r="J336"/>
      <c r="L336"/>
    </row>
    <row r="337" spans="2:12">
      <c r="B337"/>
      <c r="C337"/>
      <c r="D337"/>
      <c r="E337"/>
      <c r="F337"/>
      <c r="G337" s="14"/>
      <c r="H337" s="489"/>
      <c r="I337"/>
      <c r="J337"/>
      <c r="L337"/>
    </row>
    <row r="338" spans="2:12">
      <c r="B338"/>
      <c r="C338"/>
      <c r="D338"/>
      <c r="E338"/>
      <c r="F338"/>
      <c r="G338" s="14"/>
      <c r="H338" s="489"/>
      <c r="I338"/>
      <c r="J338"/>
      <c r="L338"/>
    </row>
    <row r="339" spans="2:12">
      <c r="B339"/>
      <c r="C339"/>
      <c r="D339"/>
      <c r="E339"/>
      <c r="F339"/>
      <c r="G339" s="14"/>
      <c r="H339" s="489"/>
      <c r="I339"/>
      <c r="J339"/>
      <c r="L339"/>
    </row>
    <row r="340" spans="2:12">
      <c r="B340"/>
      <c r="C340"/>
      <c r="D340"/>
      <c r="E340"/>
      <c r="F340"/>
      <c r="G340" s="14"/>
      <c r="H340" s="489"/>
      <c r="I340"/>
      <c r="J340"/>
      <c r="L340"/>
    </row>
    <row r="341" spans="2:12">
      <c r="B341"/>
      <c r="C341"/>
      <c r="D341"/>
      <c r="E341"/>
      <c r="F341"/>
      <c r="G341" s="14"/>
      <c r="H341" s="489"/>
      <c r="I341"/>
      <c r="J341"/>
      <c r="L341"/>
    </row>
    <row r="342" spans="2:12">
      <c r="B342"/>
      <c r="C342"/>
      <c r="D342"/>
      <c r="E342"/>
      <c r="F342"/>
      <c r="G342" s="14"/>
      <c r="H342" s="489"/>
      <c r="I342"/>
      <c r="J342"/>
      <c r="L342"/>
    </row>
    <row r="343" spans="2:12">
      <c r="B343"/>
      <c r="C343"/>
      <c r="D343"/>
      <c r="E343"/>
      <c r="F343"/>
      <c r="G343" s="14"/>
      <c r="H343" s="489"/>
      <c r="I343"/>
      <c r="J343"/>
      <c r="L343"/>
    </row>
    <row r="344" spans="2:12">
      <c r="B344"/>
      <c r="C344"/>
      <c r="D344"/>
      <c r="E344"/>
      <c r="F344"/>
      <c r="G344" s="14"/>
      <c r="H344" s="489"/>
      <c r="I344"/>
      <c r="J344"/>
      <c r="L344"/>
    </row>
    <row r="345" spans="2:12">
      <c r="B345"/>
      <c r="C345"/>
      <c r="D345"/>
      <c r="E345"/>
      <c r="F345"/>
      <c r="G345" s="14"/>
      <c r="H345" s="489"/>
      <c r="I345"/>
      <c r="J345"/>
      <c r="L345"/>
    </row>
    <row r="346" spans="2:12">
      <c r="B346"/>
      <c r="C346"/>
      <c r="D346"/>
      <c r="E346"/>
      <c r="F346"/>
      <c r="G346" s="14"/>
      <c r="H346" s="489"/>
      <c r="I346"/>
      <c r="J346"/>
      <c r="L346"/>
    </row>
    <row r="347" spans="2:12">
      <c r="B347"/>
      <c r="C347"/>
      <c r="D347"/>
      <c r="E347"/>
      <c r="F347"/>
      <c r="G347" s="14"/>
      <c r="H347" s="489"/>
      <c r="I347"/>
      <c r="J347"/>
      <c r="L347"/>
    </row>
    <row r="348" spans="2:12">
      <c r="B348"/>
      <c r="C348"/>
      <c r="D348"/>
      <c r="E348"/>
      <c r="F348"/>
      <c r="G348" s="14"/>
      <c r="H348" s="489"/>
      <c r="I348"/>
      <c r="J348"/>
      <c r="L348"/>
    </row>
    <row r="349" spans="2:12">
      <c r="B349"/>
      <c r="C349"/>
      <c r="D349"/>
      <c r="E349"/>
      <c r="F349"/>
      <c r="G349" s="14"/>
      <c r="H349" s="489"/>
      <c r="I349"/>
      <c r="J349"/>
      <c r="L349"/>
    </row>
    <row r="350" spans="2:12">
      <c r="B350"/>
      <c r="C350"/>
      <c r="D350"/>
      <c r="E350"/>
      <c r="F350"/>
      <c r="G350" s="14"/>
      <c r="H350" s="489"/>
      <c r="I350"/>
      <c r="J350"/>
      <c r="L350"/>
    </row>
    <row r="351" spans="2:12">
      <c r="B351"/>
      <c r="C351"/>
      <c r="D351"/>
      <c r="E351"/>
      <c r="F351"/>
      <c r="G351" s="14"/>
      <c r="H351" s="489"/>
      <c r="I351"/>
      <c r="J351"/>
      <c r="L351"/>
    </row>
    <row r="352" spans="2:12">
      <c r="B352"/>
      <c r="C352"/>
      <c r="D352"/>
      <c r="E352"/>
      <c r="F352"/>
      <c r="G352" s="14"/>
      <c r="H352" s="489"/>
      <c r="I352"/>
      <c r="J352"/>
      <c r="L352"/>
    </row>
    <row r="353" spans="2:12">
      <c r="B353"/>
      <c r="C353"/>
      <c r="D353"/>
      <c r="E353"/>
      <c r="F353"/>
      <c r="G353" s="14"/>
      <c r="H353" s="489"/>
      <c r="I353"/>
      <c r="J353"/>
      <c r="L353"/>
    </row>
    <row r="354" spans="2:12">
      <c r="B354"/>
      <c r="C354"/>
      <c r="D354"/>
      <c r="E354"/>
      <c r="F354"/>
      <c r="G354" s="14"/>
      <c r="H354" s="489"/>
      <c r="I354"/>
      <c r="J354"/>
      <c r="L354"/>
    </row>
    <row r="355" spans="2:12">
      <c r="B355"/>
      <c r="C355"/>
      <c r="D355"/>
      <c r="E355"/>
      <c r="F355"/>
      <c r="G355" s="14"/>
      <c r="H355" s="489"/>
      <c r="I355"/>
      <c r="J355"/>
      <c r="L355"/>
    </row>
    <row r="356" spans="2:12">
      <c r="B356"/>
      <c r="C356"/>
      <c r="D356"/>
      <c r="E356"/>
      <c r="F356"/>
      <c r="G356" s="14"/>
      <c r="H356" s="489"/>
      <c r="I356"/>
      <c r="J356"/>
      <c r="L356"/>
    </row>
    <row r="357" spans="2:12">
      <c r="B357"/>
      <c r="C357"/>
      <c r="D357"/>
      <c r="E357"/>
      <c r="F357"/>
      <c r="G357" s="14"/>
      <c r="H357" s="489"/>
      <c r="I357"/>
      <c r="J357"/>
      <c r="L357"/>
    </row>
    <row r="358" spans="2:12">
      <c r="B358"/>
      <c r="C358"/>
      <c r="D358"/>
      <c r="E358"/>
      <c r="F358"/>
      <c r="G358" s="14"/>
      <c r="H358" s="489"/>
      <c r="I358"/>
      <c r="J358"/>
      <c r="L358"/>
    </row>
    <row r="359" spans="2:12">
      <c r="B359"/>
      <c r="C359"/>
      <c r="D359"/>
      <c r="E359"/>
      <c r="F359"/>
      <c r="G359" s="14"/>
      <c r="H359" s="489"/>
      <c r="I359"/>
      <c r="J359"/>
      <c r="L359"/>
    </row>
    <row r="360" spans="2:12">
      <c r="B360"/>
      <c r="C360"/>
      <c r="D360"/>
      <c r="E360"/>
      <c r="F360"/>
      <c r="G360" s="14"/>
      <c r="H360" s="489"/>
      <c r="I360"/>
      <c r="J360"/>
      <c r="L360"/>
    </row>
    <row r="361" spans="2:12">
      <c r="B361"/>
      <c r="C361"/>
      <c r="D361"/>
      <c r="E361"/>
      <c r="F361"/>
      <c r="G361" s="14"/>
      <c r="H361" s="489"/>
      <c r="I361"/>
      <c r="J361"/>
      <c r="L361"/>
    </row>
    <row r="362" spans="2:12">
      <c r="B362"/>
      <c r="C362"/>
      <c r="D362"/>
      <c r="E362"/>
      <c r="F362"/>
      <c r="G362" s="14"/>
      <c r="H362" s="489"/>
      <c r="I362"/>
      <c r="J362"/>
      <c r="L362"/>
    </row>
    <row r="363" spans="2:12">
      <c r="B363"/>
      <c r="C363"/>
      <c r="D363"/>
      <c r="E363"/>
      <c r="F363"/>
      <c r="G363" s="14"/>
      <c r="H363" s="489"/>
      <c r="I363"/>
      <c r="J363"/>
      <c r="L363"/>
    </row>
    <row r="364" spans="2:12">
      <c r="B364"/>
      <c r="C364"/>
      <c r="D364"/>
      <c r="E364"/>
      <c r="F364"/>
      <c r="G364" s="14"/>
      <c r="H364" s="489"/>
      <c r="I364"/>
      <c r="J364"/>
      <c r="L364"/>
    </row>
    <row r="365" spans="2:12">
      <c r="B365"/>
      <c r="C365"/>
      <c r="D365"/>
      <c r="E365"/>
      <c r="F365"/>
      <c r="G365" s="14"/>
      <c r="H365" s="489"/>
      <c r="I365"/>
      <c r="J365"/>
      <c r="L365"/>
    </row>
    <row r="366" spans="2:12">
      <c r="B366"/>
      <c r="C366"/>
      <c r="D366"/>
      <c r="E366"/>
      <c r="F366"/>
      <c r="G366" s="14"/>
      <c r="H366" s="489"/>
      <c r="I366"/>
      <c r="J366"/>
      <c r="L366"/>
    </row>
    <row r="367" spans="2:12">
      <c r="B367"/>
      <c r="C367"/>
      <c r="D367"/>
      <c r="E367"/>
      <c r="F367"/>
      <c r="G367" s="14"/>
      <c r="H367" s="489"/>
      <c r="I367"/>
      <c r="J367"/>
      <c r="L367"/>
    </row>
    <row r="368" spans="2:12">
      <c r="B368"/>
      <c r="C368"/>
      <c r="D368"/>
      <c r="E368"/>
      <c r="F368"/>
      <c r="G368" s="14"/>
      <c r="H368" s="489"/>
      <c r="I368"/>
      <c r="J368"/>
      <c r="L368"/>
    </row>
    <row r="369" spans="2:12">
      <c r="B369"/>
      <c r="C369"/>
      <c r="D369"/>
      <c r="E369"/>
      <c r="F369"/>
      <c r="G369" s="14"/>
      <c r="H369" s="489"/>
      <c r="I369"/>
      <c r="J369"/>
      <c r="L369"/>
    </row>
    <row r="370" spans="2:12">
      <c r="B370"/>
      <c r="C370"/>
      <c r="D370"/>
      <c r="E370"/>
      <c r="F370"/>
      <c r="G370" s="14"/>
      <c r="H370" s="489"/>
      <c r="I370"/>
      <c r="J370"/>
      <c r="L370"/>
    </row>
    <row r="371" spans="2:12">
      <c r="B371"/>
      <c r="C371"/>
      <c r="D371"/>
      <c r="E371"/>
      <c r="F371"/>
      <c r="G371" s="14"/>
      <c r="H371" s="489"/>
      <c r="I371"/>
      <c r="J371"/>
      <c r="L371"/>
    </row>
    <row r="372" spans="2:12">
      <c r="B372"/>
      <c r="C372"/>
      <c r="D372"/>
      <c r="E372"/>
      <c r="F372"/>
      <c r="G372" s="14"/>
      <c r="H372" s="489"/>
      <c r="I372"/>
      <c r="J372"/>
      <c r="L372"/>
    </row>
    <row r="373" spans="2:12">
      <c r="B373"/>
      <c r="C373"/>
      <c r="D373"/>
      <c r="E373"/>
      <c r="F373"/>
      <c r="G373" s="14"/>
      <c r="H373" s="489"/>
      <c r="I373"/>
      <c r="J373"/>
      <c r="L373"/>
    </row>
    <row r="374" spans="2:12">
      <c r="B374"/>
      <c r="C374"/>
      <c r="D374"/>
      <c r="E374"/>
      <c r="F374"/>
      <c r="G374" s="14"/>
      <c r="H374" s="489"/>
      <c r="I374"/>
      <c r="J374"/>
      <c r="L374"/>
    </row>
    <row r="375" spans="2:12">
      <c r="B375"/>
      <c r="C375"/>
      <c r="D375"/>
      <c r="E375"/>
      <c r="F375"/>
      <c r="G375" s="14"/>
      <c r="H375" s="489"/>
      <c r="I375"/>
      <c r="J375"/>
      <c r="L375"/>
    </row>
    <row r="376" spans="2:12">
      <c r="B376"/>
      <c r="C376"/>
      <c r="D376"/>
      <c r="E376"/>
      <c r="F376"/>
      <c r="G376" s="14"/>
      <c r="H376" s="489"/>
      <c r="I376"/>
      <c r="J376"/>
      <c r="L376"/>
    </row>
    <row r="377" spans="2:12">
      <c r="B377"/>
      <c r="C377"/>
      <c r="D377"/>
      <c r="E377"/>
      <c r="F377"/>
      <c r="G377" s="14"/>
      <c r="H377" s="489"/>
      <c r="I377"/>
      <c r="J377"/>
      <c r="L377"/>
    </row>
    <row r="378" spans="2:12">
      <c r="B378"/>
      <c r="C378"/>
      <c r="D378"/>
      <c r="E378"/>
      <c r="F378"/>
      <c r="G378" s="14"/>
      <c r="H378" s="489"/>
      <c r="I378"/>
      <c r="J378"/>
      <c r="L378"/>
    </row>
    <row r="379" spans="2:12">
      <c r="B379"/>
      <c r="C379"/>
      <c r="D379"/>
      <c r="E379"/>
      <c r="F379"/>
      <c r="G379" s="14"/>
      <c r="H379" s="489"/>
      <c r="I379"/>
      <c r="J379"/>
      <c r="L379"/>
    </row>
    <row r="380" spans="2:12">
      <c r="B380"/>
      <c r="C380"/>
      <c r="D380"/>
      <c r="E380"/>
      <c r="F380"/>
      <c r="G380" s="14"/>
      <c r="H380" s="489"/>
      <c r="I380"/>
      <c r="J380"/>
      <c r="L380"/>
    </row>
    <row r="381" spans="2:12">
      <c r="B381"/>
      <c r="C381"/>
      <c r="D381"/>
      <c r="E381"/>
      <c r="F381"/>
      <c r="G381" s="14"/>
      <c r="H381" s="489"/>
      <c r="I381"/>
      <c r="J381"/>
      <c r="L381"/>
    </row>
    <row r="382" spans="2:12">
      <c r="B382"/>
      <c r="C382"/>
      <c r="D382"/>
      <c r="E382"/>
      <c r="F382"/>
      <c r="G382" s="14"/>
      <c r="H382" s="489"/>
      <c r="I382"/>
      <c r="J382"/>
      <c r="L382"/>
    </row>
    <row r="383" spans="2:12">
      <c r="B383"/>
      <c r="C383"/>
      <c r="D383"/>
      <c r="E383"/>
      <c r="F383"/>
      <c r="G383" s="14"/>
      <c r="H383" s="489"/>
      <c r="I383"/>
      <c r="J383"/>
      <c r="L383"/>
    </row>
    <row r="384" spans="2:12">
      <c r="B384"/>
      <c r="C384"/>
      <c r="D384"/>
      <c r="E384"/>
      <c r="F384"/>
      <c r="G384" s="14"/>
      <c r="H384" s="489"/>
      <c r="I384"/>
      <c r="J384"/>
      <c r="L384"/>
    </row>
    <row r="385" spans="2:12">
      <c r="B385"/>
      <c r="C385"/>
      <c r="D385"/>
      <c r="E385"/>
      <c r="F385"/>
      <c r="G385" s="14"/>
      <c r="H385" s="489"/>
      <c r="I385"/>
      <c r="J385"/>
      <c r="L385"/>
    </row>
    <row r="386" spans="2:12">
      <c r="B386"/>
      <c r="C386"/>
      <c r="D386"/>
      <c r="E386"/>
      <c r="F386"/>
      <c r="G386" s="14"/>
      <c r="H386" s="489"/>
      <c r="I386"/>
      <c r="J386"/>
      <c r="L386"/>
    </row>
    <row r="387" spans="2:12">
      <c r="B387"/>
      <c r="C387"/>
      <c r="D387"/>
      <c r="E387"/>
      <c r="F387"/>
      <c r="G387" s="14"/>
      <c r="H387" s="489"/>
      <c r="I387"/>
      <c r="J387"/>
      <c r="L387"/>
    </row>
    <row r="388" spans="2:12">
      <c r="B388"/>
      <c r="C388"/>
      <c r="D388"/>
      <c r="E388"/>
      <c r="F388"/>
      <c r="G388" s="14"/>
      <c r="H388" s="489"/>
      <c r="I388"/>
      <c r="J388"/>
      <c r="L388"/>
    </row>
    <row r="389" spans="2:12">
      <c r="B389"/>
      <c r="C389"/>
      <c r="D389"/>
      <c r="E389"/>
      <c r="F389"/>
      <c r="G389" s="14"/>
      <c r="H389" s="489"/>
      <c r="I389"/>
      <c r="J389"/>
      <c r="L389"/>
    </row>
    <row r="390" spans="2:12">
      <c r="B390"/>
      <c r="C390"/>
      <c r="D390"/>
      <c r="E390"/>
      <c r="F390"/>
      <c r="G390" s="14"/>
      <c r="H390" s="489"/>
      <c r="I390"/>
      <c r="J390"/>
      <c r="L390"/>
    </row>
    <row r="391" spans="2:12">
      <c r="B391"/>
      <c r="C391"/>
      <c r="D391"/>
      <c r="E391"/>
      <c r="F391"/>
      <c r="G391" s="14"/>
      <c r="H391" s="489"/>
      <c r="I391"/>
      <c r="J391"/>
      <c r="L391"/>
    </row>
    <row r="392" spans="2:12">
      <c r="B392"/>
      <c r="C392"/>
      <c r="D392"/>
      <c r="E392"/>
      <c r="F392"/>
      <c r="G392" s="14"/>
      <c r="H392" s="489"/>
      <c r="I392"/>
      <c r="J392"/>
      <c r="L392"/>
    </row>
    <row r="393" spans="2:12">
      <c r="B393"/>
      <c r="C393"/>
      <c r="D393"/>
      <c r="E393"/>
      <c r="F393"/>
      <c r="G393" s="14"/>
      <c r="H393" s="489"/>
      <c r="I393"/>
      <c r="J393"/>
      <c r="L393"/>
    </row>
    <row r="394" spans="2:12">
      <c r="B394"/>
      <c r="C394"/>
      <c r="D394"/>
      <c r="E394"/>
      <c r="F394"/>
      <c r="G394" s="14"/>
      <c r="H394" s="489"/>
      <c r="I394"/>
      <c r="J394"/>
      <c r="L394"/>
    </row>
    <row r="395" spans="2:12">
      <c r="B395"/>
      <c r="C395"/>
      <c r="D395"/>
      <c r="E395"/>
      <c r="F395"/>
      <c r="G395" s="14"/>
      <c r="H395" s="489"/>
      <c r="I395"/>
      <c r="J395"/>
      <c r="L395"/>
    </row>
    <row r="396" spans="2:12">
      <c r="B396"/>
      <c r="C396"/>
      <c r="D396"/>
      <c r="E396"/>
      <c r="F396"/>
      <c r="G396" s="14"/>
      <c r="H396" s="489"/>
      <c r="I396"/>
      <c r="J396"/>
      <c r="L396"/>
    </row>
    <row r="397" spans="2:12">
      <c r="B397"/>
      <c r="C397"/>
      <c r="D397"/>
      <c r="E397"/>
      <c r="F397"/>
      <c r="G397" s="14"/>
      <c r="H397" s="489"/>
      <c r="I397"/>
      <c r="J397"/>
      <c r="L397"/>
    </row>
    <row r="398" spans="2:12">
      <c r="B398"/>
      <c r="C398"/>
      <c r="D398"/>
      <c r="E398"/>
      <c r="F398"/>
      <c r="G398" s="14"/>
      <c r="H398" s="489"/>
      <c r="I398"/>
      <c r="J398"/>
      <c r="L398"/>
    </row>
    <row r="399" spans="2:12">
      <c r="B399"/>
      <c r="C399"/>
      <c r="D399"/>
      <c r="E399"/>
      <c r="F399"/>
      <c r="G399" s="14"/>
      <c r="H399" s="489"/>
      <c r="I399"/>
      <c r="J399"/>
      <c r="L399"/>
    </row>
    <row r="400" spans="2:12">
      <c r="B400"/>
      <c r="C400"/>
      <c r="D400"/>
      <c r="E400"/>
      <c r="F400"/>
      <c r="G400" s="14"/>
      <c r="H400" s="489"/>
      <c r="I400"/>
      <c r="J400"/>
      <c r="L400"/>
    </row>
    <row r="401" spans="2:12">
      <c r="B401"/>
      <c r="C401"/>
      <c r="D401"/>
      <c r="E401"/>
      <c r="F401"/>
      <c r="G401" s="14"/>
      <c r="H401" s="489"/>
      <c r="I401"/>
      <c r="J401"/>
      <c r="L401"/>
    </row>
    <row r="402" spans="2:12">
      <c r="B402"/>
      <c r="C402"/>
      <c r="D402"/>
      <c r="E402"/>
      <c r="F402"/>
      <c r="G402" s="14"/>
      <c r="H402" s="489"/>
      <c r="I402"/>
      <c r="J402"/>
      <c r="L402"/>
    </row>
    <row r="403" spans="2:12">
      <c r="B403"/>
      <c r="C403"/>
      <c r="D403"/>
      <c r="E403"/>
      <c r="F403"/>
      <c r="G403" s="14"/>
      <c r="H403" s="489"/>
      <c r="I403"/>
      <c r="J403"/>
      <c r="L403"/>
    </row>
    <row r="404" spans="2:12">
      <c r="B404"/>
      <c r="C404"/>
      <c r="D404"/>
      <c r="E404"/>
      <c r="F404"/>
      <c r="G404" s="14"/>
      <c r="H404" s="489"/>
      <c r="I404"/>
      <c r="J404"/>
      <c r="L404"/>
    </row>
    <row r="405" spans="2:12">
      <c r="B405"/>
      <c r="C405"/>
      <c r="D405"/>
      <c r="E405"/>
      <c r="F405"/>
      <c r="G405" s="14"/>
      <c r="H405" s="489"/>
      <c r="I405"/>
      <c r="J405"/>
      <c r="L405"/>
    </row>
    <row r="406" spans="2:12">
      <c r="B406"/>
      <c r="C406"/>
      <c r="D406"/>
      <c r="E406"/>
      <c r="F406"/>
      <c r="G406" s="14"/>
      <c r="H406" s="489"/>
      <c r="I406"/>
      <c r="J406"/>
      <c r="L406"/>
    </row>
    <row r="407" spans="2:12">
      <c r="B407"/>
      <c r="C407"/>
      <c r="D407"/>
      <c r="E407"/>
      <c r="F407"/>
      <c r="G407" s="14"/>
      <c r="H407" s="489"/>
      <c r="I407"/>
      <c r="J407"/>
      <c r="L407"/>
    </row>
    <row r="408" spans="2:12">
      <c r="B408"/>
      <c r="C408"/>
      <c r="D408"/>
      <c r="E408"/>
      <c r="F408"/>
      <c r="G408" s="14"/>
      <c r="H408" s="489"/>
      <c r="I408"/>
      <c r="J408"/>
      <c r="L408"/>
    </row>
    <row r="409" spans="2:12">
      <c r="B409"/>
      <c r="C409"/>
      <c r="D409"/>
      <c r="E409"/>
      <c r="F409"/>
      <c r="G409" s="14"/>
      <c r="H409" s="489"/>
      <c r="I409"/>
      <c r="J409"/>
      <c r="L409"/>
    </row>
    <row r="410" spans="2:12">
      <c r="B410"/>
      <c r="C410"/>
      <c r="D410"/>
      <c r="E410"/>
      <c r="F410"/>
      <c r="G410" s="14"/>
      <c r="H410" s="489"/>
      <c r="I410"/>
      <c r="J410"/>
      <c r="L410"/>
    </row>
    <row r="411" spans="2:12">
      <c r="B411"/>
      <c r="C411"/>
      <c r="D411"/>
      <c r="E411"/>
      <c r="F411"/>
      <c r="G411" s="14"/>
      <c r="H411" s="489"/>
      <c r="I411"/>
      <c r="J411"/>
      <c r="L411"/>
    </row>
    <row r="412" spans="2:12">
      <c r="B412"/>
      <c r="C412"/>
      <c r="D412"/>
      <c r="E412"/>
      <c r="F412"/>
      <c r="G412" s="14"/>
      <c r="H412" s="489"/>
      <c r="I412"/>
      <c r="J412"/>
      <c r="L412"/>
    </row>
    <row r="413" spans="2:12">
      <c r="B413"/>
      <c r="C413"/>
      <c r="D413"/>
      <c r="E413"/>
      <c r="F413"/>
      <c r="G413" s="14"/>
      <c r="H413" s="489"/>
      <c r="I413"/>
      <c r="J413"/>
      <c r="L413"/>
    </row>
    <row r="414" spans="2:12">
      <c r="B414"/>
      <c r="C414"/>
      <c r="D414"/>
      <c r="E414"/>
      <c r="F414"/>
      <c r="G414" s="14"/>
      <c r="H414" s="489"/>
      <c r="I414"/>
      <c r="J414"/>
      <c r="L414"/>
    </row>
    <row r="415" spans="2:12">
      <c r="B415"/>
      <c r="C415"/>
      <c r="D415"/>
      <c r="E415"/>
      <c r="F415"/>
      <c r="G415" s="14"/>
      <c r="H415" s="489"/>
      <c r="I415"/>
      <c r="J415"/>
      <c r="L415"/>
    </row>
    <row r="416" spans="2:12">
      <c r="B416"/>
      <c r="C416"/>
      <c r="D416"/>
      <c r="E416"/>
      <c r="F416"/>
      <c r="G416" s="14"/>
      <c r="H416" s="489"/>
      <c r="I416"/>
      <c r="J416"/>
      <c r="L416"/>
    </row>
    <row r="417" spans="2:12">
      <c r="B417"/>
      <c r="C417"/>
      <c r="D417"/>
      <c r="E417"/>
      <c r="F417"/>
      <c r="G417" s="14"/>
      <c r="H417" s="489"/>
      <c r="I417"/>
      <c r="J417"/>
      <c r="L417"/>
    </row>
    <row r="418" spans="2:12">
      <c r="B418"/>
      <c r="C418"/>
      <c r="D418"/>
      <c r="E418"/>
      <c r="F418"/>
      <c r="G418" s="14"/>
      <c r="H418" s="489"/>
      <c r="I418"/>
      <c r="J418"/>
      <c r="L418"/>
    </row>
    <row r="419" spans="2:12">
      <c r="B419"/>
      <c r="C419"/>
      <c r="D419"/>
      <c r="E419"/>
      <c r="F419"/>
      <c r="G419" s="14"/>
      <c r="H419" s="489"/>
      <c r="I419"/>
      <c r="J419"/>
      <c r="L419"/>
    </row>
    <row r="420" spans="2:12">
      <c r="B420"/>
      <c r="C420"/>
      <c r="D420"/>
      <c r="E420"/>
      <c r="F420"/>
      <c r="G420" s="14"/>
      <c r="H420" s="489"/>
      <c r="I420"/>
      <c r="J420"/>
      <c r="L420"/>
    </row>
    <row r="421" spans="2:12">
      <c r="B421"/>
      <c r="C421"/>
      <c r="D421"/>
      <c r="E421"/>
      <c r="F421"/>
      <c r="G421" s="14"/>
      <c r="H421" s="489"/>
      <c r="I421"/>
      <c r="J421"/>
      <c r="L421"/>
    </row>
    <row r="422" spans="2:12">
      <c r="B422"/>
      <c r="C422"/>
      <c r="D422"/>
      <c r="E422"/>
      <c r="F422"/>
      <c r="G422" s="14"/>
      <c r="H422" s="489"/>
      <c r="I422"/>
      <c r="J422"/>
      <c r="L422"/>
    </row>
    <row r="423" spans="2:12">
      <c r="B423"/>
      <c r="C423"/>
      <c r="D423"/>
      <c r="E423"/>
      <c r="F423"/>
      <c r="G423" s="14"/>
      <c r="H423" s="489"/>
      <c r="I423"/>
      <c r="J423"/>
      <c r="L423"/>
    </row>
    <row r="424" spans="2:12">
      <c r="B424"/>
      <c r="C424"/>
      <c r="D424"/>
      <c r="E424"/>
      <c r="F424"/>
      <c r="G424" s="14"/>
      <c r="H424" s="489"/>
      <c r="I424"/>
      <c r="J424"/>
      <c r="L424"/>
    </row>
    <row r="425" spans="2:12">
      <c r="B425"/>
      <c r="C425"/>
      <c r="D425"/>
      <c r="E425"/>
      <c r="F425"/>
      <c r="G425" s="14"/>
      <c r="H425" s="489"/>
      <c r="I425"/>
      <c r="J425"/>
      <c r="L425"/>
    </row>
    <row r="426" spans="2:12">
      <c r="B426"/>
      <c r="C426"/>
      <c r="D426"/>
      <c r="E426"/>
      <c r="F426"/>
      <c r="G426" s="14"/>
      <c r="H426" s="489"/>
      <c r="I426"/>
      <c r="J426"/>
      <c r="L426"/>
    </row>
    <row r="427" spans="2:12">
      <c r="B427"/>
      <c r="C427"/>
      <c r="D427"/>
      <c r="E427"/>
      <c r="F427"/>
      <c r="G427" s="14"/>
      <c r="H427" s="489"/>
      <c r="I427"/>
      <c r="J427"/>
      <c r="L427"/>
    </row>
    <row r="428" spans="2:12">
      <c r="B428"/>
      <c r="C428"/>
      <c r="D428"/>
      <c r="E428"/>
      <c r="F428"/>
      <c r="G428" s="14"/>
      <c r="H428" s="489"/>
      <c r="I428"/>
      <c r="J428"/>
      <c r="L428"/>
    </row>
    <row r="429" spans="2:12">
      <c r="B429"/>
      <c r="C429"/>
      <c r="D429"/>
      <c r="E429"/>
      <c r="F429"/>
      <c r="G429" s="14"/>
      <c r="H429" s="489"/>
      <c r="I429"/>
      <c r="J429"/>
      <c r="L429"/>
    </row>
    <row r="430" spans="2:12">
      <c r="B430"/>
      <c r="C430"/>
      <c r="D430"/>
      <c r="E430"/>
      <c r="F430"/>
      <c r="G430" s="14"/>
      <c r="H430" s="489"/>
      <c r="I430"/>
      <c r="J430"/>
      <c r="L430"/>
    </row>
    <row r="431" spans="2:12">
      <c r="B431"/>
      <c r="C431"/>
      <c r="D431"/>
      <c r="E431"/>
      <c r="F431"/>
      <c r="G431" s="14"/>
      <c r="H431" s="489"/>
      <c r="I431"/>
      <c r="J431"/>
      <c r="L431"/>
    </row>
    <row r="432" spans="2:12">
      <c r="B432"/>
      <c r="C432"/>
      <c r="D432"/>
      <c r="E432"/>
      <c r="F432"/>
      <c r="G432" s="14"/>
      <c r="H432" s="489"/>
      <c r="I432"/>
      <c r="J432"/>
      <c r="L432"/>
    </row>
    <row r="433" spans="2:12">
      <c r="B433"/>
      <c r="C433"/>
      <c r="D433"/>
      <c r="E433"/>
      <c r="F433"/>
      <c r="G433" s="14"/>
      <c r="H433" s="489"/>
      <c r="I433"/>
      <c r="J433"/>
      <c r="L433"/>
    </row>
    <row r="434" spans="2:12">
      <c r="B434"/>
      <c r="C434"/>
      <c r="D434"/>
      <c r="E434"/>
      <c r="F434"/>
      <c r="G434" s="14"/>
      <c r="H434" s="489"/>
      <c r="I434"/>
      <c r="J434"/>
      <c r="L434"/>
    </row>
    <row r="435" spans="2:12">
      <c r="B435"/>
      <c r="C435"/>
      <c r="D435"/>
      <c r="E435"/>
      <c r="F435"/>
      <c r="G435" s="14"/>
      <c r="H435" s="489"/>
      <c r="I435"/>
      <c r="J435"/>
      <c r="L435"/>
    </row>
    <row r="436" spans="2:12">
      <c r="B436"/>
      <c r="C436"/>
      <c r="D436"/>
      <c r="E436"/>
      <c r="F436"/>
      <c r="G436" s="14"/>
      <c r="H436" s="489"/>
      <c r="I436"/>
      <c r="J436"/>
      <c r="L436"/>
    </row>
    <row r="437" spans="2:12">
      <c r="B437"/>
      <c r="C437"/>
      <c r="D437"/>
      <c r="E437"/>
      <c r="F437"/>
      <c r="G437" s="14"/>
      <c r="H437" s="489"/>
      <c r="I437"/>
      <c r="J437"/>
      <c r="L437"/>
    </row>
    <row r="438" spans="2:12">
      <c r="B438"/>
      <c r="C438"/>
      <c r="D438"/>
      <c r="E438"/>
      <c r="F438"/>
      <c r="G438" s="14"/>
      <c r="H438" s="489"/>
      <c r="I438"/>
      <c r="J438"/>
      <c r="L438"/>
    </row>
    <row r="439" spans="2:12">
      <c r="B439"/>
      <c r="C439"/>
      <c r="D439"/>
      <c r="E439"/>
      <c r="F439"/>
      <c r="G439" s="14"/>
      <c r="H439" s="489"/>
      <c r="I439"/>
      <c r="J439"/>
      <c r="L439"/>
    </row>
    <row r="440" spans="2:12">
      <c r="B440"/>
      <c r="C440"/>
      <c r="D440"/>
      <c r="E440"/>
      <c r="F440"/>
      <c r="G440" s="14"/>
      <c r="H440" s="489"/>
      <c r="I440"/>
      <c r="J440"/>
      <c r="L440"/>
    </row>
    <row r="441" spans="2:12">
      <c r="B441"/>
      <c r="C441"/>
      <c r="D441"/>
      <c r="E441"/>
      <c r="F441"/>
      <c r="G441" s="14"/>
      <c r="H441" s="489"/>
      <c r="I441"/>
      <c r="J441"/>
      <c r="L441"/>
    </row>
    <row r="442" spans="2:12">
      <c r="B442"/>
      <c r="C442"/>
      <c r="D442"/>
      <c r="E442"/>
      <c r="F442"/>
      <c r="G442" s="14"/>
      <c r="H442" s="489"/>
      <c r="I442"/>
      <c r="J442"/>
      <c r="L442"/>
    </row>
    <row r="443" spans="2:12">
      <c r="B443"/>
      <c r="C443"/>
      <c r="D443"/>
      <c r="E443"/>
      <c r="F443"/>
      <c r="G443" s="14"/>
      <c r="H443" s="489"/>
      <c r="I443"/>
      <c r="J443"/>
      <c r="L443"/>
    </row>
    <row r="444" spans="2:12">
      <c r="B444"/>
      <c r="C444"/>
      <c r="D444"/>
      <c r="E444"/>
      <c r="F444"/>
      <c r="G444" s="14"/>
      <c r="H444" s="489"/>
      <c r="I444"/>
      <c r="J444"/>
      <c r="L444"/>
    </row>
    <row r="445" spans="2:12">
      <c r="B445"/>
      <c r="C445"/>
      <c r="D445"/>
      <c r="E445"/>
      <c r="F445"/>
      <c r="G445" s="14"/>
      <c r="H445" s="489"/>
      <c r="I445"/>
      <c r="J445"/>
      <c r="L445"/>
    </row>
    <row r="446" spans="2:12">
      <c r="B446"/>
      <c r="C446"/>
      <c r="D446"/>
      <c r="E446"/>
      <c r="F446"/>
      <c r="G446" s="14"/>
      <c r="H446" s="489"/>
      <c r="I446"/>
      <c r="J446"/>
      <c r="L446"/>
    </row>
    <row r="447" spans="2:12">
      <c r="B447"/>
      <c r="C447"/>
      <c r="D447"/>
      <c r="E447"/>
      <c r="F447"/>
      <c r="G447" s="14"/>
      <c r="H447" s="489"/>
      <c r="I447"/>
      <c r="J447"/>
      <c r="L447"/>
    </row>
    <row r="448" spans="2:12">
      <c r="B448"/>
      <c r="C448"/>
      <c r="D448"/>
      <c r="E448"/>
      <c r="F448"/>
      <c r="G448" s="14"/>
      <c r="H448" s="489"/>
      <c r="I448"/>
      <c r="J448"/>
      <c r="L448"/>
    </row>
    <row r="449" spans="2:12">
      <c r="B449"/>
      <c r="C449"/>
      <c r="D449"/>
      <c r="E449"/>
      <c r="F449"/>
      <c r="G449" s="14"/>
      <c r="H449" s="489"/>
      <c r="I449"/>
      <c r="J449"/>
      <c r="L449"/>
    </row>
    <row r="450" spans="2:12">
      <c r="B450"/>
      <c r="C450"/>
      <c r="D450"/>
      <c r="E450"/>
      <c r="F450"/>
      <c r="G450" s="14"/>
      <c r="H450" s="489"/>
      <c r="I450"/>
      <c r="J450"/>
      <c r="L450"/>
    </row>
    <row r="451" spans="2:12">
      <c r="B451"/>
      <c r="C451"/>
      <c r="D451"/>
      <c r="E451"/>
      <c r="F451"/>
      <c r="G451" s="14"/>
      <c r="H451" s="489"/>
      <c r="I451"/>
      <c r="J451"/>
      <c r="L451"/>
    </row>
    <row r="452" spans="2:12">
      <c r="B452"/>
      <c r="C452"/>
      <c r="D452"/>
      <c r="E452"/>
      <c r="F452"/>
      <c r="G452" s="14"/>
      <c r="H452" s="489"/>
      <c r="I452"/>
      <c r="J452"/>
      <c r="L452"/>
    </row>
    <row r="453" spans="2:12">
      <c r="B453"/>
      <c r="C453"/>
      <c r="D453"/>
      <c r="E453"/>
      <c r="F453"/>
      <c r="G453" s="14"/>
      <c r="H453" s="489"/>
      <c r="I453"/>
      <c r="J453"/>
      <c r="L453"/>
    </row>
    <row r="454" spans="2:12">
      <c r="B454"/>
      <c r="C454"/>
      <c r="D454"/>
      <c r="E454"/>
      <c r="F454"/>
      <c r="G454" s="14"/>
      <c r="H454" s="489"/>
      <c r="I454"/>
      <c r="J454"/>
      <c r="L454"/>
    </row>
    <row r="455" spans="2:12">
      <c r="B455"/>
      <c r="C455"/>
      <c r="D455"/>
      <c r="E455"/>
      <c r="F455"/>
      <c r="G455" s="14"/>
      <c r="H455" s="489"/>
      <c r="I455"/>
      <c r="J455"/>
      <c r="L455"/>
    </row>
    <row r="456" spans="2:12">
      <c r="B456"/>
      <c r="C456"/>
      <c r="D456"/>
      <c r="E456"/>
      <c r="F456"/>
      <c r="G456" s="14"/>
      <c r="H456" s="489"/>
      <c r="I456"/>
      <c r="J456"/>
      <c r="L456"/>
    </row>
    <row r="457" spans="2:12">
      <c r="B457"/>
      <c r="C457"/>
      <c r="D457"/>
      <c r="E457"/>
      <c r="F457"/>
      <c r="G457" s="14"/>
      <c r="H457" s="489"/>
      <c r="I457"/>
      <c r="J457"/>
      <c r="L457"/>
    </row>
    <row r="458" spans="2:12">
      <c r="B458"/>
      <c r="C458"/>
      <c r="D458"/>
      <c r="E458"/>
      <c r="F458"/>
      <c r="G458" s="14"/>
      <c r="H458" s="489"/>
      <c r="I458"/>
      <c r="J458"/>
      <c r="L458"/>
    </row>
    <row r="459" spans="2:12">
      <c r="B459"/>
      <c r="C459"/>
      <c r="D459"/>
      <c r="E459"/>
      <c r="F459"/>
      <c r="G459" s="14"/>
      <c r="H459" s="489"/>
      <c r="I459"/>
      <c r="J459"/>
      <c r="L459"/>
    </row>
    <row r="460" spans="2:12">
      <c r="B460"/>
      <c r="C460"/>
      <c r="D460"/>
      <c r="E460"/>
      <c r="F460"/>
      <c r="G460" s="14"/>
      <c r="H460" s="489"/>
      <c r="I460"/>
      <c r="J460"/>
      <c r="L460"/>
    </row>
    <row r="461" spans="2:12">
      <c r="B461"/>
      <c r="C461"/>
      <c r="D461"/>
      <c r="E461"/>
      <c r="F461"/>
      <c r="G461" s="14"/>
      <c r="H461" s="489"/>
      <c r="I461"/>
      <c r="J461"/>
      <c r="L461"/>
    </row>
    <row r="462" spans="2:12">
      <c r="B462"/>
      <c r="C462"/>
      <c r="D462"/>
      <c r="E462"/>
      <c r="F462"/>
      <c r="G462" s="14"/>
      <c r="H462" s="489"/>
      <c r="I462"/>
      <c r="J462"/>
      <c r="L462"/>
    </row>
    <row r="463" spans="2:12">
      <c r="B463"/>
      <c r="C463"/>
      <c r="D463"/>
      <c r="E463"/>
      <c r="F463"/>
      <c r="G463" s="14"/>
      <c r="H463" s="489"/>
      <c r="I463"/>
      <c r="J463"/>
      <c r="L463"/>
    </row>
    <row r="464" spans="2:12">
      <c r="B464"/>
      <c r="C464"/>
      <c r="D464"/>
      <c r="E464"/>
      <c r="F464"/>
      <c r="G464" s="14"/>
      <c r="H464" s="489"/>
      <c r="I464"/>
      <c r="J464"/>
      <c r="L464"/>
    </row>
    <row r="465" spans="2:12">
      <c r="B465"/>
      <c r="C465"/>
      <c r="D465"/>
      <c r="E465"/>
      <c r="F465"/>
      <c r="G465" s="14"/>
      <c r="H465" s="489"/>
      <c r="I465"/>
      <c r="J465"/>
      <c r="L465"/>
    </row>
    <row r="466" spans="2:12">
      <c r="B466"/>
      <c r="C466"/>
      <c r="D466"/>
      <c r="E466"/>
      <c r="F466"/>
      <c r="G466" s="14"/>
      <c r="H466" s="489"/>
      <c r="I466"/>
      <c r="J466"/>
      <c r="L466"/>
    </row>
    <row r="467" spans="2:12">
      <c r="B467"/>
      <c r="C467"/>
      <c r="D467"/>
      <c r="E467"/>
      <c r="F467"/>
      <c r="G467" s="14"/>
      <c r="H467" s="489"/>
      <c r="I467"/>
      <c r="J467"/>
      <c r="L467"/>
    </row>
    <row r="468" spans="2:12">
      <c r="B468"/>
      <c r="C468"/>
      <c r="D468"/>
      <c r="E468"/>
      <c r="F468"/>
      <c r="G468" s="14"/>
      <c r="H468" s="489"/>
      <c r="I468"/>
      <c r="J468"/>
      <c r="L468"/>
    </row>
    <row r="469" spans="2:12">
      <c r="B469"/>
      <c r="C469"/>
      <c r="D469"/>
      <c r="E469"/>
      <c r="F469"/>
      <c r="G469" s="14"/>
      <c r="H469" s="489"/>
      <c r="I469"/>
      <c r="J469"/>
      <c r="L469"/>
    </row>
    <row r="470" spans="2:12">
      <c r="B470"/>
      <c r="C470"/>
      <c r="D470"/>
      <c r="E470"/>
      <c r="F470"/>
      <c r="G470" s="14"/>
      <c r="H470" s="489"/>
      <c r="I470"/>
      <c r="J470"/>
      <c r="L470"/>
    </row>
    <row r="471" spans="2:12">
      <c r="B471"/>
      <c r="C471"/>
      <c r="D471"/>
      <c r="E471"/>
      <c r="F471"/>
      <c r="G471" s="14"/>
      <c r="H471" s="489"/>
      <c r="I471"/>
      <c r="J471"/>
      <c r="L471"/>
    </row>
    <row r="472" spans="2:12">
      <c r="B472"/>
      <c r="C472"/>
      <c r="D472"/>
      <c r="E472"/>
      <c r="F472"/>
      <c r="G472" s="14"/>
      <c r="H472" s="489"/>
      <c r="I472"/>
      <c r="J472"/>
      <c r="L472"/>
    </row>
    <row r="473" spans="2:12">
      <c r="B473"/>
      <c r="C473"/>
      <c r="D473"/>
      <c r="E473"/>
      <c r="F473"/>
      <c r="G473" s="14"/>
      <c r="H473" s="489"/>
      <c r="I473"/>
      <c r="J473"/>
      <c r="L473"/>
    </row>
    <row r="474" spans="2:12">
      <c r="B474"/>
      <c r="C474"/>
      <c r="D474"/>
      <c r="E474"/>
      <c r="F474"/>
      <c r="G474" s="14"/>
      <c r="H474" s="489"/>
      <c r="I474"/>
      <c r="J474"/>
      <c r="L474"/>
    </row>
    <row r="475" spans="2:12">
      <c r="B475"/>
      <c r="C475"/>
      <c r="D475"/>
      <c r="E475"/>
      <c r="F475"/>
      <c r="G475" s="14"/>
      <c r="H475" s="489"/>
      <c r="I475"/>
      <c r="J475"/>
      <c r="L475"/>
    </row>
    <row r="476" spans="2:12">
      <c r="B476"/>
      <c r="C476"/>
      <c r="D476"/>
      <c r="E476"/>
      <c r="F476"/>
      <c r="G476" s="14"/>
      <c r="H476" s="489"/>
      <c r="I476"/>
      <c r="J476"/>
      <c r="L476"/>
    </row>
    <row r="477" spans="2:12">
      <c r="B477"/>
      <c r="C477"/>
      <c r="D477"/>
      <c r="E477"/>
      <c r="F477"/>
      <c r="G477" s="14"/>
      <c r="H477" s="489"/>
      <c r="I477"/>
      <c r="J477"/>
      <c r="L477"/>
    </row>
    <row r="478" spans="2:12">
      <c r="B478"/>
      <c r="C478"/>
      <c r="D478"/>
      <c r="E478"/>
      <c r="F478"/>
      <c r="G478" s="14"/>
      <c r="H478" s="489"/>
      <c r="I478"/>
      <c r="J478"/>
      <c r="L478"/>
    </row>
    <row r="479" spans="2:12">
      <c r="B479"/>
      <c r="C479"/>
      <c r="D479"/>
      <c r="E479"/>
      <c r="F479"/>
      <c r="G479" s="14"/>
      <c r="H479" s="489"/>
      <c r="I479"/>
      <c r="J479"/>
      <c r="L479"/>
    </row>
    <row r="480" spans="2:12">
      <c r="B480"/>
      <c r="C480"/>
      <c r="D480"/>
      <c r="E480"/>
      <c r="F480"/>
      <c r="G480" s="14"/>
      <c r="H480" s="489"/>
      <c r="I480"/>
      <c r="J480"/>
      <c r="L480"/>
    </row>
    <row r="481" spans="2:12">
      <c r="B481"/>
      <c r="C481"/>
      <c r="D481"/>
      <c r="E481"/>
      <c r="F481"/>
      <c r="G481" s="14"/>
      <c r="H481" s="489"/>
      <c r="I481"/>
      <c r="J481"/>
      <c r="L481"/>
    </row>
    <row r="482" spans="2:12">
      <c r="B482"/>
      <c r="C482"/>
      <c r="D482"/>
      <c r="E482"/>
      <c r="F482"/>
      <c r="G482" s="14"/>
      <c r="H482" s="489"/>
      <c r="I482"/>
      <c r="J482"/>
      <c r="L482"/>
    </row>
    <row r="483" spans="2:12">
      <c r="B483"/>
      <c r="C483"/>
      <c r="D483"/>
      <c r="E483"/>
      <c r="F483"/>
      <c r="G483" s="14"/>
      <c r="H483" s="489"/>
      <c r="I483"/>
      <c r="J483"/>
      <c r="L483"/>
    </row>
    <row r="484" spans="2:12">
      <c r="B484"/>
      <c r="C484"/>
      <c r="D484"/>
      <c r="E484"/>
      <c r="F484"/>
      <c r="G484" s="14"/>
      <c r="H484" s="489"/>
      <c r="I484"/>
      <c r="J484"/>
      <c r="L484"/>
    </row>
    <row r="485" spans="2:12">
      <c r="B485"/>
      <c r="C485"/>
      <c r="D485"/>
      <c r="E485"/>
      <c r="F485"/>
      <c r="G485" s="14"/>
      <c r="H485" s="489"/>
      <c r="I485"/>
      <c r="J485"/>
      <c r="L485"/>
    </row>
    <row r="486" spans="2:12">
      <c r="B486"/>
      <c r="C486"/>
      <c r="D486"/>
      <c r="E486"/>
      <c r="F486"/>
      <c r="G486" s="14"/>
      <c r="H486" s="489"/>
      <c r="I486"/>
      <c r="J486"/>
      <c r="L486"/>
    </row>
    <row r="487" spans="2:12">
      <c r="B487"/>
      <c r="C487"/>
      <c r="D487"/>
      <c r="E487"/>
      <c r="F487"/>
      <c r="G487" s="14"/>
      <c r="H487" s="489"/>
      <c r="I487"/>
      <c r="J487"/>
      <c r="L487"/>
    </row>
    <row r="488" spans="2:12">
      <c r="B488"/>
      <c r="C488"/>
      <c r="D488"/>
      <c r="E488"/>
      <c r="F488"/>
      <c r="G488" s="14"/>
      <c r="H488" s="489"/>
      <c r="I488"/>
      <c r="J488"/>
      <c r="L488"/>
    </row>
    <row r="489" spans="2:12">
      <c r="B489"/>
      <c r="C489"/>
      <c r="D489"/>
      <c r="E489"/>
      <c r="F489"/>
      <c r="G489" s="14"/>
      <c r="H489" s="489"/>
      <c r="I489"/>
      <c r="J489"/>
      <c r="L489"/>
    </row>
    <row r="490" spans="2:12">
      <c r="B490"/>
      <c r="C490"/>
      <c r="D490"/>
      <c r="E490"/>
      <c r="F490"/>
      <c r="G490" s="14"/>
      <c r="H490" s="489"/>
      <c r="I490"/>
      <c r="J490"/>
      <c r="L490"/>
    </row>
    <row r="491" spans="2:12">
      <c r="B491"/>
      <c r="C491"/>
      <c r="D491"/>
      <c r="E491"/>
      <c r="F491"/>
      <c r="G491" s="14"/>
      <c r="H491" s="489"/>
      <c r="I491"/>
      <c r="J491"/>
      <c r="L491"/>
    </row>
    <row r="492" spans="2:12">
      <c r="B492"/>
      <c r="C492"/>
      <c r="D492"/>
      <c r="E492"/>
      <c r="F492"/>
      <c r="G492" s="14"/>
      <c r="H492" s="489"/>
      <c r="I492"/>
      <c r="J492"/>
      <c r="L492"/>
    </row>
    <row r="493" spans="2:12">
      <c r="B493"/>
      <c r="C493"/>
      <c r="D493"/>
      <c r="E493"/>
      <c r="F493"/>
      <c r="G493" s="14"/>
      <c r="H493" s="489"/>
      <c r="I493"/>
      <c r="J493"/>
      <c r="L493"/>
    </row>
    <row r="494" spans="2:12">
      <c r="B494"/>
      <c r="C494"/>
      <c r="D494"/>
      <c r="E494"/>
      <c r="F494"/>
      <c r="G494" s="14"/>
      <c r="H494" s="489"/>
      <c r="I494"/>
      <c r="J494"/>
      <c r="L494"/>
    </row>
    <row r="495" spans="2:12">
      <c r="B495"/>
      <c r="C495"/>
      <c r="D495"/>
      <c r="E495"/>
      <c r="F495"/>
      <c r="G495" s="14"/>
      <c r="H495" s="489"/>
      <c r="I495"/>
      <c r="J495"/>
      <c r="L495"/>
    </row>
    <row r="496" spans="2:12">
      <c r="B496"/>
      <c r="C496"/>
      <c r="D496"/>
      <c r="E496"/>
      <c r="F496"/>
      <c r="G496" s="14"/>
      <c r="H496" s="489"/>
      <c r="I496"/>
      <c r="J496"/>
      <c r="L496"/>
    </row>
    <row r="497" spans="2:12">
      <c r="B497"/>
      <c r="C497"/>
      <c r="D497"/>
      <c r="E497"/>
      <c r="F497"/>
      <c r="G497" s="14"/>
      <c r="H497" s="489"/>
      <c r="I497"/>
      <c r="J497"/>
      <c r="L497"/>
    </row>
    <row r="498" spans="2:12">
      <c r="B498"/>
      <c r="C498"/>
      <c r="D498"/>
      <c r="E498"/>
      <c r="F498"/>
      <c r="G498" s="14"/>
      <c r="H498" s="489"/>
      <c r="I498"/>
      <c r="J498"/>
      <c r="L498"/>
    </row>
    <row r="499" spans="2:12">
      <c r="B499"/>
      <c r="C499"/>
      <c r="D499"/>
      <c r="E499"/>
      <c r="F499"/>
      <c r="G499" s="14"/>
      <c r="H499" s="489"/>
      <c r="I499"/>
      <c r="J499"/>
      <c r="L499"/>
    </row>
    <row r="500" spans="2:12">
      <c r="B500"/>
      <c r="C500"/>
      <c r="D500"/>
      <c r="E500"/>
      <c r="F500"/>
      <c r="G500" s="14"/>
      <c r="H500" s="489"/>
      <c r="I500"/>
      <c r="J500"/>
      <c r="L500"/>
    </row>
    <row r="501" spans="2:12">
      <c r="B501"/>
      <c r="C501"/>
      <c r="D501"/>
      <c r="E501"/>
      <c r="F501"/>
      <c r="G501" s="14"/>
      <c r="H501" s="489"/>
      <c r="I501"/>
      <c r="J501"/>
      <c r="L501"/>
    </row>
    <row r="502" spans="2:12">
      <c r="B502"/>
      <c r="C502"/>
      <c r="D502"/>
      <c r="E502"/>
      <c r="F502"/>
      <c r="G502" s="14"/>
      <c r="H502" s="489"/>
      <c r="I502"/>
      <c r="J502"/>
      <c r="L502"/>
    </row>
    <row r="503" spans="2:12">
      <c r="B503"/>
      <c r="C503"/>
      <c r="D503"/>
      <c r="E503"/>
      <c r="F503"/>
      <c r="G503" s="14"/>
      <c r="H503" s="489"/>
      <c r="I503"/>
      <c r="J503"/>
      <c r="L503"/>
    </row>
    <row r="504" spans="2:12">
      <c r="B504"/>
      <c r="C504"/>
      <c r="D504"/>
      <c r="E504"/>
      <c r="F504"/>
      <c r="G504" s="14"/>
      <c r="H504" s="489"/>
      <c r="I504"/>
      <c r="J504"/>
      <c r="L504"/>
    </row>
    <row r="505" spans="2:12">
      <c r="B505"/>
      <c r="C505"/>
      <c r="D505"/>
      <c r="E505"/>
      <c r="F505"/>
      <c r="G505" s="14"/>
      <c r="H505" s="489"/>
      <c r="I505"/>
      <c r="J505"/>
      <c r="L505"/>
    </row>
    <row r="506" spans="2:12">
      <c r="B506"/>
      <c r="C506"/>
      <c r="D506"/>
      <c r="E506"/>
      <c r="F506"/>
      <c r="G506" s="14"/>
      <c r="I506"/>
      <c r="J506"/>
      <c r="L506"/>
    </row>
    <row r="507" spans="2:12">
      <c r="B507"/>
      <c r="C507"/>
      <c r="D507"/>
      <c r="E507"/>
      <c r="F507"/>
      <c r="G507" s="14"/>
      <c r="I507"/>
      <c r="J507"/>
      <c r="L507"/>
    </row>
    <row r="508" spans="2:12">
      <c r="B508"/>
      <c r="C508"/>
      <c r="D508"/>
      <c r="E508"/>
      <c r="F508"/>
      <c r="G508" s="14"/>
      <c r="I508"/>
      <c r="J508"/>
      <c r="L508"/>
    </row>
    <row r="509" spans="2:12">
      <c r="B509"/>
      <c r="C509"/>
      <c r="D509"/>
      <c r="E509"/>
      <c r="F509"/>
      <c r="G509" s="14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  <c r="L692"/>
    </row>
    <row r="693" spans="2:12">
      <c r="B693"/>
      <c r="C693"/>
      <c r="D693"/>
      <c r="E693"/>
      <c r="F693"/>
      <c r="G693" s="14"/>
      <c r="H693"/>
      <c r="I693"/>
      <c r="J693"/>
      <c r="L693"/>
    </row>
    <row r="694" spans="2:12">
      <c r="B694"/>
      <c r="C694"/>
      <c r="D694"/>
      <c r="E694"/>
      <c r="F694"/>
      <c r="G694" s="14"/>
      <c r="H694"/>
      <c r="I694"/>
      <c r="J694"/>
      <c r="L694"/>
    </row>
    <row r="695" spans="2:12">
      <c r="B695"/>
      <c r="C695"/>
      <c r="D695"/>
      <c r="E695"/>
      <c r="F695"/>
      <c r="G695" s="14"/>
      <c r="H695"/>
      <c r="I695"/>
      <c r="J695"/>
      <c r="L695"/>
    </row>
    <row r="696" spans="2:12">
      <c r="B696"/>
      <c r="C696"/>
      <c r="D696"/>
      <c r="E696"/>
      <c r="F696"/>
      <c r="G696" s="14"/>
      <c r="H696"/>
      <c r="I696"/>
      <c r="J696"/>
      <c r="L696"/>
    </row>
    <row r="697" spans="2:12">
      <c r="B697"/>
      <c r="C697"/>
      <c r="D697"/>
      <c r="E697"/>
      <c r="F697"/>
      <c r="G697" s="14"/>
      <c r="H697"/>
      <c r="I697"/>
      <c r="J697"/>
      <c r="L697"/>
    </row>
    <row r="698" spans="2:12">
      <c r="B698"/>
      <c r="C698"/>
      <c r="D698"/>
      <c r="E698"/>
      <c r="F698"/>
      <c r="G698" s="14"/>
      <c r="H698"/>
      <c r="I698"/>
      <c r="J698"/>
      <c r="L698"/>
    </row>
    <row r="699" spans="2:12">
      <c r="B699"/>
      <c r="C699"/>
      <c r="D699"/>
      <c r="E699"/>
      <c r="F699"/>
      <c r="G699" s="14"/>
      <c r="H699"/>
      <c r="I699"/>
      <c r="J699"/>
      <c r="L699"/>
    </row>
    <row r="700" spans="2:12">
      <c r="B700"/>
      <c r="C700"/>
      <c r="D700"/>
      <c r="E700"/>
      <c r="F700"/>
      <c r="G700" s="14"/>
      <c r="H700"/>
      <c r="I700"/>
      <c r="J700"/>
      <c r="L700"/>
    </row>
    <row r="701" spans="2:12">
      <c r="B701"/>
      <c r="C701"/>
      <c r="D701"/>
      <c r="E701"/>
      <c r="F701"/>
      <c r="G701" s="14"/>
      <c r="H701"/>
      <c r="I701"/>
      <c r="J701"/>
      <c r="L701"/>
    </row>
    <row r="702" spans="2:12">
      <c r="B702"/>
      <c r="C702"/>
      <c r="D702"/>
      <c r="E702"/>
      <c r="F702"/>
      <c r="G702" s="14"/>
      <c r="H702"/>
      <c r="I702"/>
      <c r="J702"/>
      <c r="L702"/>
    </row>
    <row r="703" spans="2:12">
      <c r="B703"/>
      <c r="C703"/>
      <c r="D703"/>
      <c r="E703"/>
      <c r="F703"/>
      <c r="G703" s="14"/>
      <c r="H703"/>
      <c r="I703"/>
      <c r="J703"/>
      <c r="L703"/>
    </row>
    <row r="704" spans="2:12">
      <c r="B704"/>
      <c r="C704"/>
      <c r="D704"/>
      <c r="E704"/>
      <c r="F704"/>
      <c r="G704" s="14"/>
      <c r="H704"/>
      <c r="I704"/>
      <c r="J704"/>
      <c r="L704"/>
    </row>
    <row r="705" spans="2:12">
      <c r="B705"/>
      <c r="C705"/>
      <c r="D705"/>
      <c r="E705"/>
      <c r="F705"/>
      <c r="G705" s="14"/>
      <c r="H705"/>
      <c r="I705"/>
      <c r="J705"/>
      <c r="L705"/>
    </row>
    <row r="706" spans="2:12">
      <c r="B706"/>
      <c r="C706"/>
      <c r="D706"/>
      <c r="E706"/>
      <c r="F706"/>
      <c r="G706" s="14"/>
      <c r="H706"/>
      <c r="I706"/>
      <c r="J706"/>
      <c r="L706"/>
    </row>
    <row r="707" spans="2:12">
      <c r="B707"/>
      <c r="C707"/>
      <c r="D707"/>
      <c r="E707"/>
      <c r="F707"/>
      <c r="G707" s="14"/>
      <c r="H707"/>
      <c r="I707"/>
      <c r="J707"/>
      <c r="L707"/>
    </row>
    <row r="708" spans="2:12">
      <c r="B708"/>
      <c r="C708"/>
      <c r="D708"/>
      <c r="E708"/>
      <c r="F708"/>
      <c r="G708" s="14"/>
      <c r="H708"/>
      <c r="I708"/>
      <c r="J708"/>
      <c r="L708"/>
    </row>
    <row r="709" spans="2:12">
      <c r="B709"/>
      <c r="C709"/>
      <c r="D709"/>
      <c r="E709"/>
      <c r="F709"/>
      <c r="G709" s="14"/>
      <c r="H709"/>
      <c r="I709"/>
      <c r="J709"/>
      <c r="L709"/>
    </row>
    <row r="710" spans="2:12">
      <c r="B710"/>
      <c r="C710"/>
      <c r="D710"/>
      <c r="E710"/>
      <c r="F710"/>
      <c r="G710" s="14"/>
      <c r="H710"/>
      <c r="I710"/>
      <c r="J710"/>
      <c r="L710"/>
    </row>
    <row r="711" spans="2:12">
      <c r="B711"/>
      <c r="C711"/>
      <c r="D711"/>
      <c r="E711"/>
      <c r="F711"/>
      <c r="G711" s="14"/>
      <c r="H711"/>
      <c r="I711"/>
      <c r="J711"/>
      <c r="L711"/>
    </row>
    <row r="712" spans="2:12">
      <c r="B712"/>
      <c r="C712"/>
      <c r="D712"/>
      <c r="E712"/>
      <c r="F712"/>
      <c r="G712" s="14"/>
      <c r="H712"/>
      <c r="I712"/>
      <c r="J712"/>
      <c r="L712"/>
    </row>
    <row r="713" spans="2:12">
      <c r="B713"/>
      <c r="C713"/>
      <c r="D713"/>
      <c r="E713"/>
      <c r="F713"/>
      <c r="G713" s="14"/>
      <c r="H713"/>
      <c r="I713"/>
      <c r="J713"/>
      <c r="L713"/>
    </row>
    <row r="714" spans="2:12">
      <c r="B714"/>
      <c r="C714"/>
      <c r="D714"/>
      <c r="E714"/>
      <c r="F714"/>
      <c r="G714" s="14"/>
      <c r="H714"/>
      <c r="I714"/>
      <c r="J714"/>
      <c r="L714"/>
    </row>
    <row r="715" spans="2:12">
      <c r="B715"/>
      <c r="C715"/>
      <c r="D715"/>
      <c r="E715"/>
      <c r="F715"/>
      <c r="G715" s="14"/>
      <c r="H715"/>
      <c r="I715"/>
      <c r="J715"/>
      <c r="L715"/>
    </row>
    <row r="716" spans="2:12">
      <c r="B716"/>
      <c r="C716"/>
      <c r="D716"/>
      <c r="E716"/>
      <c r="F716"/>
      <c r="G716" s="14"/>
      <c r="H716"/>
      <c r="I716"/>
      <c r="J716"/>
      <c r="L716"/>
    </row>
    <row r="717" spans="2:12">
      <c r="B717"/>
      <c r="C717"/>
      <c r="D717"/>
      <c r="E717"/>
      <c r="F717"/>
      <c r="G717" s="14"/>
      <c r="H717"/>
      <c r="I717"/>
      <c r="J717"/>
      <c r="L717"/>
    </row>
    <row r="718" spans="2:12">
      <c r="B718"/>
      <c r="C718"/>
      <c r="D718"/>
      <c r="E718"/>
      <c r="F718"/>
      <c r="G718" s="14"/>
      <c r="H718"/>
      <c r="I718"/>
      <c r="J718"/>
      <c r="L718"/>
    </row>
    <row r="719" spans="2:12">
      <c r="B719"/>
      <c r="C719"/>
      <c r="D719"/>
      <c r="E719"/>
      <c r="F719"/>
      <c r="G719" s="14"/>
      <c r="H719"/>
      <c r="I719"/>
      <c r="J719"/>
      <c r="L719"/>
    </row>
    <row r="720" spans="2:12">
      <c r="B720"/>
      <c r="C720"/>
      <c r="D720"/>
      <c r="E720"/>
      <c r="F720"/>
      <c r="G720" s="14"/>
      <c r="H720"/>
      <c r="I720"/>
      <c r="J720"/>
      <c r="L720"/>
    </row>
    <row r="721" spans="2:12">
      <c r="B721"/>
      <c r="C721"/>
      <c r="D721"/>
      <c r="E721"/>
      <c r="F721"/>
      <c r="G721" s="14"/>
      <c r="H721"/>
      <c r="I721"/>
      <c r="J721"/>
      <c r="L721"/>
    </row>
    <row r="722" spans="2:12">
      <c r="B722"/>
      <c r="C722"/>
      <c r="D722"/>
      <c r="E722"/>
      <c r="F722"/>
      <c r="G722" s="14"/>
      <c r="H722"/>
      <c r="I722"/>
      <c r="J722"/>
      <c r="L722"/>
    </row>
    <row r="723" spans="2:12">
      <c r="B723"/>
      <c r="C723"/>
      <c r="D723"/>
      <c r="E723"/>
      <c r="F723"/>
      <c r="G723" s="14"/>
      <c r="H723"/>
      <c r="I723"/>
      <c r="J723"/>
      <c r="L723"/>
    </row>
    <row r="724" spans="2:12">
      <c r="B724"/>
      <c r="C724"/>
      <c r="D724"/>
      <c r="E724"/>
      <c r="F724"/>
      <c r="G724" s="14"/>
      <c r="H724"/>
      <c r="I724"/>
      <c r="J724"/>
      <c r="L724"/>
    </row>
    <row r="725" spans="2:12">
      <c r="B725"/>
      <c r="C725"/>
      <c r="D725"/>
      <c r="E725"/>
      <c r="F725"/>
      <c r="G725" s="14"/>
      <c r="H725"/>
      <c r="I725"/>
      <c r="J725"/>
      <c r="L725"/>
    </row>
    <row r="726" spans="2:12">
      <c r="B726"/>
      <c r="C726"/>
      <c r="D726"/>
      <c r="E726"/>
      <c r="F726"/>
      <c r="G726" s="14"/>
      <c r="H726"/>
      <c r="I726"/>
      <c r="J726"/>
      <c r="L726"/>
    </row>
    <row r="727" spans="2:12">
      <c r="B727"/>
      <c r="C727"/>
      <c r="D727"/>
      <c r="E727"/>
      <c r="F727"/>
      <c r="G727" s="14"/>
      <c r="H727"/>
      <c r="I727"/>
      <c r="J727"/>
      <c r="L727"/>
    </row>
    <row r="728" spans="2:12">
      <c r="B728"/>
      <c r="C728"/>
      <c r="D728"/>
      <c r="E728"/>
      <c r="F728"/>
      <c r="G728" s="14"/>
      <c r="H728"/>
      <c r="I728"/>
      <c r="J728"/>
      <c r="L728"/>
    </row>
    <row r="729" spans="2:12">
      <c r="B729"/>
      <c r="C729"/>
      <c r="D729"/>
      <c r="E729"/>
      <c r="F729"/>
      <c r="G729" s="14"/>
      <c r="H729"/>
      <c r="I729"/>
      <c r="J729"/>
      <c r="L729"/>
    </row>
    <row r="730" spans="2:12">
      <c r="B730"/>
      <c r="C730"/>
      <c r="D730"/>
      <c r="E730"/>
      <c r="F730"/>
      <c r="G730" s="14"/>
      <c r="H730"/>
      <c r="I730"/>
      <c r="J730"/>
      <c r="L730"/>
    </row>
    <row r="731" spans="2:12">
      <c r="B731"/>
      <c r="C731"/>
      <c r="D731"/>
      <c r="E731"/>
      <c r="F731"/>
      <c r="G731" s="14"/>
      <c r="H731"/>
      <c r="I731"/>
      <c r="J731"/>
      <c r="L731"/>
    </row>
    <row r="732" spans="2:12">
      <c r="B732"/>
      <c r="C732"/>
      <c r="D732"/>
      <c r="E732"/>
      <c r="F732"/>
      <c r="G732" s="14"/>
      <c r="H732"/>
      <c r="I732"/>
      <c r="J732"/>
      <c r="L732"/>
    </row>
    <row r="733" spans="2:12">
      <c r="B733"/>
      <c r="C733"/>
      <c r="D733"/>
      <c r="E733"/>
      <c r="F733"/>
      <c r="G733" s="14"/>
      <c r="H733"/>
      <c r="I733"/>
      <c r="J733"/>
      <c r="L733"/>
    </row>
    <row r="734" spans="2:12">
      <c r="B734"/>
      <c r="C734"/>
      <c r="D734"/>
      <c r="E734"/>
      <c r="F734"/>
      <c r="G734" s="14"/>
      <c r="H734"/>
      <c r="I734"/>
      <c r="J734"/>
      <c r="L734"/>
    </row>
    <row r="735" spans="2:12">
      <c r="B735"/>
      <c r="C735"/>
      <c r="D735"/>
      <c r="E735"/>
      <c r="F735"/>
      <c r="G735" s="14"/>
      <c r="H735"/>
      <c r="I735"/>
      <c r="J735"/>
      <c r="L735"/>
    </row>
    <row r="736" spans="2:12">
      <c r="B736"/>
      <c r="C736"/>
      <c r="D736"/>
      <c r="E736"/>
      <c r="F736"/>
      <c r="G736" s="14"/>
      <c r="H736"/>
      <c r="I736"/>
      <c r="J736"/>
      <c r="L736"/>
    </row>
    <row r="737" spans="2:12">
      <c r="B737"/>
      <c r="C737"/>
      <c r="D737"/>
      <c r="E737"/>
      <c r="F737"/>
      <c r="G737" s="14"/>
      <c r="H737"/>
      <c r="I737"/>
      <c r="J737"/>
      <c r="L737"/>
    </row>
    <row r="738" spans="2:12">
      <c r="B738"/>
      <c r="C738"/>
      <c r="D738"/>
      <c r="E738"/>
      <c r="F738"/>
      <c r="G738" s="14"/>
      <c r="H738"/>
      <c r="I738"/>
      <c r="J738"/>
      <c r="L738"/>
    </row>
    <row r="739" spans="2:12">
      <c r="B739"/>
      <c r="C739"/>
      <c r="D739"/>
      <c r="E739"/>
      <c r="F739"/>
      <c r="G739" s="14"/>
      <c r="H739"/>
      <c r="I739"/>
      <c r="J739"/>
    </row>
    <row r="740" spans="2:12">
      <c r="B740"/>
      <c r="C740"/>
      <c r="D740"/>
      <c r="E740"/>
      <c r="F740"/>
      <c r="G740" s="14"/>
      <c r="H740"/>
      <c r="I740"/>
      <c r="J740"/>
    </row>
    <row r="741" spans="2:12">
      <c r="B741"/>
      <c r="C741"/>
      <c r="D741"/>
      <c r="E741"/>
      <c r="F741"/>
      <c r="G741" s="14"/>
      <c r="H741"/>
      <c r="I741"/>
      <c r="J741"/>
    </row>
    <row r="742" spans="2:12">
      <c r="B742"/>
      <c r="C742"/>
      <c r="D742"/>
      <c r="E742"/>
      <c r="F742"/>
      <c r="G742" s="14"/>
      <c r="H742"/>
      <c r="I742"/>
      <c r="J742"/>
    </row>
    <row r="743" spans="2:12">
      <c r="B743"/>
      <c r="C743"/>
      <c r="D743"/>
      <c r="E743"/>
      <c r="F743"/>
      <c r="G743" s="14"/>
      <c r="H743"/>
      <c r="I743"/>
      <c r="J743"/>
    </row>
    <row r="744" spans="2:12">
      <c r="B744"/>
      <c r="C744"/>
      <c r="D744"/>
      <c r="E744"/>
      <c r="F744"/>
      <c r="G744" s="14"/>
      <c r="H744"/>
      <c r="I744"/>
      <c r="J744"/>
    </row>
    <row r="745" spans="2:12">
      <c r="B745"/>
      <c r="C745"/>
      <c r="D745"/>
      <c r="E745"/>
      <c r="F745"/>
      <c r="G745" s="14"/>
      <c r="H745"/>
      <c r="I745"/>
      <c r="J745"/>
    </row>
    <row r="746" spans="2:12">
      <c r="B746"/>
      <c r="C746"/>
      <c r="D746"/>
      <c r="E746"/>
      <c r="F746"/>
      <c r="G746" s="14"/>
      <c r="H746"/>
      <c r="I746"/>
      <c r="J746"/>
    </row>
    <row r="747" spans="2:12">
      <c r="B747"/>
      <c r="C747"/>
      <c r="D747"/>
      <c r="E747"/>
      <c r="F747"/>
      <c r="G747" s="14"/>
      <c r="H747"/>
      <c r="I747"/>
      <c r="J747"/>
    </row>
    <row r="748" spans="2:12">
      <c r="B748"/>
      <c r="C748"/>
      <c r="D748"/>
      <c r="E748"/>
      <c r="F748"/>
      <c r="G748" s="14"/>
      <c r="H748"/>
      <c r="I748"/>
      <c r="J748"/>
    </row>
    <row r="749" spans="2:12">
      <c r="B749"/>
      <c r="C749"/>
      <c r="D749"/>
      <c r="E749"/>
      <c r="F749"/>
      <c r="G749" s="14"/>
      <c r="H749"/>
      <c r="I749"/>
      <c r="J749"/>
    </row>
    <row r="750" spans="2:12">
      <c r="B750"/>
      <c r="C750"/>
      <c r="D750"/>
      <c r="E750"/>
      <c r="F750"/>
      <c r="G750" s="14"/>
      <c r="H750"/>
      <c r="I750"/>
      <c r="J750"/>
    </row>
    <row r="751" spans="2:12">
      <c r="B751"/>
      <c r="C751"/>
      <c r="D751"/>
      <c r="E751"/>
      <c r="F751"/>
      <c r="G751" s="14"/>
      <c r="H751"/>
      <c r="I751"/>
      <c r="J751"/>
    </row>
    <row r="752" spans="2:12">
      <c r="B752"/>
      <c r="C752"/>
      <c r="D752"/>
      <c r="E752"/>
      <c r="F752"/>
      <c r="G752" s="14"/>
      <c r="H752"/>
      <c r="I752"/>
      <c r="J752"/>
    </row>
    <row r="753" spans="2:10">
      <c r="B753"/>
      <c r="C753"/>
      <c r="D753"/>
      <c r="E753"/>
      <c r="F753"/>
      <c r="G753" s="14"/>
      <c r="H753"/>
      <c r="I753"/>
      <c r="J753"/>
    </row>
  </sheetData>
  <phoneticPr fontId="3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rgb="FFFF0000"/>
  </sheetPr>
  <dimension ref="A1:S732"/>
  <sheetViews>
    <sheetView topLeftCell="A8" workbookViewId="0">
      <selection activeCell="E34" sqref="E34:E100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319</v>
      </c>
      <c r="F1" s="2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307</v>
      </c>
      <c r="S2" s="131" t="s">
        <v>21</v>
      </c>
    </row>
    <row r="3" spans="1:19" s="93" customFormat="1">
      <c r="A3" s="690" t="s">
        <v>507</v>
      </c>
      <c r="B3" s="700">
        <v>44488</v>
      </c>
      <c r="C3" s="691"/>
      <c r="D3" s="701"/>
      <c r="E3" s="693">
        <v>0</v>
      </c>
      <c r="F3" s="693"/>
      <c r="G3" s="779">
        <f>-VLOOKUP(A3,'market px'!K$1:P$35,3,FALSE)*E3/1000000</f>
        <v>0</v>
      </c>
      <c r="H3" s="703"/>
      <c r="I3" s="704">
        <v>104.1588</v>
      </c>
      <c r="J3" s="774">
        <f>VLOOKUP(A3,'market px'!K$2:P$35,6,FALSE)</f>
        <v>104.7786</v>
      </c>
      <c r="K3" s="698">
        <f t="shared" ref="K3:K21" si="0">(J3-I3)*E3/100</f>
        <v>0</v>
      </c>
      <c r="L3" s="774"/>
      <c r="S3" s="131"/>
    </row>
    <row r="4" spans="1:19" s="93" customFormat="1">
      <c r="A4" s="773" t="s">
        <v>507</v>
      </c>
      <c r="B4" s="802">
        <v>44413</v>
      </c>
      <c r="C4" s="774"/>
      <c r="D4" s="775"/>
      <c r="E4" s="776">
        <v>0</v>
      </c>
      <c r="F4" s="774"/>
      <c r="G4" s="779">
        <f>-VLOOKUP(A4,'market px'!K$1:P$35,3,FALSE)*E4/1000000</f>
        <v>0</v>
      </c>
      <c r="H4" s="778"/>
      <c r="I4" s="777">
        <v>104.1588</v>
      </c>
      <c r="J4" s="774">
        <f>VLOOKUP(A4,'market px'!K$2:P$35,6,FALSE)</f>
        <v>104.7786</v>
      </c>
      <c r="K4" s="698">
        <f t="shared" si="0"/>
        <v>0</v>
      </c>
      <c r="L4" s="774"/>
      <c r="S4" s="131"/>
    </row>
    <row r="5" spans="1:19" s="93" customFormat="1">
      <c r="A5" s="773" t="s">
        <v>368</v>
      </c>
      <c r="B5" s="802">
        <v>44140</v>
      </c>
      <c r="C5" s="774"/>
      <c r="D5" s="775"/>
      <c r="E5" s="776">
        <v>0</v>
      </c>
      <c r="F5" s="774"/>
      <c r="G5" s="779">
        <f>-VLOOKUP(A5,'market px'!K$1:P$15,3,FALSE)*E5/1000000</f>
        <v>0</v>
      </c>
      <c r="H5" s="778"/>
      <c r="I5" s="777">
        <v>98.219200000000001</v>
      </c>
      <c r="J5" s="774">
        <f>VLOOKUP(A5,'market px'!K$2:P$15,6,FALSE)</f>
        <v>98.219200000000001</v>
      </c>
      <c r="K5" s="698">
        <f t="shared" si="0"/>
        <v>0</v>
      </c>
      <c r="L5" s="774"/>
      <c r="S5" s="131"/>
    </row>
    <row r="6" spans="1:19" s="93" customFormat="1">
      <c r="A6" s="773" t="s">
        <v>368</v>
      </c>
      <c r="B6" s="802">
        <v>44231</v>
      </c>
      <c r="C6" s="774"/>
      <c r="D6" s="775"/>
      <c r="E6" s="776">
        <v>0</v>
      </c>
      <c r="F6" s="774"/>
      <c r="G6" s="779">
        <f>-VLOOKUP(A6,'market px'!K$1:P$80,3,FALSE)*E6/1000000</f>
        <v>0</v>
      </c>
      <c r="H6" s="778"/>
      <c r="I6" s="777">
        <v>98.219200000000001</v>
      </c>
      <c r="J6" s="774">
        <f>VLOOKUP(A6,'market px'!K$2:P$80,6,FALSE)</f>
        <v>98.219200000000001</v>
      </c>
      <c r="K6" s="698">
        <f t="shared" si="0"/>
        <v>0</v>
      </c>
      <c r="L6" s="774"/>
      <c r="S6" s="131"/>
    </row>
    <row r="7" spans="1:19" s="93" customFormat="1">
      <c r="A7" s="690" t="s">
        <v>496</v>
      </c>
      <c r="B7" s="691">
        <v>44315</v>
      </c>
      <c r="C7" s="774"/>
      <c r="D7" s="775"/>
      <c r="E7" s="776">
        <v>0</v>
      </c>
      <c r="F7" s="774"/>
      <c r="G7" s="779">
        <f>-VLOOKUP(A7,'market px'!K$1:P$80,3,FALSE)*E7/1000000</f>
        <v>0</v>
      </c>
      <c r="H7" s="778"/>
      <c r="I7" s="835">
        <v>102.4503</v>
      </c>
      <c r="J7" s="774">
        <f>VLOOKUP(A7,'market px'!K$2:P$80,6,FALSE)</f>
        <v>102.4503</v>
      </c>
      <c r="K7" s="698">
        <f t="shared" si="0"/>
        <v>0</v>
      </c>
      <c r="L7" s="774"/>
      <c r="S7" s="131"/>
    </row>
    <row r="8" spans="1:19" s="93" customFormat="1">
      <c r="A8" s="773" t="s">
        <v>507</v>
      </c>
      <c r="B8" s="802">
        <v>44420</v>
      </c>
      <c r="C8" s="774"/>
      <c r="D8" s="775"/>
      <c r="E8" s="776">
        <v>0</v>
      </c>
      <c r="F8" s="774"/>
      <c r="G8" s="779">
        <f>-VLOOKUP(A8,'market px'!K$1:P$35,3,FALSE)*E8/1000000</f>
        <v>0</v>
      </c>
      <c r="H8" s="778"/>
      <c r="I8" s="777">
        <v>104.1588</v>
      </c>
      <c r="J8" s="774">
        <f>VLOOKUP(A8,'market px'!K$2:P$35,6,FALSE)</f>
        <v>104.7786</v>
      </c>
      <c r="K8" s="698">
        <f t="shared" si="0"/>
        <v>0</v>
      </c>
      <c r="L8" s="774"/>
      <c r="S8" s="131"/>
    </row>
    <row r="9" spans="1:19" s="93" customFormat="1">
      <c r="A9" s="690" t="s">
        <v>398</v>
      </c>
      <c r="B9" s="691">
        <v>44187</v>
      </c>
      <c r="C9" s="691"/>
      <c r="D9" s="692"/>
      <c r="E9" s="693">
        <v>0</v>
      </c>
      <c r="F9" s="693"/>
      <c r="G9" s="779">
        <f>-VLOOKUP(A9,'market px'!K$2:P$25,3,FALSE)*E9/1000000</f>
        <v>0</v>
      </c>
      <c r="H9" s="695"/>
      <c r="I9" s="696">
        <v>100.42570000000001</v>
      </c>
      <c r="J9" s="696">
        <f>VLOOKUP(A9,'market px'!K$2:P$80,6,FALSE)</f>
        <v>100.42570000000001</v>
      </c>
      <c r="K9" s="698">
        <f t="shared" si="0"/>
        <v>0</v>
      </c>
      <c r="L9" s="774"/>
      <c r="S9" s="131"/>
    </row>
    <row r="10" spans="1:19" s="93" customFormat="1">
      <c r="A10" s="690" t="s">
        <v>368</v>
      </c>
      <c r="B10" s="691">
        <v>44060</v>
      </c>
      <c r="C10" s="691"/>
      <c r="D10" s="699"/>
      <c r="E10" s="693">
        <v>0</v>
      </c>
      <c r="F10" s="693"/>
      <c r="G10" s="779">
        <f>-VLOOKUP(A10,'market px'!K$2:P$25,3,FALSE)*E10/1000000</f>
        <v>0</v>
      </c>
      <c r="H10" s="695"/>
      <c r="I10" s="696">
        <v>98.219200000000001</v>
      </c>
      <c r="J10" s="696">
        <f>VLOOKUP(A10,'market px'!K$2:P$15,6,FALSE)</f>
        <v>98.219200000000001</v>
      </c>
      <c r="K10" s="698">
        <f t="shared" si="0"/>
        <v>0</v>
      </c>
      <c r="L10" s="774"/>
      <c r="S10" s="131"/>
    </row>
    <row r="11" spans="1:19" s="93" customFormat="1">
      <c r="A11" s="690" t="s">
        <v>368</v>
      </c>
      <c r="B11" s="700">
        <v>44063</v>
      </c>
      <c r="C11" s="691"/>
      <c r="D11" s="701"/>
      <c r="E11" s="702">
        <v>0</v>
      </c>
      <c r="F11" s="693"/>
      <c r="G11" s="779">
        <f>-VLOOKUP(A11,'market px'!K$2:P$25,3,FALSE)*E11/1000000</f>
        <v>0</v>
      </c>
      <c r="H11" s="703"/>
      <c r="I11" s="704">
        <v>98.219200000000001</v>
      </c>
      <c r="J11" s="696">
        <f>VLOOKUP(A11,'market px'!K$2:P$15,6,FALSE)</f>
        <v>98.219200000000001</v>
      </c>
      <c r="K11" s="698">
        <f t="shared" si="0"/>
        <v>0</v>
      </c>
      <c r="L11" s="774"/>
      <c r="S11" s="131"/>
    </row>
    <row r="12" spans="1:19" s="93" customFormat="1">
      <c r="A12" s="690" t="s">
        <v>368</v>
      </c>
      <c r="B12" s="700">
        <v>44140</v>
      </c>
      <c r="C12" s="691"/>
      <c r="D12" s="701"/>
      <c r="E12" s="693">
        <v>0</v>
      </c>
      <c r="F12" s="693"/>
      <c r="G12" s="779">
        <f>-VLOOKUP(A12,'market px'!K$2:P$25,3,FALSE)*E12/1000000</f>
        <v>0</v>
      </c>
      <c r="H12" s="703"/>
      <c r="I12" s="704">
        <v>98.219200000000001</v>
      </c>
      <c r="J12" s="696">
        <f>VLOOKUP(A12,'market px'!K$2:P$15,6,FALSE)</f>
        <v>98.219200000000001</v>
      </c>
      <c r="K12" s="698">
        <f t="shared" si="0"/>
        <v>0</v>
      </c>
      <c r="L12" s="774"/>
      <c r="S12" s="131"/>
    </row>
    <row r="13" spans="1:19" s="93" customFormat="1">
      <c r="A13" s="690" t="s">
        <v>507</v>
      </c>
      <c r="B13" s="700">
        <v>44421</v>
      </c>
      <c r="C13" s="691"/>
      <c r="D13" s="701"/>
      <c r="E13" s="693">
        <v>0</v>
      </c>
      <c r="F13" s="693"/>
      <c r="G13" s="779">
        <f>-VLOOKUP(A13,'market px'!K$1:P$35,3,FALSE)*E13/1000000</f>
        <v>0</v>
      </c>
      <c r="H13" s="703"/>
      <c r="I13" s="704">
        <v>104.1588</v>
      </c>
      <c r="J13" s="696">
        <f>VLOOKUP(A13,'market px'!K$2:P$50,6,FALSE)</f>
        <v>104.7786</v>
      </c>
      <c r="K13" s="698">
        <f t="shared" si="0"/>
        <v>0</v>
      </c>
      <c r="L13" s="774"/>
      <c r="S13" s="131"/>
    </row>
    <row r="14" spans="1:19" s="93" customFormat="1">
      <c r="A14" s="690" t="s">
        <v>496</v>
      </c>
      <c r="B14" s="691">
        <v>44315</v>
      </c>
      <c r="C14" s="774"/>
      <c r="D14" s="775"/>
      <c r="E14" s="776">
        <v>0</v>
      </c>
      <c r="F14" s="774"/>
      <c r="G14" s="779">
        <f>-VLOOKUP(A14,'market px'!K$1:P$80,3,FALSE)*E14/1000000</f>
        <v>0</v>
      </c>
      <c r="H14" s="778"/>
      <c r="I14" s="835">
        <v>102.4503</v>
      </c>
      <c r="J14" s="774">
        <f>VLOOKUP(A14,'market px'!K$2:P$80,6,FALSE)</f>
        <v>102.4503</v>
      </c>
      <c r="K14" s="698">
        <f t="shared" si="0"/>
        <v>0</v>
      </c>
      <c r="L14" s="774"/>
      <c r="S14" s="131"/>
    </row>
    <row r="15" spans="1:19" s="93" customFormat="1">
      <c r="A15" s="773" t="s">
        <v>507</v>
      </c>
      <c r="B15" s="802">
        <v>44427</v>
      </c>
      <c r="C15" s="774"/>
      <c r="D15" s="775"/>
      <c r="E15" s="776">
        <v>0</v>
      </c>
      <c r="F15" s="774"/>
      <c r="G15" s="779">
        <f>-VLOOKUP(A15,'market px'!K$1:P$80,3,FALSE)*E15/1000000</f>
        <v>0</v>
      </c>
      <c r="H15" s="778"/>
      <c r="I15" s="777">
        <v>104.1588</v>
      </c>
      <c r="J15" s="774">
        <f>VLOOKUP(A15,'market px'!K$2:P$80,6,FALSE)</f>
        <v>104.7786</v>
      </c>
      <c r="K15" s="698">
        <f t="shared" si="0"/>
        <v>0</v>
      </c>
      <c r="L15" s="774"/>
      <c r="S15" s="131"/>
    </row>
    <row r="16" spans="1:19" s="93" customFormat="1">
      <c r="A16" s="773" t="s">
        <v>522</v>
      </c>
      <c r="B16" s="802">
        <v>44433</v>
      </c>
      <c r="C16" s="774"/>
      <c r="D16" s="775"/>
      <c r="E16" s="776">
        <v>0</v>
      </c>
      <c r="F16" s="774"/>
      <c r="G16" s="779">
        <f>-VLOOKUP(A16,'market px'!K$1:P$80,3,FALSE)*E16/1000000</f>
        <v>0</v>
      </c>
      <c r="H16" s="778"/>
      <c r="I16" s="777">
        <v>104.1588</v>
      </c>
      <c r="J16" s="774">
        <f>VLOOKUP(A16,'market px'!K$2:P$80,6,FALSE)</f>
        <v>104.7786</v>
      </c>
      <c r="K16" s="698">
        <f t="shared" si="0"/>
        <v>0</v>
      </c>
      <c r="L16" s="774"/>
      <c r="S16" s="131"/>
    </row>
    <row r="17" spans="1:19" s="93" customFormat="1">
      <c r="A17" s="773" t="s">
        <v>514</v>
      </c>
      <c r="B17" s="802">
        <v>44435</v>
      </c>
      <c r="C17" s="774"/>
      <c r="D17" s="775"/>
      <c r="E17" s="776">
        <v>0</v>
      </c>
      <c r="F17" s="774"/>
      <c r="G17" s="779">
        <f>-VLOOKUP(A17,'market px'!K$1:P$80,3,FALSE)*E17/1000000</f>
        <v>0</v>
      </c>
      <c r="H17" s="778"/>
      <c r="I17" s="777">
        <v>102.4952</v>
      </c>
      <c r="J17" s="774">
        <f>VLOOKUP(A17,'market px'!K$2:P$80,6,FALSE)</f>
        <v>102.6726</v>
      </c>
      <c r="K17" s="698">
        <f t="shared" si="0"/>
        <v>0</v>
      </c>
      <c r="L17" s="774"/>
      <c r="S17" s="131"/>
    </row>
    <row r="18" spans="1:19" s="93" customFormat="1">
      <c r="A18" s="690" t="s">
        <v>557</v>
      </c>
      <c r="B18" s="691">
        <v>44602</v>
      </c>
      <c r="C18" s="774"/>
      <c r="D18" s="775"/>
      <c r="E18" s="776">
        <v>0</v>
      </c>
      <c r="F18" s="774"/>
      <c r="G18" s="779">
        <f>-VLOOKUP(A18,'market px'!K$1:P$80,3,FALSE)*E18/1000000</f>
        <v>0</v>
      </c>
      <c r="H18" s="778"/>
      <c r="I18" s="835">
        <v>104.44029999999999</v>
      </c>
      <c r="J18" s="835">
        <v>104.44029999999999</v>
      </c>
      <c r="K18" s="698">
        <f t="shared" si="0"/>
        <v>0</v>
      </c>
      <c r="L18" s="774"/>
      <c r="S18" s="131"/>
    </row>
    <row r="19" spans="1:19" s="93" customFormat="1">
      <c r="A19" s="690" t="s">
        <v>557</v>
      </c>
      <c r="B19" s="691"/>
      <c r="C19" s="774"/>
      <c r="D19" s="775"/>
      <c r="E19" s="776">
        <v>0</v>
      </c>
      <c r="F19" s="774"/>
      <c r="G19" s="779">
        <f>-VLOOKUP(A19,'market px'!K$1:P$80,3,FALSE)*E19/1000000</f>
        <v>0</v>
      </c>
      <c r="H19" s="778"/>
      <c r="I19" s="835">
        <v>103.4074</v>
      </c>
      <c r="J19" s="835">
        <v>103.4074</v>
      </c>
      <c r="K19" s="698">
        <f t="shared" si="0"/>
        <v>0</v>
      </c>
      <c r="L19" s="774"/>
      <c r="S19" s="131"/>
    </row>
    <row r="20" spans="1:19" s="93" customFormat="1">
      <c r="A20" s="690" t="s">
        <v>415</v>
      </c>
      <c r="B20" s="691">
        <v>44351</v>
      </c>
      <c r="C20" s="774"/>
      <c r="D20" s="775"/>
      <c r="E20" s="776">
        <v>0</v>
      </c>
      <c r="F20" s="774"/>
      <c r="G20" s="779">
        <f>-VLOOKUP(A20,'market px'!K$1:P$80,3,FALSE)*E20/1000000</f>
        <v>0</v>
      </c>
      <c r="H20" s="778"/>
      <c r="I20" s="835">
        <v>102.9756</v>
      </c>
      <c r="J20" s="774">
        <f>VLOOKUP(A20,'market px'!K$2:P$80,6,FALSE)</f>
        <v>102.9756</v>
      </c>
      <c r="K20" s="698">
        <f t="shared" si="0"/>
        <v>0</v>
      </c>
      <c r="L20" s="774"/>
      <c r="S20" s="131"/>
    </row>
    <row r="21" spans="1:19" s="102" customFormat="1">
      <c r="A21" s="690" t="s">
        <v>415</v>
      </c>
      <c r="B21" s="691">
        <v>44363</v>
      </c>
      <c r="C21" s="691"/>
      <c r="D21" s="692"/>
      <c r="E21" s="693">
        <v>0</v>
      </c>
      <c r="F21" s="693"/>
      <c r="G21" s="779">
        <f>-VLOOKUP(A21,'market px'!K$1:P$80,3,FALSE)*E21/1000000</f>
        <v>0</v>
      </c>
      <c r="H21" s="695"/>
      <c r="I21" s="696">
        <v>102.9756</v>
      </c>
      <c r="J21" s="774">
        <f>VLOOKUP(A21,'market px'!K$2:P$80,6,FALSE)</f>
        <v>102.9756</v>
      </c>
      <c r="K21" s="698">
        <f t="shared" si="0"/>
        <v>0</v>
      </c>
      <c r="L21" s="727"/>
      <c r="M21" s="93"/>
      <c r="N21" s="93"/>
      <c r="O21" s="93"/>
      <c r="P21" s="93"/>
      <c r="Q21" s="93"/>
      <c r="S21" s="103"/>
    </row>
    <row r="22" spans="1:19" s="102" customFormat="1" hidden="1">
      <c r="A22" s="690"/>
      <c r="B22" s="691"/>
      <c r="C22" s="691"/>
      <c r="D22" s="692"/>
      <c r="E22" s="693"/>
      <c r="F22" s="693"/>
      <c r="G22" s="694"/>
      <c r="H22" s="695"/>
      <c r="I22" s="696"/>
      <c r="J22" s="697">
        <v>100.5252</v>
      </c>
      <c r="K22" s="698"/>
      <c r="L22" s="727"/>
      <c r="M22" s="93"/>
      <c r="N22" s="93"/>
      <c r="O22" s="93"/>
      <c r="P22" s="93"/>
      <c r="Q22" s="93"/>
      <c r="S22" s="103"/>
    </row>
    <row r="23" spans="1:19" s="102" customFormat="1" hidden="1">
      <c r="A23" s="690"/>
      <c r="B23" s="691"/>
      <c r="C23" s="691"/>
      <c r="D23" s="692"/>
      <c r="E23" s="693"/>
      <c r="F23" s="693"/>
      <c r="G23" s="694"/>
      <c r="H23" s="695"/>
      <c r="I23" s="696"/>
      <c r="J23" s="697">
        <v>100.5252</v>
      </c>
      <c r="K23" s="698"/>
      <c r="L23" s="727"/>
      <c r="M23" s="93"/>
      <c r="N23" s="93"/>
      <c r="O23" s="93"/>
      <c r="P23" s="93"/>
      <c r="Q23" s="93"/>
      <c r="S23" s="103"/>
    </row>
    <row r="24" spans="1:19" s="102" customFormat="1" hidden="1">
      <c r="A24" s="690"/>
      <c r="B24" s="691"/>
      <c r="C24" s="691"/>
      <c r="D24" s="692"/>
      <c r="E24" s="693"/>
      <c r="F24" s="693"/>
      <c r="G24" s="694"/>
      <c r="H24" s="695"/>
      <c r="I24" s="696"/>
      <c r="J24" s="697"/>
      <c r="K24" s="698"/>
      <c r="L24" s="693"/>
      <c r="M24" s="93"/>
      <c r="N24" s="93"/>
      <c r="O24" s="93"/>
      <c r="P24" s="93"/>
      <c r="Q24" s="93"/>
      <c r="S24" s="103"/>
    </row>
    <row r="25" spans="1:19" s="116" customFormat="1" hidden="1">
      <c r="A25" s="690"/>
      <c r="B25" s="691"/>
      <c r="C25" s="691"/>
      <c r="D25" s="699"/>
      <c r="E25" s="693"/>
      <c r="F25" s="693"/>
      <c r="G25" s="694"/>
      <c r="H25" s="695"/>
      <c r="I25" s="696"/>
      <c r="J25" s="697"/>
      <c r="K25" s="698"/>
      <c r="L25" s="693"/>
      <c r="S25" s="320"/>
    </row>
    <row r="26" spans="1:19" s="116" customFormat="1" hidden="1">
      <c r="A26" s="690"/>
      <c r="B26" s="691"/>
      <c r="C26" s="691"/>
      <c r="D26" s="699"/>
      <c r="E26" s="693"/>
      <c r="F26" s="693"/>
      <c r="G26" s="694"/>
      <c r="H26" s="695"/>
      <c r="I26" s="696"/>
      <c r="J26" s="697"/>
      <c r="K26" s="698"/>
      <c r="L26" s="693"/>
      <c r="S26" s="117"/>
    </row>
    <row r="27" spans="1:19" s="116" customFormat="1" hidden="1">
      <c r="A27" s="690"/>
      <c r="B27" s="691"/>
      <c r="C27" s="691"/>
      <c r="D27" s="699"/>
      <c r="E27" s="693"/>
      <c r="F27" s="693"/>
      <c r="G27" s="694"/>
      <c r="H27" s="695"/>
      <c r="I27" s="696"/>
      <c r="J27" s="697"/>
      <c r="K27" s="698"/>
      <c r="L27" s="693"/>
      <c r="S27" s="117"/>
    </row>
    <row r="28" spans="1:19" s="93" customFormat="1" hidden="1">
      <c r="A28" s="690"/>
      <c r="B28" s="700"/>
      <c r="C28" s="691"/>
      <c r="D28" s="701"/>
      <c r="E28" s="702"/>
      <c r="F28" s="693"/>
      <c r="G28" s="694"/>
      <c r="H28" s="703"/>
      <c r="I28" s="704"/>
      <c r="J28" s="697"/>
      <c r="K28" s="698"/>
      <c r="L28" s="693"/>
    </row>
    <row r="29" spans="1:19" s="93" customFormat="1" hidden="1">
      <c r="A29" s="690"/>
      <c r="B29" s="700"/>
      <c r="C29" s="691"/>
      <c r="D29" s="701"/>
      <c r="E29" s="702"/>
      <c r="F29" s="693"/>
      <c r="G29" s="694"/>
      <c r="H29" s="703"/>
      <c r="I29" s="704"/>
      <c r="J29" s="697"/>
      <c r="K29" s="698"/>
      <c r="L29" s="693"/>
      <c r="S29" s="131" t="s">
        <v>21</v>
      </c>
    </row>
    <row r="30" spans="1:19" s="102" customFormat="1" hidden="1">
      <c r="A30" s="690"/>
      <c r="B30" s="700"/>
      <c r="C30" s="700"/>
      <c r="D30" s="701"/>
      <c r="E30" s="705"/>
      <c r="F30" s="693"/>
      <c r="G30" s="694"/>
      <c r="H30" s="706"/>
      <c r="I30" s="704"/>
      <c r="J30" s="697"/>
      <c r="K30" s="698"/>
      <c r="L30" s="693"/>
      <c r="M30" s="93"/>
      <c r="N30" s="93"/>
      <c r="O30" s="93"/>
      <c r="P30" s="93"/>
      <c r="Q30" s="93"/>
      <c r="S30" s="103"/>
    </row>
    <row r="31" spans="1:19">
      <c r="A31" s="111" t="s">
        <v>166</v>
      </c>
      <c r="B31" s="313"/>
      <c r="C31" s="313"/>
      <c r="D31" s="539"/>
      <c r="E31" s="314">
        <f>SUM(E3:E30)</f>
        <v>0</v>
      </c>
      <c r="F31" s="314"/>
      <c r="G31" s="316">
        <f>SUM(G3:G30)</f>
        <v>0</v>
      </c>
      <c r="H31" s="479"/>
      <c r="I31" s="323"/>
      <c r="J31" s="318"/>
      <c r="K31" s="316">
        <f>SUM(K3:K30)</f>
        <v>0</v>
      </c>
      <c r="L31" s="316"/>
    </row>
    <row r="32" spans="1:19" s="102" customFormat="1">
      <c r="A32" t="s">
        <v>162</v>
      </c>
      <c r="B32" s="14"/>
      <c r="C32" s="14"/>
      <c r="D32" s="534"/>
      <c r="E32" s="2"/>
      <c r="F32" s="14"/>
      <c r="G32"/>
      <c r="H32" s="474"/>
      <c r="I32" s="44"/>
      <c r="J32" s="44"/>
      <c r="K32"/>
      <c r="L32" s="377"/>
      <c r="M32" s="93"/>
      <c r="N32" s="93"/>
      <c r="O32" s="93"/>
      <c r="P32" s="93"/>
      <c r="Q32" s="93"/>
      <c r="S32" s="103"/>
    </row>
    <row r="33" spans="1:19" s="102" customFormat="1">
      <c r="A33" s="206" t="s">
        <v>234</v>
      </c>
      <c r="B33" s="207" t="s">
        <v>176</v>
      </c>
      <c r="C33" s="207" t="s">
        <v>171</v>
      </c>
      <c r="D33" s="535" t="s">
        <v>170</v>
      </c>
      <c r="E33" s="208" t="s">
        <v>11</v>
      </c>
      <c r="F33" s="207" t="s">
        <v>2</v>
      </c>
      <c r="G33" s="209" t="s">
        <v>12</v>
      </c>
      <c r="H33" s="482" t="s">
        <v>18</v>
      </c>
      <c r="I33" s="209" t="s">
        <v>210</v>
      </c>
      <c r="J33" s="207" t="s">
        <v>211</v>
      </c>
      <c r="K33" s="260" t="s">
        <v>212</v>
      </c>
      <c r="L33" s="377"/>
      <c r="M33" s="93"/>
      <c r="N33" s="93"/>
      <c r="O33" s="93"/>
      <c r="P33" s="93"/>
      <c r="Q33" s="93"/>
      <c r="S33" s="103"/>
    </row>
    <row r="34" spans="1:19" s="102" customFormat="1">
      <c r="A34" s="87" t="s">
        <v>364</v>
      </c>
      <c r="B34" s="122">
        <v>44001</v>
      </c>
      <c r="C34" s="122"/>
      <c r="D34" s="536"/>
      <c r="E34" s="88"/>
      <c r="F34" s="122">
        <v>47169</v>
      </c>
      <c r="G34" s="550">
        <f>-VLOOKUP(A34,'market px'!K$1:P$15,3,FALSE)*E34/1000000</f>
        <v>0</v>
      </c>
      <c r="H34" s="475" t="s">
        <v>21</v>
      </c>
      <c r="I34" s="396">
        <v>100.425</v>
      </c>
      <c r="J34" s="129">
        <f>VLOOKUP(A34,'market px'!K$2:P$15,6,FALSE)</f>
        <v>100.425</v>
      </c>
      <c r="K34" s="104">
        <f t="shared" ref="K34:K57" si="1">(J34-I34)*E34/100</f>
        <v>0</v>
      </c>
      <c r="L34" s="382"/>
      <c r="M34" s="93"/>
      <c r="N34" s="93"/>
      <c r="O34" s="93"/>
      <c r="P34" s="93"/>
      <c r="Q34" s="93"/>
      <c r="S34" s="103"/>
    </row>
    <row r="35" spans="1:19" s="116" customFormat="1">
      <c r="A35" s="87" t="s">
        <v>376</v>
      </c>
      <c r="B35" s="122">
        <v>44120</v>
      </c>
      <c r="C35" s="122"/>
      <c r="D35" s="536"/>
      <c r="E35" s="88"/>
      <c r="F35" s="122">
        <v>42505</v>
      </c>
      <c r="G35" s="550">
        <f>-VLOOKUP(A35,'market px'!K$1:P$15,3,FALSE)*E35/1000000</f>
        <v>0</v>
      </c>
      <c r="H35" s="475" t="s">
        <v>21</v>
      </c>
      <c r="I35" s="129">
        <v>100.529</v>
      </c>
      <c r="J35" s="129">
        <f>VLOOKUP(A35,'market px'!K$2:P$15,6,FALSE)</f>
        <v>100.529</v>
      </c>
      <c r="K35" s="104">
        <f t="shared" si="1"/>
        <v>0</v>
      </c>
      <c r="L35" s="382"/>
      <c r="S35" s="320"/>
    </row>
    <row r="36" spans="1:19" s="116" customFormat="1">
      <c r="A36" s="262" t="s">
        <v>367</v>
      </c>
      <c r="B36" s="265">
        <v>44041</v>
      </c>
      <c r="C36" s="265"/>
      <c r="D36" s="537"/>
      <c r="E36" s="266"/>
      <c r="F36" s="265">
        <v>39568</v>
      </c>
      <c r="G36" s="550">
        <f>-VLOOKUP(A36,'market px'!K$1:P$15,3,FALSE)*E36/1000000</f>
        <v>0</v>
      </c>
      <c r="H36" s="476"/>
      <c r="I36" s="268">
        <v>100.42700000000001</v>
      </c>
      <c r="J36" s="129">
        <f>VLOOKUP(A36,'market px'!K$2:P$15,6,FALSE)</f>
        <v>100.42700000000001</v>
      </c>
      <c r="K36" s="269">
        <f t="shared" si="1"/>
        <v>0</v>
      </c>
      <c r="L36" s="382"/>
      <c r="S36" s="117"/>
    </row>
    <row r="37" spans="1:19" s="532" customFormat="1">
      <c r="A37" s="262" t="s">
        <v>367</v>
      </c>
      <c r="B37" s="265">
        <v>44041</v>
      </c>
      <c r="C37" s="265"/>
      <c r="D37" s="537"/>
      <c r="E37" s="266"/>
      <c r="F37" s="265">
        <v>39568</v>
      </c>
      <c r="G37" s="550">
        <f>-VLOOKUP(A37,'market px'!K$1:P$15,3,FALSE)*E37/1000000</f>
        <v>0</v>
      </c>
      <c r="H37" s="476" t="s">
        <v>21</v>
      </c>
      <c r="I37" s="268">
        <v>100.42700000000001</v>
      </c>
      <c r="J37" s="129">
        <f>VLOOKUP(A37,'market px'!K$2:P$15,6,FALSE)</f>
        <v>100.42700000000001</v>
      </c>
      <c r="K37" s="269">
        <f t="shared" si="1"/>
        <v>0</v>
      </c>
      <c r="L37" s="382"/>
      <c r="S37" s="533"/>
    </row>
    <row r="38" spans="1:19" s="116" customFormat="1">
      <c r="A38" s="110" t="s">
        <v>373</v>
      </c>
      <c r="B38" s="113">
        <v>44076</v>
      </c>
      <c r="C38" s="113"/>
      <c r="D38" s="538"/>
      <c r="E38" s="114"/>
      <c r="F38" s="113"/>
      <c r="G38" s="550">
        <f>-VLOOKUP(A38,'market px'!K$1:P$15,3,FALSE)*E38/1000000</f>
        <v>0</v>
      </c>
      <c r="H38" s="477"/>
      <c r="I38" s="319">
        <v>100.2</v>
      </c>
      <c r="J38" s="129">
        <f>VLOOKUP(A38,'market px'!K$2:P$15,6,FALSE)</f>
        <v>100.2</v>
      </c>
      <c r="K38" s="261">
        <f t="shared" si="1"/>
        <v>0</v>
      </c>
      <c r="L38" s="382"/>
      <c r="S38" s="117"/>
    </row>
    <row r="39" spans="1:19" s="116" customFormat="1">
      <c r="A39" s="110" t="s">
        <v>377</v>
      </c>
      <c r="B39" s="113">
        <v>44134</v>
      </c>
      <c r="C39" s="113"/>
      <c r="D39" s="538"/>
      <c r="E39" s="114"/>
      <c r="F39" s="113">
        <v>45179</v>
      </c>
      <c r="G39" s="550">
        <f>-VLOOKUP(A39,'market px'!K$1:P$15,3,FALSE)*E39/1000000</f>
        <v>0</v>
      </c>
      <c r="H39" s="477"/>
      <c r="I39" s="319">
        <v>100.127</v>
      </c>
      <c r="J39" s="129">
        <f>VLOOKUP(A39,'market px'!K$2:P$15,6,FALSE)</f>
        <v>100.127</v>
      </c>
      <c r="K39" s="261">
        <f t="shared" si="1"/>
        <v>0</v>
      </c>
      <c r="L39" s="382"/>
      <c r="S39" s="117"/>
    </row>
    <row r="40" spans="1:19" s="116" customFormat="1">
      <c r="A40" s="110" t="s">
        <v>379</v>
      </c>
      <c r="B40" s="113">
        <v>44134</v>
      </c>
      <c r="C40" s="113"/>
      <c r="D40" s="538"/>
      <c r="E40" s="114"/>
      <c r="F40" s="113">
        <v>44753</v>
      </c>
      <c r="G40" s="550">
        <f>-VLOOKUP(A40,'market px'!K$1:P$15,3,FALSE)*E40/1000000</f>
        <v>0</v>
      </c>
      <c r="H40" s="477"/>
      <c r="I40" s="319">
        <v>100.26</v>
      </c>
      <c r="J40" s="129">
        <f>VLOOKUP(A40,'market px'!K$2:P$15,6,FALSE)</f>
        <v>100.26</v>
      </c>
      <c r="K40" s="261">
        <f t="shared" si="1"/>
        <v>0</v>
      </c>
      <c r="L40" s="382"/>
      <c r="S40" s="117"/>
    </row>
    <row r="41" spans="1:19" s="116" customFormat="1">
      <c r="A41" s="110" t="s">
        <v>373</v>
      </c>
      <c r="B41" s="113">
        <v>44076</v>
      </c>
      <c r="C41" s="113"/>
      <c r="D41" s="538"/>
      <c r="E41" s="114"/>
      <c r="F41" s="113"/>
      <c r="G41" s="550">
        <f>-VLOOKUP(A41,'market px'!K$1:P$15,3,FALSE)*E41/1000000</f>
        <v>0</v>
      </c>
      <c r="H41" s="477"/>
      <c r="I41" s="319">
        <v>100.2</v>
      </c>
      <c r="J41" s="129">
        <f>VLOOKUP(A41,'market px'!K$2:P$15,6,FALSE)</f>
        <v>100.2</v>
      </c>
      <c r="K41" s="261">
        <f t="shared" si="1"/>
        <v>0</v>
      </c>
      <c r="L41" s="382"/>
      <c r="S41" s="117"/>
    </row>
    <row r="42" spans="1:19" s="116" customFormat="1">
      <c r="A42" s="110" t="s">
        <v>382</v>
      </c>
      <c r="B42" s="113">
        <v>44141</v>
      </c>
      <c r="C42" s="113"/>
      <c r="D42" s="538"/>
      <c r="E42" s="114"/>
      <c r="F42" s="113"/>
      <c r="G42" s="550">
        <f>-VLOOKUP(A42,'market px'!K$1:P$15,3,FALSE)*E42/1000000</f>
        <v>0</v>
      </c>
      <c r="H42" s="477"/>
      <c r="I42" s="319">
        <v>100.075</v>
      </c>
      <c r="J42" s="129">
        <f>VLOOKUP(A42,'market px'!K$2:P$15,6,FALSE)</f>
        <v>100.075</v>
      </c>
      <c r="K42" s="261">
        <f t="shared" si="1"/>
        <v>0</v>
      </c>
      <c r="L42" s="382"/>
      <c r="S42" s="117"/>
    </row>
    <row r="43" spans="1:19" s="116" customFormat="1">
      <c r="A43" s="110" t="s">
        <v>384</v>
      </c>
      <c r="B43" s="113">
        <v>44145</v>
      </c>
      <c r="C43" s="113"/>
      <c r="D43" s="538"/>
      <c r="E43" s="114"/>
      <c r="F43" s="113"/>
      <c r="G43" s="550">
        <f>-VLOOKUP(A43,'market px'!K$1:P$15,3,FALSE)*E43/1000000</f>
        <v>0</v>
      </c>
      <c r="H43" s="477"/>
      <c r="I43" s="319">
        <v>100.376</v>
      </c>
      <c r="J43" s="129">
        <f>VLOOKUP(A43,'market px'!K$2:P$15,6,FALSE)</f>
        <v>100.376</v>
      </c>
      <c r="K43" s="261">
        <f t="shared" si="1"/>
        <v>0</v>
      </c>
      <c r="L43" s="382"/>
      <c r="S43" s="117"/>
    </row>
    <row r="44" spans="1:19" s="116" customFormat="1">
      <c r="A44" s="110" t="s">
        <v>386</v>
      </c>
      <c r="B44" s="113">
        <v>44146</v>
      </c>
      <c r="C44" s="113"/>
      <c r="D44" s="538"/>
      <c r="E44" s="114"/>
      <c r="F44" s="113"/>
      <c r="G44" s="550">
        <f>-VLOOKUP(A44,'market px'!K$1:P$15,3,FALSE)*E44/1000000</f>
        <v>0</v>
      </c>
      <c r="H44" s="477"/>
      <c r="I44" s="319">
        <v>99.960999999999999</v>
      </c>
      <c r="J44" s="129">
        <f>VLOOKUP(A44,'market px'!K$2:P$15,6,FALSE)</f>
        <v>99.960999999999999</v>
      </c>
      <c r="K44" s="261">
        <f t="shared" si="1"/>
        <v>0</v>
      </c>
      <c r="L44" s="382"/>
      <c r="S44" s="117"/>
    </row>
    <row r="45" spans="1:19" s="116" customFormat="1">
      <c r="A45" s="110" t="s">
        <v>387</v>
      </c>
      <c r="B45" s="113">
        <v>44152</v>
      </c>
      <c r="C45" s="113"/>
      <c r="D45" s="538"/>
      <c r="E45" s="114"/>
      <c r="F45" s="113"/>
      <c r="G45" s="550">
        <f>-VLOOKUP(A45,'market px'!K$1:P$15,3,FALSE)*E45/1000000</f>
        <v>0</v>
      </c>
      <c r="H45" s="477"/>
      <c r="I45" s="319">
        <v>99.960999999999999</v>
      </c>
      <c r="J45" s="129">
        <f>VLOOKUP(A45,'market px'!K$2:P$15,6,FALSE)</f>
        <v>99.960999999999999</v>
      </c>
      <c r="K45" s="261">
        <f t="shared" si="1"/>
        <v>0</v>
      </c>
      <c r="L45" s="382"/>
      <c r="S45" s="117"/>
    </row>
    <row r="46" spans="1:19" s="116" customFormat="1">
      <c r="A46" s="110" t="s">
        <v>390</v>
      </c>
      <c r="B46" s="113">
        <v>44153</v>
      </c>
      <c r="C46" s="113"/>
      <c r="D46" s="538"/>
      <c r="E46" s="114"/>
      <c r="F46" s="113"/>
      <c r="G46" s="550">
        <f>-VLOOKUP(A46,'market px'!K$1:P$15,3,FALSE)*E46/1000000</f>
        <v>0</v>
      </c>
      <c r="H46" s="477"/>
      <c r="I46" s="319">
        <v>99.960999999999999</v>
      </c>
      <c r="J46" s="129">
        <f>VLOOKUP(A46,'market px'!K$2:P$15,6,FALSE)</f>
        <v>99.960999999999999</v>
      </c>
      <c r="K46" s="261">
        <f t="shared" si="1"/>
        <v>0</v>
      </c>
      <c r="L46" s="382"/>
      <c r="S46" s="117"/>
    </row>
    <row r="47" spans="1:19" s="116" customFormat="1">
      <c r="A47" s="110" t="s">
        <v>392</v>
      </c>
      <c r="B47" s="113">
        <v>44165</v>
      </c>
      <c r="C47" s="113"/>
      <c r="D47" s="538"/>
      <c r="E47" s="114"/>
      <c r="F47" s="113"/>
      <c r="G47" s="550">
        <f>-VLOOKUP(A47,'market px'!K$1:P$15,3,FALSE)*E47/1000000</f>
        <v>0</v>
      </c>
      <c r="H47" s="477"/>
      <c r="I47" s="319">
        <v>100.294</v>
      </c>
      <c r="J47" s="129">
        <f>VLOOKUP(A47,'market px'!K$2:P$15,6,FALSE)</f>
        <v>100.294</v>
      </c>
      <c r="K47" s="261">
        <f t="shared" si="1"/>
        <v>0</v>
      </c>
      <c r="L47" s="382"/>
      <c r="S47" s="117"/>
    </row>
    <row r="48" spans="1:19" s="116" customFormat="1">
      <c r="A48" s="110" t="s">
        <v>394</v>
      </c>
      <c r="B48" s="113">
        <v>44174</v>
      </c>
      <c r="C48" s="113"/>
      <c r="D48" s="538"/>
      <c r="E48" s="114"/>
      <c r="F48" s="113"/>
      <c r="G48" s="550">
        <f>-VLOOKUP(A48,'market px'!K$1:P$100,3,FALSE)*E48/1000000</f>
        <v>0</v>
      </c>
      <c r="H48" s="477"/>
      <c r="I48" s="319">
        <v>100.071</v>
      </c>
      <c r="J48" s="129">
        <f>VLOOKUP(A48,'market px'!K$2:P$100,6,FALSE)</f>
        <v>100.071</v>
      </c>
      <c r="K48" s="261">
        <f t="shared" si="1"/>
        <v>0</v>
      </c>
      <c r="L48" s="382"/>
      <c r="S48" s="117"/>
    </row>
    <row r="49" spans="1:19" s="116" customFormat="1">
      <c r="A49" s="110" t="s">
        <v>377</v>
      </c>
      <c r="B49" s="113">
        <v>44203</v>
      </c>
      <c r="C49" s="113"/>
      <c r="D49" s="538"/>
      <c r="E49" s="114"/>
      <c r="F49" s="113"/>
      <c r="G49" s="550">
        <f>-VLOOKUP(A49,'market px'!K$1:P$100,3,FALSE)*E49/1000000</f>
        <v>0</v>
      </c>
      <c r="H49" s="477"/>
      <c r="I49" s="319">
        <v>100.127</v>
      </c>
      <c r="J49" s="129">
        <f>VLOOKUP(A49,'market px'!K$2:P$100,6,FALSE)</f>
        <v>100.127</v>
      </c>
      <c r="K49" s="261">
        <f t="shared" si="1"/>
        <v>0</v>
      </c>
      <c r="L49" s="382"/>
      <c r="S49" s="117"/>
    </row>
    <row r="50" spans="1:19" s="116" customFormat="1">
      <c r="A50" s="110" t="s">
        <v>373</v>
      </c>
      <c r="B50" s="113">
        <v>44203</v>
      </c>
      <c r="C50" s="113"/>
      <c r="D50" s="538"/>
      <c r="E50" s="114"/>
      <c r="F50" s="113"/>
      <c r="G50" s="550">
        <f>-VLOOKUP(A50,'market px'!K$1:P$100,3,FALSE)*E50/1000000</f>
        <v>0</v>
      </c>
      <c r="H50" s="477"/>
      <c r="I50" s="319">
        <v>100.2</v>
      </c>
      <c r="J50" s="129">
        <f>VLOOKUP(A50,'market px'!K$2:P$100,6,FALSE)</f>
        <v>100.2</v>
      </c>
      <c r="K50" s="261">
        <f t="shared" si="1"/>
        <v>0</v>
      </c>
      <c r="L50" s="382"/>
      <c r="S50" s="117"/>
    </row>
    <row r="51" spans="1:19" s="116" customFormat="1">
      <c r="A51" s="110" t="s">
        <v>373</v>
      </c>
      <c r="B51" s="113">
        <v>44203</v>
      </c>
      <c r="C51" s="113"/>
      <c r="D51" s="538"/>
      <c r="E51" s="114"/>
      <c r="F51" s="113"/>
      <c r="G51" s="550">
        <f>-VLOOKUP(A51,'market px'!K$1:P$100,3,FALSE)*E51/1000000</f>
        <v>0</v>
      </c>
      <c r="H51" s="477"/>
      <c r="I51" s="319">
        <v>100.2</v>
      </c>
      <c r="J51" s="129">
        <f>VLOOKUP(A51,'market px'!K$2:P$100,6,FALSE)</f>
        <v>100.2</v>
      </c>
      <c r="K51" s="261">
        <f t="shared" si="1"/>
        <v>0</v>
      </c>
      <c r="L51" s="382"/>
      <c r="S51" s="117"/>
    </row>
    <row r="52" spans="1:19" s="116" customFormat="1">
      <c r="A52" s="110" t="s">
        <v>404</v>
      </c>
      <c r="B52" s="113">
        <v>44208</v>
      </c>
      <c r="C52" s="113"/>
      <c r="D52" s="538"/>
      <c r="E52" s="114"/>
      <c r="F52" s="113"/>
      <c r="G52" s="550">
        <f>-VLOOKUP(A52,'market px'!K$1:P$100,3,FALSE)*E52/1000000</f>
        <v>0</v>
      </c>
      <c r="H52" s="477"/>
      <c r="I52" s="319">
        <v>100.12</v>
      </c>
      <c r="J52" s="129">
        <f>VLOOKUP(A52,'market px'!K$2:P$100,6,FALSE)</f>
        <v>100.12</v>
      </c>
      <c r="K52" s="261">
        <f t="shared" si="1"/>
        <v>0</v>
      </c>
      <c r="L52" s="382"/>
      <c r="S52" s="117"/>
    </row>
    <row r="53" spans="1:19" s="116" customFormat="1">
      <c r="A53" s="110" t="s">
        <v>407</v>
      </c>
      <c r="B53" s="113">
        <v>44214</v>
      </c>
      <c r="C53" s="113"/>
      <c r="D53" s="538"/>
      <c r="E53" s="114"/>
      <c r="F53" s="113"/>
      <c r="G53" s="550">
        <f>-VLOOKUP(A53,'market px'!K$1:P$100,3,FALSE)*E53/1000000</f>
        <v>0</v>
      </c>
      <c r="H53" s="477"/>
      <c r="I53" s="319">
        <v>99.17</v>
      </c>
      <c r="J53" s="129">
        <f>VLOOKUP(A53,'market px'!K$2:P$100,6,FALSE)</f>
        <v>99.17</v>
      </c>
      <c r="K53" s="261">
        <f t="shared" si="1"/>
        <v>0</v>
      </c>
      <c r="L53" s="382"/>
      <c r="S53" s="117"/>
    </row>
    <row r="54" spans="1:19" s="116" customFormat="1">
      <c r="A54" s="110" t="s">
        <v>409</v>
      </c>
      <c r="B54" s="113">
        <v>44214</v>
      </c>
      <c r="C54" s="113"/>
      <c r="D54" s="538"/>
      <c r="E54" s="114"/>
      <c r="F54" s="113"/>
      <c r="G54" s="550">
        <f>-VLOOKUP(A54,'market px'!K$1:P$100,3,FALSE)*E54/1000000</f>
        <v>0</v>
      </c>
      <c r="H54" s="477"/>
      <c r="I54" s="319">
        <v>98.3</v>
      </c>
      <c r="J54" s="129">
        <f>VLOOKUP(A54,'market px'!K$2:P$100,6,FALSE)</f>
        <v>98.3</v>
      </c>
      <c r="K54" s="261">
        <f t="shared" si="1"/>
        <v>0</v>
      </c>
      <c r="L54" s="382"/>
      <c r="S54" s="117"/>
    </row>
    <row r="55" spans="1:19" s="116" customFormat="1">
      <c r="A55" s="110" t="s">
        <v>373</v>
      </c>
      <c r="B55" s="113">
        <v>44076</v>
      </c>
      <c r="C55" s="113"/>
      <c r="D55" s="538"/>
      <c r="E55" s="114"/>
      <c r="F55" s="113"/>
      <c r="G55" s="550">
        <f>-VLOOKUP(A55,'market px'!K$1:P$100,3,FALSE)*E55/1000000</f>
        <v>0</v>
      </c>
      <c r="H55" s="477"/>
      <c r="I55" s="319">
        <v>100.2</v>
      </c>
      <c r="J55" s="129">
        <f>VLOOKUP(A55,'market px'!K$2:P$100,6,FALSE)</f>
        <v>100.2</v>
      </c>
      <c r="K55" s="261">
        <f t="shared" si="1"/>
        <v>0</v>
      </c>
      <c r="L55" s="382"/>
      <c r="S55" s="117"/>
    </row>
    <row r="56" spans="1:19" s="116" customFormat="1">
      <c r="A56" s="110" t="s">
        <v>411</v>
      </c>
      <c r="B56" s="113">
        <v>44216</v>
      </c>
      <c r="C56" s="113"/>
      <c r="D56" s="538"/>
      <c r="E56" s="114"/>
      <c r="F56" s="113"/>
      <c r="G56" s="550">
        <f>-VLOOKUP(A56,'market px'!K$1:P$100,3,FALSE)*E56/1000000</f>
        <v>0</v>
      </c>
      <c r="H56" s="477"/>
      <c r="I56" s="319">
        <v>97</v>
      </c>
      <c r="J56" s="129">
        <f>VLOOKUP(A56,'market px'!K$2:P$100,6,FALSE)</f>
        <v>97</v>
      </c>
      <c r="K56" s="261">
        <f t="shared" si="1"/>
        <v>0</v>
      </c>
      <c r="L56" s="382"/>
      <c r="S56" s="117"/>
    </row>
    <row r="57" spans="1:19" s="116" customFormat="1">
      <c r="A57" s="110" t="s">
        <v>416</v>
      </c>
      <c r="B57" s="113">
        <v>44218</v>
      </c>
      <c r="C57" s="113"/>
      <c r="D57" s="538"/>
      <c r="E57" s="114"/>
      <c r="F57" s="113"/>
      <c r="G57" s="550">
        <f>-VLOOKUP(A57,'market px'!K$1:P$100,3,FALSE)*E57/1000000</f>
        <v>0</v>
      </c>
      <c r="H57" s="477"/>
      <c r="I57" s="319">
        <v>100.256</v>
      </c>
      <c r="J57" s="129">
        <f>VLOOKUP(A57,'market px'!K$2:P$100,6,FALSE)</f>
        <v>100.256</v>
      </c>
      <c r="K57" s="261">
        <f t="shared" si="1"/>
        <v>0</v>
      </c>
      <c r="L57" s="382"/>
      <c r="S57" s="117"/>
    </row>
    <row r="58" spans="1:19" s="116" customFormat="1">
      <c r="A58" s="110" t="s">
        <v>418</v>
      </c>
      <c r="B58" s="113">
        <v>44218</v>
      </c>
      <c r="C58" s="113"/>
      <c r="D58" s="538"/>
      <c r="E58" s="114"/>
      <c r="F58" s="113"/>
      <c r="G58" s="550">
        <f>-VLOOKUP(A58,'market px'!K$1:P$100,3,FALSE)*E58/1000000</f>
        <v>0</v>
      </c>
      <c r="H58" s="477"/>
      <c r="I58" s="319">
        <v>100.319</v>
      </c>
      <c r="J58" s="129">
        <f>VLOOKUP(A58,'market px'!K$2:P$100,6,FALSE)</f>
        <v>100.319</v>
      </c>
      <c r="K58" s="261">
        <f t="shared" ref="K58:K64" si="2">(J58-I58)*E58/100</f>
        <v>0</v>
      </c>
      <c r="L58" s="382"/>
      <c r="S58" s="117"/>
    </row>
    <row r="59" spans="1:19" s="116" customFormat="1">
      <c r="A59" s="110" t="s">
        <v>421</v>
      </c>
      <c r="B59" s="113">
        <v>44228</v>
      </c>
      <c r="C59" s="113"/>
      <c r="D59" s="538"/>
      <c r="E59" s="114"/>
      <c r="F59" s="113"/>
      <c r="G59" s="550">
        <f>-VLOOKUP(A59,'[1]market px'!K$1:P$100,3,FALSE)*E59/1000000</f>
        <v>0</v>
      </c>
      <c r="H59" s="477"/>
      <c r="I59" s="319">
        <v>99.566000000000003</v>
      </c>
      <c r="J59" s="129">
        <f>VLOOKUP(A59,'[1]market px'!K$2:P$100,6,FALSE)</f>
        <v>99.566000000000003</v>
      </c>
      <c r="K59" s="261">
        <f t="shared" si="2"/>
        <v>0</v>
      </c>
      <c r="L59" s="382"/>
      <c r="S59" s="117"/>
    </row>
    <row r="60" spans="1:19" s="116" customFormat="1">
      <c r="A60" s="110" t="s">
        <v>422</v>
      </c>
      <c r="B60" s="113">
        <v>44228</v>
      </c>
      <c r="C60" s="113"/>
      <c r="D60" s="538"/>
      <c r="E60" s="114"/>
      <c r="F60" s="113"/>
      <c r="G60" s="550">
        <f>-VLOOKUP(A60,'[1]market px'!K$1:P$100,3,FALSE)*E60/1000000</f>
        <v>0</v>
      </c>
      <c r="H60" s="477"/>
      <c r="I60" s="319">
        <v>100.054</v>
      </c>
      <c r="J60" s="129">
        <f>VLOOKUP(A60,'[1]market px'!K$2:P$100,6,FALSE)</f>
        <v>100.054</v>
      </c>
      <c r="K60" s="261">
        <f t="shared" si="2"/>
        <v>0</v>
      </c>
      <c r="L60" s="382"/>
      <c r="S60" s="117"/>
    </row>
    <row r="61" spans="1:19" s="116" customFormat="1">
      <c r="A61" s="110" t="s">
        <v>494</v>
      </c>
      <c r="B61" s="113">
        <v>44302</v>
      </c>
      <c r="C61" s="113"/>
      <c r="D61" s="538"/>
      <c r="E61" s="114"/>
      <c r="F61" s="113"/>
      <c r="G61" s="550">
        <f>-VLOOKUP(A61,'market px'!K$1:P$100,3,FALSE)*E61/1000000</f>
        <v>0</v>
      </c>
      <c r="H61" s="477"/>
      <c r="I61" s="319">
        <v>99.95</v>
      </c>
      <c r="J61" s="129">
        <f>VLOOKUP(A61,'market px'!K$2:P$100,6,FALSE)</f>
        <v>99.95</v>
      </c>
      <c r="K61" s="261">
        <f t="shared" si="2"/>
        <v>0</v>
      </c>
      <c r="L61" s="382"/>
      <c r="S61" s="117"/>
    </row>
    <row r="62" spans="1:19" s="116" customFormat="1">
      <c r="A62" s="110"/>
      <c r="B62" s="113"/>
      <c r="C62" s="113"/>
      <c r="D62" s="538"/>
      <c r="E62" s="114"/>
      <c r="F62" s="113"/>
      <c r="G62" s="550"/>
      <c r="H62" s="477"/>
      <c r="I62" s="319"/>
      <c r="J62" s="129"/>
      <c r="K62" s="261"/>
      <c r="L62" s="382"/>
      <c r="S62" s="117"/>
    </row>
    <row r="63" spans="1:19" s="116" customFormat="1">
      <c r="A63" s="87" t="s">
        <v>364</v>
      </c>
      <c r="B63" s="122">
        <v>44001</v>
      </c>
      <c r="C63" s="122"/>
      <c r="D63" s="536"/>
      <c r="E63" s="88"/>
      <c r="F63" s="122">
        <v>43235</v>
      </c>
      <c r="G63" s="550">
        <f>-VLOOKUP(A63,'market px'!K$1:P$100,3,FALSE)*E63/1000000</f>
        <v>0</v>
      </c>
      <c r="H63" s="475" t="s">
        <v>23</v>
      </c>
      <c r="I63" s="396">
        <v>100.425</v>
      </c>
      <c r="J63" s="129">
        <f>VLOOKUP(A63,'market px'!K$2:P$100,6,FALSE)</f>
        <v>100.425</v>
      </c>
      <c r="K63" s="261">
        <f t="shared" si="2"/>
        <v>0</v>
      </c>
      <c r="L63" s="382"/>
      <c r="S63" s="117"/>
    </row>
    <row r="64" spans="1:19" s="116" customFormat="1">
      <c r="A64" s="87" t="s">
        <v>367</v>
      </c>
      <c r="B64" s="122">
        <v>44041</v>
      </c>
      <c r="C64" s="122"/>
      <c r="D64" s="536"/>
      <c r="E64" s="88"/>
      <c r="F64" s="122">
        <v>42505</v>
      </c>
      <c r="G64" s="550">
        <f>-VLOOKUP(A64,'market px'!K$1:P$100,3,FALSE)*E64/1000000</f>
        <v>0</v>
      </c>
      <c r="H64" s="475" t="s">
        <v>23</v>
      </c>
      <c r="I64" s="129">
        <v>100.42700000000001</v>
      </c>
      <c r="J64" s="129">
        <f>VLOOKUP(A64,'market px'!K$2:P$100,6,FALSE)</f>
        <v>100.42700000000001</v>
      </c>
      <c r="K64" s="261">
        <f t="shared" si="2"/>
        <v>0</v>
      </c>
      <c r="L64" s="382"/>
      <c r="S64" s="117"/>
    </row>
    <row r="65" spans="1:19" s="116" customFormat="1">
      <c r="A65" s="262" t="s">
        <v>367</v>
      </c>
      <c r="B65" s="265">
        <v>44041</v>
      </c>
      <c r="C65" s="265"/>
      <c r="D65" s="537"/>
      <c r="E65" s="266"/>
      <c r="F65" s="265">
        <v>39568</v>
      </c>
      <c r="G65" s="550">
        <f>-VLOOKUP(A65,'market px'!K$2:P$25,3,FALSE)*E65/1000000</f>
        <v>0</v>
      </c>
      <c r="H65" s="476"/>
      <c r="I65" s="268">
        <v>100.42700000000001</v>
      </c>
      <c r="J65" s="129">
        <f>VLOOKUP(A65,'market px'!K$2:P$15,6,FALSE)</f>
        <v>100.42700000000001</v>
      </c>
      <c r="K65" s="269">
        <f t="shared" ref="K65:K91" si="3">(J65-I65)*E65/100</f>
        <v>0</v>
      </c>
      <c r="L65" s="382"/>
      <c r="S65" s="117"/>
    </row>
    <row r="66" spans="1:19" s="116" customFormat="1">
      <c r="A66" s="262" t="s">
        <v>376</v>
      </c>
      <c r="B66" s="265">
        <v>44120</v>
      </c>
      <c r="C66" s="265"/>
      <c r="D66" s="537"/>
      <c r="E66" s="266"/>
      <c r="F66" s="265">
        <v>39568</v>
      </c>
      <c r="G66" s="550">
        <f>-VLOOKUP(A66,'market px'!K$2:P$25,3,FALSE)*E66/1000000</f>
        <v>0</v>
      </c>
      <c r="H66" s="476" t="s">
        <v>23</v>
      </c>
      <c r="I66" s="268">
        <v>100.529</v>
      </c>
      <c r="J66" s="129">
        <f>VLOOKUP(A66,'market px'!K$2:P$15,6,FALSE)</f>
        <v>100.529</v>
      </c>
      <c r="K66" s="269">
        <f t="shared" si="3"/>
        <v>0</v>
      </c>
      <c r="L66" s="382"/>
      <c r="S66" s="117"/>
    </row>
    <row r="67" spans="1:19" s="116" customFormat="1">
      <c r="A67" s="110" t="s">
        <v>373</v>
      </c>
      <c r="B67" s="113">
        <v>44076</v>
      </c>
      <c r="C67" s="113"/>
      <c r="D67" s="538"/>
      <c r="E67" s="114"/>
      <c r="F67" s="113"/>
      <c r="G67" s="550">
        <f>-VLOOKUP(A67,'market px'!K$2:P$25,3,FALSE)*E67/1000000</f>
        <v>0</v>
      </c>
      <c r="H67" s="477"/>
      <c r="I67" s="319">
        <v>100.2</v>
      </c>
      <c r="J67" s="129">
        <f>VLOOKUP(A67,'market px'!K$2:P$15,6,FALSE)</f>
        <v>100.2</v>
      </c>
      <c r="K67" s="261">
        <f t="shared" si="3"/>
        <v>0</v>
      </c>
      <c r="L67" s="382"/>
      <c r="S67" s="117"/>
    </row>
    <row r="68" spans="1:19" s="116" customFormat="1">
      <c r="A68" s="110" t="s">
        <v>377</v>
      </c>
      <c r="B68" s="113">
        <v>44134</v>
      </c>
      <c r="C68" s="113"/>
      <c r="D68" s="538"/>
      <c r="E68" s="114"/>
      <c r="F68" s="113">
        <v>45179</v>
      </c>
      <c r="G68" s="550">
        <f>-VLOOKUP(A68,'market px'!K$2:P$25,3,FALSE)*E68/1000000</f>
        <v>0</v>
      </c>
      <c r="H68" s="477"/>
      <c r="I68" s="319">
        <v>100.127</v>
      </c>
      <c r="J68" s="129">
        <f>VLOOKUP(A68,'market px'!K$2:P$15,6,FALSE)</f>
        <v>100.127</v>
      </c>
      <c r="K68" s="261">
        <f t="shared" si="3"/>
        <v>0</v>
      </c>
      <c r="L68" s="382"/>
      <c r="S68" s="117"/>
    </row>
    <row r="69" spans="1:19" s="116" customFormat="1">
      <c r="A69" s="110" t="s">
        <v>378</v>
      </c>
      <c r="B69" s="113">
        <v>44134</v>
      </c>
      <c r="C69" s="113"/>
      <c r="D69" s="538"/>
      <c r="E69" s="114"/>
      <c r="F69" s="113">
        <v>44753</v>
      </c>
      <c r="G69" s="550">
        <f>-VLOOKUP(A69,'market px'!K$2:P$25,3,FALSE)*E69/1000000</f>
        <v>0</v>
      </c>
      <c r="H69" s="477"/>
      <c r="I69" s="319">
        <v>100.26</v>
      </c>
      <c r="J69" s="129">
        <f>VLOOKUP(A69,'market px'!K$2:P$15,6,FALSE)</f>
        <v>100.26</v>
      </c>
      <c r="K69" s="261">
        <f t="shared" si="3"/>
        <v>0</v>
      </c>
      <c r="L69" s="382"/>
      <c r="S69" s="117"/>
    </row>
    <row r="70" spans="1:19" s="116" customFormat="1">
      <c r="A70" s="110" t="s">
        <v>383</v>
      </c>
      <c r="B70" s="113">
        <v>44141</v>
      </c>
      <c r="C70" s="113"/>
      <c r="D70" s="538"/>
      <c r="E70" s="114"/>
      <c r="F70" s="113">
        <v>44676</v>
      </c>
      <c r="G70" s="550">
        <f>-VLOOKUP(A70,'market px'!K$2:P$25,3,FALSE)*E70/1000000</f>
        <v>0</v>
      </c>
      <c r="H70" s="477"/>
      <c r="I70" s="319">
        <v>100.075</v>
      </c>
      <c r="J70" s="129">
        <f>VLOOKUP(A70,'market px'!K$2:P$15,6,FALSE)</f>
        <v>100.075</v>
      </c>
      <c r="K70" s="261">
        <f t="shared" si="3"/>
        <v>0</v>
      </c>
      <c r="L70" s="382"/>
      <c r="S70" s="117"/>
    </row>
    <row r="71" spans="1:19" s="116" customFormat="1">
      <c r="A71" s="821" t="s">
        <v>385</v>
      </c>
      <c r="B71" s="113">
        <v>44145</v>
      </c>
      <c r="C71" s="113"/>
      <c r="D71" s="538"/>
      <c r="E71" s="114"/>
      <c r="F71" s="113"/>
      <c r="G71" s="550">
        <f>-VLOOKUP(A71,'market px'!K$2:P$25,3,FALSE)*E71/1000000</f>
        <v>0</v>
      </c>
      <c r="H71" s="477"/>
      <c r="I71" s="319">
        <v>100.376</v>
      </c>
      <c r="J71" s="129">
        <f>VLOOKUP(A71,'market px'!K$2:P$15,6,FALSE)</f>
        <v>100.376</v>
      </c>
      <c r="K71" s="261">
        <f t="shared" si="3"/>
        <v>0</v>
      </c>
      <c r="L71" s="382"/>
      <c r="S71" s="117"/>
    </row>
    <row r="72" spans="1:19" s="116" customFormat="1">
      <c r="A72" s="821" t="s">
        <v>387</v>
      </c>
      <c r="B72" s="113">
        <v>44146</v>
      </c>
      <c r="C72" s="113"/>
      <c r="D72" s="538"/>
      <c r="E72" s="114"/>
      <c r="F72" s="113"/>
      <c r="G72" s="550">
        <f>-VLOOKUP(A72,'market px'!K$2:P$25,3,FALSE)*E72/1000000</f>
        <v>0</v>
      </c>
      <c r="H72" s="477"/>
      <c r="I72" s="319">
        <v>99.960999999999999</v>
      </c>
      <c r="J72" s="129">
        <f>VLOOKUP(A72,'market px'!K$2:P$15,6,FALSE)</f>
        <v>99.960999999999999</v>
      </c>
      <c r="K72" s="261">
        <f t="shared" si="3"/>
        <v>0</v>
      </c>
      <c r="L72" s="382"/>
      <c r="S72" s="117"/>
    </row>
    <row r="73" spans="1:19" s="116" customFormat="1">
      <c r="A73" s="110" t="s">
        <v>389</v>
      </c>
      <c r="B73" s="113">
        <v>44152</v>
      </c>
      <c r="C73" s="113"/>
      <c r="D73" s="538"/>
      <c r="E73" s="114"/>
      <c r="F73" s="113"/>
      <c r="G73" s="550">
        <f>-VLOOKUP(A73,'market px'!K$2:P$25,3,FALSE)*E73/1000000</f>
        <v>0</v>
      </c>
      <c r="H73" s="477"/>
      <c r="I73" s="319">
        <v>99.960999999999999</v>
      </c>
      <c r="J73" s="129">
        <f>VLOOKUP(A73,'market px'!K$2:P$15,6,FALSE)</f>
        <v>99.960999999999999</v>
      </c>
      <c r="K73" s="261">
        <f t="shared" si="3"/>
        <v>0</v>
      </c>
      <c r="L73" s="382"/>
      <c r="S73" s="117"/>
    </row>
    <row r="74" spans="1:19" s="116" customFormat="1">
      <c r="A74" s="110" t="s">
        <v>387</v>
      </c>
      <c r="B74" s="113">
        <v>44153</v>
      </c>
      <c r="C74" s="113"/>
      <c r="D74" s="538"/>
      <c r="E74" s="114"/>
      <c r="F74" s="113"/>
      <c r="G74" s="550">
        <f>-VLOOKUP(A74,'market px'!K$1:P$15,3,FALSE)*E74/1000000</f>
        <v>0</v>
      </c>
      <c r="H74" s="477"/>
      <c r="I74" s="319">
        <v>99.960999999999999</v>
      </c>
      <c r="J74" s="129">
        <f>VLOOKUP(A74,'market px'!K$2:P$15,6,FALSE)</f>
        <v>99.960999999999999</v>
      </c>
      <c r="K74" s="261">
        <f t="shared" si="3"/>
        <v>0</v>
      </c>
      <c r="L74" s="382"/>
      <c r="S74" s="117"/>
    </row>
    <row r="75" spans="1:19" s="116" customFormat="1">
      <c r="A75" s="821" t="s">
        <v>392</v>
      </c>
      <c r="B75" s="113">
        <v>44165</v>
      </c>
      <c r="C75" s="113"/>
      <c r="D75" s="538"/>
      <c r="E75" s="114"/>
      <c r="F75" s="113"/>
      <c r="G75" s="550">
        <f>-VLOOKUP(A75,'market px'!K$1:P$15,3,FALSE)*E75/1000000</f>
        <v>0</v>
      </c>
      <c r="H75" s="477"/>
      <c r="I75" s="319">
        <v>100.294</v>
      </c>
      <c r="J75" s="129">
        <f>VLOOKUP(A75,'market px'!K$2:P$15,6,FALSE)</f>
        <v>100.294</v>
      </c>
      <c r="K75" s="261">
        <f t="shared" si="3"/>
        <v>0</v>
      </c>
      <c r="L75" s="382"/>
      <c r="S75" s="117"/>
    </row>
    <row r="76" spans="1:19" s="116" customFormat="1">
      <c r="A76" s="821" t="s">
        <v>395</v>
      </c>
      <c r="B76" s="113">
        <v>44174</v>
      </c>
      <c r="C76" s="113"/>
      <c r="D76" s="538"/>
      <c r="E76" s="114"/>
      <c r="F76" s="113"/>
      <c r="G76" s="550">
        <f>-VLOOKUP(A76,'market px'!K$1:P$100,3,FALSE)*E76/1000000</f>
        <v>0</v>
      </c>
      <c r="H76" s="477"/>
      <c r="I76" s="319">
        <v>100.071</v>
      </c>
      <c r="J76" s="129">
        <f>VLOOKUP(A76,'market px'!K$2:P$150,6,FALSE)</f>
        <v>100.071</v>
      </c>
      <c r="K76" s="261">
        <f t="shared" si="3"/>
        <v>0</v>
      </c>
      <c r="L76" s="382"/>
      <c r="S76" s="117"/>
    </row>
    <row r="77" spans="1:19" s="116" customFormat="1">
      <c r="A77" s="110" t="s">
        <v>377</v>
      </c>
      <c r="B77" s="113">
        <v>44203</v>
      </c>
      <c r="C77" s="113"/>
      <c r="D77" s="538"/>
      <c r="E77" s="114"/>
      <c r="F77" s="113"/>
      <c r="G77" s="550">
        <f>-VLOOKUP(A77,'market px'!K$1:P$100,3,FALSE)*E77/1000000</f>
        <v>0</v>
      </c>
      <c r="H77" s="477"/>
      <c r="I77" s="319">
        <v>100.127</v>
      </c>
      <c r="J77" s="129">
        <f>VLOOKUP(A77,'market px'!K$2:P$150,6,FALSE)</f>
        <v>100.127</v>
      </c>
      <c r="K77" s="261">
        <f t="shared" si="3"/>
        <v>0</v>
      </c>
      <c r="L77" s="382"/>
      <c r="S77" s="117"/>
    </row>
    <row r="78" spans="1:19" s="116" customFormat="1">
      <c r="A78" s="110" t="s">
        <v>373</v>
      </c>
      <c r="B78" s="113">
        <v>44203</v>
      </c>
      <c r="C78" s="113"/>
      <c r="D78" s="538"/>
      <c r="E78" s="114"/>
      <c r="F78" s="113"/>
      <c r="G78" s="550">
        <f>-VLOOKUP(A78,'market px'!K$1:P$100,3,FALSE)*E78/1000000</f>
        <v>0</v>
      </c>
      <c r="H78" s="477"/>
      <c r="I78" s="319">
        <v>100.2</v>
      </c>
      <c r="J78" s="129">
        <f>VLOOKUP(A78,'market px'!K$2:P$150,6,FALSE)</f>
        <v>100.2</v>
      </c>
      <c r="K78" s="261">
        <f t="shared" si="3"/>
        <v>0</v>
      </c>
      <c r="L78" s="382"/>
      <c r="S78" s="117"/>
    </row>
    <row r="79" spans="1:19" s="116" customFormat="1">
      <c r="A79" s="110" t="s">
        <v>373</v>
      </c>
      <c r="B79" s="113">
        <v>44203</v>
      </c>
      <c r="C79" s="113"/>
      <c r="D79" s="538"/>
      <c r="E79" s="114"/>
      <c r="F79" s="113"/>
      <c r="G79" s="550">
        <f>-VLOOKUP(A79,'market px'!K$1:P$100,3,FALSE)*E79/1000000</f>
        <v>0</v>
      </c>
      <c r="H79" s="477"/>
      <c r="I79" s="319">
        <v>100.2</v>
      </c>
      <c r="J79" s="129">
        <f>VLOOKUP(A79,'market px'!K$2:P$150,6,FALSE)</f>
        <v>100.2</v>
      </c>
      <c r="K79" s="261">
        <f t="shared" si="3"/>
        <v>0</v>
      </c>
      <c r="L79" s="382"/>
      <c r="S79" s="117"/>
    </row>
    <row r="80" spans="1:19" s="116" customFormat="1">
      <c r="A80" s="110" t="s">
        <v>404</v>
      </c>
      <c r="B80" s="113">
        <v>44208</v>
      </c>
      <c r="C80" s="113"/>
      <c r="D80" s="538"/>
      <c r="E80" s="114"/>
      <c r="F80" s="113"/>
      <c r="G80" s="550">
        <f>-VLOOKUP(A80,'market px'!K$1:P$100,3,FALSE)*E80/1000000</f>
        <v>0</v>
      </c>
      <c r="H80" s="477"/>
      <c r="I80" s="319">
        <v>100.12</v>
      </c>
      <c r="J80" s="129">
        <f>VLOOKUP(A80,'market px'!K$2:P$150,6,FALSE)</f>
        <v>100.12</v>
      </c>
      <c r="K80" s="261">
        <f t="shared" si="3"/>
        <v>0</v>
      </c>
      <c r="L80" s="382"/>
      <c r="S80" s="117"/>
    </row>
    <row r="81" spans="1:19" s="116" customFormat="1">
      <c r="A81" s="110" t="s">
        <v>408</v>
      </c>
      <c r="B81" s="113">
        <v>44214</v>
      </c>
      <c r="C81" s="113"/>
      <c r="D81" s="538"/>
      <c r="E81" s="114"/>
      <c r="F81" s="113"/>
      <c r="G81" s="550">
        <f>-VLOOKUP(A81,'market px'!K$1:P$100,3,FALSE)*E81/1000000</f>
        <v>0</v>
      </c>
      <c r="H81" s="477"/>
      <c r="I81" s="319">
        <v>99.17</v>
      </c>
      <c r="J81" s="129">
        <f>VLOOKUP(A81,'market px'!K$2:P$150,6,FALSE)</f>
        <v>99.17</v>
      </c>
      <c r="K81" s="261">
        <f t="shared" si="3"/>
        <v>0</v>
      </c>
      <c r="L81" s="382"/>
      <c r="S81" s="117"/>
    </row>
    <row r="82" spans="1:19" s="116" customFormat="1">
      <c r="A82" s="110" t="s">
        <v>410</v>
      </c>
      <c r="B82" s="113">
        <v>44214</v>
      </c>
      <c r="C82" s="113"/>
      <c r="D82" s="538"/>
      <c r="E82" s="114"/>
      <c r="F82" s="113"/>
      <c r="G82" s="550">
        <f>-VLOOKUP(A82,'market px'!K$1:P$100,3,FALSE)*E82/1000000</f>
        <v>0</v>
      </c>
      <c r="H82" s="477"/>
      <c r="I82" s="319">
        <v>98.3</v>
      </c>
      <c r="J82" s="129">
        <f>VLOOKUP(A82,'market px'!K$2:P$150,6,FALSE)</f>
        <v>98.3</v>
      </c>
      <c r="K82" s="261">
        <f t="shared" si="3"/>
        <v>0</v>
      </c>
      <c r="L82" s="382"/>
      <c r="S82" s="117"/>
    </row>
    <row r="83" spans="1:19" s="116" customFormat="1">
      <c r="A83" s="110" t="s">
        <v>373</v>
      </c>
      <c r="B83" s="113">
        <v>44076</v>
      </c>
      <c r="C83" s="113"/>
      <c r="D83" s="538"/>
      <c r="E83" s="114"/>
      <c r="F83" s="113"/>
      <c r="G83" s="550">
        <f>-VLOOKUP(A83,'market px'!K$1:P$100,3,FALSE)*E83/1000000</f>
        <v>0</v>
      </c>
      <c r="H83" s="477"/>
      <c r="I83" s="319">
        <v>100.2</v>
      </c>
      <c r="J83" s="129">
        <f>VLOOKUP(A83,'market px'!K$2:P$150,6,FALSE)</f>
        <v>100.2</v>
      </c>
      <c r="K83" s="261">
        <f t="shared" si="3"/>
        <v>0</v>
      </c>
      <c r="L83" s="382"/>
      <c r="S83" s="117"/>
    </row>
    <row r="84" spans="1:19" s="116" customFormat="1">
      <c r="A84" s="110" t="s">
        <v>393</v>
      </c>
      <c r="B84" s="113">
        <v>44169</v>
      </c>
      <c r="C84" s="113"/>
      <c r="D84" s="538"/>
      <c r="E84" s="114"/>
      <c r="F84" s="113"/>
      <c r="G84" s="550">
        <f>-VLOOKUP(A84,'market px'!K$1:P$100,3,FALSE)*E84/1000000</f>
        <v>0</v>
      </c>
      <c r="H84" s="477"/>
      <c r="I84" s="319">
        <v>100.336</v>
      </c>
      <c r="J84" s="129">
        <f>VLOOKUP(A84,'market px'!K$2:P$150,6,FALSE)</f>
        <v>100.336</v>
      </c>
      <c r="K84" s="261">
        <f t="shared" si="3"/>
        <v>0</v>
      </c>
      <c r="L84" s="382"/>
      <c r="S84" s="117"/>
    </row>
    <row r="85" spans="1:19" s="116" customFormat="1">
      <c r="A85" s="110" t="s">
        <v>412</v>
      </c>
      <c r="B85" s="113">
        <v>44216</v>
      </c>
      <c r="C85" s="113"/>
      <c r="D85" s="538"/>
      <c r="E85" s="114"/>
      <c r="F85" s="113"/>
      <c r="G85" s="550">
        <f>-VLOOKUP(A85,'market px'!K$1:P$100,3,FALSE)*E85/1000000</f>
        <v>0</v>
      </c>
      <c r="H85" s="477"/>
      <c r="I85" s="319">
        <v>97</v>
      </c>
      <c r="J85" s="129">
        <f>VLOOKUP(A85,'market px'!K$2:P$150,6,FALSE)</f>
        <v>97</v>
      </c>
      <c r="K85" s="261">
        <f t="shared" si="3"/>
        <v>0</v>
      </c>
      <c r="L85" s="382"/>
      <c r="S85" s="117"/>
    </row>
    <row r="86" spans="1:19" s="116" customFormat="1">
      <c r="A86" s="110" t="s">
        <v>416</v>
      </c>
      <c r="B86" s="113">
        <v>44218</v>
      </c>
      <c r="C86" s="113"/>
      <c r="D86" s="538"/>
      <c r="E86" s="114"/>
      <c r="F86" s="113"/>
      <c r="G86" s="550">
        <f>-VLOOKUP(A86,'market px'!K$1:P$100,3,FALSE)*E86/1000000</f>
        <v>0</v>
      </c>
      <c r="H86" s="477"/>
      <c r="I86" s="319">
        <v>100.256</v>
      </c>
      <c r="J86" s="129">
        <f>VLOOKUP(A86,'market px'!K$2:P$150,6,FALSE)</f>
        <v>100.256</v>
      </c>
      <c r="K86" s="261">
        <f t="shared" si="3"/>
        <v>0</v>
      </c>
      <c r="L86" s="382"/>
      <c r="S86" s="117"/>
    </row>
    <row r="87" spans="1:19" s="116" customFormat="1">
      <c r="A87" s="110" t="s">
        <v>417</v>
      </c>
      <c r="B87" s="113">
        <v>44218</v>
      </c>
      <c r="C87" s="113"/>
      <c r="D87" s="538"/>
      <c r="E87" s="114"/>
      <c r="F87" s="113"/>
      <c r="G87" s="550">
        <f>-VLOOKUP(A87,'market px'!K$1:P$100,3,FALSE)*E87/1000000</f>
        <v>0</v>
      </c>
      <c r="H87" s="477"/>
      <c r="I87" s="319">
        <v>100.319</v>
      </c>
      <c r="J87" s="129">
        <f>VLOOKUP(A87,'market px'!K$2:P$150,6,FALSE)</f>
        <v>100.319</v>
      </c>
      <c r="K87" s="261">
        <f t="shared" si="3"/>
        <v>0</v>
      </c>
      <c r="L87" s="382"/>
      <c r="S87" s="117"/>
    </row>
    <row r="88" spans="1:19" s="116" customFormat="1">
      <c r="A88" s="110" t="s">
        <v>421</v>
      </c>
      <c r="B88" s="113">
        <v>44228</v>
      </c>
      <c r="C88" s="113"/>
      <c r="D88" s="538"/>
      <c r="E88" s="114"/>
      <c r="F88" s="113"/>
      <c r="G88" s="550">
        <f>-VLOOKUP(A88,'[1]market px'!K$1:P$100,3,FALSE)*E88/1000000</f>
        <v>0</v>
      </c>
      <c r="H88" s="477"/>
      <c r="I88" s="319">
        <v>97</v>
      </c>
      <c r="J88" s="129">
        <f>VLOOKUP(A88,'market px'!K$2:P$150,6,FALSE)</f>
        <v>97</v>
      </c>
      <c r="K88" s="261">
        <f t="shared" si="3"/>
        <v>0</v>
      </c>
      <c r="L88" s="382"/>
      <c r="S88" s="117"/>
    </row>
    <row r="89" spans="1:19" s="116" customFormat="1">
      <c r="A89" s="110" t="s">
        <v>423</v>
      </c>
      <c r="B89" s="113">
        <v>44228</v>
      </c>
      <c r="C89" s="113"/>
      <c r="D89" s="538"/>
      <c r="E89" s="114"/>
      <c r="F89" s="113"/>
      <c r="G89" s="550">
        <f>-VLOOKUP(A89,'[1]market px'!K$1:P$100,3,FALSE)*E89/1000000</f>
        <v>0</v>
      </c>
      <c r="H89" s="477"/>
      <c r="I89" s="319">
        <v>100.193</v>
      </c>
      <c r="J89" s="129">
        <f>VLOOKUP(A89,'market px'!K$2:P$150,6,FALSE)</f>
        <v>100.193</v>
      </c>
      <c r="K89" s="261">
        <f t="shared" si="3"/>
        <v>0</v>
      </c>
      <c r="L89" s="382"/>
      <c r="S89" s="117"/>
    </row>
    <row r="90" spans="1:19" s="116" customFormat="1">
      <c r="A90" s="110" t="s">
        <v>494</v>
      </c>
      <c r="B90" s="113">
        <v>44302</v>
      </c>
      <c r="C90" s="113"/>
      <c r="D90" s="538"/>
      <c r="E90" s="114"/>
      <c r="F90" s="113"/>
      <c r="G90" s="550">
        <f>-VLOOKUP(A90,'market px'!K$1:P$100,3,FALSE)*E90/1000000</f>
        <v>0</v>
      </c>
      <c r="H90" s="477"/>
      <c r="I90" s="319">
        <v>99.95</v>
      </c>
      <c r="J90" s="129">
        <f>VLOOKUP(A90,'market px'!K$2:P$150,6,FALSE)</f>
        <v>99.95</v>
      </c>
      <c r="K90" s="261">
        <f t="shared" si="3"/>
        <v>0</v>
      </c>
      <c r="L90" s="382"/>
      <c r="S90" s="117"/>
    </row>
    <row r="91" spans="1:19" s="116" customFormat="1">
      <c r="A91" s="110" t="s">
        <v>495</v>
      </c>
      <c r="B91" s="113">
        <v>44302</v>
      </c>
      <c r="C91" s="113"/>
      <c r="D91" s="538"/>
      <c r="E91" s="114"/>
      <c r="F91" s="113"/>
      <c r="G91" s="550">
        <f>-VLOOKUP(A91,'market px'!K$1:P$100,3,FALSE)*E91/1000000</f>
        <v>0</v>
      </c>
      <c r="H91" s="477"/>
      <c r="I91" s="319">
        <v>102.062</v>
      </c>
      <c r="J91" s="129">
        <f>VLOOKUP(A91,'market px'!K$2:P$150,6,FALSE)</f>
        <v>102.062</v>
      </c>
      <c r="K91" s="261">
        <f t="shared" si="3"/>
        <v>0</v>
      </c>
      <c r="L91" s="382"/>
      <c r="S91" s="117"/>
    </row>
    <row r="92" spans="1:19" s="116" customFormat="1">
      <c r="A92" s="110"/>
      <c r="B92" s="113"/>
      <c r="C92" s="113"/>
      <c r="D92" s="538"/>
      <c r="E92" s="114"/>
      <c r="F92" s="113"/>
      <c r="G92" s="550"/>
      <c r="H92" s="477"/>
      <c r="I92" s="319"/>
      <c r="J92" s="129"/>
      <c r="K92" s="261"/>
      <c r="L92" s="382"/>
      <c r="S92" s="117"/>
    </row>
    <row r="93" spans="1:19" s="93" customFormat="1">
      <c r="A93" s="110"/>
      <c r="B93" s="113"/>
      <c r="C93" s="113"/>
      <c r="D93" s="538"/>
      <c r="E93" s="114"/>
      <c r="F93" s="113"/>
      <c r="G93" s="550"/>
      <c r="H93" s="477"/>
      <c r="I93" s="319"/>
      <c r="J93" s="129"/>
      <c r="K93" s="261">
        <f>(J93-I93)*E93/100</f>
        <v>0</v>
      </c>
      <c r="L93" s="382"/>
      <c r="M93"/>
      <c r="N93"/>
      <c r="O93"/>
      <c r="P93"/>
      <c r="Q93"/>
      <c r="S93" s="131" t="s">
        <v>21</v>
      </c>
    </row>
    <row r="94" spans="1:19" s="93" customFormat="1">
      <c r="A94" s="111" t="s">
        <v>166</v>
      </c>
      <c r="B94" s="313"/>
      <c r="C94" s="313"/>
      <c r="D94" s="539"/>
      <c r="E94" s="314"/>
      <c r="F94" s="313"/>
      <c r="G94" s="316">
        <f>SUM(G34:G93)</f>
        <v>0</v>
      </c>
      <c r="H94" s="479"/>
      <c r="I94" s="323"/>
      <c r="J94" s="318"/>
      <c r="K94" s="316">
        <f>SUM(K34:K93)</f>
        <v>0</v>
      </c>
      <c r="L94" s="383"/>
    </row>
    <row r="95" spans="1:19" s="93" customFormat="1">
      <c r="A95" s="93" t="s">
        <v>426</v>
      </c>
      <c r="B95" s="97"/>
      <c r="C95" s="97"/>
      <c r="D95" s="540"/>
      <c r="E95" s="100"/>
      <c r="F95" s="97"/>
      <c r="H95" s="480"/>
      <c r="I95" s="99"/>
      <c r="J95" s="99"/>
      <c r="L95" s="377"/>
    </row>
    <row r="96" spans="1:19" s="93" customFormat="1">
      <c r="A96" s="206" t="s">
        <v>234</v>
      </c>
      <c r="B96" s="207" t="s">
        <v>7</v>
      </c>
      <c r="C96" s="207" t="s">
        <v>171</v>
      </c>
      <c r="D96" s="535" t="s">
        <v>170</v>
      </c>
      <c r="E96" s="208"/>
      <c r="F96" s="207" t="s">
        <v>2</v>
      </c>
      <c r="G96" s="209" t="s">
        <v>12</v>
      </c>
      <c r="H96" s="482" t="s">
        <v>18</v>
      </c>
      <c r="I96" s="209" t="s">
        <v>213</v>
      </c>
      <c r="J96" s="207" t="s">
        <v>214</v>
      </c>
      <c r="K96" s="260" t="s">
        <v>215</v>
      </c>
      <c r="L96" s="377"/>
    </row>
    <row r="97" spans="1:15" s="270" customFormat="1">
      <c r="A97" s="87" t="s">
        <v>429</v>
      </c>
      <c r="B97" s="122">
        <v>44232</v>
      </c>
      <c r="C97" s="122"/>
      <c r="D97" s="536"/>
      <c r="E97" s="88"/>
      <c r="F97" s="122">
        <v>42505</v>
      </c>
      <c r="G97" s="550">
        <f>-VLOOKUP(A97,'market px'!K$1:P$100,3,FALSE)*E97/1000000</f>
        <v>0</v>
      </c>
      <c r="H97" s="475" t="s">
        <v>21</v>
      </c>
      <c r="I97" s="129">
        <v>99.626000000000005</v>
      </c>
      <c r="J97" s="129">
        <f>VLOOKUP(A97,'market px'!K$1:P$150,6,FALSE)</f>
        <v>99.626000000000005</v>
      </c>
      <c r="K97" s="261">
        <f>(J97-I97)*E97/100</f>
        <v>0</v>
      </c>
      <c r="L97" s="378"/>
    </row>
    <row r="98" spans="1:15" s="270" customFormat="1">
      <c r="A98" s="87" t="s">
        <v>428</v>
      </c>
      <c r="B98" s="122">
        <v>44300</v>
      </c>
      <c r="C98" s="122"/>
      <c r="D98" s="536"/>
      <c r="E98" s="88"/>
      <c r="F98" s="122"/>
      <c r="G98" s="550">
        <f>-VLOOKUP(A98,'market px'!K$1:P$100,3,FALSE)*E98/1000000</f>
        <v>0</v>
      </c>
      <c r="H98" s="475"/>
      <c r="I98" s="129">
        <v>99.626000000000005</v>
      </c>
      <c r="J98" s="129">
        <f>VLOOKUP(A98,'market px'!K$1:P$150,6,FALSE)</f>
        <v>99.626000000000005</v>
      </c>
      <c r="K98" s="261">
        <f>(J98-I98)*E98/100</f>
        <v>0</v>
      </c>
      <c r="L98" s="378"/>
    </row>
    <row r="99" spans="1:15" s="270" customFormat="1">
      <c r="A99" s="87" t="s">
        <v>429</v>
      </c>
      <c r="B99" s="122">
        <v>44232</v>
      </c>
      <c r="C99" s="122"/>
      <c r="D99" s="536"/>
      <c r="E99" s="88"/>
      <c r="F99" s="122">
        <v>42505</v>
      </c>
      <c r="G99" s="550">
        <f>-VLOOKUP(A99,'market px'!K$1:P$100,3,FALSE)*E99/1000000</f>
        <v>0</v>
      </c>
      <c r="H99" s="475" t="s">
        <v>23</v>
      </c>
      <c r="I99" s="129">
        <v>99.626000000000005</v>
      </c>
      <c r="J99" s="129">
        <f>VLOOKUP(A99,'market px'!K$1:P$150,6,FALSE)</f>
        <v>99.626000000000005</v>
      </c>
      <c r="K99" s="261">
        <f>(J99-I99)*E99/100</f>
        <v>0</v>
      </c>
      <c r="L99" s="378"/>
    </row>
    <row r="100" spans="1:15" s="270" customFormat="1">
      <c r="A100" s="87" t="s">
        <v>428</v>
      </c>
      <c r="B100" s="122">
        <v>44300</v>
      </c>
      <c r="C100" s="122"/>
      <c r="D100" s="536"/>
      <c r="E100" s="88"/>
      <c r="F100" s="122"/>
      <c r="G100" s="550">
        <f>-VLOOKUP(A100,'market px'!K$1:P$100,3,FALSE)*E100/1000000</f>
        <v>0</v>
      </c>
      <c r="H100" s="475"/>
      <c r="I100" s="129">
        <v>99.626000000000005</v>
      </c>
      <c r="J100" s="129">
        <f>VLOOKUP(A100,'market px'!K$1:P$150,6,FALSE)</f>
        <v>99.626000000000005</v>
      </c>
      <c r="K100" s="261">
        <f>(J100-I100)*E100/100</f>
        <v>0</v>
      </c>
      <c r="L100" s="378"/>
    </row>
    <row r="101" spans="1:15" s="270" customFormat="1">
      <c r="A101" s="110"/>
      <c r="B101" s="113"/>
      <c r="C101" s="113"/>
      <c r="D101" s="538"/>
      <c r="E101" s="114"/>
      <c r="F101" s="113"/>
      <c r="G101" s="552"/>
      <c r="H101" s="477"/>
      <c r="I101" s="319"/>
      <c r="J101" s="319"/>
      <c r="K101" s="261"/>
      <c r="L101" s="379"/>
    </row>
    <row r="102" spans="1:15" s="270" customFormat="1">
      <c r="A102" s="110"/>
      <c r="B102" s="113"/>
      <c r="C102" s="113"/>
      <c r="D102" s="538"/>
      <c r="E102" s="114"/>
      <c r="F102" s="113"/>
      <c r="G102" s="552"/>
      <c r="H102" s="478"/>
      <c r="I102" s="319"/>
      <c r="J102" s="319"/>
      <c r="K102" s="261"/>
      <c r="L102" s="380"/>
    </row>
    <row r="103" spans="1:15" s="270" customFormat="1" ht="17.25" thickBot="1">
      <c r="A103" s="361" t="s">
        <v>166</v>
      </c>
      <c r="B103" s="363"/>
      <c r="C103" s="363"/>
      <c r="D103" s="541"/>
      <c r="E103" s="364">
        <f>SUM(E97:E102)</f>
        <v>0</v>
      </c>
      <c r="F103" s="363"/>
      <c r="G103" s="365">
        <f>SUM(G97:G102)</f>
        <v>0</v>
      </c>
      <c r="H103" s="481"/>
      <c r="I103" s="367"/>
      <c r="J103" s="366"/>
      <c r="K103" s="365">
        <f>SUM(K97:K102)</f>
        <v>0</v>
      </c>
      <c r="L103" s="531"/>
      <c r="M103" s="270">
        <v>5</v>
      </c>
      <c r="N103" s="270">
        <v>0</v>
      </c>
      <c r="O103" s="270">
        <v>0</v>
      </c>
    </row>
    <row r="104" spans="1:15" s="270" customFormat="1" ht="17.25" thickTop="1">
      <c r="A104" s="324" t="s">
        <v>164</v>
      </c>
      <c r="B104" s="313"/>
      <c r="C104" s="313"/>
      <c r="D104" s="539"/>
      <c r="E104" s="314"/>
      <c r="F104" s="313"/>
      <c r="G104" s="316"/>
      <c r="H104" s="479"/>
      <c r="I104" s="323"/>
      <c r="J104" s="318"/>
      <c r="K104" s="316"/>
      <c r="L104" s="380"/>
    </row>
    <row r="105" spans="1:15" s="270" customFormat="1">
      <c r="A105" s="206" t="s">
        <v>99</v>
      </c>
      <c r="B105" s="207" t="s">
        <v>7</v>
      </c>
      <c r="C105" s="207" t="s">
        <v>171</v>
      </c>
      <c r="D105" s="535" t="s">
        <v>170</v>
      </c>
      <c r="E105" s="208" t="s">
        <v>11</v>
      </c>
      <c r="F105" s="207" t="s">
        <v>2</v>
      </c>
      <c r="G105" s="209" t="s">
        <v>12</v>
      </c>
      <c r="H105" s="482" t="s">
        <v>18</v>
      </c>
      <c r="I105" s="209" t="s">
        <v>213</v>
      </c>
      <c r="J105" s="207" t="s">
        <v>214</v>
      </c>
      <c r="K105" s="260" t="s">
        <v>215</v>
      </c>
      <c r="L105" s="377"/>
    </row>
    <row r="106" spans="1:15" s="270" customFormat="1">
      <c r="A106" s="325" t="s">
        <v>660</v>
      </c>
      <c r="B106" s="328" t="s">
        <v>569</v>
      </c>
      <c r="C106" s="328" t="s">
        <v>339</v>
      </c>
      <c r="D106" s="542" t="s">
        <v>339</v>
      </c>
      <c r="E106" s="330">
        <v>0</v>
      </c>
      <c r="F106" s="331" t="s">
        <v>304</v>
      </c>
      <c r="G106" s="332">
        <f>-42.7*E106</f>
        <v>0</v>
      </c>
      <c r="H106" s="483" t="s">
        <v>570</v>
      </c>
      <c r="I106" s="335">
        <v>117.5</v>
      </c>
      <c r="J106" s="335">
        <f>VLOOKUP(A106,'market px'!$B$2:$F$20,5,FALSE)</f>
        <v>110.8515625</v>
      </c>
      <c r="K106" s="845">
        <f t="shared" ref="K106:K114" si="4">IF(LEFT(A106,2)="TU",(J106-I106)*E106/100*100000*2,(J106-I106)*E106/100*100000)</f>
        <v>0</v>
      </c>
      <c r="L106" s="377"/>
    </row>
    <row r="107" spans="1:15" s="270" customFormat="1">
      <c r="A107" s="325" t="s">
        <v>661</v>
      </c>
      <c r="B107" s="328" t="s">
        <v>574</v>
      </c>
      <c r="C107" s="328" t="s">
        <v>339</v>
      </c>
      <c r="D107" s="542" t="s">
        <v>339</v>
      </c>
      <c r="E107" s="330">
        <v>0</v>
      </c>
      <c r="F107" s="331" t="s">
        <v>304</v>
      </c>
      <c r="G107" s="332">
        <f>-42.7*E107</f>
        <v>0</v>
      </c>
      <c r="H107" s="483" t="s">
        <v>575</v>
      </c>
      <c r="I107" s="335">
        <v>118.109375</v>
      </c>
      <c r="J107" s="335">
        <f>VLOOKUP(A107,'market px'!$B$2:$F$20,5,FALSE)</f>
        <v>110.8515625</v>
      </c>
      <c r="K107" s="845">
        <f t="shared" si="4"/>
        <v>0</v>
      </c>
      <c r="L107" s="377"/>
    </row>
    <row r="108" spans="1:15" s="270" customFormat="1">
      <c r="A108" s="325" t="s">
        <v>647</v>
      </c>
      <c r="B108" s="328" t="s">
        <v>566</v>
      </c>
      <c r="C108" s="328" t="s">
        <v>339</v>
      </c>
      <c r="D108" s="542" t="s">
        <v>339</v>
      </c>
      <c r="E108" s="330">
        <v>0</v>
      </c>
      <c r="F108" s="331" t="s">
        <v>304</v>
      </c>
      <c r="G108" s="332">
        <f>-42.7*E108</f>
        <v>0</v>
      </c>
      <c r="H108" s="483" t="s">
        <v>567</v>
      </c>
      <c r="I108" s="335">
        <v>118</v>
      </c>
      <c r="J108" s="335">
        <f>VLOOKUP(A108,'market px'!$B$2:$F$20,5,FALSE)</f>
        <v>110.8515625</v>
      </c>
      <c r="K108" s="845">
        <f t="shared" si="4"/>
        <v>0</v>
      </c>
      <c r="L108" s="377"/>
    </row>
    <row r="109" spans="1:15" s="270" customFormat="1">
      <c r="A109" s="325" t="s">
        <v>647</v>
      </c>
      <c r="B109" s="328" t="s">
        <v>576</v>
      </c>
      <c r="C109" s="328" t="s">
        <v>339</v>
      </c>
      <c r="D109" s="542" t="s">
        <v>339</v>
      </c>
      <c r="E109" s="330">
        <v>0</v>
      </c>
      <c r="F109" s="331" t="s">
        <v>304</v>
      </c>
      <c r="G109" s="332">
        <f>-42.7*E109</f>
        <v>0</v>
      </c>
      <c r="H109" s="483" t="s">
        <v>577</v>
      </c>
      <c r="I109" s="335">
        <v>117.5859375</v>
      </c>
      <c r="J109" s="335">
        <f>VLOOKUP(A109,'market px'!$B$2:$F$20,5,FALSE)</f>
        <v>110.8515625</v>
      </c>
      <c r="K109" s="845">
        <f t="shared" si="4"/>
        <v>0</v>
      </c>
      <c r="L109" s="377"/>
    </row>
    <row r="110" spans="1:15" s="270" customFormat="1">
      <c r="A110" s="325" t="s">
        <v>647</v>
      </c>
      <c r="B110" s="328" t="s">
        <v>576</v>
      </c>
      <c r="C110" s="328" t="s">
        <v>339</v>
      </c>
      <c r="D110" s="542" t="s">
        <v>339</v>
      </c>
      <c r="E110" s="330">
        <v>0</v>
      </c>
      <c r="F110" s="331" t="s">
        <v>304</v>
      </c>
      <c r="G110" s="332">
        <f>-42.7*E110</f>
        <v>0</v>
      </c>
      <c r="H110" s="483" t="s">
        <v>578</v>
      </c>
      <c r="I110" s="335">
        <v>117.4453125</v>
      </c>
      <c r="J110" s="335">
        <f>VLOOKUP(A110,'market px'!$B$2:$F$20,5,FALSE)</f>
        <v>110.8515625</v>
      </c>
      <c r="K110" s="845">
        <f t="shared" si="4"/>
        <v>0</v>
      </c>
      <c r="L110" s="377"/>
    </row>
    <row r="111" spans="1:15" s="270" customFormat="1">
      <c r="A111" s="325" t="s">
        <v>647</v>
      </c>
      <c r="B111" s="328" t="s">
        <v>584</v>
      </c>
      <c r="C111" s="328" t="s">
        <v>339</v>
      </c>
      <c r="D111" s="542" t="s">
        <v>339</v>
      </c>
      <c r="E111" s="330">
        <v>0</v>
      </c>
      <c r="F111" s="331" t="s">
        <v>304</v>
      </c>
      <c r="G111" s="332">
        <f>-77*E111</f>
        <v>0</v>
      </c>
      <c r="H111" s="483" t="s">
        <v>585</v>
      </c>
      <c r="I111" s="335">
        <v>120.421875</v>
      </c>
      <c r="J111" s="335">
        <f>VLOOKUP(A111,'market px'!$B$2:$F$20,5,FALSE)</f>
        <v>110.8515625</v>
      </c>
      <c r="K111" s="845">
        <f t="shared" si="4"/>
        <v>0</v>
      </c>
      <c r="L111" s="377"/>
    </row>
    <row r="112" spans="1:15" s="270" customFormat="1">
      <c r="A112" s="325" t="s">
        <v>647</v>
      </c>
      <c r="B112" s="328" t="s">
        <v>582</v>
      </c>
      <c r="C112" s="328" t="s">
        <v>339</v>
      </c>
      <c r="D112" s="542" t="s">
        <v>339</v>
      </c>
      <c r="E112" s="330">
        <v>0</v>
      </c>
      <c r="F112" s="331" t="s">
        <v>304</v>
      </c>
      <c r="G112" s="332">
        <f>-77*E112</f>
        <v>0</v>
      </c>
      <c r="H112" s="483" t="s">
        <v>583</v>
      </c>
      <c r="I112" s="335">
        <v>122.625</v>
      </c>
      <c r="J112" s="335">
        <f>VLOOKUP(A112,'market px'!$B$2:$F$20,5,FALSE)</f>
        <v>110.8515625</v>
      </c>
      <c r="K112" s="845">
        <f t="shared" si="4"/>
        <v>0</v>
      </c>
      <c r="L112" s="377"/>
    </row>
    <row r="113" spans="1:12" s="270" customFormat="1">
      <c r="A113" s="325" t="s">
        <v>647</v>
      </c>
      <c r="B113" s="328" t="s">
        <v>520</v>
      </c>
      <c r="C113" s="328" t="s">
        <v>339</v>
      </c>
      <c r="D113" s="542" t="s">
        <v>339</v>
      </c>
      <c r="E113" s="330">
        <v>0</v>
      </c>
      <c r="F113" s="331" t="s">
        <v>304</v>
      </c>
      <c r="G113" s="332">
        <f>-77*E113</f>
        <v>0</v>
      </c>
      <c r="H113" s="483" t="s">
        <v>521</v>
      </c>
      <c r="I113" s="335">
        <v>123.2265625</v>
      </c>
      <c r="J113" s="335">
        <f>VLOOKUP(A113,'market px'!$B$2:$F$20,5,FALSE)</f>
        <v>110.8515625</v>
      </c>
      <c r="K113" s="845">
        <f t="shared" si="4"/>
        <v>0</v>
      </c>
      <c r="L113" s="377"/>
    </row>
    <row r="114" spans="1:12" s="270" customFormat="1">
      <c r="A114" s="325" t="s">
        <v>647</v>
      </c>
      <c r="B114" s="328" t="s">
        <v>340</v>
      </c>
      <c r="C114" s="328" t="s">
        <v>339</v>
      </c>
      <c r="D114" s="542" t="s">
        <v>339</v>
      </c>
      <c r="E114" s="330"/>
      <c r="F114" s="330" t="s">
        <v>304</v>
      </c>
      <c r="G114" s="332">
        <f>-77*E114</f>
        <v>0</v>
      </c>
      <c r="H114" s="483"/>
      <c r="I114" s="335">
        <v>131.03125</v>
      </c>
      <c r="J114" s="335">
        <f>VLOOKUP(A114,'market px'!$B$2:$F$20,5,FALSE)</f>
        <v>110.8515625</v>
      </c>
      <c r="K114" s="845">
        <f t="shared" si="4"/>
        <v>0</v>
      </c>
      <c r="L114" s="377"/>
    </row>
    <row r="115" spans="1:12">
      <c r="A115" s="349" t="s">
        <v>166</v>
      </c>
      <c r="B115" s="350"/>
      <c r="C115" s="351"/>
      <c r="D115" s="545"/>
      <c r="E115" s="352">
        <f>SUM(E106:E114)</f>
        <v>0</v>
      </c>
      <c r="F115" s="353"/>
      <c r="G115" s="354">
        <f>SUM(G106:G114)</f>
        <v>0</v>
      </c>
      <c r="H115" s="486"/>
      <c r="I115" s="356"/>
      <c r="J115" s="357"/>
      <c r="K115" s="358">
        <f>SUM(K106:K114)</f>
        <v>0</v>
      </c>
      <c r="L115" s="381"/>
    </row>
    <row r="116" spans="1:12">
      <c r="A116" s="359" t="s">
        <v>169</v>
      </c>
      <c r="B116" s="113"/>
      <c r="C116" s="274"/>
      <c r="D116" s="538"/>
      <c r="E116" s="114"/>
      <c r="F116" s="192"/>
      <c r="G116" s="118"/>
      <c r="H116" s="478"/>
      <c r="I116" s="125"/>
      <c r="J116" s="360"/>
      <c r="K116" s="261"/>
      <c r="L116" s="381"/>
    </row>
    <row r="117" spans="1:12">
      <c r="A117" s="206" t="s">
        <v>99</v>
      </c>
      <c r="B117" s="207" t="s">
        <v>7</v>
      </c>
      <c r="C117" s="207" t="s">
        <v>171</v>
      </c>
      <c r="D117" s="535" t="s">
        <v>170</v>
      </c>
      <c r="E117" s="208" t="s">
        <v>11</v>
      </c>
      <c r="F117" s="207" t="s">
        <v>2</v>
      </c>
      <c r="G117" s="209" t="s">
        <v>12</v>
      </c>
      <c r="H117" s="482" t="s">
        <v>18</v>
      </c>
      <c r="I117" s="209" t="s">
        <v>213</v>
      </c>
      <c r="J117" s="207" t="s">
        <v>214</v>
      </c>
      <c r="K117" s="260" t="s">
        <v>215</v>
      </c>
    </row>
    <row r="118" spans="1:12">
      <c r="A118" s="325" t="s">
        <v>337</v>
      </c>
      <c r="B118" s="328">
        <v>42922</v>
      </c>
      <c r="C118" s="329"/>
      <c r="D118" s="542"/>
      <c r="E118" s="330">
        <v>0</v>
      </c>
      <c r="F118" s="331" t="s">
        <v>304</v>
      </c>
      <c r="G118" s="332">
        <v>0</v>
      </c>
      <c r="H118" s="483"/>
      <c r="I118" s="335">
        <v>161.69999999999999</v>
      </c>
      <c r="J118" s="335">
        <f>VLOOKUP(A118,'market px'!$G$2:$I$20,3,FALSE)</f>
        <v>177.66</v>
      </c>
      <c r="K118" s="336">
        <f>(J118-I118)*E118/100*100000</f>
        <v>0</v>
      </c>
    </row>
    <row r="119" spans="1:12">
      <c r="A119" s="325" t="s">
        <v>312</v>
      </c>
      <c r="B119" s="328">
        <v>40835</v>
      </c>
      <c r="C119" s="329"/>
      <c r="D119" s="542"/>
      <c r="E119" s="330">
        <f>100000*0</f>
        <v>0</v>
      </c>
      <c r="F119" s="331" t="s">
        <v>135</v>
      </c>
      <c r="G119" s="332">
        <f>-VLOOKUP(A119,'market px'!G$2:H$20,2,FALSE)*E119/1000000</f>
        <v>0</v>
      </c>
      <c r="H119" s="483"/>
      <c r="I119" s="335">
        <v>135.12</v>
      </c>
      <c r="J119" s="335">
        <f>VLOOKUP(A119,'market px'!$G$2:$I$20,3,FALSE)</f>
        <v>160.49</v>
      </c>
      <c r="K119" s="336">
        <f>(J119-I119)*E119/100</f>
        <v>0</v>
      </c>
    </row>
    <row r="120" spans="1:12">
      <c r="A120" s="337" t="s">
        <v>285</v>
      </c>
      <c r="B120" s="340">
        <v>39090</v>
      </c>
      <c r="C120" s="341"/>
      <c r="D120" s="543"/>
      <c r="E120" s="342">
        <f>-100000*0</f>
        <v>0</v>
      </c>
      <c r="F120" s="343" t="s">
        <v>135</v>
      </c>
      <c r="G120" s="344">
        <f>-VLOOKUP(A120,'market px'!G$2:H$20,2,FALSE)*E120/1000000</f>
        <v>0</v>
      </c>
      <c r="H120" s="484" t="s">
        <v>21</v>
      </c>
      <c r="I120" s="347">
        <v>108.77</v>
      </c>
      <c r="J120" s="347">
        <f>VLOOKUP(A120,'market px'!$G$2:$I$20,3,FALSE)</f>
        <v>117.91</v>
      </c>
      <c r="K120" s="348">
        <f>(J120-I120)*E120/100</f>
        <v>0</v>
      </c>
    </row>
    <row r="121" spans="1:12">
      <c r="A121" s="337" t="s">
        <v>285</v>
      </c>
      <c r="B121" s="340">
        <v>38954</v>
      </c>
      <c r="C121" s="341"/>
      <c r="D121" s="543"/>
      <c r="E121" s="342">
        <f>-100000*0</f>
        <v>0</v>
      </c>
      <c r="F121" s="343" t="s">
        <v>135</v>
      </c>
      <c r="G121" s="344">
        <f>-VLOOKUP(A121,'market px'!G$2:H$20,2,FALSE)*E121/1000000</f>
        <v>0</v>
      </c>
      <c r="H121" s="484"/>
      <c r="I121" s="347">
        <v>109.88</v>
      </c>
      <c r="J121" s="347">
        <f>VLOOKUP(A121,'market px'!$G$2:$I$20,3,FALSE)</f>
        <v>117.91</v>
      </c>
      <c r="K121" s="348">
        <f>(J121-I121)*E121/100</f>
        <v>0</v>
      </c>
      <c r="L121" s="381"/>
    </row>
    <row r="122" spans="1:12">
      <c r="A122" s="285" t="s">
        <v>286</v>
      </c>
      <c r="B122" s="288">
        <v>39220</v>
      </c>
      <c r="C122" s="289" t="s">
        <v>21</v>
      </c>
      <c r="D122" s="544"/>
      <c r="E122" s="290">
        <f>100000*0</f>
        <v>0</v>
      </c>
      <c r="F122" s="291" t="s">
        <v>135</v>
      </c>
      <c r="G122" s="292">
        <f>-VLOOKUP(A122,'market px'!G$2:H$20,2,FALSE)*E122/1000000</f>
        <v>0</v>
      </c>
      <c r="H122" s="485" t="s">
        <v>21</v>
      </c>
      <c r="I122" s="295">
        <v>102.55500000000001</v>
      </c>
      <c r="J122" s="295">
        <f>VLOOKUP(A122,'market px'!$G$2:$I$20,3,FALSE)</f>
        <v>108.84</v>
      </c>
      <c r="K122" s="296">
        <f>(J122-I122)*E122/100</f>
        <v>0</v>
      </c>
      <c r="L122" s="381"/>
    </row>
    <row r="123" spans="1:12">
      <c r="A123" s="285" t="s">
        <v>286</v>
      </c>
      <c r="B123" s="288">
        <v>39224</v>
      </c>
      <c r="C123" s="289" t="s">
        <v>21</v>
      </c>
      <c r="D123" s="544"/>
      <c r="E123" s="290">
        <f>100000*0</f>
        <v>0</v>
      </c>
      <c r="F123" s="291" t="s">
        <v>135</v>
      </c>
      <c r="G123" s="292">
        <f>-VLOOKUP(A123,'market px'!G$2:H$20,2,FALSE)*E123/1000000</f>
        <v>0</v>
      </c>
      <c r="H123" s="485"/>
      <c r="I123" s="295">
        <v>102.89</v>
      </c>
      <c r="J123" s="295">
        <f>VLOOKUP(A123,'market px'!$G$2:$I$20,3,FALSE)</f>
        <v>108.84</v>
      </c>
      <c r="K123" s="296">
        <f>(J123-I123)*E123/100</f>
        <v>0</v>
      </c>
      <c r="L123" s="381"/>
    </row>
    <row r="124" spans="1:12">
      <c r="A124" s="349" t="s">
        <v>166</v>
      </c>
      <c r="B124" s="350"/>
      <c r="C124" s="351"/>
      <c r="D124" s="545"/>
      <c r="E124" s="352">
        <f>SUM(E118:E123)</f>
        <v>0</v>
      </c>
      <c r="F124" s="353"/>
      <c r="G124" s="354">
        <f>SUM(G118:G123)</f>
        <v>0</v>
      </c>
      <c r="H124" s="486"/>
      <c r="I124" s="356"/>
      <c r="J124" s="357"/>
      <c r="K124" s="358">
        <f>SUM(K118:K123)</f>
        <v>0</v>
      </c>
      <c r="L124" s="381"/>
    </row>
    <row r="125" spans="1:12">
      <c r="A125" s="65"/>
      <c r="B125" s="108"/>
      <c r="C125" s="275"/>
      <c r="D125" s="546"/>
      <c r="E125" s="70"/>
      <c r="F125" s="203"/>
      <c r="G125" s="105"/>
      <c r="H125" s="487"/>
      <c r="I125" s="204"/>
      <c r="J125" s="205"/>
      <c r="K125" s="106"/>
    </row>
    <row r="126" spans="1:12">
      <c r="B126"/>
      <c r="C126"/>
      <c r="D126"/>
      <c r="E126"/>
      <c r="F126"/>
      <c r="G126" s="14"/>
      <c r="H126" s="488"/>
      <c r="I126"/>
      <c r="J126"/>
      <c r="L126"/>
    </row>
    <row r="127" spans="1:12">
      <c r="B127"/>
      <c r="C127"/>
      <c r="D127"/>
      <c r="E127"/>
      <c r="F127"/>
      <c r="G127" s="14"/>
      <c r="H127" s="488"/>
      <c r="I127"/>
      <c r="J127"/>
      <c r="L127"/>
    </row>
    <row r="128" spans="1:12">
      <c r="B128"/>
      <c r="C128"/>
      <c r="D128"/>
      <c r="E128"/>
      <c r="F128"/>
      <c r="G128" s="14"/>
      <c r="H128" s="488"/>
      <c r="I128"/>
      <c r="J128"/>
      <c r="L128"/>
    </row>
    <row r="129" spans="2:12">
      <c r="B129"/>
      <c r="C129"/>
      <c r="D129"/>
      <c r="E129"/>
      <c r="F129"/>
      <c r="G129" s="14"/>
      <c r="H129" s="488"/>
      <c r="I129"/>
      <c r="J129"/>
      <c r="L129"/>
    </row>
    <row r="130" spans="2:12">
      <c r="B130"/>
      <c r="C130"/>
      <c r="D130"/>
      <c r="E130"/>
      <c r="F130"/>
      <c r="G130" s="14"/>
      <c r="H130" s="488"/>
      <c r="I130"/>
      <c r="J130"/>
      <c r="L130"/>
    </row>
    <row r="131" spans="2:12">
      <c r="B131"/>
      <c r="C131"/>
      <c r="D131"/>
      <c r="E131"/>
      <c r="F131"/>
      <c r="G131" s="14"/>
      <c r="H131" s="488"/>
      <c r="I131"/>
      <c r="J131"/>
      <c r="L131"/>
    </row>
    <row r="132" spans="2:12">
      <c r="B132"/>
      <c r="C132"/>
      <c r="D132"/>
      <c r="E132"/>
      <c r="F132"/>
      <c r="G132" s="14"/>
      <c r="H132" s="488"/>
      <c r="I132"/>
      <c r="J132"/>
      <c r="L132"/>
    </row>
    <row r="133" spans="2:12">
      <c r="B133"/>
      <c r="C133"/>
      <c r="D133"/>
      <c r="E133"/>
      <c r="F133"/>
      <c r="G133" s="14"/>
      <c r="H133" s="488"/>
      <c r="I133"/>
      <c r="J133"/>
      <c r="L133"/>
    </row>
    <row r="134" spans="2:12">
      <c r="B134"/>
      <c r="C134"/>
      <c r="D134"/>
      <c r="E134"/>
      <c r="F134"/>
      <c r="G134" s="14"/>
      <c r="H134" s="488"/>
      <c r="I134"/>
      <c r="J134"/>
      <c r="L134"/>
    </row>
    <row r="135" spans="2:12">
      <c r="B135"/>
      <c r="C135"/>
      <c r="D135"/>
      <c r="E135"/>
      <c r="F135"/>
      <c r="G135" s="14"/>
      <c r="H135" s="488"/>
      <c r="I135"/>
      <c r="J135"/>
      <c r="L135"/>
    </row>
    <row r="136" spans="2:12">
      <c r="B136"/>
      <c r="C136"/>
      <c r="D136"/>
      <c r="E136"/>
      <c r="F136"/>
      <c r="G136" s="14"/>
      <c r="H136" s="488"/>
      <c r="I136"/>
      <c r="J136"/>
      <c r="L136"/>
    </row>
    <row r="137" spans="2:12">
      <c r="B137"/>
      <c r="C137"/>
      <c r="D137"/>
      <c r="E137"/>
      <c r="F137"/>
      <c r="G137" s="14"/>
      <c r="H137" s="488"/>
      <c r="I137"/>
      <c r="J137"/>
      <c r="L137"/>
    </row>
    <row r="138" spans="2:12">
      <c r="B138"/>
      <c r="C138"/>
      <c r="D138"/>
      <c r="E138"/>
      <c r="F138"/>
      <c r="G138" s="14"/>
      <c r="H138" s="488"/>
      <c r="I138"/>
      <c r="J138"/>
      <c r="L138"/>
    </row>
    <row r="139" spans="2:12">
      <c r="B139"/>
      <c r="C139"/>
      <c r="D139"/>
      <c r="E139"/>
      <c r="F139"/>
      <c r="G139" s="14"/>
      <c r="H139" s="488"/>
      <c r="I139"/>
      <c r="J139"/>
      <c r="L139"/>
    </row>
    <row r="140" spans="2:12">
      <c r="B140"/>
      <c r="C140"/>
      <c r="D140"/>
      <c r="E140"/>
      <c r="F140"/>
      <c r="G140" s="14"/>
      <c r="H140" s="488"/>
      <c r="I140"/>
      <c r="J140"/>
      <c r="L140"/>
    </row>
    <row r="141" spans="2:12">
      <c r="B141"/>
      <c r="C141"/>
      <c r="D141"/>
      <c r="E141"/>
      <c r="F141"/>
      <c r="G141" s="14"/>
      <c r="H141" s="488"/>
      <c r="I141"/>
      <c r="J141"/>
      <c r="L141"/>
    </row>
    <row r="142" spans="2:12">
      <c r="B142"/>
      <c r="C142"/>
      <c r="D142"/>
      <c r="E142"/>
      <c r="F142"/>
      <c r="G142" s="14"/>
      <c r="H142" s="488"/>
      <c r="I142"/>
      <c r="J142"/>
      <c r="L142"/>
    </row>
    <row r="143" spans="2:12">
      <c r="B143"/>
      <c r="C143"/>
      <c r="D143"/>
      <c r="E143"/>
      <c r="F143"/>
      <c r="G143" s="14"/>
      <c r="H143" s="488"/>
      <c r="I143"/>
      <c r="J143"/>
      <c r="L143"/>
    </row>
    <row r="144" spans="2:12">
      <c r="B144"/>
      <c r="C144"/>
      <c r="D144"/>
      <c r="E144"/>
      <c r="F144"/>
      <c r="G144" s="14"/>
      <c r="H144" s="488"/>
      <c r="I144"/>
      <c r="J144"/>
      <c r="L144"/>
    </row>
    <row r="145" spans="2:12">
      <c r="B145"/>
      <c r="C145"/>
      <c r="D145"/>
      <c r="E145"/>
      <c r="F145"/>
      <c r="G145" s="14"/>
      <c r="H145" s="488"/>
      <c r="I145"/>
      <c r="J145"/>
      <c r="L145"/>
    </row>
    <row r="146" spans="2:12">
      <c r="B146"/>
      <c r="C146"/>
      <c r="D146"/>
      <c r="E146"/>
      <c r="F146"/>
      <c r="G146" s="14"/>
      <c r="H146" s="488"/>
      <c r="I146"/>
      <c r="J146"/>
      <c r="L146"/>
    </row>
    <row r="147" spans="2:12">
      <c r="B147"/>
      <c r="C147"/>
      <c r="D147"/>
      <c r="E147"/>
      <c r="F147"/>
      <c r="G147" s="14"/>
      <c r="H147" s="488"/>
      <c r="I147"/>
      <c r="J147"/>
      <c r="L147"/>
    </row>
    <row r="148" spans="2:12">
      <c r="B148"/>
      <c r="C148"/>
      <c r="D148"/>
      <c r="E148"/>
      <c r="F148"/>
      <c r="G148" s="14"/>
      <c r="H148" s="488"/>
      <c r="I148"/>
      <c r="J148"/>
      <c r="L148"/>
    </row>
    <row r="149" spans="2:12">
      <c r="B149"/>
      <c r="C149"/>
      <c r="D149"/>
      <c r="E149"/>
      <c r="F149"/>
      <c r="G149" s="14"/>
      <c r="H149" s="488"/>
      <c r="I149"/>
      <c r="J149"/>
      <c r="L149"/>
    </row>
    <row r="150" spans="2:12">
      <c r="B150"/>
      <c r="C150"/>
      <c r="D150"/>
      <c r="E150"/>
      <c r="F150"/>
      <c r="G150" s="14"/>
      <c r="H150" s="488"/>
      <c r="I150"/>
      <c r="J150"/>
      <c r="L150"/>
    </row>
    <row r="151" spans="2:12">
      <c r="B151"/>
      <c r="C151"/>
      <c r="D151"/>
      <c r="E151"/>
      <c r="F151"/>
      <c r="G151" s="14"/>
      <c r="H151" s="488"/>
      <c r="I151"/>
      <c r="J151"/>
      <c r="L151"/>
    </row>
    <row r="152" spans="2:12">
      <c r="B152"/>
      <c r="C152"/>
      <c r="D152"/>
      <c r="E152"/>
      <c r="F152"/>
      <c r="G152" s="14"/>
      <c r="H152" s="489"/>
      <c r="I152"/>
      <c r="J152"/>
      <c r="L152"/>
    </row>
    <row r="153" spans="2:12">
      <c r="B153"/>
      <c r="C153"/>
      <c r="D153"/>
      <c r="E153"/>
      <c r="F153"/>
      <c r="G153" s="14"/>
      <c r="H153" s="489"/>
      <c r="I153"/>
      <c r="J153"/>
      <c r="L153"/>
    </row>
    <row r="154" spans="2:12">
      <c r="B154"/>
      <c r="C154"/>
      <c r="D154"/>
      <c r="E154"/>
      <c r="F154"/>
      <c r="G154" s="14"/>
      <c r="H154" s="489"/>
      <c r="I154"/>
      <c r="J154"/>
      <c r="L154"/>
    </row>
    <row r="155" spans="2:12">
      <c r="B155"/>
      <c r="C155"/>
      <c r="D155"/>
      <c r="E155"/>
      <c r="F155"/>
      <c r="G155" s="14"/>
      <c r="H155" s="489"/>
      <c r="I155"/>
      <c r="J155"/>
      <c r="L155"/>
    </row>
    <row r="156" spans="2:12">
      <c r="B156"/>
      <c r="C156"/>
      <c r="D156"/>
      <c r="E156"/>
      <c r="F156"/>
      <c r="G156" s="14"/>
      <c r="H156" s="489"/>
      <c r="I156"/>
      <c r="J156"/>
      <c r="L156"/>
    </row>
    <row r="157" spans="2:12">
      <c r="B157"/>
      <c r="C157"/>
      <c r="D157"/>
      <c r="E157"/>
      <c r="F157"/>
      <c r="G157" s="14"/>
      <c r="H157" s="489"/>
      <c r="I157"/>
      <c r="J157"/>
      <c r="L157"/>
    </row>
    <row r="158" spans="2:12">
      <c r="B158"/>
      <c r="C158"/>
      <c r="D158"/>
      <c r="E158"/>
      <c r="F158"/>
      <c r="G158" s="14"/>
      <c r="H158" s="489"/>
      <c r="I158"/>
      <c r="J158"/>
      <c r="L158"/>
    </row>
    <row r="159" spans="2:12">
      <c r="B159"/>
      <c r="C159"/>
      <c r="D159"/>
      <c r="E159"/>
      <c r="F159"/>
      <c r="G159" s="14"/>
      <c r="H159" s="489"/>
      <c r="I159"/>
      <c r="J159"/>
      <c r="L159"/>
    </row>
    <row r="160" spans="2:12">
      <c r="B160"/>
      <c r="C160"/>
      <c r="D160"/>
      <c r="E160"/>
      <c r="F160"/>
      <c r="G160" s="14"/>
      <c r="H160" s="489"/>
      <c r="I160"/>
      <c r="J160"/>
      <c r="L160"/>
    </row>
    <row r="161" spans="2:12">
      <c r="B161"/>
      <c r="C161"/>
      <c r="D161"/>
      <c r="E161"/>
      <c r="F161"/>
      <c r="G161" s="14"/>
      <c r="H161" s="489"/>
      <c r="I161"/>
      <c r="J161"/>
      <c r="L161"/>
    </row>
    <row r="162" spans="2:12">
      <c r="B162"/>
      <c r="C162"/>
      <c r="D162"/>
      <c r="E162"/>
      <c r="F162"/>
      <c r="G162" s="14"/>
      <c r="H162" s="489"/>
      <c r="I162"/>
      <c r="J162"/>
      <c r="L162"/>
    </row>
    <row r="163" spans="2:12">
      <c r="B163"/>
      <c r="C163"/>
      <c r="D163"/>
      <c r="E163"/>
      <c r="F163"/>
      <c r="G163" s="14"/>
      <c r="H163" s="489"/>
      <c r="I163"/>
      <c r="J163"/>
      <c r="L163"/>
    </row>
    <row r="164" spans="2:12">
      <c r="B164"/>
      <c r="C164"/>
      <c r="D164"/>
      <c r="E164"/>
      <c r="F164"/>
      <c r="G164" s="14"/>
      <c r="H164" s="489"/>
      <c r="I164"/>
      <c r="J164"/>
      <c r="L164"/>
    </row>
    <row r="165" spans="2:12">
      <c r="B165"/>
      <c r="C165"/>
      <c r="D165"/>
      <c r="E165"/>
      <c r="F165"/>
      <c r="G165" s="14"/>
      <c r="H165" s="489"/>
      <c r="I165"/>
      <c r="J165"/>
      <c r="L165"/>
    </row>
    <row r="166" spans="2:12">
      <c r="B166"/>
      <c r="C166"/>
      <c r="D166"/>
      <c r="E166"/>
      <c r="F166"/>
      <c r="G166" s="14"/>
      <c r="H166" s="489"/>
      <c r="I166"/>
      <c r="J166"/>
      <c r="L166"/>
    </row>
    <row r="167" spans="2:12">
      <c r="B167"/>
      <c r="C167"/>
      <c r="D167"/>
      <c r="E167"/>
      <c r="F167"/>
      <c r="G167" s="14"/>
      <c r="H167" s="489"/>
      <c r="I167"/>
      <c r="J167"/>
      <c r="L167"/>
    </row>
    <row r="168" spans="2:12">
      <c r="B168"/>
      <c r="C168"/>
      <c r="D168"/>
      <c r="E168"/>
      <c r="F168"/>
      <c r="G168" s="14"/>
      <c r="H168" s="489"/>
      <c r="I168"/>
      <c r="J168"/>
      <c r="L168"/>
    </row>
    <row r="169" spans="2:12">
      <c r="B169"/>
      <c r="C169"/>
      <c r="D169"/>
      <c r="E169"/>
      <c r="F169"/>
      <c r="G169" s="14"/>
      <c r="H169" s="489"/>
      <c r="I169"/>
      <c r="J169"/>
      <c r="L169"/>
    </row>
    <row r="170" spans="2:12">
      <c r="B170"/>
      <c r="C170"/>
      <c r="D170"/>
      <c r="E170"/>
      <c r="F170"/>
      <c r="G170" s="14"/>
      <c r="H170" s="489"/>
      <c r="I170"/>
      <c r="J170"/>
      <c r="L170"/>
    </row>
    <row r="171" spans="2:12">
      <c r="B171"/>
      <c r="C171"/>
      <c r="D171"/>
      <c r="E171"/>
      <c r="F171"/>
      <c r="G171" s="14"/>
      <c r="H171" s="489"/>
      <c r="I171"/>
      <c r="J171"/>
      <c r="L171"/>
    </row>
    <row r="172" spans="2:12">
      <c r="B172"/>
      <c r="C172"/>
      <c r="D172"/>
      <c r="E172"/>
      <c r="F172"/>
      <c r="G172" s="14"/>
      <c r="H172" s="489"/>
      <c r="I172"/>
      <c r="J172"/>
      <c r="L172"/>
    </row>
    <row r="173" spans="2:12">
      <c r="B173"/>
      <c r="C173"/>
      <c r="D173"/>
      <c r="E173"/>
      <c r="F173"/>
      <c r="G173" s="14"/>
      <c r="H173" s="489"/>
      <c r="I173"/>
      <c r="J173"/>
      <c r="L173"/>
    </row>
    <row r="174" spans="2:12">
      <c r="B174"/>
      <c r="C174"/>
      <c r="D174"/>
      <c r="E174"/>
      <c r="F174"/>
      <c r="G174" s="14"/>
      <c r="H174" s="489"/>
      <c r="I174"/>
      <c r="J174"/>
      <c r="L174"/>
    </row>
    <row r="175" spans="2:12">
      <c r="B175"/>
      <c r="C175"/>
      <c r="D175"/>
      <c r="E175"/>
      <c r="F175"/>
      <c r="G175" s="14"/>
      <c r="H175" s="489"/>
      <c r="I175"/>
      <c r="J175"/>
      <c r="L175"/>
    </row>
    <row r="176" spans="2:12">
      <c r="B176"/>
      <c r="C176"/>
      <c r="D176"/>
      <c r="E176"/>
      <c r="F176"/>
      <c r="G176" s="14"/>
      <c r="H176" s="489"/>
      <c r="I176"/>
      <c r="J176"/>
      <c r="L176"/>
    </row>
    <row r="177" spans="2:12">
      <c r="B177"/>
      <c r="C177"/>
      <c r="D177"/>
      <c r="E177"/>
      <c r="F177"/>
      <c r="G177" s="14"/>
      <c r="H177" s="489"/>
      <c r="I177"/>
      <c r="J177"/>
      <c r="L177"/>
    </row>
    <row r="178" spans="2:12">
      <c r="B178"/>
      <c r="C178"/>
      <c r="D178"/>
      <c r="E178"/>
      <c r="F178"/>
      <c r="G178" s="14"/>
      <c r="H178" s="489"/>
      <c r="I178"/>
      <c r="J178"/>
      <c r="L178"/>
    </row>
    <row r="179" spans="2:12">
      <c r="B179"/>
      <c r="C179"/>
      <c r="D179"/>
      <c r="E179"/>
      <c r="F179"/>
      <c r="G179" s="14"/>
      <c r="H179" s="489"/>
      <c r="I179"/>
      <c r="J179"/>
      <c r="L179"/>
    </row>
    <row r="180" spans="2:12">
      <c r="B180"/>
      <c r="C180"/>
      <c r="D180"/>
      <c r="E180"/>
      <c r="F180"/>
      <c r="G180" s="14"/>
      <c r="H180" s="489"/>
      <c r="I180"/>
      <c r="J180"/>
      <c r="L180"/>
    </row>
    <row r="181" spans="2:12">
      <c r="B181"/>
      <c r="C181"/>
      <c r="D181"/>
      <c r="E181"/>
      <c r="F181"/>
      <c r="G181" s="14"/>
      <c r="H181" s="489"/>
      <c r="I181"/>
      <c r="J181"/>
      <c r="L181"/>
    </row>
    <row r="182" spans="2:12">
      <c r="B182"/>
      <c r="C182"/>
      <c r="D182"/>
      <c r="E182"/>
      <c r="F182"/>
      <c r="G182" s="14"/>
      <c r="H182" s="489"/>
      <c r="I182"/>
      <c r="J182"/>
      <c r="L182"/>
    </row>
    <row r="183" spans="2:12">
      <c r="B183"/>
      <c r="C183"/>
      <c r="D183"/>
      <c r="E183"/>
      <c r="F183"/>
      <c r="G183" s="14"/>
      <c r="H183" s="489"/>
      <c r="I183"/>
      <c r="J183"/>
      <c r="L183"/>
    </row>
    <row r="184" spans="2:12">
      <c r="B184"/>
      <c r="C184"/>
      <c r="D184"/>
      <c r="E184"/>
      <c r="F184"/>
      <c r="G184" s="14"/>
      <c r="H184" s="489"/>
      <c r="I184"/>
      <c r="J184"/>
      <c r="L184"/>
    </row>
    <row r="185" spans="2:12">
      <c r="B185"/>
      <c r="C185"/>
      <c r="D185"/>
      <c r="E185"/>
      <c r="F185"/>
      <c r="G185" s="14"/>
      <c r="H185" s="489"/>
      <c r="I185"/>
      <c r="J185"/>
      <c r="L185"/>
    </row>
    <row r="186" spans="2:12">
      <c r="B186"/>
      <c r="C186"/>
      <c r="D186"/>
      <c r="E186"/>
      <c r="F186"/>
      <c r="G186" s="14"/>
      <c r="H186" s="489"/>
      <c r="I186"/>
      <c r="J186"/>
      <c r="L186"/>
    </row>
    <row r="187" spans="2:12">
      <c r="B187"/>
      <c r="C187"/>
      <c r="D187"/>
      <c r="E187"/>
      <c r="F187"/>
      <c r="G187" s="14"/>
      <c r="H187" s="489"/>
      <c r="I187"/>
      <c r="J187"/>
      <c r="L187"/>
    </row>
    <row r="188" spans="2:12">
      <c r="B188"/>
      <c r="C188"/>
      <c r="D188"/>
      <c r="E188"/>
      <c r="F188"/>
      <c r="G188" s="14"/>
      <c r="H188" s="489"/>
      <c r="I188"/>
      <c r="J188"/>
      <c r="L188"/>
    </row>
    <row r="189" spans="2:12">
      <c r="B189"/>
      <c r="C189"/>
      <c r="D189"/>
      <c r="E189"/>
      <c r="F189"/>
      <c r="G189" s="14"/>
      <c r="H189" s="489"/>
      <c r="I189"/>
      <c r="J189"/>
      <c r="L189"/>
    </row>
    <row r="190" spans="2:12">
      <c r="B190"/>
      <c r="C190"/>
      <c r="D190"/>
      <c r="E190"/>
      <c r="F190"/>
      <c r="G190" s="14"/>
      <c r="H190" s="489"/>
      <c r="I190"/>
      <c r="J190"/>
      <c r="L190"/>
    </row>
    <row r="191" spans="2:12">
      <c r="B191"/>
      <c r="C191"/>
      <c r="D191"/>
      <c r="E191"/>
      <c r="F191"/>
      <c r="G191" s="14"/>
      <c r="H191" s="489"/>
      <c r="I191"/>
      <c r="J191"/>
      <c r="L191"/>
    </row>
    <row r="192" spans="2:12">
      <c r="B192"/>
      <c r="C192"/>
      <c r="D192"/>
      <c r="E192"/>
      <c r="F192"/>
      <c r="G192" s="14"/>
      <c r="H192" s="489"/>
      <c r="I192"/>
      <c r="J192"/>
      <c r="L192"/>
    </row>
    <row r="193" spans="2:12">
      <c r="B193"/>
      <c r="C193"/>
      <c r="D193"/>
      <c r="E193"/>
      <c r="F193"/>
      <c r="G193" s="14"/>
      <c r="H193" s="489"/>
      <c r="I193"/>
      <c r="J193"/>
      <c r="L193"/>
    </row>
    <row r="194" spans="2:12">
      <c r="B194"/>
      <c r="C194"/>
      <c r="D194"/>
      <c r="E194"/>
      <c r="F194"/>
      <c r="G194" s="14"/>
      <c r="H194" s="489"/>
      <c r="I194"/>
      <c r="J194"/>
      <c r="L194"/>
    </row>
    <row r="195" spans="2:12">
      <c r="B195"/>
      <c r="C195"/>
      <c r="D195"/>
      <c r="E195"/>
      <c r="F195"/>
      <c r="G195" s="14"/>
      <c r="H195" s="489"/>
      <c r="I195"/>
      <c r="J195"/>
      <c r="L195"/>
    </row>
    <row r="196" spans="2:12">
      <c r="B196"/>
      <c r="C196"/>
      <c r="D196"/>
      <c r="E196"/>
      <c r="F196"/>
      <c r="G196" s="14"/>
      <c r="H196" s="489"/>
      <c r="I196"/>
      <c r="J196"/>
      <c r="L196"/>
    </row>
    <row r="197" spans="2:12">
      <c r="B197"/>
      <c r="C197"/>
      <c r="D197"/>
      <c r="E197"/>
      <c r="F197"/>
      <c r="G197" s="14"/>
      <c r="H197" s="489"/>
      <c r="I197"/>
      <c r="J197"/>
      <c r="L197"/>
    </row>
    <row r="198" spans="2:12">
      <c r="B198"/>
      <c r="C198"/>
      <c r="D198"/>
      <c r="E198"/>
      <c r="F198"/>
      <c r="G198" s="14"/>
      <c r="H198" s="489"/>
      <c r="I198"/>
      <c r="J198"/>
      <c r="L198"/>
    </row>
    <row r="199" spans="2:12">
      <c r="B199"/>
      <c r="C199"/>
      <c r="D199"/>
      <c r="E199"/>
      <c r="F199"/>
      <c r="G199" s="14"/>
      <c r="H199" s="489"/>
      <c r="I199"/>
      <c r="J199"/>
      <c r="L199"/>
    </row>
    <row r="200" spans="2:12">
      <c r="B200"/>
      <c r="C200"/>
      <c r="D200"/>
      <c r="E200"/>
      <c r="F200"/>
      <c r="G200" s="14"/>
      <c r="H200" s="489"/>
      <c r="I200"/>
      <c r="J200"/>
      <c r="L200"/>
    </row>
    <row r="201" spans="2:12">
      <c r="B201"/>
      <c r="C201"/>
      <c r="D201"/>
      <c r="E201"/>
      <c r="F201"/>
      <c r="G201" s="14"/>
      <c r="H201" s="489"/>
      <c r="I201"/>
      <c r="J201"/>
      <c r="L201"/>
    </row>
    <row r="202" spans="2:12">
      <c r="B202"/>
      <c r="C202"/>
      <c r="D202"/>
      <c r="E202"/>
      <c r="F202"/>
      <c r="G202" s="14"/>
      <c r="H202" s="489"/>
      <c r="I202"/>
      <c r="J202"/>
      <c r="L202"/>
    </row>
    <row r="203" spans="2:12">
      <c r="B203"/>
      <c r="C203"/>
      <c r="D203"/>
      <c r="E203"/>
      <c r="F203"/>
      <c r="G203" s="14"/>
      <c r="H203" s="489"/>
      <c r="I203"/>
      <c r="J203"/>
      <c r="L203"/>
    </row>
    <row r="204" spans="2:12">
      <c r="B204"/>
      <c r="C204"/>
      <c r="D204"/>
      <c r="E204"/>
      <c r="F204"/>
      <c r="G204" s="14"/>
      <c r="H204" s="489"/>
      <c r="I204"/>
      <c r="J204"/>
      <c r="L204"/>
    </row>
    <row r="205" spans="2:12">
      <c r="B205"/>
      <c r="C205"/>
      <c r="D205"/>
      <c r="E205"/>
      <c r="F205"/>
      <c r="G205" s="14"/>
      <c r="H205" s="489"/>
      <c r="I205"/>
      <c r="J205"/>
      <c r="L205"/>
    </row>
    <row r="206" spans="2:12">
      <c r="B206"/>
      <c r="C206"/>
      <c r="D206"/>
      <c r="E206"/>
      <c r="F206"/>
      <c r="G206" s="14"/>
      <c r="H206" s="489"/>
      <c r="I206"/>
      <c r="J206"/>
      <c r="L206"/>
    </row>
    <row r="207" spans="2:12">
      <c r="B207"/>
      <c r="C207"/>
      <c r="D207"/>
      <c r="E207"/>
      <c r="F207"/>
      <c r="G207" s="14"/>
      <c r="H207" s="489"/>
      <c r="I207"/>
      <c r="J207"/>
      <c r="L207"/>
    </row>
    <row r="208" spans="2:12">
      <c r="B208"/>
      <c r="C208"/>
      <c r="D208"/>
      <c r="E208"/>
      <c r="F208"/>
      <c r="G208" s="14"/>
      <c r="H208" s="489"/>
      <c r="I208"/>
      <c r="J208"/>
      <c r="L208"/>
    </row>
    <row r="209" spans="2:12">
      <c r="B209"/>
      <c r="C209"/>
      <c r="D209"/>
      <c r="E209"/>
      <c r="F209"/>
      <c r="G209" s="14"/>
      <c r="H209" s="489"/>
      <c r="I209"/>
      <c r="J209"/>
      <c r="L209"/>
    </row>
    <row r="210" spans="2:12">
      <c r="B210"/>
      <c r="C210"/>
      <c r="D210"/>
      <c r="E210"/>
      <c r="F210"/>
      <c r="G210" s="14"/>
      <c r="H210" s="489"/>
      <c r="I210"/>
      <c r="J210"/>
      <c r="L210"/>
    </row>
    <row r="211" spans="2:12">
      <c r="B211"/>
      <c r="C211"/>
      <c r="D211"/>
      <c r="E211"/>
      <c r="F211"/>
      <c r="G211" s="14"/>
      <c r="H211" s="489"/>
      <c r="I211"/>
      <c r="J211"/>
      <c r="L211"/>
    </row>
    <row r="212" spans="2:12">
      <c r="B212"/>
      <c r="C212"/>
      <c r="D212"/>
      <c r="E212"/>
      <c r="F212"/>
      <c r="G212" s="14"/>
      <c r="H212" s="489"/>
      <c r="I212"/>
      <c r="J212"/>
      <c r="L212"/>
    </row>
    <row r="213" spans="2:12">
      <c r="B213"/>
      <c r="C213"/>
      <c r="D213"/>
      <c r="E213"/>
      <c r="F213"/>
      <c r="G213" s="14"/>
      <c r="H213" s="489"/>
      <c r="I213"/>
      <c r="J213"/>
      <c r="L213"/>
    </row>
    <row r="214" spans="2:12">
      <c r="B214"/>
      <c r="C214"/>
      <c r="D214"/>
      <c r="E214"/>
      <c r="F214"/>
      <c r="G214" s="14"/>
      <c r="H214" s="489"/>
      <c r="I214"/>
      <c r="J214"/>
      <c r="L214"/>
    </row>
    <row r="215" spans="2:12">
      <c r="B215"/>
      <c r="C215"/>
      <c r="D215"/>
      <c r="E215"/>
      <c r="F215"/>
      <c r="G215" s="14"/>
      <c r="H215" s="489"/>
      <c r="I215"/>
      <c r="J215"/>
      <c r="L215"/>
    </row>
    <row r="216" spans="2:12">
      <c r="B216"/>
      <c r="C216"/>
      <c r="D216"/>
      <c r="E216"/>
      <c r="F216"/>
      <c r="G216" s="14"/>
      <c r="H216" s="489"/>
      <c r="I216"/>
      <c r="J216"/>
      <c r="L216"/>
    </row>
    <row r="217" spans="2:12">
      <c r="B217"/>
      <c r="C217"/>
      <c r="D217"/>
      <c r="E217"/>
      <c r="F217"/>
      <c r="G217" s="14"/>
      <c r="H217" s="489"/>
      <c r="I217"/>
      <c r="J217"/>
      <c r="L217"/>
    </row>
    <row r="218" spans="2:12">
      <c r="B218"/>
      <c r="C218"/>
      <c r="D218"/>
      <c r="E218"/>
      <c r="F218"/>
      <c r="G218" s="14"/>
      <c r="H218" s="489"/>
      <c r="I218"/>
      <c r="J218"/>
      <c r="L218"/>
    </row>
    <row r="219" spans="2:12">
      <c r="B219"/>
      <c r="C219"/>
      <c r="D219"/>
      <c r="E219"/>
      <c r="F219"/>
      <c r="G219" s="14"/>
      <c r="H219" s="489"/>
      <c r="I219"/>
      <c r="J219"/>
      <c r="L219"/>
    </row>
    <row r="220" spans="2:12">
      <c r="B220"/>
      <c r="C220"/>
      <c r="D220"/>
      <c r="E220"/>
      <c r="F220"/>
      <c r="G220" s="14"/>
      <c r="H220" s="489"/>
      <c r="I220"/>
      <c r="J220"/>
      <c r="L220"/>
    </row>
    <row r="221" spans="2:12">
      <c r="B221"/>
      <c r="C221"/>
      <c r="D221"/>
      <c r="E221"/>
      <c r="F221"/>
      <c r="G221" s="14"/>
      <c r="H221" s="489"/>
      <c r="I221"/>
      <c r="J221"/>
      <c r="L221"/>
    </row>
    <row r="222" spans="2:12">
      <c r="B222"/>
      <c r="C222"/>
      <c r="D222"/>
      <c r="E222"/>
      <c r="F222"/>
      <c r="G222" s="14"/>
      <c r="H222" s="489"/>
      <c r="I222"/>
      <c r="J222"/>
      <c r="L222"/>
    </row>
    <row r="223" spans="2:12">
      <c r="B223"/>
      <c r="C223"/>
      <c r="D223"/>
      <c r="E223"/>
      <c r="F223"/>
      <c r="G223" s="14"/>
      <c r="H223" s="489"/>
      <c r="I223"/>
      <c r="J223"/>
      <c r="L223"/>
    </row>
    <row r="224" spans="2:12">
      <c r="B224"/>
      <c r="C224"/>
      <c r="D224"/>
      <c r="E224"/>
      <c r="F224"/>
      <c r="G224" s="14"/>
      <c r="H224" s="489"/>
      <c r="I224"/>
      <c r="J224"/>
      <c r="L224"/>
    </row>
    <row r="225" spans="2:12">
      <c r="B225"/>
      <c r="C225"/>
      <c r="D225"/>
      <c r="E225"/>
      <c r="F225"/>
      <c r="G225" s="14"/>
      <c r="H225" s="489"/>
      <c r="I225"/>
      <c r="J225"/>
      <c r="L225"/>
    </row>
    <row r="226" spans="2:12">
      <c r="B226"/>
      <c r="C226"/>
      <c r="D226"/>
      <c r="E226"/>
      <c r="F226"/>
      <c r="G226" s="14"/>
      <c r="H226" s="489"/>
      <c r="I226"/>
      <c r="J226"/>
      <c r="L226"/>
    </row>
    <row r="227" spans="2:12">
      <c r="B227"/>
      <c r="C227"/>
      <c r="D227"/>
      <c r="E227"/>
      <c r="F227"/>
      <c r="G227" s="14"/>
      <c r="H227" s="489"/>
      <c r="I227"/>
      <c r="J227"/>
      <c r="L227"/>
    </row>
    <row r="228" spans="2:12">
      <c r="B228"/>
      <c r="C228"/>
      <c r="D228"/>
      <c r="E228"/>
      <c r="F228"/>
      <c r="G228" s="14"/>
      <c r="H228" s="489"/>
      <c r="I228"/>
      <c r="J228"/>
      <c r="L228"/>
    </row>
    <row r="229" spans="2:12">
      <c r="B229"/>
      <c r="C229"/>
      <c r="D229"/>
      <c r="E229"/>
      <c r="F229"/>
      <c r="G229" s="14"/>
      <c r="H229" s="489"/>
      <c r="I229"/>
      <c r="J229"/>
      <c r="L229"/>
    </row>
    <row r="230" spans="2:12">
      <c r="B230"/>
      <c r="C230"/>
      <c r="D230"/>
      <c r="E230"/>
      <c r="F230"/>
      <c r="G230" s="14"/>
      <c r="H230" s="489"/>
      <c r="I230"/>
      <c r="J230"/>
      <c r="L230"/>
    </row>
    <row r="231" spans="2:12">
      <c r="B231"/>
      <c r="C231"/>
      <c r="D231"/>
      <c r="E231"/>
      <c r="F231"/>
      <c r="G231" s="14"/>
      <c r="H231" s="489"/>
      <c r="I231"/>
      <c r="J231"/>
      <c r="L231"/>
    </row>
    <row r="232" spans="2:12">
      <c r="B232"/>
      <c r="C232"/>
      <c r="D232"/>
      <c r="E232"/>
      <c r="F232"/>
      <c r="G232" s="14"/>
      <c r="H232" s="489"/>
      <c r="I232"/>
      <c r="J232"/>
      <c r="L232"/>
    </row>
    <row r="233" spans="2:12">
      <c r="B233"/>
      <c r="C233"/>
      <c r="D233"/>
      <c r="E233"/>
      <c r="F233"/>
      <c r="G233" s="14"/>
      <c r="H233" s="489"/>
      <c r="I233"/>
      <c r="J233"/>
      <c r="L233"/>
    </row>
    <row r="234" spans="2:12">
      <c r="B234"/>
      <c r="C234"/>
      <c r="D234"/>
      <c r="E234"/>
      <c r="F234"/>
      <c r="G234" s="14"/>
      <c r="H234" s="489"/>
      <c r="I234"/>
      <c r="J234"/>
      <c r="L234"/>
    </row>
    <row r="235" spans="2:12">
      <c r="B235"/>
      <c r="C235"/>
      <c r="D235"/>
      <c r="E235"/>
      <c r="F235"/>
      <c r="G235" s="14"/>
      <c r="H235" s="489"/>
      <c r="I235"/>
      <c r="J235"/>
      <c r="L235"/>
    </row>
    <row r="236" spans="2:12">
      <c r="B236"/>
      <c r="C236"/>
      <c r="D236"/>
      <c r="E236"/>
      <c r="F236"/>
      <c r="G236" s="14"/>
      <c r="H236" s="489"/>
      <c r="I236"/>
      <c r="J236"/>
      <c r="L236"/>
    </row>
    <row r="237" spans="2:12">
      <c r="B237"/>
      <c r="C237"/>
      <c r="D237"/>
      <c r="E237"/>
      <c r="F237"/>
      <c r="G237" s="14"/>
      <c r="H237" s="489"/>
      <c r="I237"/>
      <c r="J237"/>
      <c r="L237"/>
    </row>
    <row r="238" spans="2:12">
      <c r="B238"/>
      <c r="C238"/>
      <c r="D238"/>
      <c r="E238"/>
      <c r="F238"/>
      <c r="G238" s="14"/>
      <c r="H238" s="489"/>
      <c r="I238"/>
      <c r="J238"/>
      <c r="L238"/>
    </row>
    <row r="239" spans="2:12">
      <c r="B239"/>
      <c r="C239"/>
      <c r="D239"/>
      <c r="E239"/>
      <c r="F239"/>
      <c r="G239" s="14"/>
      <c r="H239" s="489"/>
      <c r="I239"/>
      <c r="J239"/>
      <c r="L239"/>
    </row>
    <row r="240" spans="2:12">
      <c r="B240"/>
      <c r="C240"/>
      <c r="D240"/>
      <c r="E240"/>
      <c r="F240"/>
      <c r="G240" s="14"/>
      <c r="H240" s="489"/>
      <c r="I240"/>
      <c r="J240"/>
      <c r="L240"/>
    </row>
    <row r="241" spans="2:12">
      <c r="B241"/>
      <c r="C241"/>
      <c r="D241"/>
      <c r="E241"/>
      <c r="F241"/>
      <c r="G241" s="14"/>
      <c r="H241" s="489"/>
      <c r="I241"/>
      <c r="J241"/>
      <c r="L241"/>
    </row>
    <row r="242" spans="2:12">
      <c r="B242"/>
      <c r="C242"/>
      <c r="D242"/>
      <c r="E242"/>
      <c r="F242"/>
      <c r="G242" s="14"/>
      <c r="H242" s="489"/>
      <c r="I242"/>
      <c r="J242"/>
      <c r="L242"/>
    </row>
    <row r="243" spans="2:12">
      <c r="B243"/>
      <c r="C243"/>
      <c r="D243"/>
      <c r="E243"/>
      <c r="F243"/>
      <c r="G243" s="14"/>
      <c r="H243" s="489"/>
      <c r="I243"/>
      <c r="J243"/>
      <c r="L243"/>
    </row>
    <row r="244" spans="2:12">
      <c r="B244"/>
      <c r="C244"/>
      <c r="D244"/>
      <c r="E244"/>
      <c r="F244"/>
      <c r="G244" s="14"/>
      <c r="H244" s="489"/>
      <c r="I244"/>
      <c r="J244"/>
      <c r="L244"/>
    </row>
    <row r="245" spans="2:12">
      <c r="B245"/>
      <c r="C245"/>
      <c r="D245"/>
      <c r="E245"/>
      <c r="F245"/>
      <c r="G245" s="14"/>
      <c r="H245" s="489"/>
      <c r="I245"/>
      <c r="J245"/>
      <c r="L245"/>
    </row>
    <row r="246" spans="2:12">
      <c r="B246"/>
      <c r="C246"/>
      <c r="D246"/>
      <c r="E246"/>
      <c r="F246"/>
      <c r="G246" s="14"/>
      <c r="H246" s="489"/>
      <c r="I246"/>
      <c r="J246"/>
      <c r="L246"/>
    </row>
    <row r="247" spans="2:12">
      <c r="B247"/>
      <c r="C247"/>
      <c r="D247"/>
      <c r="E247"/>
      <c r="F247"/>
      <c r="G247" s="14"/>
      <c r="H247" s="489"/>
      <c r="I247"/>
      <c r="J247"/>
      <c r="L247"/>
    </row>
    <row r="248" spans="2:12">
      <c r="B248"/>
      <c r="C248"/>
      <c r="D248"/>
      <c r="E248"/>
      <c r="F248"/>
      <c r="G248" s="14"/>
      <c r="H248" s="489"/>
      <c r="I248"/>
      <c r="J248"/>
      <c r="L248"/>
    </row>
    <row r="249" spans="2:12">
      <c r="B249"/>
      <c r="C249"/>
      <c r="D249"/>
      <c r="E249"/>
      <c r="F249"/>
      <c r="G249" s="14"/>
      <c r="H249" s="489"/>
      <c r="I249"/>
      <c r="J249"/>
      <c r="L249"/>
    </row>
    <row r="250" spans="2:12">
      <c r="B250"/>
      <c r="C250"/>
      <c r="D250"/>
      <c r="E250"/>
      <c r="F250"/>
      <c r="G250" s="14"/>
      <c r="H250" s="489"/>
      <c r="I250"/>
      <c r="J250"/>
      <c r="L250"/>
    </row>
    <row r="251" spans="2:12">
      <c r="B251"/>
      <c r="C251"/>
      <c r="D251"/>
      <c r="E251"/>
      <c r="F251"/>
      <c r="G251" s="14"/>
      <c r="H251" s="489"/>
      <c r="I251"/>
      <c r="J251"/>
      <c r="L251"/>
    </row>
    <row r="252" spans="2:12">
      <c r="B252"/>
      <c r="C252"/>
      <c r="D252"/>
      <c r="E252"/>
      <c r="F252"/>
      <c r="G252" s="14"/>
      <c r="H252" s="489"/>
      <c r="I252"/>
      <c r="J252"/>
      <c r="L252"/>
    </row>
    <row r="253" spans="2:12">
      <c r="B253"/>
      <c r="C253"/>
      <c r="D253"/>
      <c r="E253"/>
      <c r="F253"/>
      <c r="G253" s="14"/>
      <c r="H253" s="489"/>
      <c r="I253"/>
      <c r="J253"/>
      <c r="L253"/>
    </row>
    <row r="254" spans="2:12">
      <c r="B254"/>
      <c r="C254"/>
      <c r="D254"/>
      <c r="E254"/>
      <c r="F254"/>
      <c r="G254" s="14"/>
      <c r="H254" s="489"/>
      <c r="I254"/>
      <c r="J254"/>
      <c r="L254"/>
    </row>
    <row r="255" spans="2:12">
      <c r="B255"/>
      <c r="C255"/>
      <c r="D255"/>
      <c r="E255"/>
      <c r="F255"/>
      <c r="G255" s="14"/>
      <c r="H255" s="489"/>
      <c r="I255"/>
      <c r="J255"/>
      <c r="L255"/>
    </row>
    <row r="256" spans="2:12">
      <c r="B256"/>
      <c r="C256"/>
      <c r="D256"/>
      <c r="E256"/>
      <c r="F256"/>
      <c r="G256" s="14"/>
      <c r="H256" s="489"/>
      <c r="I256"/>
      <c r="J256"/>
      <c r="L256"/>
    </row>
    <row r="257" spans="2:12">
      <c r="B257"/>
      <c r="C257"/>
      <c r="D257"/>
      <c r="E257"/>
      <c r="F257"/>
      <c r="G257" s="14"/>
      <c r="H257" s="489"/>
      <c r="I257"/>
      <c r="J257"/>
      <c r="L257"/>
    </row>
    <row r="258" spans="2:12">
      <c r="B258"/>
      <c r="C258"/>
      <c r="D258"/>
      <c r="E258"/>
      <c r="F258"/>
      <c r="G258" s="14"/>
      <c r="H258" s="489"/>
      <c r="I258"/>
      <c r="J258"/>
      <c r="L258"/>
    </row>
    <row r="259" spans="2:12">
      <c r="B259"/>
      <c r="C259"/>
      <c r="D259"/>
      <c r="E259"/>
      <c r="F259"/>
      <c r="G259" s="14"/>
      <c r="H259" s="489"/>
      <c r="I259"/>
      <c r="J259"/>
      <c r="L259"/>
    </row>
    <row r="260" spans="2:12">
      <c r="B260"/>
      <c r="C260"/>
      <c r="D260"/>
      <c r="E260"/>
      <c r="F260"/>
      <c r="G260" s="14"/>
      <c r="H260" s="489"/>
      <c r="I260"/>
      <c r="J260"/>
      <c r="L260"/>
    </row>
    <row r="261" spans="2:12">
      <c r="B261"/>
      <c r="C261"/>
      <c r="D261"/>
      <c r="E261"/>
      <c r="F261"/>
      <c r="G261" s="14"/>
      <c r="H261" s="489"/>
      <c r="I261"/>
      <c r="J261"/>
      <c r="L261"/>
    </row>
    <row r="262" spans="2:12">
      <c r="B262"/>
      <c r="C262"/>
      <c r="D262"/>
      <c r="E262"/>
      <c r="F262"/>
      <c r="G262" s="14"/>
      <c r="H262" s="489"/>
      <c r="I262"/>
      <c r="J262"/>
      <c r="L262"/>
    </row>
    <row r="263" spans="2:12">
      <c r="B263"/>
      <c r="C263"/>
      <c r="D263"/>
      <c r="E263"/>
      <c r="F263"/>
      <c r="G263" s="14"/>
      <c r="H263" s="489"/>
      <c r="I263"/>
      <c r="J263"/>
      <c r="L263"/>
    </row>
    <row r="264" spans="2:12">
      <c r="B264"/>
      <c r="C264"/>
      <c r="D264"/>
      <c r="E264"/>
      <c r="F264"/>
      <c r="G264" s="14"/>
      <c r="H264" s="489"/>
      <c r="I264"/>
      <c r="J264"/>
      <c r="L264"/>
    </row>
    <row r="265" spans="2:12">
      <c r="B265"/>
      <c r="C265"/>
      <c r="D265"/>
      <c r="E265"/>
      <c r="F265"/>
      <c r="G265" s="14"/>
      <c r="H265" s="489"/>
      <c r="I265"/>
      <c r="J265"/>
      <c r="L265"/>
    </row>
    <row r="266" spans="2:12">
      <c r="B266"/>
      <c r="C266"/>
      <c r="D266"/>
      <c r="E266"/>
      <c r="F266"/>
      <c r="G266" s="14"/>
      <c r="H266" s="489"/>
      <c r="I266"/>
      <c r="J266"/>
      <c r="L266"/>
    </row>
    <row r="267" spans="2:12">
      <c r="B267"/>
      <c r="C267"/>
      <c r="D267"/>
      <c r="E267"/>
      <c r="F267"/>
      <c r="G267" s="14"/>
      <c r="H267" s="489"/>
      <c r="I267"/>
      <c r="J267"/>
      <c r="L267"/>
    </row>
    <row r="268" spans="2:12">
      <c r="B268"/>
      <c r="C268"/>
      <c r="D268"/>
      <c r="E268"/>
      <c r="F268"/>
      <c r="G268" s="14"/>
      <c r="H268" s="489"/>
      <c r="I268"/>
      <c r="J268"/>
      <c r="L268"/>
    </row>
    <row r="269" spans="2:12">
      <c r="B269"/>
      <c r="C269"/>
      <c r="D269"/>
      <c r="E269"/>
      <c r="F269"/>
      <c r="G269" s="14"/>
      <c r="H269" s="489"/>
      <c r="I269"/>
      <c r="J269"/>
      <c r="L269"/>
    </row>
    <row r="270" spans="2:12">
      <c r="B270"/>
      <c r="C270"/>
      <c r="D270"/>
      <c r="E270"/>
      <c r="F270"/>
      <c r="G270" s="14"/>
      <c r="H270" s="489"/>
      <c r="I270"/>
      <c r="J270"/>
      <c r="L270"/>
    </row>
    <row r="271" spans="2:12">
      <c r="B271"/>
      <c r="C271"/>
      <c r="D271"/>
      <c r="E271"/>
      <c r="F271"/>
      <c r="G271" s="14"/>
      <c r="H271" s="489"/>
      <c r="I271"/>
      <c r="J271"/>
      <c r="L271"/>
    </row>
    <row r="272" spans="2:12">
      <c r="B272"/>
      <c r="C272"/>
      <c r="D272"/>
      <c r="E272"/>
      <c r="F272"/>
      <c r="G272" s="14"/>
      <c r="H272" s="489"/>
      <c r="I272"/>
      <c r="J272"/>
      <c r="L272"/>
    </row>
    <row r="273" spans="2:12">
      <c r="B273"/>
      <c r="C273"/>
      <c r="D273"/>
      <c r="E273"/>
      <c r="F273"/>
      <c r="G273" s="14"/>
      <c r="H273" s="489"/>
      <c r="I273"/>
      <c r="J273"/>
      <c r="L273"/>
    </row>
    <row r="274" spans="2:12">
      <c r="B274"/>
      <c r="C274"/>
      <c r="D274"/>
      <c r="E274"/>
      <c r="F274"/>
      <c r="G274" s="14"/>
      <c r="H274" s="489"/>
      <c r="I274"/>
      <c r="J274"/>
      <c r="L274"/>
    </row>
    <row r="275" spans="2:12">
      <c r="B275"/>
      <c r="C275"/>
      <c r="D275"/>
      <c r="E275"/>
      <c r="F275"/>
      <c r="G275" s="14"/>
      <c r="H275" s="489"/>
      <c r="I275"/>
      <c r="J275"/>
      <c r="L275"/>
    </row>
    <row r="276" spans="2:12">
      <c r="B276"/>
      <c r="C276"/>
      <c r="D276"/>
      <c r="E276"/>
      <c r="F276"/>
      <c r="G276" s="14"/>
      <c r="H276" s="489"/>
      <c r="I276"/>
      <c r="J276"/>
      <c r="L276"/>
    </row>
    <row r="277" spans="2:12">
      <c r="B277"/>
      <c r="C277"/>
      <c r="D277"/>
      <c r="E277"/>
      <c r="F277"/>
      <c r="G277" s="14"/>
      <c r="H277" s="489"/>
      <c r="I277"/>
      <c r="J277"/>
      <c r="L277"/>
    </row>
    <row r="278" spans="2:12">
      <c r="B278"/>
      <c r="C278"/>
      <c r="D278"/>
      <c r="E278"/>
      <c r="F278"/>
      <c r="G278" s="14"/>
      <c r="H278" s="489"/>
      <c r="I278"/>
      <c r="J278"/>
      <c r="L278"/>
    </row>
    <row r="279" spans="2:12">
      <c r="B279"/>
      <c r="C279"/>
      <c r="D279"/>
      <c r="E279"/>
      <c r="F279"/>
      <c r="G279" s="14"/>
      <c r="H279" s="489"/>
      <c r="I279"/>
      <c r="J279"/>
      <c r="L279"/>
    </row>
    <row r="280" spans="2:12">
      <c r="B280"/>
      <c r="C280"/>
      <c r="D280"/>
      <c r="E280"/>
      <c r="F280"/>
      <c r="G280" s="14"/>
      <c r="H280" s="489"/>
      <c r="I280"/>
      <c r="J280"/>
      <c r="L280"/>
    </row>
    <row r="281" spans="2:12">
      <c r="B281"/>
      <c r="C281"/>
      <c r="D281"/>
      <c r="E281"/>
      <c r="F281"/>
      <c r="G281" s="14"/>
      <c r="H281" s="489"/>
      <c r="I281"/>
      <c r="J281"/>
      <c r="L281"/>
    </row>
    <row r="282" spans="2:12">
      <c r="B282"/>
      <c r="C282"/>
      <c r="D282"/>
      <c r="E282"/>
      <c r="F282"/>
      <c r="G282" s="14"/>
      <c r="H282" s="489"/>
      <c r="I282"/>
      <c r="J282"/>
      <c r="L282"/>
    </row>
    <row r="283" spans="2:12">
      <c r="B283"/>
      <c r="C283"/>
      <c r="D283"/>
      <c r="E283"/>
      <c r="F283"/>
      <c r="G283" s="14"/>
      <c r="H283" s="489"/>
      <c r="I283"/>
      <c r="J283"/>
      <c r="L283"/>
    </row>
    <row r="284" spans="2:12">
      <c r="B284"/>
      <c r="C284"/>
      <c r="D284"/>
      <c r="E284"/>
      <c r="F284"/>
      <c r="G284" s="14"/>
      <c r="H284" s="489"/>
      <c r="I284"/>
      <c r="J284"/>
      <c r="L284"/>
    </row>
    <row r="285" spans="2:12">
      <c r="B285"/>
      <c r="C285"/>
      <c r="D285"/>
      <c r="E285"/>
      <c r="F285"/>
      <c r="G285" s="14"/>
      <c r="H285" s="489"/>
      <c r="I285"/>
      <c r="J285"/>
      <c r="L285"/>
    </row>
    <row r="286" spans="2:12">
      <c r="B286"/>
      <c r="C286"/>
      <c r="D286"/>
      <c r="E286"/>
      <c r="F286"/>
      <c r="G286" s="14"/>
      <c r="H286" s="489"/>
      <c r="I286"/>
      <c r="J286"/>
      <c r="L286"/>
    </row>
    <row r="287" spans="2:12">
      <c r="B287"/>
      <c r="C287"/>
      <c r="D287"/>
      <c r="E287"/>
      <c r="F287"/>
      <c r="G287" s="14"/>
      <c r="H287" s="489"/>
      <c r="I287"/>
      <c r="J287"/>
      <c r="L287"/>
    </row>
    <row r="288" spans="2:12">
      <c r="B288"/>
      <c r="C288"/>
      <c r="D288"/>
      <c r="E288"/>
      <c r="F288"/>
      <c r="G288" s="14"/>
      <c r="H288" s="489"/>
      <c r="I288"/>
      <c r="J288"/>
      <c r="L288"/>
    </row>
    <row r="289" spans="2:12">
      <c r="B289"/>
      <c r="C289"/>
      <c r="D289"/>
      <c r="E289"/>
      <c r="F289"/>
      <c r="G289" s="14"/>
      <c r="H289" s="489"/>
      <c r="I289"/>
      <c r="J289"/>
      <c r="L289"/>
    </row>
    <row r="290" spans="2:12">
      <c r="B290"/>
      <c r="C290"/>
      <c r="D290"/>
      <c r="E290"/>
      <c r="F290"/>
      <c r="G290" s="14"/>
      <c r="H290" s="489"/>
      <c r="I290"/>
      <c r="J290"/>
      <c r="L290"/>
    </row>
    <row r="291" spans="2:12">
      <c r="B291"/>
      <c r="C291"/>
      <c r="D291"/>
      <c r="E291"/>
      <c r="F291"/>
      <c r="G291" s="14"/>
      <c r="H291" s="489"/>
      <c r="I291"/>
      <c r="J291"/>
      <c r="L291"/>
    </row>
    <row r="292" spans="2:12">
      <c r="B292"/>
      <c r="C292"/>
      <c r="D292"/>
      <c r="E292"/>
      <c r="F292"/>
      <c r="G292" s="14"/>
      <c r="H292" s="489"/>
      <c r="I292"/>
      <c r="J292"/>
      <c r="L292"/>
    </row>
    <row r="293" spans="2:12">
      <c r="B293"/>
      <c r="C293"/>
      <c r="D293"/>
      <c r="E293"/>
      <c r="F293"/>
      <c r="G293" s="14"/>
      <c r="H293" s="489"/>
      <c r="I293"/>
      <c r="J293"/>
      <c r="L293"/>
    </row>
    <row r="294" spans="2:12">
      <c r="B294"/>
      <c r="C294"/>
      <c r="D294"/>
      <c r="E294"/>
      <c r="F294"/>
      <c r="G294" s="14"/>
      <c r="H294" s="489"/>
      <c r="I294"/>
      <c r="J294"/>
      <c r="L294"/>
    </row>
    <row r="295" spans="2:12">
      <c r="B295"/>
      <c r="C295"/>
      <c r="D295"/>
      <c r="E295"/>
      <c r="F295"/>
      <c r="G295" s="14"/>
      <c r="H295" s="489"/>
      <c r="I295"/>
      <c r="J295"/>
      <c r="L295"/>
    </row>
    <row r="296" spans="2:12">
      <c r="B296"/>
      <c r="C296"/>
      <c r="D296"/>
      <c r="E296"/>
      <c r="F296"/>
      <c r="G296" s="14"/>
      <c r="H296" s="489"/>
      <c r="I296"/>
      <c r="J296"/>
      <c r="L296"/>
    </row>
    <row r="297" spans="2:12">
      <c r="B297"/>
      <c r="C297"/>
      <c r="D297"/>
      <c r="E297"/>
      <c r="F297"/>
      <c r="G297" s="14"/>
      <c r="H297" s="489"/>
      <c r="I297"/>
      <c r="J297"/>
      <c r="L297"/>
    </row>
    <row r="298" spans="2:12">
      <c r="B298"/>
      <c r="C298"/>
      <c r="D298"/>
      <c r="E298"/>
      <c r="F298"/>
      <c r="G298" s="14"/>
      <c r="H298" s="489"/>
      <c r="I298"/>
      <c r="J298"/>
      <c r="L298"/>
    </row>
    <row r="299" spans="2:12">
      <c r="B299"/>
      <c r="C299"/>
      <c r="D299"/>
      <c r="E299"/>
      <c r="F299"/>
      <c r="G299" s="14"/>
      <c r="H299" s="489"/>
      <c r="I299"/>
      <c r="J299"/>
      <c r="L299"/>
    </row>
    <row r="300" spans="2:12">
      <c r="B300"/>
      <c r="C300"/>
      <c r="D300"/>
      <c r="E300"/>
      <c r="F300"/>
      <c r="G300" s="14"/>
      <c r="H300" s="489"/>
      <c r="I300"/>
      <c r="J300"/>
      <c r="L300"/>
    </row>
    <row r="301" spans="2:12">
      <c r="B301"/>
      <c r="C301"/>
      <c r="D301"/>
      <c r="E301"/>
      <c r="F301"/>
      <c r="G301" s="14"/>
      <c r="H301" s="489"/>
      <c r="I301"/>
      <c r="J301"/>
      <c r="L301"/>
    </row>
    <row r="302" spans="2:12">
      <c r="B302"/>
      <c r="C302"/>
      <c r="D302"/>
      <c r="E302"/>
      <c r="F302"/>
      <c r="G302" s="14"/>
      <c r="H302" s="489"/>
      <c r="I302"/>
      <c r="J302"/>
      <c r="L302"/>
    </row>
    <row r="303" spans="2:12">
      <c r="B303"/>
      <c r="C303"/>
      <c r="D303"/>
      <c r="E303"/>
      <c r="F303"/>
      <c r="G303" s="14"/>
      <c r="H303" s="489"/>
      <c r="I303"/>
      <c r="J303"/>
      <c r="L303"/>
    </row>
    <row r="304" spans="2:12">
      <c r="B304"/>
      <c r="C304"/>
      <c r="D304"/>
      <c r="E304"/>
      <c r="F304"/>
      <c r="G304" s="14"/>
      <c r="H304" s="489"/>
      <c r="I304"/>
      <c r="J304"/>
      <c r="L304"/>
    </row>
    <row r="305" spans="2:12">
      <c r="B305"/>
      <c r="C305"/>
      <c r="D305"/>
      <c r="E305"/>
      <c r="F305"/>
      <c r="G305" s="14"/>
      <c r="H305" s="489"/>
      <c r="I305"/>
      <c r="J305"/>
      <c r="L305"/>
    </row>
    <row r="306" spans="2:12">
      <c r="B306"/>
      <c r="C306"/>
      <c r="D306"/>
      <c r="E306"/>
      <c r="F306"/>
      <c r="G306" s="14"/>
      <c r="H306" s="489"/>
      <c r="I306"/>
      <c r="J306"/>
      <c r="L306"/>
    </row>
    <row r="307" spans="2:12">
      <c r="B307"/>
      <c r="C307"/>
      <c r="D307"/>
      <c r="E307"/>
      <c r="F307"/>
      <c r="G307" s="14"/>
      <c r="H307" s="489"/>
      <c r="I307"/>
      <c r="J307"/>
      <c r="L307"/>
    </row>
    <row r="308" spans="2:12">
      <c r="B308"/>
      <c r="C308"/>
      <c r="D308"/>
      <c r="E308"/>
      <c r="F308"/>
      <c r="G308" s="14"/>
      <c r="H308" s="489"/>
      <c r="I308"/>
      <c r="J308"/>
      <c r="L308"/>
    </row>
    <row r="309" spans="2:12">
      <c r="B309"/>
      <c r="C309"/>
      <c r="D309"/>
      <c r="E309"/>
      <c r="F309"/>
      <c r="G309" s="14"/>
      <c r="H309" s="489"/>
      <c r="I309"/>
      <c r="J309"/>
      <c r="L309"/>
    </row>
    <row r="310" spans="2:12">
      <c r="B310"/>
      <c r="C310"/>
      <c r="D310"/>
      <c r="E310"/>
      <c r="F310"/>
      <c r="G310" s="14"/>
      <c r="H310" s="489"/>
      <c r="I310"/>
      <c r="J310"/>
      <c r="L310"/>
    </row>
    <row r="311" spans="2:12">
      <c r="B311"/>
      <c r="C311"/>
      <c r="D311"/>
      <c r="E311"/>
      <c r="F311"/>
      <c r="G311" s="14"/>
      <c r="H311" s="489"/>
      <c r="I311"/>
      <c r="J311"/>
      <c r="L311"/>
    </row>
    <row r="312" spans="2:12">
      <c r="B312"/>
      <c r="C312"/>
      <c r="D312"/>
      <c r="E312"/>
      <c r="F312"/>
      <c r="G312" s="14"/>
      <c r="H312" s="489"/>
      <c r="I312"/>
      <c r="J312"/>
      <c r="L312"/>
    </row>
    <row r="313" spans="2:12">
      <c r="B313"/>
      <c r="C313"/>
      <c r="D313"/>
      <c r="E313"/>
      <c r="F313"/>
      <c r="G313" s="14"/>
      <c r="H313" s="489"/>
      <c r="I313"/>
      <c r="J313"/>
      <c r="L313"/>
    </row>
    <row r="314" spans="2:12">
      <c r="B314"/>
      <c r="C314"/>
      <c r="D314"/>
      <c r="E314"/>
      <c r="F314"/>
      <c r="G314" s="14"/>
      <c r="H314" s="489"/>
      <c r="I314"/>
      <c r="J314"/>
      <c r="L314"/>
    </row>
    <row r="315" spans="2:12">
      <c r="B315"/>
      <c r="C315"/>
      <c r="D315"/>
      <c r="E315"/>
      <c r="F315"/>
      <c r="G315" s="14"/>
      <c r="H315" s="489"/>
      <c r="I315"/>
      <c r="J315"/>
      <c r="L315"/>
    </row>
    <row r="316" spans="2:12">
      <c r="B316"/>
      <c r="C316"/>
      <c r="D316"/>
      <c r="E316"/>
      <c r="F316"/>
      <c r="G316" s="14"/>
      <c r="H316" s="489"/>
      <c r="I316"/>
      <c r="J316"/>
      <c r="L316"/>
    </row>
    <row r="317" spans="2:12">
      <c r="B317"/>
      <c r="C317"/>
      <c r="D317"/>
      <c r="E317"/>
      <c r="F317"/>
      <c r="G317" s="14"/>
      <c r="H317" s="489"/>
      <c r="I317"/>
      <c r="J317"/>
      <c r="L317"/>
    </row>
    <row r="318" spans="2:12">
      <c r="B318"/>
      <c r="C318"/>
      <c r="D318"/>
      <c r="E318"/>
      <c r="F318"/>
      <c r="G318" s="14"/>
      <c r="H318" s="489"/>
      <c r="I318"/>
      <c r="J318"/>
      <c r="L318"/>
    </row>
    <row r="319" spans="2:12">
      <c r="B319"/>
      <c r="C319"/>
      <c r="D319"/>
      <c r="E319"/>
      <c r="F319"/>
      <c r="G319" s="14"/>
      <c r="H319" s="489"/>
      <c r="I319"/>
      <c r="J319"/>
      <c r="L319"/>
    </row>
    <row r="320" spans="2:12">
      <c r="B320"/>
      <c r="C320"/>
      <c r="D320"/>
      <c r="E320"/>
      <c r="F320"/>
      <c r="G320" s="14"/>
      <c r="H320" s="489"/>
      <c r="I320"/>
      <c r="J320"/>
      <c r="L320"/>
    </row>
    <row r="321" spans="2:12">
      <c r="B321"/>
      <c r="C321"/>
      <c r="D321"/>
      <c r="E321"/>
      <c r="F321"/>
      <c r="G321" s="14"/>
      <c r="H321" s="489"/>
      <c r="I321"/>
      <c r="J321"/>
      <c r="L321"/>
    </row>
    <row r="322" spans="2:12">
      <c r="B322"/>
      <c r="C322"/>
      <c r="D322"/>
      <c r="E322"/>
      <c r="F322"/>
      <c r="G322" s="14"/>
      <c r="H322" s="489"/>
      <c r="I322"/>
      <c r="J322"/>
      <c r="L322"/>
    </row>
    <row r="323" spans="2:12">
      <c r="B323"/>
      <c r="C323"/>
      <c r="D323"/>
      <c r="E323"/>
      <c r="F323"/>
      <c r="G323" s="14"/>
      <c r="H323" s="489"/>
      <c r="I323"/>
      <c r="J323"/>
      <c r="L323"/>
    </row>
    <row r="324" spans="2:12">
      <c r="B324"/>
      <c r="C324"/>
      <c r="D324"/>
      <c r="E324"/>
      <c r="F324"/>
      <c r="G324" s="14"/>
      <c r="H324" s="489"/>
      <c r="I324"/>
      <c r="J324"/>
      <c r="L324"/>
    </row>
    <row r="325" spans="2:12">
      <c r="B325"/>
      <c r="C325"/>
      <c r="D325"/>
      <c r="E325"/>
      <c r="F325"/>
      <c r="G325" s="14"/>
      <c r="H325" s="489"/>
      <c r="I325"/>
      <c r="J325"/>
      <c r="L325"/>
    </row>
    <row r="326" spans="2:12">
      <c r="B326"/>
      <c r="C326"/>
      <c r="D326"/>
      <c r="E326"/>
      <c r="F326"/>
      <c r="G326" s="14"/>
      <c r="H326" s="489"/>
      <c r="I326"/>
      <c r="J326"/>
      <c r="L326"/>
    </row>
    <row r="327" spans="2:12">
      <c r="B327"/>
      <c r="C327"/>
      <c r="D327"/>
      <c r="E327"/>
      <c r="F327"/>
      <c r="G327" s="14"/>
      <c r="H327" s="489"/>
      <c r="I327"/>
      <c r="J327"/>
      <c r="L327"/>
    </row>
    <row r="328" spans="2:12">
      <c r="B328"/>
      <c r="C328"/>
      <c r="D328"/>
      <c r="E328"/>
      <c r="F328"/>
      <c r="G328" s="14"/>
      <c r="H328" s="489"/>
      <c r="I328"/>
      <c r="J328"/>
      <c r="L328"/>
    </row>
    <row r="329" spans="2:12">
      <c r="B329"/>
      <c r="C329"/>
      <c r="D329"/>
      <c r="E329"/>
      <c r="F329"/>
      <c r="G329" s="14"/>
      <c r="H329" s="489"/>
      <c r="I329"/>
      <c r="J329"/>
      <c r="L329"/>
    </row>
    <row r="330" spans="2:12">
      <c r="B330"/>
      <c r="C330"/>
      <c r="D330"/>
      <c r="E330"/>
      <c r="F330"/>
      <c r="G330" s="14"/>
      <c r="H330" s="489"/>
      <c r="I330"/>
      <c r="J330"/>
      <c r="L330"/>
    </row>
    <row r="331" spans="2:12">
      <c r="B331"/>
      <c r="C331"/>
      <c r="D331"/>
      <c r="E331"/>
      <c r="F331"/>
      <c r="G331" s="14"/>
      <c r="H331" s="489"/>
      <c r="I331"/>
      <c r="J331"/>
      <c r="L331"/>
    </row>
    <row r="332" spans="2:12">
      <c r="B332"/>
      <c r="C332"/>
      <c r="D332"/>
      <c r="E332"/>
      <c r="F332"/>
      <c r="G332" s="14"/>
      <c r="H332" s="489"/>
      <c r="I332"/>
      <c r="J332"/>
      <c r="L332"/>
    </row>
    <row r="333" spans="2:12">
      <c r="B333"/>
      <c r="C333"/>
      <c r="D333"/>
      <c r="E333"/>
      <c r="F333"/>
      <c r="G333" s="14"/>
      <c r="H333" s="489"/>
      <c r="I333"/>
      <c r="J333"/>
      <c r="L333"/>
    </row>
    <row r="334" spans="2:12">
      <c r="B334"/>
      <c r="C334"/>
      <c r="D334"/>
      <c r="E334"/>
      <c r="F334"/>
      <c r="G334" s="14"/>
      <c r="H334" s="489"/>
      <c r="I334"/>
      <c r="J334"/>
      <c r="L334"/>
    </row>
    <row r="335" spans="2:12">
      <c r="B335"/>
      <c r="C335"/>
      <c r="D335"/>
      <c r="E335"/>
      <c r="F335"/>
      <c r="G335" s="14"/>
      <c r="H335" s="489"/>
      <c r="I335"/>
      <c r="J335"/>
      <c r="L335"/>
    </row>
    <row r="336" spans="2:12">
      <c r="B336"/>
      <c r="C336"/>
      <c r="D336"/>
      <c r="E336"/>
      <c r="F336"/>
      <c r="G336" s="14"/>
      <c r="H336" s="489"/>
      <c r="I336"/>
      <c r="J336"/>
      <c r="L336"/>
    </row>
    <row r="337" spans="2:12">
      <c r="B337"/>
      <c r="C337"/>
      <c r="D337"/>
      <c r="E337"/>
      <c r="F337"/>
      <c r="G337" s="14"/>
      <c r="H337" s="489"/>
      <c r="I337"/>
      <c r="J337"/>
      <c r="L337"/>
    </row>
    <row r="338" spans="2:12">
      <c r="B338"/>
      <c r="C338"/>
      <c r="D338"/>
      <c r="E338"/>
      <c r="F338"/>
      <c r="G338" s="14"/>
      <c r="H338" s="489"/>
      <c r="I338"/>
      <c r="J338"/>
      <c r="L338"/>
    </row>
    <row r="339" spans="2:12">
      <c r="B339"/>
      <c r="C339"/>
      <c r="D339"/>
      <c r="E339"/>
      <c r="F339"/>
      <c r="G339" s="14"/>
      <c r="H339" s="489"/>
      <c r="I339"/>
      <c r="J339"/>
      <c r="L339"/>
    </row>
    <row r="340" spans="2:12">
      <c r="B340"/>
      <c r="C340"/>
      <c r="D340"/>
      <c r="E340"/>
      <c r="F340"/>
      <c r="G340" s="14"/>
      <c r="H340" s="489"/>
      <c r="I340"/>
      <c r="J340"/>
      <c r="L340"/>
    </row>
    <row r="341" spans="2:12">
      <c r="B341"/>
      <c r="C341"/>
      <c r="D341"/>
      <c r="E341"/>
      <c r="F341"/>
      <c r="G341" s="14"/>
      <c r="H341" s="489"/>
      <c r="I341"/>
      <c r="J341"/>
      <c r="L341"/>
    </row>
    <row r="342" spans="2:12">
      <c r="B342"/>
      <c r="C342"/>
      <c r="D342"/>
      <c r="E342"/>
      <c r="F342"/>
      <c r="G342" s="14"/>
      <c r="H342" s="489"/>
      <c r="I342"/>
      <c r="J342"/>
      <c r="L342"/>
    </row>
    <row r="343" spans="2:12">
      <c r="B343"/>
      <c r="C343"/>
      <c r="D343"/>
      <c r="E343"/>
      <c r="F343"/>
      <c r="G343" s="14"/>
      <c r="H343" s="489"/>
      <c r="I343"/>
      <c r="J343"/>
      <c r="L343"/>
    </row>
    <row r="344" spans="2:12">
      <c r="B344"/>
      <c r="C344"/>
      <c r="D344"/>
      <c r="E344"/>
      <c r="F344"/>
      <c r="G344" s="14"/>
      <c r="H344" s="489"/>
      <c r="I344"/>
      <c r="J344"/>
      <c r="L344"/>
    </row>
    <row r="345" spans="2:12">
      <c r="B345"/>
      <c r="C345"/>
      <c r="D345"/>
      <c r="E345"/>
      <c r="F345"/>
      <c r="G345" s="14"/>
      <c r="H345" s="489"/>
      <c r="I345"/>
      <c r="J345"/>
      <c r="L345"/>
    </row>
    <row r="346" spans="2:12">
      <c r="B346"/>
      <c r="C346"/>
      <c r="D346"/>
      <c r="E346"/>
      <c r="F346"/>
      <c r="G346" s="14"/>
      <c r="H346" s="489"/>
      <c r="I346"/>
      <c r="J346"/>
      <c r="L346"/>
    </row>
    <row r="347" spans="2:12">
      <c r="B347"/>
      <c r="C347"/>
      <c r="D347"/>
      <c r="E347"/>
      <c r="F347"/>
      <c r="G347" s="14"/>
      <c r="H347" s="489"/>
      <c r="I347"/>
      <c r="J347"/>
      <c r="L347"/>
    </row>
    <row r="348" spans="2:12">
      <c r="B348"/>
      <c r="C348"/>
      <c r="D348"/>
      <c r="E348"/>
      <c r="F348"/>
      <c r="G348" s="14"/>
      <c r="H348" s="489"/>
      <c r="I348"/>
      <c r="J348"/>
      <c r="L348"/>
    </row>
    <row r="349" spans="2:12">
      <c r="B349"/>
      <c r="C349"/>
      <c r="D349"/>
      <c r="E349"/>
      <c r="F349"/>
      <c r="G349" s="14"/>
      <c r="H349" s="489"/>
      <c r="I349"/>
      <c r="J349"/>
      <c r="L349"/>
    </row>
    <row r="350" spans="2:12">
      <c r="B350"/>
      <c r="C350"/>
      <c r="D350"/>
      <c r="E350"/>
      <c r="F350"/>
      <c r="G350" s="14"/>
      <c r="H350" s="489"/>
      <c r="I350"/>
      <c r="J350"/>
      <c r="L350"/>
    </row>
    <row r="351" spans="2:12">
      <c r="B351"/>
      <c r="C351"/>
      <c r="D351"/>
      <c r="E351"/>
      <c r="F351"/>
      <c r="G351" s="14"/>
      <c r="H351" s="489"/>
      <c r="I351"/>
      <c r="J351"/>
      <c r="L351"/>
    </row>
    <row r="352" spans="2:12">
      <c r="B352"/>
      <c r="C352"/>
      <c r="D352"/>
      <c r="E352"/>
      <c r="F352"/>
      <c r="G352" s="14"/>
      <c r="H352" s="489"/>
      <c r="I352"/>
      <c r="J352"/>
      <c r="L352"/>
    </row>
    <row r="353" spans="2:12">
      <c r="B353"/>
      <c r="C353"/>
      <c r="D353"/>
      <c r="E353"/>
      <c r="F353"/>
      <c r="G353" s="14"/>
      <c r="H353" s="489"/>
      <c r="I353"/>
      <c r="J353"/>
      <c r="L353"/>
    </row>
    <row r="354" spans="2:12">
      <c r="B354"/>
      <c r="C354"/>
      <c r="D354"/>
      <c r="E354"/>
      <c r="F354"/>
      <c r="G354" s="14"/>
      <c r="H354" s="489"/>
      <c r="I354"/>
      <c r="J354"/>
      <c r="L354"/>
    </row>
    <row r="355" spans="2:12">
      <c r="B355"/>
      <c r="C355"/>
      <c r="D355"/>
      <c r="E355"/>
      <c r="F355"/>
      <c r="G355" s="14"/>
      <c r="H355" s="489"/>
      <c r="I355"/>
      <c r="J355"/>
      <c r="L355"/>
    </row>
    <row r="356" spans="2:12">
      <c r="B356"/>
      <c r="C356"/>
      <c r="D356"/>
      <c r="E356"/>
      <c r="F356"/>
      <c r="G356" s="14"/>
      <c r="H356" s="489"/>
      <c r="I356"/>
      <c r="J356"/>
      <c r="L356"/>
    </row>
    <row r="357" spans="2:12">
      <c r="B357"/>
      <c r="C357"/>
      <c r="D357"/>
      <c r="E357"/>
      <c r="F357"/>
      <c r="G357" s="14"/>
      <c r="H357" s="489"/>
      <c r="I357"/>
      <c r="J357"/>
      <c r="L357"/>
    </row>
    <row r="358" spans="2:12">
      <c r="B358"/>
      <c r="C358"/>
      <c r="D358"/>
      <c r="E358"/>
      <c r="F358"/>
      <c r="G358" s="14"/>
      <c r="H358" s="489"/>
      <c r="I358"/>
      <c r="J358"/>
      <c r="L358"/>
    </row>
    <row r="359" spans="2:12">
      <c r="B359"/>
      <c r="C359"/>
      <c r="D359"/>
      <c r="E359"/>
      <c r="F359"/>
      <c r="G359" s="14"/>
      <c r="H359" s="489"/>
      <c r="I359"/>
      <c r="J359"/>
      <c r="L359"/>
    </row>
    <row r="360" spans="2:12">
      <c r="B360"/>
      <c r="C360"/>
      <c r="D360"/>
      <c r="E360"/>
      <c r="F360"/>
      <c r="G360" s="14"/>
      <c r="H360" s="489"/>
      <c r="I360"/>
      <c r="J360"/>
      <c r="L360"/>
    </row>
    <row r="361" spans="2:12">
      <c r="B361"/>
      <c r="C361"/>
      <c r="D361"/>
      <c r="E361"/>
      <c r="F361"/>
      <c r="G361" s="14"/>
      <c r="H361" s="489"/>
      <c r="I361"/>
      <c r="J361"/>
      <c r="L361"/>
    </row>
    <row r="362" spans="2:12">
      <c r="B362"/>
      <c r="C362"/>
      <c r="D362"/>
      <c r="E362"/>
      <c r="F362"/>
      <c r="G362" s="14"/>
      <c r="H362" s="489"/>
      <c r="I362"/>
      <c r="J362"/>
      <c r="L362"/>
    </row>
    <row r="363" spans="2:12">
      <c r="B363"/>
      <c r="C363"/>
      <c r="D363"/>
      <c r="E363"/>
      <c r="F363"/>
      <c r="G363" s="14"/>
      <c r="H363" s="489"/>
      <c r="I363"/>
      <c r="J363"/>
      <c r="L363"/>
    </row>
    <row r="364" spans="2:12">
      <c r="B364"/>
      <c r="C364"/>
      <c r="D364"/>
      <c r="E364"/>
      <c r="F364"/>
      <c r="G364" s="14"/>
      <c r="H364" s="489"/>
      <c r="I364"/>
      <c r="J364"/>
      <c r="L364"/>
    </row>
    <row r="365" spans="2:12">
      <c r="B365"/>
      <c r="C365"/>
      <c r="D365"/>
      <c r="E365"/>
      <c r="F365"/>
      <c r="G365" s="14"/>
      <c r="H365" s="489"/>
      <c r="I365"/>
      <c r="J365"/>
      <c r="L365"/>
    </row>
    <row r="366" spans="2:12">
      <c r="B366"/>
      <c r="C366"/>
      <c r="D366"/>
      <c r="E366"/>
      <c r="F366"/>
      <c r="G366" s="14"/>
      <c r="H366" s="489"/>
      <c r="I366"/>
      <c r="J366"/>
      <c r="L366"/>
    </row>
    <row r="367" spans="2:12">
      <c r="B367"/>
      <c r="C367"/>
      <c r="D367"/>
      <c r="E367"/>
      <c r="F367"/>
      <c r="G367" s="14"/>
      <c r="H367" s="489"/>
      <c r="I367"/>
      <c r="J367"/>
      <c r="L367"/>
    </row>
    <row r="368" spans="2:12">
      <c r="B368"/>
      <c r="C368"/>
      <c r="D368"/>
      <c r="E368"/>
      <c r="F368"/>
      <c r="G368" s="14"/>
      <c r="H368" s="489"/>
      <c r="I368"/>
      <c r="J368"/>
      <c r="L368"/>
    </row>
    <row r="369" spans="2:12">
      <c r="B369"/>
      <c r="C369"/>
      <c r="D369"/>
      <c r="E369"/>
      <c r="F369"/>
      <c r="G369" s="14"/>
      <c r="H369" s="489"/>
      <c r="I369"/>
      <c r="J369"/>
      <c r="L369"/>
    </row>
    <row r="370" spans="2:12">
      <c r="B370"/>
      <c r="C370"/>
      <c r="D370"/>
      <c r="E370"/>
      <c r="F370"/>
      <c r="G370" s="14"/>
      <c r="H370" s="489"/>
      <c r="I370"/>
      <c r="J370"/>
      <c r="L370"/>
    </row>
    <row r="371" spans="2:12">
      <c r="B371"/>
      <c r="C371"/>
      <c r="D371"/>
      <c r="E371"/>
      <c r="F371"/>
      <c r="G371" s="14"/>
      <c r="H371" s="489"/>
      <c r="I371"/>
      <c r="J371"/>
      <c r="L371"/>
    </row>
    <row r="372" spans="2:12">
      <c r="B372"/>
      <c r="C372"/>
      <c r="D372"/>
      <c r="E372"/>
      <c r="F372"/>
      <c r="G372" s="14"/>
      <c r="H372" s="489"/>
      <c r="I372"/>
      <c r="J372"/>
      <c r="L372"/>
    </row>
    <row r="373" spans="2:12">
      <c r="B373"/>
      <c r="C373"/>
      <c r="D373"/>
      <c r="E373"/>
      <c r="F373"/>
      <c r="G373" s="14"/>
      <c r="H373" s="489"/>
      <c r="I373"/>
      <c r="J373"/>
      <c r="L373"/>
    </row>
    <row r="374" spans="2:12">
      <c r="B374"/>
      <c r="C374"/>
      <c r="D374"/>
      <c r="E374"/>
      <c r="F374"/>
      <c r="G374" s="14"/>
      <c r="H374" s="489"/>
      <c r="I374"/>
      <c r="J374"/>
      <c r="L374"/>
    </row>
    <row r="375" spans="2:12">
      <c r="B375"/>
      <c r="C375"/>
      <c r="D375"/>
      <c r="E375"/>
      <c r="F375"/>
      <c r="G375" s="14"/>
      <c r="H375" s="489"/>
      <c r="I375"/>
      <c r="J375"/>
      <c r="L375"/>
    </row>
    <row r="376" spans="2:12">
      <c r="B376"/>
      <c r="C376"/>
      <c r="D376"/>
      <c r="E376"/>
      <c r="F376"/>
      <c r="G376" s="14"/>
      <c r="H376" s="489"/>
      <c r="I376"/>
      <c r="J376"/>
      <c r="L376"/>
    </row>
    <row r="377" spans="2:12">
      <c r="B377"/>
      <c r="C377"/>
      <c r="D377"/>
      <c r="E377"/>
      <c r="F377"/>
      <c r="G377" s="14"/>
      <c r="H377" s="489"/>
      <c r="I377"/>
      <c r="J377"/>
      <c r="L377"/>
    </row>
    <row r="378" spans="2:12">
      <c r="B378"/>
      <c r="C378"/>
      <c r="D378"/>
      <c r="E378"/>
      <c r="F378"/>
      <c r="G378" s="14"/>
      <c r="H378" s="489"/>
      <c r="I378"/>
      <c r="J378"/>
      <c r="L378"/>
    </row>
    <row r="379" spans="2:12">
      <c r="B379"/>
      <c r="C379"/>
      <c r="D379"/>
      <c r="E379"/>
      <c r="F379"/>
      <c r="G379" s="14"/>
      <c r="H379" s="489"/>
      <c r="I379"/>
      <c r="J379"/>
      <c r="L379"/>
    </row>
    <row r="380" spans="2:12">
      <c r="B380"/>
      <c r="C380"/>
      <c r="D380"/>
      <c r="E380"/>
      <c r="F380"/>
      <c r="G380" s="14"/>
      <c r="H380" s="489"/>
      <c r="I380"/>
      <c r="J380"/>
      <c r="L380"/>
    </row>
    <row r="381" spans="2:12">
      <c r="B381"/>
      <c r="C381"/>
      <c r="D381"/>
      <c r="E381"/>
      <c r="F381"/>
      <c r="G381" s="14"/>
      <c r="H381" s="489"/>
      <c r="I381"/>
      <c r="J381"/>
      <c r="L381"/>
    </row>
    <row r="382" spans="2:12">
      <c r="B382"/>
      <c r="C382"/>
      <c r="D382"/>
      <c r="E382"/>
      <c r="F382"/>
      <c r="G382" s="14"/>
      <c r="H382" s="489"/>
      <c r="I382"/>
      <c r="J382"/>
      <c r="L382"/>
    </row>
    <row r="383" spans="2:12">
      <c r="B383"/>
      <c r="C383"/>
      <c r="D383"/>
      <c r="E383"/>
      <c r="F383"/>
      <c r="G383" s="14"/>
      <c r="H383" s="489"/>
      <c r="I383"/>
      <c r="J383"/>
      <c r="L383"/>
    </row>
    <row r="384" spans="2:12">
      <c r="B384"/>
      <c r="C384"/>
      <c r="D384"/>
      <c r="E384"/>
      <c r="F384"/>
      <c r="G384" s="14"/>
      <c r="H384" s="489"/>
      <c r="I384"/>
      <c r="J384"/>
      <c r="L384"/>
    </row>
    <row r="385" spans="2:12">
      <c r="B385"/>
      <c r="C385"/>
      <c r="D385"/>
      <c r="E385"/>
      <c r="F385"/>
      <c r="G385" s="14"/>
      <c r="H385" s="489"/>
      <c r="I385"/>
      <c r="J385"/>
      <c r="L385"/>
    </row>
    <row r="386" spans="2:12">
      <c r="B386"/>
      <c r="C386"/>
      <c r="D386"/>
      <c r="E386"/>
      <c r="F386"/>
      <c r="G386" s="14"/>
      <c r="H386" s="489"/>
      <c r="I386"/>
      <c r="J386"/>
      <c r="L386"/>
    </row>
    <row r="387" spans="2:12">
      <c r="B387"/>
      <c r="C387"/>
      <c r="D387"/>
      <c r="E387"/>
      <c r="F387"/>
      <c r="G387" s="14"/>
      <c r="H387" s="489"/>
      <c r="I387"/>
      <c r="J387"/>
      <c r="L387"/>
    </row>
    <row r="388" spans="2:12">
      <c r="B388"/>
      <c r="C388"/>
      <c r="D388"/>
      <c r="E388"/>
      <c r="F388"/>
      <c r="G388" s="14"/>
      <c r="H388" s="489"/>
      <c r="I388"/>
      <c r="J388"/>
      <c r="L388"/>
    </row>
    <row r="389" spans="2:12">
      <c r="B389"/>
      <c r="C389"/>
      <c r="D389"/>
      <c r="E389"/>
      <c r="F389"/>
      <c r="G389" s="14"/>
      <c r="H389" s="489"/>
      <c r="I389"/>
      <c r="J389"/>
      <c r="L389"/>
    </row>
    <row r="390" spans="2:12">
      <c r="B390"/>
      <c r="C390"/>
      <c r="D390"/>
      <c r="E390"/>
      <c r="F390"/>
      <c r="G390" s="14"/>
      <c r="H390" s="489"/>
      <c r="I390"/>
      <c r="J390"/>
      <c r="L390"/>
    </row>
    <row r="391" spans="2:12">
      <c r="B391"/>
      <c r="C391"/>
      <c r="D391"/>
      <c r="E391"/>
      <c r="F391"/>
      <c r="G391" s="14"/>
      <c r="H391" s="489"/>
      <c r="I391"/>
      <c r="J391"/>
      <c r="L391"/>
    </row>
    <row r="392" spans="2:12">
      <c r="B392"/>
      <c r="C392"/>
      <c r="D392"/>
      <c r="E392"/>
      <c r="F392"/>
      <c r="G392" s="14"/>
      <c r="H392" s="489"/>
      <c r="I392"/>
      <c r="J392"/>
      <c r="L392"/>
    </row>
    <row r="393" spans="2:12">
      <c r="B393"/>
      <c r="C393"/>
      <c r="D393"/>
      <c r="E393"/>
      <c r="F393"/>
      <c r="G393" s="14"/>
      <c r="H393" s="489"/>
      <c r="I393"/>
      <c r="J393"/>
      <c r="L393"/>
    </row>
    <row r="394" spans="2:12">
      <c r="B394"/>
      <c r="C394"/>
      <c r="D394"/>
      <c r="E394"/>
      <c r="F394"/>
      <c r="G394" s="14"/>
      <c r="H394" s="489"/>
      <c r="I394"/>
      <c r="J394"/>
      <c r="L394"/>
    </row>
    <row r="395" spans="2:12">
      <c r="B395"/>
      <c r="C395"/>
      <c r="D395"/>
      <c r="E395"/>
      <c r="F395"/>
      <c r="G395" s="14"/>
      <c r="H395" s="489"/>
      <c r="I395"/>
      <c r="J395"/>
      <c r="L395"/>
    </row>
    <row r="396" spans="2:12">
      <c r="B396"/>
      <c r="C396"/>
      <c r="D396"/>
      <c r="E396"/>
      <c r="F396"/>
      <c r="G396" s="14"/>
      <c r="H396" s="489"/>
      <c r="I396"/>
      <c r="J396"/>
      <c r="L396"/>
    </row>
    <row r="397" spans="2:12">
      <c r="B397"/>
      <c r="C397"/>
      <c r="D397"/>
      <c r="E397"/>
      <c r="F397"/>
      <c r="G397" s="14"/>
      <c r="H397" s="489"/>
      <c r="I397"/>
      <c r="J397"/>
      <c r="L397"/>
    </row>
    <row r="398" spans="2:12">
      <c r="B398"/>
      <c r="C398"/>
      <c r="D398"/>
      <c r="E398"/>
      <c r="F398"/>
      <c r="G398" s="14"/>
      <c r="H398" s="489"/>
      <c r="I398"/>
      <c r="J398"/>
      <c r="L398"/>
    </row>
    <row r="399" spans="2:12">
      <c r="B399"/>
      <c r="C399"/>
      <c r="D399"/>
      <c r="E399"/>
      <c r="F399"/>
      <c r="G399" s="14"/>
      <c r="H399" s="489"/>
      <c r="I399"/>
      <c r="J399"/>
      <c r="L399"/>
    </row>
    <row r="400" spans="2:12">
      <c r="B400"/>
      <c r="C400"/>
      <c r="D400"/>
      <c r="E400"/>
      <c r="F400"/>
      <c r="G400" s="14"/>
      <c r="H400" s="489"/>
      <c r="I400"/>
      <c r="J400"/>
      <c r="L400"/>
    </row>
    <row r="401" spans="2:12">
      <c r="B401"/>
      <c r="C401"/>
      <c r="D401"/>
      <c r="E401"/>
      <c r="F401"/>
      <c r="G401" s="14"/>
      <c r="H401" s="489"/>
      <c r="I401"/>
      <c r="J401"/>
      <c r="L401"/>
    </row>
    <row r="402" spans="2:12">
      <c r="B402"/>
      <c r="C402"/>
      <c r="D402"/>
      <c r="E402"/>
      <c r="F402"/>
      <c r="G402" s="14"/>
      <c r="H402" s="489"/>
      <c r="I402"/>
      <c r="J402"/>
      <c r="L402"/>
    </row>
    <row r="403" spans="2:12">
      <c r="B403"/>
      <c r="C403"/>
      <c r="D403"/>
      <c r="E403"/>
      <c r="F403"/>
      <c r="G403" s="14"/>
      <c r="H403" s="489"/>
      <c r="I403"/>
      <c r="J403"/>
      <c r="L403"/>
    </row>
    <row r="404" spans="2:12">
      <c r="B404"/>
      <c r="C404"/>
      <c r="D404"/>
      <c r="E404"/>
      <c r="F404"/>
      <c r="G404" s="14"/>
      <c r="H404" s="489"/>
      <c r="I404"/>
      <c r="J404"/>
      <c r="L404"/>
    </row>
    <row r="405" spans="2:12">
      <c r="B405"/>
      <c r="C405"/>
      <c r="D405"/>
      <c r="E405"/>
      <c r="F405"/>
      <c r="G405" s="14"/>
      <c r="H405" s="489"/>
      <c r="I405"/>
      <c r="J405"/>
      <c r="L405"/>
    </row>
    <row r="406" spans="2:12">
      <c r="B406"/>
      <c r="C406"/>
      <c r="D406"/>
      <c r="E406"/>
      <c r="F406"/>
      <c r="G406" s="14"/>
      <c r="H406" s="489"/>
      <c r="I406"/>
      <c r="J406"/>
      <c r="L406"/>
    </row>
    <row r="407" spans="2:12">
      <c r="B407"/>
      <c r="C407"/>
      <c r="D407"/>
      <c r="E407"/>
      <c r="F407"/>
      <c r="G407" s="14"/>
      <c r="H407" s="489"/>
      <c r="I407"/>
      <c r="J407"/>
      <c r="L407"/>
    </row>
    <row r="408" spans="2:12">
      <c r="B408"/>
      <c r="C408"/>
      <c r="D408"/>
      <c r="E408"/>
      <c r="F408"/>
      <c r="G408" s="14"/>
      <c r="H408" s="489"/>
      <c r="I408"/>
      <c r="J408"/>
      <c r="L408"/>
    </row>
    <row r="409" spans="2:12">
      <c r="B409"/>
      <c r="C409"/>
      <c r="D409"/>
      <c r="E409"/>
      <c r="F409"/>
      <c r="G409" s="14"/>
      <c r="H409" s="489"/>
      <c r="I409"/>
      <c r="J409"/>
      <c r="L409"/>
    </row>
    <row r="410" spans="2:12">
      <c r="B410"/>
      <c r="C410"/>
      <c r="D410"/>
      <c r="E410"/>
      <c r="F410"/>
      <c r="G410" s="14"/>
      <c r="H410" s="489"/>
      <c r="I410"/>
      <c r="J410"/>
      <c r="L410"/>
    </row>
    <row r="411" spans="2:12">
      <c r="B411"/>
      <c r="C411"/>
      <c r="D411"/>
      <c r="E411"/>
      <c r="F411"/>
      <c r="G411" s="14"/>
      <c r="H411" s="489"/>
      <c r="I411"/>
      <c r="J411"/>
      <c r="L411"/>
    </row>
    <row r="412" spans="2:12">
      <c r="B412"/>
      <c r="C412"/>
      <c r="D412"/>
      <c r="E412"/>
      <c r="F412"/>
      <c r="G412" s="14"/>
      <c r="H412" s="489"/>
      <c r="I412"/>
      <c r="J412"/>
      <c r="L412"/>
    </row>
    <row r="413" spans="2:12">
      <c r="B413"/>
      <c r="C413"/>
      <c r="D413"/>
      <c r="E413"/>
      <c r="F413"/>
      <c r="G413" s="14"/>
      <c r="H413" s="489"/>
      <c r="I413"/>
      <c r="J413"/>
      <c r="L413"/>
    </row>
    <row r="414" spans="2:12">
      <c r="B414"/>
      <c r="C414"/>
      <c r="D414"/>
      <c r="E414"/>
      <c r="F414"/>
      <c r="G414" s="14"/>
      <c r="H414" s="489"/>
      <c r="I414"/>
      <c r="J414"/>
      <c r="L414"/>
    </row>
    <row r="415" spans="2:12">
      <c r="B415"/>
      <c r="C415"/>
      <c r="D415"/>
      <c r="E415"/>
      <c r="F415"/>
      <c r="G415" s="14"/>
      <c r="H415" s="489"/>
      <c r="I415"/>
      <c r="J415"/>
      <c r="L415"/>
    </row>
    <row r="416" spans="2:12">
      <c r="B416"/>
      <c r="C416"/>
      <c r="D416"/>
      <c r="E416"/>
      <c r="F416"/>
      <c r="G416" s="14"/>
      <c r="H416" s="489"/>
      <c r="I416"/>
      <c r="J416"/>
      <c r="L416"/>
    </row>
    <row r="417" spans="2:12">
      <c r="B417"/>
      <c r="C417"/>
      <c r="D417"/>
      <c r="E417"/>
      <c r="F417"/>
      <c r="G417" s="14"/>
      <c r="H417" s="489"/>
      <c r="I417"/>
      <c r="J417"/>
      <c r="L417"/>
    </row>
    <row r="418" spans="2:12">
      <c r="B418"/>
      <c r="C418"/>
      <c r="D418"/>
      <c r="E418"/>
      <c r="F418"/>
      <c r="G418" s="14"/>
      <c r="H418" s="489"/>
      <c r="I418"/>
      <c r="J418"/>
      <c r="L418"/>
    </row>
    <row r="419" spans="2:12">
      <c r="B419"/>
      <c r="C419"/>
      <c r="D419"/>
      <c r="E419"/>
      <c r="F419"/>
      <c r="G419" s="14"/>
      <c r="H419" s="489"/>
      <c r="I419"/>
      <c r="J419"/>
      <c r="L419"/>
    </row>
    <row r="420" spans="2:12">
      <c r="B420"/>
      <c r="C420"/>
      <c r="D420"/>
      <c r="E420"/>
      <c r="F420"/>
      <c r="G420" s="14"/>
      <c r="H420" s="489"/>
      <c r="I420"/>
      <c r="J420"/>
      <c r="L420"/>
    </row>
    <row r="421" spans="2:12">
      <c r="B421"/>
      <c r="C421"/>
      <c r="D421"/>
      <c r="E421"/>
      <c r="F421"/>
      <c r="G421" s="14"/>
      <c r="H421" s="489"/>
      <c r="I421"/>
      <c r="J421"/>
      <c r="L421"/>
    </row>
    <row r="422" spans="2:12">
      <c r="B422"/>
      <c r="C422"/>
      <c r="D422"/>
      <c r="E422"/>
      <c r="F422"/>
      <c r="G422" s="14"/>
      <c r="H422" s="489"/>
      <c r="I422"/>
      <c r="J422"/>
      <c r="L422"/>
    </row>
    <row r="423" spans="2:12">
      <c r="B423"/>
      <c r="C423"/>
      <c r="D423"/>
      <c r="E423"/>
      <c r="F423"/>
      <c r="G423" s="14"/>
      <c r="H423" s="489"/>
      <c r="I423"/>
      <c r="J423"/>
      <c r="L423"/>
    </row>
    <row r="424" spans="2:12">
      <c r="B424"/>
      <c r="C424"/>
      <c r="D424"/>
      <c r="E424"/>
      <c r="F424"/>
      <c r="G424" s="14"/>
      <c r="H424" s="489"/>
      <c r="I424"/>
      <c r="J424"/>
      <c r="L424"/>
    </row>
    <row r="425" spans="2:12">
      <c r="B425"/>
      <c r="C425"/>
      <c r="D425"/>
      <c r="E425"/>
      <c r="F425"/>
      <c r="G425" s="14"/>
      <c r="H425" s="489"/>
      <c r="I425"/>
      <c r="J425"/>
      <c r="L425"/>
    </row>
    <row r="426" spans="2:12">
      <c r="B426"/>
      <c r="C426"/>
      <c r="D426"/>
      <c r="E426"/>
      <c r="F426"/>
      <c r="G426" s="14"/>
      <c r="H426" s="489"/>
      <c r="I426"/>
      <c r="J426"/>
      <c r="L426"/>
    </row>
    <row r="427" spans="2:12">
      <c r="B427"/>
      <c r="C427"/>
      <c r="D427"/>
      <c r="E427"/>
      <c r="F427"/>
      <c r="G427" s="14"/>
      <c r="H427" s="489"/>
      <c r="I427"/>
      <c r="J427"/>
      <c r="L427"/>
    </row>
    <row r="428" spans="2:12">
      <c r="B428"/>
      <c r="C428"/>
      <c r="D428"/>
      <c r="E428"/>
      <c r="F428"/>
      <c r="G428" s="14"/>
      <c r="H428" s="489"/>
      <c r="I428"/>
      <c r="J428"/>
      <c r="L428"/>
    </row>
    <row r="429" spans="2:12">
      <c r="B429"/>
      <c r="C429"/>
      <c r="D429"/>
      <c r="E429"/>
      <c r="F429"/>
      <c r="G429" s="14"/>
      <c r="H429" s="489"/>
      <c r="I429"/>
      <c r="J429"/>
      <c r="L429"/>
    </row>
    <row r="430" spans="2:12">
      <c r="B430"/>
      <c r="C430"/>
      <c r="D430"/>
      <c r="E430"/>
      <c r="F430"/>
      <c r="G430" s="14"/>
      <c r="H430" s="489"/>
      <c r="I430"/>
      <c r="J430"/>
      <c r="L430"/>
    </row>
    <row r="431" spans="2:12">
      <c r="B431"/>
      <c r="C431"/>
      <c r="D431"/>
      <c r="E431"/>
      <c r="F431"/>
      <c r="G431" s="14"/>
      <c r="H431" s="489"/>
      <c r="I431"/>
      <c r="J431"/>
      <c r="L431"/>
    </row>
    <row r="432" spans="2:12">
      <c r="B432"/>
      <c r="C432"/>
      <c r="D432"/>
      <c r="E432"/>
      <c r="F432"/>
      <c r="G432" s="14"/>
      <c r="H432" s="489"/>
      <c r="I432"/>
      <c r="J432"/>
      <c r="L432"/>
    </row>
    <row r="433" spans="2:12">
      <c r="B433"/>
      <c r="C433"/>
      <c r="D433"/>
      <c r="E433"/>
      <c r="F433"/>
      <c r="G433" s="14"/>
      <c r="H433" s="489"/>
      <c r="I433"/>
      <c r="J433"/>
      <c r="L433"/>
    </row>
    <row r="434" spans="2:12">
      <c r="B434"/>
      <c r="C434"/>
      <c r="D434"/>
      <c r="E434"/>
      <c r="F434"/>
      <c r="G434" s="14"/>
      <c r="H434" s="489"/>
      <c r="I434"/>
      <c r="J434"/>
      <c r="L434"/>
    </row>
    <row r="435" spans="2:12">
      <c r="B435"/>
      <c r="C435"/>
      <c r="D435"/>
      <c r="E435"/>
      <c r="F435"/>
      <c r="G435" s="14"/>
      <c r="H435" s="489"/>
      <c r="I435"/>
      <c r="J435"/>
      <c r="L435"/>
    </row>
    <row r="436" spans="2:12">
      <c r="B436"/>
      <c r="C436"/>
      <c r="D436"/>
      <c r="E436"/>
      <c r="F436"/>
      <c r="G436" s="14"/>
      <c r="H436" s="489"/>
      <c r="I436"/>
      <c r="J436"/>
      <c r="L436"/>
    </row>
    <row r="437" spans="2:12">
      <c r="B437"/>
      <c r="C437"/>
      <c r="D437"/>
      <c r="E437"/>
      <c r="F437"/>
      <c r="G437" s="14"/>
      <c r="H437" s="489"/>
      <c r="I437"/>
      <c r="J437"/>
      <c r="L437"/>
    </row>
    <row r="438" spans="2:12">
      <c r="B438"/>
      <c r="C438"/>
      <c r="D438"/>
      <c r="E438"/>
      <c r="F438"/>
      <c r="G438" s="14"/>
      <c r="H438" s="489"/>
      <c r="I438"/>
      <c r="J438"/>
      <c r="L438"/>
    </row>
    <row r="439" spans="2:12">
      <c r="B439"/>
      <c r="C439"/>
      <c r="D439"/>
      <c r="E439"/>
      <c r="F439"/>
      <c r="G439" s="14"/>
      <c r="H439" s="489"/>
      <c r="I439"/>
      <c r="J439"/>
      <c r="L439"/>
    </row>
    <row r="440" spans="2:12">
      <c r="B440"/>
      <c r="C440"/>
      <c r="D440"/>
      <c r="E440"/>
      <c r="F440"/>
      <c r="G440" s="14"/>
      <c r="H440" s="489"/>
      <c r="I440"/>
      <c r="J440"/>
      <c r="L440"/>
    </row>
    <row r="441" spans="2:12">
      <c r="B441"/>
      <c r="C441"/>
      <c r="D441"/>
      <c r="E441"/>
      <c r="F441"/>
      <c r="G441" s="14"/>
      <c r="H441" s="489"/>
      <c r="I441"/>
      <c r="J441"/>
      <c r="L441"/>
    </row>
    <row r="442" spans="2:12">
      <c r="B442"/>
      <c r="C442"/>
      <c r="D442"/>
      <c r="E442"/>
      <c r="F442"/>
      <c r="G442" s="14"/>
      <c r="H442" s="489"/>
      <c r="I442"/>
      <c r="J442"/>
      <c r="L442"/>
    </row>
    <row r="443" spans="2:12">
      <c r="B443"/>
      <c r="C443"/>
      <c r="D443"/>
      <c r="E443"/>
      <c r="F443"/>
      <c r="G443" s="14"/>
      <c r="H443" s="489"/>
      <c r="I443"/>
      <c r="J443"/>
      <c r="L443"/>
    </row>
    <row r="444" spans="2:12">
      <c r="B444"/>
      <c r="C444"/>
      <c r="D444"/>
      <c r="E444"/>
      <c r="F444"/>
      <c r="G444" s="14"/>
      <c r="H444" s="489"/>
      <c r="I444"/>
      <c r="J444"/>
      <c r="L444"/>
    </row>
    <row r="445" spans="2:12">
      <c r="B445"/>
      <c r="C445"/>
      <c r="D445"/>
      <c r="E445"/>
      <c r="F445"/>
      <c r="G445" s="14"/>
      <c r="H445" s="489"/>
      <c r="I445"/>
      <c r="J445"/>
      <c r="L445"/>
    </row>
    <row r="446" spans="2:12">
      <c r="B446"/>
      <c r="C446"/>
      <c r="D446"/>
      <c r="E446"/>
      <c r="F446"/>
      <c r="G446" s="14"/>
      <c r="H446" s="489"/>
      <c r="I446"/>
      <c r="J446"/>
      <c r="L446"/>
    </row>
    <row r="447" spans="2:12">
      <c r="B447"/>
      <c r="C447"/>
      <c r="D447"/>
      <c r="E447"/>
      <c r="F447"/>
      <c r="G447" s="14"/>
      <c r="H447" s="489"/>
      <c r="I447"/>
      <c r="J447"/>
      <c r="L447"/>
    </row>
    <row r="448" spans="2:12">
      <c r="B448"/>
      <c r="C448"/>
      <c r="D448"/>
      <c r="E448"/>
      <c r="F448"/>
      <c r="G448" s="14"/>
      <c r="H448" s="489"/>
      <c r="I448"/>
      <c r="J448"/>
      <c r="L448"/>
    </row>
    <row r="449" spans="2:12">
      <c r="B449"/>
      <c r="C449"/>
      <c r="D449"/>
      <c r="E449"/>
      <c r="F449"/>
      <c r="G449" s="14"/>
      <c r="H449" s="489"/>
      <c r="I449"/>
      <c r="J449"/>
      <c r="L449"/>
    </row>
    <row r="450" spans="2:12">
      <c r="B450"/>
      <c r="C450"/>
      <c r="D450"/>
      <c r="E450"/>
      <c r="F450"/>
      <c r="G450" s="14"/>
      <c r="H450" s="489"/>
      <c r="I450"/>
      <c r="J450"/>
      <c r="L450"/>
    </row>
    <row r="451" spans="2:12">
      <c r="B451"/>
      <c r="C451"/>
      <c r="D451"/>
      <c r="E451"/>
      <c r="F451"/>
      <c r="G451" s="14"/>
      <c r="H451" s="489"/>
      <c r="I451"/>
      <c r="J451"/>
      <c r="L451"/>
    </row>
    <row r="452" spans="2:12">
      <c r="B452"/>
      <c r="C452"/>
      <c r="D452"/>
      <c r="E452"/>
      <c r="F452"/>
      <c r="G452" s="14"/>
      <c r="H452" s="489"/>
      <c r="I452"/>
      <c r="J452"/>
      <c r="L452"/>
    </row>
    <row r="453" spans="2:12">
      <c r="B453"/>
      <c r="C453"/>
      <c r="D453"/>
      <c r="E453"/>
      <c r="F453"/>
      <c r="G453" s="14"/>
      <c r="H453" s="489"/>
      <c r="I453"/>
      <c r="J453"/>
      <c r="L453"/>
    </row>
    <row r="454" spans="2:12">
      <c r="B454"/>
      <c r="C454"/>
      <c r="D454"/>
      <c r="E454"/>
      <c r="F454"/>
      <c r="G454" s="14"/>
      <c r="H454" s="489"/>
      <c r="I454"/>
      <c r="J454"/>
      <c r="L454"/>
    </row>
    <row r="455" spans="2:12">
      <c r="B455"/>
      <c r="C455"/>
      <c r="D455"/>
      <c r="E455"/>
      <c r="F455"/>
      <c r="G455" s="14"/>
      <c r="H455" s="489"/>
      <c r="I455"/>
      <c r="J455"/>
      <c r="L455"/>
    </row>
    <row r="456" spans="2:12">
      <c r="B456"/>
      <c r="C456"/>
      <c r="D456"/>
      <c r="E456"/>
      <c r="F456"/>
      <c r="G456" s="14"/>
      <c r="H456" s="489"/>
      <c r="I456"/>
      <c r="J456"/>
      <c r="L456"/>
    </row>
    <row r="457" spans="2:12">
      <c r="B457"/>
      <c r="C457"/>
      <c r="D457"/>
      <c r="E457"/>
      <c r="F457"/>
      <c r="G457" s="14"/>
      <c r="H457" s="489"/>
      <c r="I457"/>
      <c r="J457"/>
      <c r="L457"/>
    </row>
    <row r="458" spans="2:12">
      <c r="B458"/>
      <c r="C458"/>
      <c r="D458"/>
      <c r="E458"/>
      <c r="F458"/>
      <c r="G458" s="14"/>
      <c r="H458" s="489"/>
      <c r="I458"/>
      <c r="J458"/>
      <c r="L458"/>
    </row>
    <row r="459" spans="2:12">
      <c r="B459"/>
      <c r="C459"/>
      <c r="D459"/>
      <c r="E459"/>
      <c r="F459"/>
      <c r="G459" s="14"/>
      <c r="H459" s="489"/>
      <c r="I459"/>
      <c r="J459"/>
      <c r="L459"/>
    </row>
    <row r="460" spans="2:12">
      <c r="B460"/>
      <c r="C460"/>
      <c r="D460"/>
      <c r="E460"/>
      <c r="F460"/>
      <c r="G460" s="14"/>
      <c r="H460" s="489"/>
      <c r="I460"/>
      <c r="J460"/>
      <c r="L460"/>
    </row>
    <row r="461" spans="2:12">
      <c r="B461"/>
      <c r="C461"/>
      <c r="D461"/>
      <c r="E461"/>
      <c r="F461"/>
      <c r="G461" s="14"/>
      <c r="H461" s="489"/>
      <c r="I461"/>
      <c r="J461"/>
      <c r="L461"/>
    </row>
    <row r="462" spans="2:12">
      <c r="B462"/>
      <c r="C462"/>
      <c r="D462"/>
      <c r="E462"/>
      <c r="F462"/>
      <c r="G462" s="14"/>
      <c r="H462" s="489"/>
      <c r="I462"/>
      <c r="J462"/>
      <c r="L462"/>
    </row>
    <row r="463" spans="2:12">
      <c r="B463"/>
      <c r="C463"/>
      <c r="D463"/>
      <c r="E463"/>
      <c r="F463"/>
      <c r="G463" s="14"/>
      <c r="H463" s="489"/>
      <c r="I463"/>
      <c r="J463"/>
      <c r="L463"/>
    </row>
    <row r="464" spans="2:12">
      <c r="B464"/>
      <c r="C464"/>
      <c r="D464"/>
      <c r="E464"/>
      <c r="F464"/>
      <c r="G464" s="14"/>
      <c r="H464" s="489"/>
      <c r="I464"/>
      <c r="J464"/>
      <c r="L464"/>
    </row>
    <row r="465" spans="2:12">
      <c r="B465"/>
      <c r="C465"/>
      <c r="D465"/>
      <c r="E465"/>
      <c r="F465"/>
      <c r="G465" s="14"/>
      <c r="H465" s="489"/>
      <c r="I465"/>
      <c r="J465"/>
      <c r="L465"/>
    </row>
    <row r="466" spans="2:12">
      <c r="B466"/>
      <c r="C466"/>
      <c r="D466"/>
      <c r="E466"/>
      <c r="F466"/>
      <c r="G466" s="14"/>
      <c r="H466" s="489"/>
      <c r="I466"/>
      <c r="J466"/>
      <c r="L466"/>
    </row>
    <row r="467" spans="2:12">
      <c r="B467"/>
      <c r="C467"/>
      <c r="D467"/>
      <c r="E467"/>
      <c r="F467"/>
      <c r="G467" s="14"/>
      <c r="H467" s="489"/>
      <c r="I467"/>
      <c r="J467"/>
      <c r="L467"/>
    </row>
    <row r="468" spans="2:12">
      <c r="B468"/>
      <c r="C468"/>
      <c r="D468"/>
      <c r="E468"/>
      <c r="F468"/>
      <c r="G468" s="14"/>
      <c r="H468" s="489"/>
      <c r="I468"/>
      <c r="J468"/>
      <c r="L468"/>
    </row>
    <row r="469" spans="2:12">
      <c r="B469"/>
      <c r="C469"/>
      <c r="D469"/>
      <c r="E469"/>
      <c r="F469"/>
      <c r="G469" s="14"/>
      <c r="H469" s="489"/>
      <c r="I469"/>
      <c r="J469"/>
      <c r="L469"/>
    </row>
    <row r="470" spans="2:12">
      <c r="B470"/>
      <c r="C470"/>
      <c r="D470"/>
      <c r="E470"/>
      <c r="F470"/>
      <c r="G470" s="14"/>
      <c r="H470" s="489"/>
      <c r="I470"/>
      <c r="J470"/>
      <c r="L470"/>
    </row>
    <row r="471" spans="2:12">
      <c r="B471"/>
      <c r="C471"/>
      <c r="D471"/>
      <c r="E471"/>
      <c r="F471"/>
      <c r="G471" s="14"/>
      <c r="H471" s="489"/>
      <c r="I471"/>
      <c r="J471"/>
      <c r="L471"/>
    </row>
    <row r="472" spans="2:12">
      <c r="B472"/>
      <c r="C472"/>
      <c r="D472"/>
      <c r="E472"/>
      <c r="F472"/>
      <c r="G472" s="14"/>
      <c r="H472" s="489"/>
      <c r="I472"/>
      <c r="J472"/>
      <c r="L472"/>
    </row>
    <row r="473" spans="2:12">
      <c r="B473"/>
      <c r="C473"/>
      <c r="D473"/>
      <c r="E473"/>
      <c r="F473"/>
      <c r="G473" s="14"/>
      <c r="H473" s="489"/>
      <c r="I473"/>
      <c r="J473"/>
      <c r="L473"/>
    </row>
    <row r="474" spans="2:12">
      <c r="B474"/>
      <c r="C474"/>
      <c r="D474"/>
      <c r="E474"/>
      <c r="F474"/>
      <c r="G474" s="14"/>
      <c r="H474" s="489"/>
      <c r="I474"/>
      <c r="J474"/>
      <c r="L474"/>
    </row>
    <row r="475" spans="2:12">
      <c r="B475"/>
      <c r="C475"/>
      <c r="D475"/>
      <c r="E475"/>
      <c r="F475"/>
      <c r="G475" s="14"/>
      <c r="H475" s="489"/>
      <c r="I475"/>
      <c r="J475"/>
      <c r="L475"/>
    </row>
    <row r="476" spans="2:12">
      <c r="B476"/>
      <c r="C476"/>
      <c r="D476"/>
      <c r="E476"/>
      <c r="F476"/>
      <c r="G476" s="14"/>
      <c r="H476" s="489"/>
      <c r="I476"/>
      <c r="J476"/>
      <c r="L476"/>
    </row>
    <row r="477" spans="2:12">
      <c r="B477"/>
      <c r="C477"/>
      <c r="D477"/>
      <c r="E477"/>
      <c r="F477"/>
      <c r="G477" s="14"/>
      <c r="H477" s="489"/>
      <c r="I477"/>
      <c r="J477"/>
      <c r="L477"/>
    </row>
    <row r="478" spans="2:12">
      <c r="B478"/>
      <c r="C478"/>
      <c r="D478"/>
      <c r="E478"/>
      <c r="F478"/>
      <c r="G478" s="14"/>
      <c r="H478" s="489"/>
      <c r="I478"/>
      <c r="J478"/>
      <c r="L478"/>
    </row>
    <row r="479" spans="2:12">
      <c r="B479"/>
      <c r="C479"/>
      <c r="D479"/>
      <c r="E479"/>
      <c r="F479"/>
      <c r="G479" s="14"/>
      <c r="H479" s="489"/>
      <c r="I479"/>
      <c r="J479"/>
      <c r="L479"/>
    </row>
    <row r="480" spans="2:12">
      <c r="B480"/>
      <c r="C480"/>
      <c r="D480"/>
      <c r="E480"/>
      <c r="F480"/>
      <c r="G480" s="14"/>
      <c r="H480" s="489"/>
      <c r="I480"/>
      <c r="J480"/>
      <c r="L480"/>
    </row>
    <row r="481" spans="2:12">
      <c r="B481"/>
      <c r="C481"/>
      <c r="D481"/>
      <c r="E481"/>
      <c r="F481"/>
      <c r="G481" s="14"/>
      <c r="H481" s="489"/>
      <c r="I481"/>
      <c r="J481"/>
      <c r="L481"/>
    </row>
    <row r="482" spans="2:12">
      <c r="B482"/>
      <c r="C482"/>
      <c r="D482"/>
      <c r="E482"/>
      <c r="F482"/>
      <c r="G482" s="14"/>
      <c r="H482" s="489"/>
      <c r="I482"/>
      <c r="J482"/>
      <c r="L482"/>
    </row>
    <row r="483" spans="2:12">
      <c r="B483"/>
      <c r="C483"/>
      <c r="D483"/>
      <c r="E483"/>
      <c r="F483"/>
      <c r="G483" s="14"/>
      <c r="H483" s="489"/>
      <c r="I483"/>
      <c r="J483"/>
      <c r="L483"/>
    </row>
    <row r="484" spans="2:12">
      <c r="B484"/>
      <c r="C484"/>
      <c r="D484"/>
      <c r="E484"/>
      <c r="F484"/>
      <c r="G484" s="14"/>
      <c r="H484" s="489"/>
      <c r="I484"/>
      <c r="J484"/>
      <c r="L484"/>
    </row>
    <row r="485" spans="2:12">
      <c r="B485"/>
      <c r="C485"/>
      <c r="D485"/>
      <c r="E485"/>
      <c r="F485"/>
      <c r="G485" s="14"/>
      <c r="I485"/>
      <c r="J485"/>
      <c r="L485"/>
    </row>
    <row r="486" spans="2:12">
      <c r="B486"/>
      <c r="C486"/>
      <c r="D486"/>
      <c r="E486"/>
      <c r="F486"/>
      <c r="G486" s="14"/>
      <c r="I486"/>
      <c r="J486"/>
      <c r="L486"/>
    </row>
    <row r="487" spans="2:12">
      <c r="B487"/>
      <c r="C487"/>
      <c r="D487"/>
      <c r="E487"/>
      <c r="F487"/>
      <c r="G487" s="14"/>
      <c r="I487"/>
      <c r="J487"/>
      <c r="L487"/>
    </row>
    <row r="488" spans="2:12">
      <c r="B488"/>
      <c r="C488"/>
      <c r="D488"/>
      <c r="E488"/>
      <c r="F488"/>
      <c r="G488" s="14"/>
      <c r="I488"/>
      <c r="J488"/>
      <c r="L488"/>
    </row>
    <row r="489" spans="2:12">
      <c r="B489"/>
      <c r="C489"/>
      <c r="D489"/>
      <c r="E489"/>
      <c r="F489"/>
      <c r="G489" s="14"/>
      <c r="I489"/>
      <c r="J489"/>
      <c r="L489"/>
    </row>
    <row r="490" spans="2:12">
      <c r="B490"/>
      <c r="C490"/>
      <c r="D490"/>
      <c r="E490"/>
      <c r="F490"/>
      <c r="G490" s="14"/>
      <c r="I490"/>
      <c r="J490"/>
      <c r="L490"/>
    </row>
    <row r="491" spans="2:12">
      <c r="B491"/>
      <c r="C491"/>
      <c r="D491"/>
      <c r="E491"/>
      <c r="F491"/>
      <c r="G491" s="14"/>
      <c r="I491"/>
      <c r="J491"/>
      <c r="L491"/>
    </row>
    <row r="492" spans="2:12">
      <c r="B492"/>
      <c r="C492"/>
      <c r="D492"/>
      <c r="E492"/>
      <c r="F492"/>
      <c r="G492" s="14"/>
      <c r="I492"/>
      <c r="J492"/>
      <c r="L492"/>
    </row>
    <row r="493" spans="2:12">
      <c r="B493"/>
      <c r="C493"/>
      <c r="D493"/>
      <c r="E493"/>
      <c r="F493"/>
      <c r="G493" s="14"/>
      <c r="I493"/>
      <c r="J493"/>
      <c r="L493"/>
    </row>
    <row r="494" spans="2:12">
      <c r="B494"/>
      <c r="C494"/>
      <c r="D494"/>
      <c r="E494"/>
      <c r="F494"/>
      <c r="G494" s="14"/>
      <c r="H494"/>
      <c r="I494"/>
      <c r="J494"/>
      <c r="L494"/>
    </row>
    <row r="495" spans="2:12">
      <c r="B495"/>
      <c r="C495"/>
      <c r="D495"/>
      <c r="E495"/>
      <c r="F495"/>
      <c r="G495" s="14"/>
      <c r="H495"/>
      <c r="I495"/>
      <c r="J495"/>
      <c r="L495"/>
    </row>
    <row r="496" spans="2:12">
      <c r="B496"/>
      <c r="C496"/>
      <c r="D496"/>
      <c r="E496"/>
      <c r="F496"/>
      <c r="G496" s="14"/>
      <c r="H496"/>
      <c r="I496"/>
      <c r="J496"/>
      <c r="L496"/>
    </row>
    <row r="497" spans="2:12">
      <c r="B497"/>
      <c r="C497"/>
      <c r="D497"/>
      <c r="E497"/>
      <c r="F497"/>
      <c r="G497" s="14"/>
      <c r="H497"/>
      <c r="I497"/>
      <c r="J497"/>
      <c r="L497"/>
    </row>
    <row r="498" spans="2:12">
      <c r="B498"/>
      <c r="C498"/>
      <c r="D498"/>
      <c r="E498"/>
      <c r="F498"/>
      <c r="G498" s="14"/>
      <c r="H498"/>
      <c r="I498"/>
      <c r="J498"/>
      <c r="L498"/>
    </row>
    <row r="499" spans="2:12">
      <c r="B499"/>
      <c r="C499"/>
      <c r="D499"/>
      <c r="E499"/>
      <c r="F499"/>
      <c r="G499" s="14"/>
      <c r="H499"/>
      <c r="I499"/>
      <c r="J499"/>
      <c r="L499"/>
    </row>
    <row r="500" spans="2:12">
      <c r="B500"/>
      <c r="C500"/>
      <c r="D500"/>
      <c r="E500"/>
      <c r="F500"/>
      <c r="G500" s="14"/>
      <c r="H500"/>
      <c r="I500"/>
      <c r="J500"/>
      <c r="L500"/>
    </row>
    <row r="501" spans="2:12">
      <c r="B501"/>
      <c r="C501"/>
      <c r="D501"/>
      <c r="E501"/>
      <c r="F501"/>
      <c r="G501" s="14"/>
      <c r="H501"/>
      <c r="I501"/>
      <c r="J501"/>
      <c r="L501"/>
    </row>
    <row r="502" spans="2:12">
      <c r="B502"/>
      <c r="C502"/>
      <c r="D502"/>
      <c r="E502"/>
      <c r="F502"/>
      <c r="G502" s="14"/>
      <c r="H502"/>
      <c r="I502"/>
      <c r="J502"/>
      <c r="L502"/>
    </row>
    <row r="503" spans="2:12">
      <c r="B503"/>
      <c r="C503"/>
      <c r="D503"/>
      <c r="E503"/>
      <c r="F503"/>
      <c r="G503" s="14"/>
      <c r="H503"/>
      <c r="I503"/>
      <c r="J503"/>
      <c r="L503"/>
    </row>
    <row r="504" spans="2:12">
      <c r="B504"/>
      <c r="C504"/>
      <c r="D504"/>
      <c r="E504"/>
      <c r="F504"/>
      <c r="G504" s="14"/>
      <c r="H504"/>
      <c r="I504"/>
      <c r="J504"/>
      <c r="L504"/>
    </row>
    <row r="505" spans="2:12">
      <c r="B505"/>
      <c r="C505"/>
      <c r="D505"/>
      <c r="E505"/>
      <c r="F505"/>
      <c r="G505" s="14"/>
      <c r="H505"/>
      <c r="I505"/>
      <c r="J505"/>
      <c r="L505"/>
    </row>
    <row r="506" spans="2:12">
      <c r="B506"/>
      <c r="C506"/>
      <c r="D506"/>
      <c r="E506"/>
      <c r="F506"/>
      <c r="G506" s="14"/>
      <c r="H506"/>
      <c r="I506"/>
      <c r="J506"/>
      <c r="L506"/>
    </row>
    <row r="507" spans="2:12">
      <c r="B507"/>
      <c r="C507"/>
      <c r="D507"/>
      <c r="E507"/>
      <c r="F507"/>
      <c r="G507" s="14"/>
      <c r="H507"/>
      <c r="I507"/>
      <c r="J507"/>
      <c r="L507"/>
    </row>
    <row r="508" spans="2:12">
      <c r="B508"/>
      <c r="C508"/>
      <c r="D508"/>
      <c r="E508"/>
      <c r="F508"/>
      <c r="G508" s="14"/>
      <c r="H508"/>
      <c r="I508"/>
      <c r="J508"/>
      <c r="L508"/>
    </row>
    <row r="509" spans="2:12">
      <c r="B509"/>
      <c r="C509"/>
      <c r="D509"/>
      <c r="E509"/>
      <c r="F509"/>
      <c r="G509" s="14"/>
      <c r="H509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  <c r="L692"/>
    </row>
    <row r="693" spans="2:12">
      <c r="B693"/>
      <c r="C693"/>
      <c r="D693"/>
      <c r="E693"/>
      <c r="F693"/>
      <c r="G693" s="14"/>
      <c r="H693"/>
      <c r="I693"/>
      <c r="J693"/>
      <c r="L693"/>
    </row>
    <row r="694" spans="2:12">
      <c r="B694"/>
      <c r="C694"/>
      <c r="D694"/>
      <c r="E694"/>
      <c r="F694"/>
      <c r="G694" s="14"/>
      <c r="H694"/>
      <c r="I694"/>
      <c r="J694"/>
      <c r="L694"/>
    </row>
    <row r="695" spans="2:12">
      <c r="B695"/>
      <c r="C695"/>
      <c r="D695"/>
      <c r="E695"/>
      <c r="F695"/>
      <c r="G695" s="14"/>
      <c r="H695"/>
      <c r="I695"/>
      <c r="J695"/>
      <c r="L695"/>
    </row>
    <row r="696" spans="2:12">
      <c r="B696"/>
      <c r="C696"/>
      <c r="D696"/>
      <c r="E696"/>
      <c r="F696"/>
      <c r="G696" s="14"/>
      <c r="H696"/>
      <c r="I696"/>
      <c r="J696"/>
      <c r="L696"/>
    </row>
    <row r="697" spans="2:12">
      <c r="B697"/>
      <c r="C697"/>
      <c r="D697"/>
      <c r="E697"/>
      <c r="F697"/>
      <c r="G697" s="14"/>
      <c r="H697"/>
      <c r="I697"/>
      <c r="J697"/>
      <c r="L697"/>
    </row>
    <row r="698" spans="2:12">
      <c r="B698"/>
      <c r="C698"/>
      <c r="D698"/>
      <c r="E698"/>
      <c r="F698"/>
      <c r="G698" s="14"/>
      <c r="H698"/>
      <c r="I698"/>
      <c r="J698"/>
      <c r="L698"/>
    </row>
    <row r="699" spans="2:12">
      <c r="B699"/>
      <c r="C699"/>
      <c r="D699"/>
      <c r="E699"/>
      <c r="F699"/>
      <c r="G699" s="14"/>
      <c r="H699"/>
      <c r="I699"/>
      <c r="J699"/>
      <c r="L699"/>
    </row>
    <row r="700" spans="2:12">
      <c r="B700"/>
      <c r="C700"/>
      <c r="D700"/>
      <c r="E700"/>
      <c r="F700"/>
      <c r="G700" s="14"/>
      <c r="H700"/>
      <c r="I700"/>
      <c r="J700"/>
      <c r="L700"/>
    </row>
    <row r="701" spans="2:12">
      <c r="B701"/>
      <c r="C701"/>
      <c r="D701"/>
      <c r="E701"/>
      <c r="F701"/>
      <c r="G701" s="14"/>
      <c r="H701"/>
      <c r="I701"/>
      <c r="J701"/>
      <c r="L701"/>
    </row>
    <row r="702" spans="2:12">
      <c r="B702"/>
      <c r="C702"/>
      <c r="D702"/>
      <c r="E702"/>
      <c r="F702"/>
      <c r="G702" s="14"/>
      <c r="H702"/>
      <c r="I702"/>
      <c r="J702"/>
      <c r="L702"/>
    </row>
    <row r="703" spans="2:12">
      <c r="B703"/>
      <c r="C703"/>
      <c r="D703"/>
      <c r="E703"/>
      <c r="F703"/>
      <c r="G703" s="14"/>
      <c r="H703"/>
      <c r="I703"/>
      <c r="J703"/>
      <c r="L703"/>
    </row>
    <row r="704" spans="2:12">
      <c r="B704"/>
      <c r="C704"/>
      <c r="D704"/>
      <c r="E704"/>
      <c r="F704"/>
      <c r="G704" s="14"/>
      <c r="H704"/>
      <c r="I704"/>
      <c r="J704"/>
      <c r="L704"/>
    </row>
    <row r="705" spans="2:12">
      <c r="B705"/>
      <c r="C705"/>
      <c r="D705"/>
      <c r="E705"/>
      <c r="F705"/>
      <c r="G705" s="14"/>
      <c r="H705"/>
      <c r="I705"/>
      <c r="J705"/>
      <c r="L705"/>
    </row>
    <row r="706" spans="2:12">
      <c r="B706"/>
      <c r="C706"/>
      <c r="D706"/>
      <c r="E706"/>
      <c r="F706"/>
      <c r="G706" s="14"/>
      <c r="H706"/>
      <c r="I706"/>
      <c r="J706"/>
      <c r="L706"/>
    </row>
    <row r="707" spans="2:12">
      <c r="B707"/>
      <c r="C707"/>
      <c r="D707"/>
      <c r="E707"/>
      <c r="F707"/>
      <c r="G707" s="14"/>
      <c r="H707"/>
      <c r="I707"/>
      <c r="J707"/>
      <c r="L707"/>
    </row>
    <row r="708" spans="2:12">
      <c r="B708"/>
      <c r="C708"/>
      <c r="D708"/>
      <c r="E708"/>
      <c r="F708"/>
      <c r="G708" s="14"/>
      <c r="H708"/>
      <c r="I708"/>
      <c r="J708"/>
      <c r="L708"/>
    </row>
    <row r="709" spans="2:12">
      <c r="B709"/>
      <c r="C709"/>
      <c r="D709"/>
      <c r="E709"/>
      <c r="F709"/>
      <c r="G709" s="14"/>
      <c r="H709"/>
      <c r="I709"/>
      <c r="J709"/>
      <c r="L709"/>
    </row>
    <row r="710" spans="2:12">
      <c r="B710"/>
      <c r="C710"/>
      <c r="D710"/>
      <c r="E710"/>
      <c r="F710"/>
      <c r="G710" s="14"/>
      <c r="H710"/>
      <c r="I710"/>
      <c r="J710"/>
      <c r="L710"/>
    </row>
    <row r="711" spans="2:12">
      <c r="B711"/>
      <c r="C711"/>
      <c r="D711"/>
      <c r="E711"/>
      <c r="F711"/>
      <c r="G711" s="14"/>
      <c r="H711"/>
      <c r="I711"/>
      <c r="J711"/>
      <c r="L711"/>
    </row>
    <row r="712" spans="2:12">
      <c r="B712"/>
      <c r="C712"/>
      <c r="D712"/>
      <c r="E712"/>
      <c r="F712"/>
      <c r="G712" s="14"/>
      <c r="H712"/>
      <c r="I712"/>
      <c r="J712"/>
      <c r="L712"/>
    </row>
    <row r="713" spans="2:12">
      <c r="B713"/>
      <c r="C713"/>
      <c r="D713"/>
      <c r="E713"/>
      <c r="F713"/>
      <c r="G713" s="14"/>
      <c r="H713"/>
      <c r="I713"/>
      <c r="J713"/>
      <c r="L713"/>
    </row>
    <row r="714" spans="2:12">
      <c r="B714"/>
      <c r="C714"/>
      <c r="D714"/>
      <c r="E714"/>
      <c r="F714"/>
      <c r="G714" s="14"/>
      <c r="H714"/>
      <c r="I714"/>
      <c r="J714"/>
      <c r="L714"/>
    </row>
    <row r="715" spans="2:12">
      <c r="B715"/>
      <c r="C715"/>
      <c r="D715"/>
      <c r="E715"/>
      <c r="F715"/>
      <c r="G715" s="14"/>
      <c r="H715"/>
      <c r="I715"/>
      <c r="J715"/>
      <c r="L715"/>
    </row>
    <row r="716" spans="2:12">
      <c r="B716"/>
      <c r="C716"/>
      <c r="D716"/>
      <c r="E716"/>
      <c r="F716"/>
      <c r="G716" s="14"/>
      <c r="H716"/>
      <c r="I716"/>
      <c r="J716"/>
      <c r="L716"/>
    </row>
    <row r="717" spans="2:12">
      <c r="B717"/>
      <c r="C717"/>
      <c r="D717"/>
      <c r="E717"/>
      <c r="F717"/>
      <c r="G717" s="14"/>
      <c r="H717"/>
      <c r="I717"/>
      <c r="J717"/>
      <c r="L717"/>
    </row>
    <row r="718" spans="2:12">
      <c r="B718"/>
      <c r="C718"/>
      <c r="D718"/>
      <c r="E718"/>
      <c r="F718"/>
      <c r="G718" s="14"/>
      <c r="H718"/>
      <c r="I718"/>
      <c r="J718"/>
      <c r="L718"/>
    </row>
    <row r="719" spans="2:12">
      <c r="B719"/>
      <c r="C719"/>
      <c r="D719"/>
      <c r="E719"/>
      <c r="F719"/>
      <c r="G719" s="14"/>
      <c r="H719"/>
      <c r="I719"/>
      <c r="J719"/>
      <c r="L719"/>
    </row>
    <row r="720" spans="2:12">
      <c r="B720"/>
      <c r="C720"/>
      <c r="D720"/>
      <c r="E720"/>
      <c r="F720"/>
      <c r="G720" s="14"/>
      <c r="H720"/>
      <c r="I720"/>
      <c r="J720"/>
      <c r="L720"/>
    </row>
    <row r="721" spans="2:12">
      <c r="B721"/>
      <c r="C721"/>
      <c r="D721"/>
      <c r="E721"/>
      <c r="F721"/>
      <c r="G721" s="14"/>
      <c r="H721"/>
      <c r="I721"/>
      <c r="J721"/>
      <c r="L721"/>
    </row>
    <row r="722" spans="2:12">
      <c r="B722"/>
      <c r="C722"/>
      <c r="D722"/>
      <c r="E722"/>
      <c r="F722"/>
      <c r="G722" s="14"/>
      <c r="H722"/>
      <c r="I722"/>
      <c r="J722"/>
      <c r="L722"/>
    </row>
    <row r="723" spans="2:12">
      <c r="B723"/>
      <c r="C723"/>
      <c r="D723"/>
      <c r="E723"/>
      <c r="F723"/>
      <c r="G723" s="14"/>
      <c r="H723"/>
      <c r="I723"/>
      <c r="J723"/>
      <c r="L723"/>
    </row>
    <row r="724" spans="2:12">
      <c r="B724"/>
      <c r="C724"/>
      <c r="D724"/>
      <c r="E724"/>
      <c r="F724"/>
      <c r="G724" s="14"/>
      <c r="H724"/>
      <c r="I724"/>
      <c r="J724"/>
      <c r="L724"/>
    </row>
    <row r="725" spans="2:12">
      <c r="B725"/>
      <c r="C725"/>
      <c r="D725"/>
      <c r="E725"/>
      <c r="F725"/>
      <c r="G725" s="14"/>
      <c r="H725"/>
      <c r="I725"/>
      <c r="J725"/>
      <c r="L725"/>
    </row>
    <row r="726" spans="2:12">
      <c r="B726"/>
      <c r="C726"/>
      <c r="D726"/>
      <c r="E726"/>
      <c r="F726"/>
      <c r="G726" s="14"/>
      <c r="H726"/>
      <c r="I726"/>
      <c r="J726"/>
      <c r="L726"/>
    </row>
    <row r="727" spans="2:12">
      <c r="B727"/>
      <c r="C727"/>
      <c r="D727"/>
      <c r="E727"/>
      <c r="F727"/>
      <c r="G727" s="14"/>
      <c r="H727"/>
      <c r="I727"/>
      <c r="J727"/>
      <c r="L727"/>
    </row>
    <row r="728" spans="2:12">
      <c r="B728"/>
      <c r="C728"/>
      <c r="D728"/>
      <c r="E728"/>
      <c r="F728"/>
      <c r="G728" s="14"/>
      <c r="H728"/>
      <c r="I728"/>
      <c r="J728"/>
      <c r="L728"/>
    </row>
    <row r="729" spans="2:12">
      <c r="B729"/>
      <c r="C729"/>
      <c r="D729"/>
      <c r="E729"/>
      <c r="F729"/>
      <c r="G729" s="14"/>
      <c r="H729"/>
      <c r="I729"/>
      <c r="J729"/>
      <c r="L729"/>
    </row>
    <row r="730" spans="2:12">
      <c r="B730"/>
      <c r="C730"/>
      <c r="D730"/>
      <c r="E730"/>
      <c r="F730"/>
      <c r="G730" s="14"/>
      <c r="H730"/>
      <c r="I730"/>
      <c r="J730"/>
      <c r="L730"/>
    </row>
    <row r="731" spans="2:12">
      <c r="B731"/>
      <c r="C731"/>
      <c r="D731"/>
      <c r="E731"/>
      <c r="F731"/>
      <c r="G731" s="14"/>
      <c r="H731"/>
      <c r="I731"/>
      <c r="J731"/>
      <c r="L731"/>
    </row>
    <row r="732" spans="2:12">
      <c r="B732"/>
      <c r="C732"/>
      <c r="D732"/>
      <c r="E732"/>
      <c r="F732"/>
      <c r="G732" s="14"/>
      <c r="H732"/>
      <c r="I732"/>
      <c r="J732"/>
      <c r="L732"/>
    </row>
  </sheetData>
  <phoneticPr fontId="3" type="noConversion"/>
  <conditionalFormatting sqref="O103">
    <cfRule type="expression" dxfId="7" priority="9">
      <formula>"if(and($M$103&lt;&gt;0,$M$103*$N$103=0),0)"</formula>
    </cfRule>
  </conditionalFormatting>
  <conditionalFormatting sqref="G106:G108">
    <cfRule type="expression" dxfId="6" priority="7">
      <formula>AND(IF(E106&lt;&gt;0,1),IF(G106=0,1))</formula>
    </cfRule>
  </conditionalFormatting>
  <conditionalFormatting sqref="K106:K108 K112:K114">
    <cfRule type="expression" dxfId="5" priority="5">
      <formula>LEFT(A106,2)="TU"</formula>
    </cfRule>
  </conditionalFormatting>
  <conditionalFormatting sqref="G111:G114">
    <cfRule type="expression" dxfId="4" priority="4">
      <formula>AND(IF(E111&lt;&gt;0,1),IF(G111=0,1))</formula>
    </cfRule>
  </conditionalFormatting>
  <conditionalFormatting sqref="G109:G110">
    <cfRule type="expression" dxfId="3" priority="3">
      <formula>AND(IF(E109&lt;&gt;0,1),IF(G109=0,1))</formula>
    </cfRule>
  </conditionalFormatting>
  <conditionalFormatting sqref="K109:K111">
    <cfRule type="expression" dxfId="2" priority="2">
      <formula>LEFT(A109,2)="TU"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0000"/>
  </sheetPr>
  <dimension ref="A1:S873"/>
  <sheetViews>
    <sheetView topLeftCell="A238" workbookViewId="0">
      <selection activeCell="B246" sqref="B246:J266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9.625" style="2" customWidth="1"/>
    <col min="7" max="7" width="10" customWidth="1"/>
    <col min="8" max="8" width="14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110" t="s">
        <v>411</v>
      </c>
      <c r="B3" s="113">
        <v>44216</v>
      </c>
      <c r="C3" s="113"/>
      <c r="D3" s="538"/>
      <c r="E3" s="114">
        <v>0</v>
      </c>
      <c r="F3" s="113"/>
      <c r="G3" s="550">
        <f>-VLOOKUP(A3,'market px'!K$1:P$100,3,FALSE)*E3/1000000</f>
        <v>0</v>
      </c>
      <c r="H3" s="477"/>
      <c r="I3" s="319">
        <v>99.501000000000005</v>
      </c>
      <c r="J3" s="129">
        <v>98.05</v>
      </c>
      <c r="K3" s="104">
        <f t="shared" ref="K3:K8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403</v>
      </c>
      <c r="B4" s="122">
        <v>44208</v>
      </c>
      <c r="C4" s="122"/>
      <c r="D4" s="536"/>
      <c r="E4" s="88">
        <v>0</v>
      </c>
      <c r="F4" s="88"/>
      <c r="G4" s="124">
        <v>-1475</v>
      </c>
      <c r="H4" s="475"/>
      <c r="I4" s="129">
        <v>99.855000000000004</v>
      </c>
      <c r="J4" s="129">
        <v>99.766000000000005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110" t="s">
        <v>407</v>
      </c>
      <c r="B5" s="113">
        <v>44214</v>
      </c>
      <c r="C5" s="113"/>
      <c r="D5" s="538"/>
      <c r="E5" s="114">
        <v>0</v>
      </c>
      <c r="F5" s="113"/>
      <c r="G5" s="550">
        <f>-VLOOKUP(A5,'market px'!K$1:P$100,3,FALSE)*E5/1000000</f>
        <v>0</v>
      </c>
      <c r="H5" s="477"/>
      <c r="I5" s="319">
        <v>100.2</v>
      </c>
      <c r="J5" s="268">
        <v>100.32</v>
      </c>
      <c r="K5" s="104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 t="s">
        <v>415</v>
      </c>
      <c r="B6" s="265">
        <v>44351</v>
      </c>
      <c r="C6" s="265"/>
      <c r="D6" s="537"/>
      <c r="E6" s="266">
        <v>0</v>
      </c>
      <c r="F6" s="266"/>
      <c r="G6" s="551">
        <v>-4245</v>
      </c>
      <c r="H6" s="476"/>
      <c r="I6" s="268">
        <v>101.2915</v>
      </c>
      <c r="J6" s="268">
        <v>102.26260000000001</v>
      </c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16" customFormat="1">
      <c r="A7" s="110" t="s">
        <v>415</v>
      </c>
      <c r="B7" s="113">
        <v>44363</v>
      </c>
      <c r="C7" s="113"/>
      <c r="D7" s="538"/>
      <c r="E7" s="114">
        <v>0</v>
      </c>
      <c r="F7" s="114"/>
      <c r="G7" s="552">
        <v>-8490</v>
      </c>
      <c r="H7" s="477"/>
      <c r="I7" s="319">
        <v>100.9697</v>
      </c>
      <c r="J7" s="268">
        <v>102.26260000000001</v>
      </c>
      <c r="K7" s="261">
        <f t="shared" si="0"/>
        <v>0</v>
      </c>
      <c r="L7" s="382"/>
      <c r="S7" s="320"/>
    </row>
    <row r="8" spans="1:19" s="116" customFormat="1">
      <c r="A8" s="110" t="s">
        <v>160</v>
      </c>
      <c r="B8" s="113">
        <v>38839</v>
      </c>
      <c r="C8" s="113"/>
      <c r="D8" s="538"/>
      <c r="E8" s="114">
        <v>0</v>
      </c>
      <c r="F8" s="114"/>
      <c r="G8" s="552">
        <v>0</v>
      </c>
      <c r="H8" s="478" t="s">
        <v>21</v>
      </c>
      <c r="I8" s="319">
        <v>99.875</v>
      </c>
      <c r="J8" s="319">
        <v>0</v>
      </c>
      <c r="K8" s="261">
        <f t="shared" si="0"/>
        <v>0</v>
      </c>
      <c r="L8" s="382"/>
      <c r="S8" s="117"/>
    </row>
    <row r="9" spans="1:19" s="116" customFormat="1">
      <c r="A9" s="111" t="s">
        <v>166</v>
      </c>
      <c r="B9" s="313"/>
      <c r="C9" s="313"/>
      <c r="D9" s="539"/>
      <c r="E9" s="314">
        <f>SUM(E3:E8)</f>
        <v>0</v>
      </c>
      <c r="F9" s="314"/>
      <c r="G9" s="316">
        <f>SUM(G3:G8)</f>
        <v>-14210</v>
      </c>
      <c r="H9" s="479"/>
      <c r="I9" s="323"/>
      <c r="J9" s="318"/>
      <c r="K9" s="316">
        <f>SUM(K3:K8)</f>
        <v>0</v>
      </c>
      <c r="L9" s="383"/>
      <c r="S9" s="117"/>
    </row>
    <row r="10" spans="1:19" s="93" customFormat="1">
      <c r="A10" s="93" t="s">
        <v>426</v>
      </c>
      <c r="B10" s="97"/>
      <c r="C10" s="97"/>
      <c r="D10" s="540"/>
      <c r="E10" s="100"/>
      <c r="F10" s="100"/>
      <c r="H10" s="480"/>
      <c r="I10" s="99"/>
      <c r="J10" s="99"/>
      <c r="L10" s="377"/>
    </row>
    <row r="11" spans="1:19" s="93" customFormat="1">
      <c r="A11" s="206" t="s">
        <v>234</v>
      </c>
      <c r="B11" s="207" t="s">
        <v>7</v>
      </c>
      <c r="C11" s="207" t="s">
        <v>171</v>
      </c>
      <c r="D11" s="535" t="s">
        <v>170</v>
      </c>
      <c r="E11" s="208" t="s">
        <v>11</v>
      </c>
      <c r="F11" s="207" t="s">
        <v>2</v>
      </c>
      <c r="G11" s="209" t="s">
        <v>12</v>
      </c>
      <c r="H11" s="482" t="s">
        <v>18</v>
      </c>
      <c r="I11" s="209" t="s">
        <v>210</v>
      </c>
      <c r="J11" s="207" t="s">
        <v>216</v>
      </c>
      <c r="K11" s="260" t="s">
        <v>212</v>
      </c>
      <c r="L11" s="377"/>
      <c r="S11" s="131" t="s">
        <v>21</v>
      </c>
    </row>
    <row r="12" spans="1:19" s="102" customFormat="1">
      <c r="A12" s="87" t="s">
        <v>154</v>
      </c>
      <c r="B12" s="122">
        <v>38898</v>
      </c>
      <c r="C12" s="122"/>
      <c r="D12" s="536"/>
      <c r="E12" s="88">
        <v>0</v>
      </c>
      <c r="F12" s="88"/>
      <c r="G12" s="124">
        <v>0</v>
      </c>
      <c r="H12" s="475" t="s">
        <v>21</v>
      </c>
      <c r="I12" s="129">
        <v>99.46875</v>
      </c>
      <c r="J12" s="129">
        <v>0</v>
      </c>
      <c r="K12" s="104">
        <f t="shared" ref="K12:K17" si="1">(J12-I12)*E12/100</f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87" t="s">
        <v>154</v>
      </c>
      <c r="B13" s="122">
        <v>38853</v>
      </c>
      <c r="C13" s="122"/>
      <c r="D13" s="536"/>
      <c r="E13" s="88">
        <v>0</v>
      </c>
      <c r="F13" s="88"/>
      <c r="G13" s="124">
        <v>0</v>
      </c>
      <c r="H13" s="475" t="s">
        <v>21</v>
      </c>
      <c r="I13" s="129">
        <v>95.90234375</v>
      </c>
      <c r="J13" s="129">
        <v>0</v>
      </c>
      <c r="K13" s="104">
        <f t="shared" si="1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 t="s">
        <v>156</v>
      </c>
      <c r="B14" s="265">
        <v>38839</v>
      </c>
      <c r="C14" s="265"/>
      <c r="D14" s="537"/>
      <c r="E14" s="266">
        <v>0</v>
      </c>
      <c r="F14" s="266"/>
      <c r="G14" s="151">
        <v>0</v>
      </c>
      <c r="H14" s="476"/>
      <c r="I14" s="268">
        <v>99.875</v>
      </c>
      <c r="J14" s="268">
        <v>0</v>
      </c>
      <c r="K14" s="269">
        <f t="shared" si="1"/>
        <v>0</v>
      </c>
      <c r="L14" s="378"/>
      <c r="M14" s="93"/>
      <c r="N14" s="93"/>
      <c r="O14" s="93"/>
      <c r="P14" s="93"/>
      <c r="Q14" s="93"/>
      <c r="S14" s="103"/>
    </row>
    <row r="15" spans="1:19" s="102" customFormat="1">
      <c r="A15" s="262" t="s">
        <v>156</v>
      </c>
      <c r="B15" s="265">
        <v>38839</v>
      </c>
      <c r="C15" s="265"/>
      <c r="D15" s="537"/>
      <c r="E15" s="266">
        <v>0</v>
      </c>
      <c r="F15" s="266"/>
      <c r="G15" s="151">
        <v>0</v>
      </c>
      <c r="H15" s="476" t="s">
        <v>21</v>
      </c>
      <c r="I15" s="268">
        <v>99.875</v>
      </c>
      <c r="J15" s="268">
        <v>0</v>
      </c>
      <c r="K15" s="269">
        <f t="shared" si="1"/>
        <v>0</v>
      </c>
      <c r="L15" s="378"/>
      <c r="M15" s="93"/>
      <c r="N15" s="93"/>
      <c r="O15" s="93"/>
      <c r="P15" s="93"/>
      <c r="Q15" s="93"/>
      <c r="S15" s="103"/>
    </row>
    <row r="16" spans="1:19" s="116" customFormat="1">
      <c r="A16" s="110" t="s">
        <v>155</v>
      </c>
      <c r="B16" s="113">
        <v>38839</v>
      </c>
      <c r="C16" s="113"/>
      <c r="D16" s="538"/>
      <c r="E16" s="114">
        <v>0</v>
      </c>
      <c r="F16" s="114"/>
      <c r="G16" s="118">
        <v>0</v>
      </c>
      <c r="H16" s="477" t="s">
        <v>21</v>
      </c>
      <c r="I16" s="319">
        <v>99.875</v>
      </c>
      <c r="J16" s="319">
        <v>0</v>
      </c>
      <c r="K16" s="261">
        <f t="shared" si="1"/>
        <v>0</v>
      </c>
      <c r="L16" s="379"/>
      <c r="S16" s="320"/>
    </row>
    <row r="17" spans="1:19" s="116" customFormat="1">
      <c r="A17" s="110" t="s">
        <v>155</v>
      </c>
      <c r="B17" s="113">
        <v>38839</v>
      </c>
      <c r="C17" s="113"/>
      <c r="D17" s="538"/>
      <c r="E17" s="114">
        <v>0</v>
      </c>
      <c r="F17" s="114"/>
      <c r="G17" s="118">
        <v>0</v>
      </c>
      <c r="H17" s="478" t="s">
        <v>21</v>
      </c>
      <c r="I17" s="319">
        <v>99.875</v>
      </c>
      <c r="J17" s="319">
        <v>0</v>
      </c>
      <c r="K17" s="261">
        <f t="shared" si="1"/>
        <v>0</v>
      </c>
      <c r="L17" s="380"/>
      <c r="S17" s="117"/>
    </row>
    <row r="18" spans="1:19" s="532" customFormat="1" ht="17.25" thickBot="1">
      <c r="A18" s="361" t="s">
        <v>166</v>
      </c>
      <c r="B18" s="363"/>
      <c r="C18" s="363"/>
      <c r="D18" s="541"/>
      <c r="E18" s="364">
        <f>SUM(E12:E17)</f>
        <v>0</v>
      </c>
      <c r="F18" s="364"/>
      <c r="G18" s="365">
        <f>SUM(G12:G17)</f>
        <v>0</v>
      </c>
      <c r="H18" s="481"/>
      <c r="I18" s="367"/>
      <c r="J18" s="366"/>
      <c r="K18" s="365">
        <f>SUM(K12:K17)</f>
        <v>0</v>
      </c>
      <c r="L18" s="531"/>
      <c r="S18" s="533"/>
    </row>
    <row r="19" spans="1:19" s="116" customFormat="1" ht="17.25" thickTop="1">
      <c r="A19" s="324" t="s">
        <v>164</v>
      </c>
      <c r="B19" s="313"/>
      <c r="C19" s="313"/>
      <c r="D19" s="539"/>
      <c r="E19" s="314"/>
      <c r="F19" s="314"/>
      <c r="G19" s="316"/>
      <c r="H19" s="479"/>
      <c r="I19" s="323"/>
      <c r="J19" s="318"/>
      <c r="K19" s="316"/>
      <c r="L19" s="380"/>
      <c r="S19" s="117"/>
    </row>
    <row r="20" spans="1:19" s="93" customFormat="1">
      <c r="A20" s="206" t="s">
        <v>99</v>
      </c>
      <c r="B20" s="207" t="s">
        <v>7</v>
      </c>
      <c r="C20" s="207" t="s">
        <v>171</v>
      </c>
      <c r="D20" s="535" t="s">
        <v>170</v>
      </c>
      <c r="E20" s="208" t="s">
        <v>11</v>
      </c>
      <c r="F20" s="207" t="s">
        <v>2</v>
      </c>
      <c r="G20" s="209" t="s">
        <v>12</v>
      </c>
      <c r="H20" s="482" t="s">
        <v>18</v>
      </c>
      <c r="I20" s="209" t="s">
        <v>210</v>
      </c>
      <c r="J20" s="207" t="s">
        <v>216</v>
      </c>
      <c r="K20" s="260" t="s">
        <v>212</v>
      </c>
      <c r="L20" s="377"/>
      <c r="M20"/>
      <c r="N20"/>
      <c r="O20"/>
      <c r="P20"/>
      <c r="Q20"/>
      <c r="S20" s="131" t="s">
        <v>21</v>
      </c>
    </row>
    <row r="21" spans="1:19" s="93" customFormat="1">
      <c r="A21" s="325" t="s">
        <v>391</v>
      </c>
      <c r="B21" s="328"/>
      <c r="C21" s="328"/>
      <c r="D21" s="542"/>
      <c r="E21" s="330"/>
      <c r="F21" s="330"/>
      <c r="G21" s="332"/>
      <c r="H21" s="483"/>
      <c r="I21" s="335"/>
      <c r="J21" s="335"/>
      <c r="K21" s="296">
        <f t="shared" ref="K21:K84" si="2">IF(LEFT(A21,2)="TU",(J21-I21)*E21/100*100000*2,(J21-I21)*E21/100*100000)</f>
        <v>0</v>
      </c>
      <c r="L21" s="377"/>
    </row>
    <row r="22" spans="1:19" s="93" customFormat="1">
      <c r="A22" s="325" t="s">
        <v>526</v>
      </c>
      <c r="B22" s="328"/>
      <c r="C22" s="328"/>
      <c r="D22" s="542"/>
      <c r="E22" s="330"/>
      <c r="F22" s="330"/>
      <c r="G22" s="332"/>
      <c r="H22" s="483"/>
      <c r="I22" s="335"/>
      <c r="J22" s="335"/>
      <c r="K22" s="296">
        <f t="shared" si="2"/>
        <v>0</v>
      </c>
      <c r="L22" s="377"/>
    </row>
    <row r="23" spans="1:19" s="93" customFormat="1">
      <c r="A23" s="325" t="s">
        <v>526</v>
      </c>
      <c r="B23" s="328"/>
      <c r="C23" s="328"/>
      <c r="D23" s="542"/>
      <c r="E23" s="330"/>
      <c r="F23" s="331"/>
      <c r="G23" s="332"/>
      <c r="H23" s="483"/>
      <c r="I23" s="335"/>
      <c r="J23" s="335"/>
      <c r="K23" s="296">
        <f t="shared" si="2"/>
        <v>0</v>
      </c>
      <c r="L23" s="377"/>
    </row>
    <row r="24" spans="1:19" s="93" customFormat="1">
      <c r="A24" s="325" t="s">
        <v>526</v>
      </c>
      <c r="B24" s="328"/>
      <c r="C24" s="328"/>
      <c r="D24" s="542"/>
      <c r="E24" s="330"/>
      <c r="F24" s="331"/>
      <c r="G24" s="332"/>
      <c r="H24" s="483"/>
      <c r="I24" s="335"/>
      <c r="J24" s="335"/>
      <c r="K24" s="296">
        <f t="shared" si="2"/>
        <v>0</v>
      </c>
      <c r="L24" s="377"/>
    </row>
    <row r="25" spans="1:19" s="270" customFormat="1">
      <c r="A25" s="325" t="s">
        <v>526</v>
      </c>
      <c r="B25" s="328"/>
      <c r="C25" s="328"/>
      <c r="D25" s="542"/>
      <c r="E25" s="330"/>
      <c r="F25" s="331"/>
      <c r="G25" s="332"/>
      <c r="H25" s="483"/>
      <c r="I25" s="335"/>
      <c r="J25" s="335"/>
      <c r="K25" s="296">
        <f t="shared" si="2"/>
        <v>0</v>
      </c>
      <c r="L25" s="381"/>
    </row>
    <row r="26" spans="1:19" s="270" customFormat="1">
      <c r="A26" s="325" t="s">
        <v>526</v>
      </c>
      <c r="B26" s="328"/>
      <c r="C26" s="328"/>
      <c r="D26" s="542"/>
      <c r="E26" s="330"/>
      <c r="F26" s="331"/>
      <c r="G26" s="332"/>
      <c r="H26" s="483"/>
      <c r="I26" s="335"/>
      <c r="J26" s="335"/>
      <c r="K26" s="296">
        <f t="shared" si="2"/>
        <v>0</v>
      </c>
      <c r="L26" s="381"/>
    </row>
    <row r="27" spans="1:19" s="270" customFormat="1">
      <c r="A27" s="325" t="s">
        <v>526</v>
      </c>
      <c r="B27" s="328"/>
      <c r="C27" s="328"/>
      <c r="D27" s="542"/>
      <c r="E27" s="330"/>
      <c r="F27" s="330"/>
      <c r="G27" s="332"/>
      <c r="H27" s="483"/>
      <c r="I27" s="335"/>
      <c r="J27" s="335"/>
      <c r="K27" s="296">
        <f t="shared" si="2"/>
        <v>0</v>
      </c>
      <c r="L27" s="381"/>
    </row>
    <row r="28" spans="1:19" s="270" customFormat="1">
      <c r="A28" s="325" t="s">
        <v>526</v>
      </c>
      <c r="B28" s="328"/>
      <c r="C28" s="328"/>
      <c r="D28" s="542"/>
      <c r="E28" s="330"/>
      <c r="F28" s="331"/>
      <c r="G28" s="332"/>
      <c r="H28" s="483"/>
      <c r="I28" s="335"/>
      <c r="J28" s="335"/>
      <c r="K28" s="296">
        <f t="shared" si="2"/>
        <v>0</v>
      </c>
      <c r="L28" s="381"/>
    </row>
    <row r="29" spans="1:19" s="270" customFormat="1">
      <c r="A29" s="325" t="s">
        <v>526</v>
      </c>
      <c r="B29" s="328"/>
      <c r="C29" s="328"/>
      <c r="D29" s="542"/>
      <c r="E29" s="330"/>
      <c r="F29" s="331"/>
      <c r="G29" s="332"/>
      <c r="H29" s="483"/>
      <c r="I29" s="335"/>
      <c r="J29" s="335"/>
      <c r="K29" s="296">
        <f t="shared" si="2"/>
        <v>0</v>
      </c>
      <c r="L29" s="381"/>
    </row>
    <row r="30" spans="1:19" s="270" customFormat="1">
      <c r="A30" s="325" t="s">
        <v>526</v>
      </c>
      <c r="B30" s="328"/>
      <c r="C30" s="328"/>
      <c r="D30" s="542"/>
      <c r="E30" s="330"/>
      <c r="F30" s="331"/>
      <c r="G30" s="332"/>
      <c r="H30" s="483"/>
      <c r="I30" s="335"/>
      <c r="J30" s="335"/>
      <c r="K30" s="296">
        <f t="shared" si="2"/>
        <v>0</v>
      </c>
      <c r="L30" s="381"/>
    </row>
    <row r="31" spans="1:19" s="270" customFormat="1">
      <c r="A31" s="325" t="s">
        <v>526</v>
      </c>
      <c r="B31" s="328"/>
      <c r="C31" s="328"/>
      <c r="D31" s="542"/>
      <c r="E31" s="330"/>
      <c r="F31" s="331"/>
      <c r="G31" s="332"/>
      <c r="H31" s="483"/>
      <c r="I31" s="335"/>
      <c r="J31" s="335"/>
      <c r="K31" s="296">
        <f t="shared" si="2"/>
        <v>0</v>
      </c>
      <c r="L31" s="381"/>
    </row>
    <row r="32" spans="1:19" s="270" customFormat="1">
      <c r="A32" s="325" t="s">
        <v>526</v>
      </c>
      <c r="B32" s="328"/>
      <c r="C32" s="328"/>
      <c r="D32" s="542"/>
      <c r="E32" s="330"/>
      <c r="F32" s="331"/>
      <c r="G32" s="332"/>
      <c r="H32" s="483"/>
      <c r="I32" s="335"/>
      <c r="J32" s="335"/>
      <c r="K32" s="296">
        <f t="shared" si="2"/>
        <v>0</v>
      </c>
      <c r="L32" s="381"/>
    </row>
    <row r="33" spans="1:12" s="270" customFormat="1">
      <c r="A33" s="325" t="s">
        <v>526</v>
      </c>
      <c r="B33" s="328"/>
      <c r="C33" s="328"/>
      <c r="D33" s="542"/>
      <c r="E33" s="330"/>
      <c r="F33" s="331"/>
      <c r="G33" s="332"/>
      <c r="H33" s="483"/>
      <c r="I33" s="335"/>
      <c r="J33" s="335"/>
      <c r="K33" s="296">
        <f t="shared" si="2"/>
        <v>0</v>
      </c>
      <c r="L33" s="381"/>
    </row>
    <row r="34" spans="1:12" s="270" customFormat="1">
      <c r="A34" s="325" t="s">
        <v>526</v>
      </c>
      <c r="B34" s="328"/>
      <c r="C34" s="328"/>
      <c r="D34" s="542"/>
      <c r="E34" s="330"/>
      <c r="F34" s="331"/>
      <c r="G34" s="332"/>
      <c r="H34" s="483"/>
      <c r="I34" s="335"/>
      <c r="J34" s="335"/>
      <c r="K34" s="296">
        <f t="shared" si="2"/>
        <v>0</v>
      </c>
      <c r="L34" s="381"/>
    </row>
    <row r="35" spans="1:12" s="270" customFormat="1">
      <c r="A35" s="325" t="s">
        <v>528</v>
      </c>
      <c r="B35" s="328"/>
      <c r="C35" s="328"/>
      <c r="D35" s="542"/>
      <c r="E35" s="330"/>
      <c r="F35" s="330"/>
      <c r="G35" s="332"/>
      <c r="H35" s="483"/>
      <c r="I35" s="335"/>
      <c r="J35" s="335"/>
      <c r="K35" s="296">
        <f t="shared" si="2"/>
        <v>0</v>
      </c>
      <c r="L35" s="381"/>
    </row>
    <row r="36" spans="1:12" s="270" customFormat="1">
      <c r="A36" s="325" t="s">
        <v>528</v>
      </c>
      <c r="B36" s="328"/>
      <c r="C36" s="328"/>
      <c r="D36" s="542"/>
      <c r="E36" s="330"/>
      <c r="F36" s="331"/>
      <c r="G36" s="332"/>
      <c r="H36" s="483"/>
      <c r="I36" s="335"/>
      <c r="J36" s="335"/>
      <c r="K36" s="296">
        <f t="shared" si="2"/>
        <v>0</v>
      </c>
      <c r="L36" s="381"/>
    </row>
    <row r="37" spans="1:12" s="270" customFormat="1">
      <c r="A37" s="325" t="s">
        <v>528</v>
      </c>
      <c r="B37" s="328"/>
      <c r="C37" s="328"/>
      <c r="D37" s="542"/>
      <c r="E37" s="330"/>
      <c r="F37" s="331"/>
      <c r="G37" s="332"/>
      <c r="H37" s="483"/>
      <c r="I37" s="335"/>
      <c r="J37" s="335"/>
      <c r="K37" s="296">
        <f t="shared" si="2"/>
        <v>0</v>
      </c>
      <c r="L37" s="381"/>
    </row>
    <row r="38" spans="1:12" s="93" customFormat="1">
      <c r="A38" s="325" t="s">
        <v>528</v>
      </c>
      <c r="B38" s="328"/>
      <c r="C38" s="328"/>
      <c r="D38" s="542"/>
      <c r="E38" s="330"/>
      <c r="F38" s="331"/>
      <c r="G38" s="332"/>
      <c r="H38" s="483"/>
      <c r="I38" s="335"/>
      <c r="J38" s="335"/>
      <c r="K38" s="296">
        <f t="shared" si="2"/>
        <v>0</v>
      </c>
      <c r="L38" s="377"/>
    </row>
    <row r="39" spans="1:12" s="93" customFormat="1">
      <c r="A39" s="325" t="s">
        <v>526</v>
      </c>
      <c r="B39" s="328"/>
      <c r="C39" s="328"/>
      <c r="D39" s="542"/>
      <c r="E39" s="330"/>
      <c r="F39" s="331"/>
      <c r="G39" s="332"/>
      <c r="H39" s="483"/>
      <c r="I39" s="335"/>
      <c r="J39" s="335"/>
      <c r="K39" s="296">
        <f t="shared" si="2"/>
        <v>0</v>
      </c>
      <c r="L39" s="377"/>
    </row>
    <row r="40" spans="1:12" s="93" customFormat="1">
      <c r="A40" s="325" t="s">
        <v>526</v>
      </c>
      <c r="B40" s="328"/>
      <c r="C40" s="328"/>
      <c r="D40" s="542"/>
      <c r="E40" s="330"/>
      <c r="F40" s="331"/>
      <c r="G40" s="332"/>
      <c r="H40" s="483"/>
      <c r="I40" s="335"/>
      <c r="J40" s="335"/>
      <c r="K40" s="296">
        <f t="shared" si="2"/>
        <v>0</v>
      </c>
      <c r="L40" s="377"/>
    </row>
    <row r="41" spans="1:12" s="93" customFormat="1">
      <c r="A41" s="325" t="s">
        <v>526</v>
      </c>
      <c r="B41" s="328"/>
      <c r="C41" s="328"/>
      <c r="D41" s="542"/>
      <c r="E41" s="330"/>
      <c r="F41" s="331"/>
      <c r="G41" s="332"/>
      <c r="H41" s="483"/>
      <c r="I41" s="335"/>
      <c r="J41" s="335"/>
      <c r="K41" s="296">
        <f t="shared" si="2"/>
        <v>0</v>
      </c>
      <c r="L41" s="377"/>
    </row>
    <row r="42" spans="1:12" s="93" customFormat="1">
      <c r="A42" s="325" t="s">
        <v>528</v>
      </c>
      <c r="B42" s="328"/>
      <c r="C42" s="328"/>
      <c r="D42" s="542"/>
      <c r="E42" s="330"/>
      <c r="F42" s="331"/>
      <c r="G42" s="332"/>
      <c r="H42" s="483"/>
      <c r="I42" s="335"/>
      <c r="J42" s="335"/>
      <c r="K42" s="296">
        <f t="shared" si="2"/>
        <v>0</v>
      </c>
      <c r="L42" s="377"/>
    </row>
    <row r="43" spans="1:12" s="93" customFormat="1">
      <c r="A43" s="325" t="s">
        <v>528</v>
      </c>
      <c r="B43" s="328"/>
      <c r="C43" s="328"/>
      <c r="D43" s="542"/>
      <c r="E43" s="330"/>
      <c r="F43" s="331"/>
      <c r="G43" s="332"/>
      <c r="H43" s="483"/>
      <c r="I43" s="335"/>
      <c r="J43" s="335"/>
      <c r="K43" s="296">
        <f t="shared" si="2"/>
        <v>0</v>
      </c>
      <c r="L43" s="377"/>
    </row>
    <row r="44" spans="1:12" s="93" customFormat="1">
      <c r="A44" s="325" t="s">
        <v>565</v>
      </c>
      <c r="B44" s="328"/>
      <c r="C44" s="328"/>
      <c r="D44" s="542"/>
      <c r="E44" s="330"/>
      <c r="F44" s="331"/>
      <c r="G44" s="332"/>
      <c r="H44" s="483"/>
      <c r="I44" s="335"/>
      <c r="J44" s="335"/>
      <c r="K44" s="296">
        <f t="shared" si="2"/>
        <v>0</v>
      </c>
      <c r="L44" s="377"/>
    </row>
    <row r="45" spans="1:12" s="93" customFormat="1">
      <c r="A45" s="325" t="s">
        <v>565</v>
      </c>
      <c r="B45" s="328"/>
      <c r="C45" s="328"/>
      <c r="D45" s="542"/>
      <c r="E45" s="330"/>
      <c r="F45" s="331"/>
      <c r="G45" s="332"/>
      <c r="H45" s="483"/>
      <c r="I45" s="335"/>
      <c r="J45" s="335"/>
      <c r="K45" s="296">
        <f t="shared" si="2"/>
        <v>0</v>
      </c>
      <c r="L45" s="377"/>
    </row>
    <row r="46" spans="1:12" s="93" customFormat="1">
      <c r="A46" s="325" t="s">
        <v>565</v>
      </c>
      <c r="B46" s="328"/>
      <c r="C46" s="328"/>
      <c r="D46" s="542"/>
      <c r="E46" s="330"/>
      <c r="F46" s="331"/>
      <c r="G46" s="332"/>
      <c r="H46" s="483"/>
      <c r="I46" s="335"/>
      <c r="J46" s="335"/>
      <c r="K46" s="296">
        <f t="shared" si="2"/>
        <v>0</v>
      </c>
      <c r="L46" s="377"/>
    </row>
    <row r="47" spans="1:12" s="93" customFormat="1">
      <c r="A47" s="325" t="s">
        <v>564</v>
      </c>
      <c r="B47" s="328"/>
      <c r="C47" s="328"/>
      <c r="D47" s="542"/>
      <c r="E47" s="330"/>
      <c r="F47" s="331"/>
      <c r="G47" s="332"/>
      <c r="H47" s="483"/>
      <c r="I47" s="335"/>
      <c r="J47" s="335"/>
      <c r="K47" s="296">
        <f t="shared" si="2"/>
        <v>0</v>
      </c>
      <c r="L47" s="377"/>
    </row>
    <row r="48" spans="1:12" s="93" customFormat="1">
      <c r="A48" s="325" t="s">
        <v>565</v>
      </c>
      <c r="B48" s="328"/>
      <c r="C48" s="328"/>
      <c r="D48" s="542"/>
      <c r="E48" s="330"/>
      <c r="F48" s="331"/>
      <c r="G48" s="332"/>
      <c r="H48" s="483"/>
      <c r="I48" s="335"/>
      <c r="J48" s="335"/>
      <c r="K48" s="296">
        <f t="shared" si="2"/>
        <v>0</v>
      </c>
      <c r="L48" s="377"/>
    </row>
    <row r="49" spans="1:12" s="93" customFormat="1">
      <c r="A49" s="325" t="s">
        <v>564</v>
      </c>
      <c r="B49" s="328"/>
      <c r="C49" s="328"/>
      <c r="D49" s="542"/>
      <c r="E49" s="330"/>
      <c r="F49" s="331"/>
      <c r="G49" s="332"/>
      <c r="H49" s="483"/>
      <c r="I49" s="335"/>
      <c r="J49" s="335"/>
      <c r="K49" s="296">
        <f t="shared" si="2"/>
        <v>0</v>
      </c>
      <c r="L49" s="377"/>
    </row>
    <row r="50" spans="1:12" s="93" customFormat="1">
      <c r="A50" s="325" t="s">
        <v>564</v>
      </c>
      <c r="B50" s="328"/>
      <c r="C50" s="328"/>
      <c r="D50" s="542"/>
      <c r="E50" s="330"/>
      <c r="F50" s="331"/>
      <c r="G50" s="332"/>
      <c r="H50" s="483"/>
      <c r="I50" s="335"/>
      <c r="J50" s="335"/>
      <c r="K50" s="296">
        <f t="shared" si="2"/>
        <v>0</v>
      </c>
      <c r="L50" s="377"/>
    </row>
    <row r="51" spans="1:12" s="93" customFormat="1">
      <c r="A51" s="325" t="s">
        <v>564</v>
      </c>
      <c r="B51" s="328"/>
      <c r="C51" s="328"/>
      <c r="D51" s="542"/>
      <c r="E51" s="330"/>
      <c r="F51" s="331"/>
      <c r="G51" s="332"/>
      <c r="H51" s="483"/>
      <c r="I51" s="335"/>
      <c r="J51" s="335"/>
      <c r="K51" s="296">
        <f t="shared" si="2"/>
        <v>0</v>
      </c>
      <c r="L51" s="377"/>
    </row>
    <row r="52" spans="1:12" s="93" customFormat="1">
      <c r="A52" s="325" t="s">
        <v>564</v>
      </c>
      <c r="B52" s="328"/>
      <c r="C52" s="328"/>
      <c r="D52" s="542"/>
      <c r="E52" s="330"/>
      <c r="F52" s="331"/>
      <c r="G52" s="332"/>
      <c r="H52" s="483"/>
      <c r="I52" s="335"/>
      <c r="J52" s="335"/>
      <c r="K52" s="296">
        <f t="shared" si="2"/>
        <v>0</v>
      </c>
      <c r="L52" s="377"/>
    </row>
    <row r="53" spans="1:12" s="93" customFormat="1">
      <c r="A53" s="325" t="s">
        <v>564</v>
      </c>
      <c r="B53" s="328"/>
      <c r="C53" s="328"/>
      <c r="D53" s="542"/>
      <c r="E53" s="330"/>
      <c r="F53" s="331"/>
      <c r="G53" s="332"/>
      <c r="H53" s="483"/>
      <c r="I53" s="335"/>
      <c r="J53" s="335"/>
      <c r="K53" s="296">
        <f t="shared" si="2"/>
        <v>0</v>
      </c>
      <c r="L53" s="377"/>
    </row>
    <row r="54" spans="1:12" s="93" customFormat="1">
      <c r="A54" s="325" t="s">
        <v>564</v>
      </c>
      <c r="B54" s="328"/>
      <c r="C54" s="328"/>
      <c r="D54" s="542"/>
      <c r="E54" s="330"/>
      <c r="F54" s="331"/>
      <c r="G54" s="332"/>
      <c r="H54" s="483"/>
      <c r="I54" s="335"/>
      <c r="J54" s="335"/>
      <c r="K54" s="296">
        <f t="shared" si="2"/>
        <v>0</v>
      </c>
      <c r="L54" s="377"/>
    </row>
    <row r="55" spans="1:12" s="93" customFormat="1">
      <c r="A55" s="325" t="s">
        <v>564</v>
      </c>
      <c r="B55" s="328"/>
      <c r="C55" s="328"/>
      <c r="D55" s="542"/>
      <c r="E55" s="330"/>
      <c r="F55" s="331"/>
      <c r="G55" s="332"/>
      <c r="H55" s="483"/>
      <c r="I55" s="335"/>
      <c r="J55" s="335"/>
      <c r="K55" s="296">
        <f t="shared" si="2"/>
        <v>0</v>
      </c>
      <c r="L55" s="377"/>
    </row>
    <row r="56" spans="1:12" s="93" customFormat="1">
      <c r="A56" s="325" t="s">
        <v>564</v>
      </c>
      <c r="B56" s="328"/>
      <c r="C56" s="328"/>
      <c r="D56" s="542"/>
      <c r="E56" s="330"/>
      <c r="F56" s="331"/>
      <c r="G56" s="332"/>
      <c r="H56" s="483"/>
      <c r="I56" s="335"/>
      <c r="J56" s="335"/>
      <c r="K56" s="296">
        <f t="shared" si="2"/>
        <v>0</v>
      </c>
      <c r="L56" s="377"/>
    </row>
    <row r="57" spans="1:12" s="93" customFormat="1">
      <c r="A57" s="325" t="s">
        <v>564</v>
      </c>
      <c r="B57" s="328"/>
      <c r="C57" s="328"/>
      <c r="D57" s="542"/>
      <c r="E57" s="330"/>
      <c r="F57" s="331"/>
      <c r="G57" s="332"/>
      <c r="H57" s="483"/>
      <c r="I57" s="335"/>
      <c r="J57" s="335"/>
      <c r="K57" s="296">
        <f t="shared" si="2"/>
        <v>0</v>
      </c>
      <c r="L57" s="377"/>
    </row>
    <row r="58" spans="1:12" s="93" customFormat="1">
      <c r="A58" s="325" t="s">
        <v>564</v>
      </c>
      <c r="B58" s="328"/>
      <c r="C58" s="328"/>
      <c r="D58" s="542"/>
      <c r="E58" s="330"/>
      <c r="F58" s="331"/>
      <c r="G58" s="332"/>
      <c r="H58" s="483"/>
      <c r="I58" s="335"/>
      <c r="J58" s="335"/>
      <c r="K58" s="296">
        <f t="shared" si="2"/>
        <v>0</v>
      </c>
      <c r="L58" s="377"/>
    </row>
    <row r="59" spans="1:12" s="93" customFormat="1">
      <c r="A59" s="325" t="s">
        <v>564</v>
      </c>
      <c r="B59" s="328"/>
      <c r="C59" s="328"/>
      <c r="D59" s="542"/>
      <c r="E59" s="330"/>
      <c r="F59" s="331"/>
      <c r="G59" s="332"/>
      <c r="H59" s="483"/>
      <c r="I59" s="335"/>
      <c r="J59" s="335"/>
      <c r="K59" s="296">
        <f t="shared" si="2"/>
        <v>0</v>
      </c>
      <c r="L59" s="377"/>
    </row>
    <row r="60" spans="1:12" s="93" customFormat="1">
      <c r="A60" s="325" t="s">
        <v>565</v>
      </c>
      <c r="B60" s="328"/>
      <c r="C60" s="328"/>
      <c r="D60" s="542"/>
      <c r="E60" s="330"/>
      <c r="F60" s="331"/>
      <c r="G60" s="332"/>
      <c r="H60" s="483"/>
      <c r="I60" s="335"/>
      <c r="J60" s="335"/>
      <c r="K60" s="296">
        <f t="shared" si="2"/>
        <v>0</v>
      </c>
      <c r="L60" s="377"/>
    </row>
    <row r="61" spans="1:12" s="93" customFormat="1">
      <c r="A61" s="325" t="s">
        <v>565</v>
      </c>
      <c r="B61" s="328"/>
      <c r="C61" s="328"/>
      <c r="D61" s="542"/>
      <c r="E61" s="330"/>
      <c r="F61" s="331"/>
      <c r="G61" s="332"/>
      <c r="H61" s="483"/>
      <c r="I61" s="335"/>
      <c r="J61" s="335"/>
      <c r="K61" s="296">
        <f t="shared" si="2"/>
        <v>0</v>
      </c>
      <c r="L61" s="377"/>
    </row>
    <row r="62" spans="1:12" s="93" customFormat="1">
      <c r="A62" s="325" t="s">
        <v>565</v>
      </c>
      <c r="B62" s="328"/>
      <c r="C62" s="328"/>
      <c r="D62" s="542"/>
      <c r="E62" s="330"/>
      <c r="F62" s="331"/>
      <c r="G62" s="332"/>
      <c r="H62" s="483"/>
      <c r="I62" s="335"/>
      <c r="J62" s="335"/>
      <c r="K62" s="296">
        <f t="shared" si="2"/>
        <v>0</v>
      </c>
      <c r="L62" s="377"/>
    </row>
    <row r="63" spans="1:12" s="93" customFormat="1">
      <c r="A63" s="325" t="s">
        <v>564</v>
      </c>
      <c r="B63" s="328"/>
      <c r="C63" s="328"/>
      <c r="D63" s="542"/>
      <c r="E63" s="330"/>
      <c r="F63" s="331"/>
      <c r="G63" s="332"/>
      <c r="H63" s="483"/>
      <c r="I63" s="335"/>
      <c r="J63" s="335"/>
      <c r="K63" s="296">
        <f t="shared" si="2"/>
        <v>0</v>
      </c>
      <c r="L63" s="377"/>
    </row>
    <row r="64" spans="1:12" s="93" customFormat="1">
      <c r="A64" s="325" t="s">
        <v>564</v>
      </c>
      <c r="B64" s="328"/>
      <c r="C64" s="328"/>
      <c r="D64" s="542"/>
      <c r="E64" s="330"/>
      <c r="F64" s="331"/>
      <c r="G64" s="332"/>
      <c r="H64" s="483"/>
      <c r="I64" s="335"/>
      <c r="J64" s="335"/>
      <c r="K64" s="296">
        <f t="shared" si="2"/>
        <v>0</v>
      </c>
      <c r="L64" s="377"/>
    </row>
    <row r="65" spans="1:12" s="93" customFormat="1">
      <c r="A65" s="325" t="s">
        <v>564</v>
      </c>
      <c r="B65" s="328"/>
      <c r="C65" s="328"/>
      <c r="D65" s="542"/>
      <c r="E65" s="330"/>
      <c r="F65" s="331"/>
      <c r="G65" s="332"/>
      <c r="H65" s="483"/>
      <c r="I65" s="335"/>
      <c r="J65" s="335"/>
      <c r="K65" s="296">
        <f t="shared" si="2"/>
        <v>0</v>
      </c>
      <c r="L65" s="377"/>
    </row>
    <row r="66" spans="1:12" s="93" customFormat="1">
      <c r="A66" s="325" t="s">
        <v>565</v>
      </c>
      <c r="B66" s="328"/>
      <c r="C66" s="328"/>
      <c r="D66" s="542"/>
      <c r="E66" s="330"/>
      <c r="F66" s="331"/>
      <c r="G66" s="332"/>
      <c r="H66" s="483"/>
      <c r="I66" s="335"/>
      <c r="J66" s="335"/>
      <c r="K66" s="296">
        <f t="shared" si="2"/>
        <v>0</v>
      </c>
      <c r="L66" s="377"/>
    </row>
    <row r="67" spans="1:12" s="93" customFormat="1">
      <c r="A67" s="325" t="s">
        <v>564</v>
      </c>
      <c r="B67" s="328"/>
      <c r="C67" s="328"/>
      <c r="D67" s="542"/>
      <c r="E67" s="330"/>
      <c r="F67" s="331"/>
      <c r="G67" s="332"/>
      <c r="H67" s="483"/>
      <c r="I67" s="335"/>
      <c r="J67" s="335"/>
      <c r="K67" s="296">
        <f t="shared" si="2"/>
        <v>0</v>
      </c>
      <c r="L67" s="377"/>
    </row>
    <row r="68" spans="1:12" s="93" customFormat="1">
      <c r="A68" s="325" t="s">
        <v>564</v>
      </c>
      <c r="B68" s="328"/>
      <c r="C68" s="328"/>
      <c r="D68" s="542"/>
      <c r="E68" s="330"/>
      <c r="F68" s="331"/>
      <c r="G68" s="332"/>
      <c r="H68" s="483"/>
      <c r="I68" s="335"/>
      <c r="J68" s="335"/>
      <c r="K68" s="296">
        <f t="shared" si="2"/>
        <v>0</v>
      </c>
      <c r="L68" s="377"/>
    </row>
    <row r="69" spans="1:12" s="93" customFormat="1">
      <c r="A69" s="325" t="s">
        <v>564</v>
      </c>
      <c r="B69" s="328"/>
      <c r="C69" s="328"/>
      <c r="D69" s="542"/>
      <c r="E69" s="330"/>
      <c r="F69" s="331"/>
      <c r="G69" s="332"/>
      <c r="H69" s="483"/>
      <c r="I69" s="335"/>
      <c r="J69" s="335"/>
      <c r="K69" s="296">
        <f t="shared" si="2"/>
        <v>0</v>
      </c>
      <c r="L69" s="377"/>
    </row>
    <row r="70" spans="1:12" s="93" customFormat="1">
      <c r="A70" s="325" t="s">
        <v>564</v>
      </c>
      <c r="B70" s="328"/>
      <c r="C70" s="328"/>
      <c r="D70" s="542"/>
      <c r="E70" s="330"/>
      <c r="F70" s="331"/>
      <c r="G70" s="332"/>
      <c r="H70" s="483"/>
      <c r="I70" s="335"/>
      <c r="J70" s="335"/>
      <c r="K70" s="296">
        <f t="shared" si="2"/>
        <v>0</v>
      </c>
      <c r="L70" s="377"/>
    </row>
    <row r="71" spans="1:12" s="93" customFormat="1">
      <c r="A71" s="325" t="s">
        <v>564</v>
      </c>
      <c r="B71" s="328"/>
      <c r="C71" s="328"/>
      <c r="D71" s="542"/>
      <c r="E71" s="330"/>
      <c r="F71" s="331"/>
      <c r="G71" s="332"/>
      <c r="H71" s="483"/>
      <c r="I71" s="335"/>
      <c r="J71" s="335"/>
      <c r="K71" s="296">
        <f t="shared" si="2"/>
        <v>0</v>
      </c>
      <c r="L71" s="377"/>
    </row>
    <row r="72" spans="1:12" s="93" customFormat="1">
      <c r="A72" s="325" t="s">
        <v>564</v>
      </c>
      <c r="B72" s="328"/>
      <c r="C72" s="328"/>
      <c r="D72" s="542"/>
      <c r="E72" s="330"/>
      <c r="F72" s="331"/>
      <c r="G72" s="332"/>
      <c r="H72" s="483"/>
      <c r="I72" s="335"/>
      <c r="J72" s="335"/>
      <c r="K72" s="296">
        <f t="shared" si="2"/>
        <v>0</v>
      </c>
      <c r="L72" s="377"/>
    </row>
    <row r="73" spans="1:12" s="93" customFormat="1">
      <c r="A73" s="325" t="s">
        <v>564</v>
      </c>
      <c r="B73" s="328"/>
      <c r="C73" s="328"/>
      <c r="D73" s="542"/>
      <c r="E73" s="330"/>
      <c r="F73" s="331"/>
      <c r="G73" s="332"/>
      <c r="H73" s="483"/>
      <c r="I73" s="335"/>
      <c r="J73" s="335"/>
      <c r="K73" s="296">
        <f t="shared" si="2"/>
        <v>0</v>
      </c>
      <c r="L73" s="377"/>
    </row>
    <row r="74" spans="1:12" s="93" customFormat="1">
      <c r="A74" s="325" t="s">
        <v>564</v>
      </c>
      <c r="B74" s="328"/>
      <c r="C74" s="328"/>
      <c r="D74" s="542"/>
      <c r="E74" s="330"/>
      <c r="F74" s="331"/>
      <c r="G74" s="332"/>
      <c r="H74" s="483"/>
      <c r="I74" s="335"/>
      <c r="J74" s="335"/>
      <c r="K74" s="296">
        <f t="shared" si="2"/>
        <v>0</v>
      </c>
      <c r="L74" s="377"/>
    </row>
    <row r="75" spans="1:12" s="93" customFormat="1">
      <c r="A75" s="325" t="s">
        <v>564</v>
      </c>
      <c r="B75" s="328"/>
      <c r="C75" s="328"/>
      <c r="D75" s="542"/>
      <c r="E75" s="330"/>
      <c r="F75" s="331"/>
      <c r="G75" s="332"/>
      <c r="H75" s="483"/>
      <c r="I75" s="335"/>
      <c r="J75" s="335"/>
      <c r="K75" s="296">
        <f t="shared" si="2"/>
        <v>0</v>
      </c>
      <c r="L75" s="377"/>
    </row>
    <row r="76" spans="1:12" s="93" customFormat="1">
      <c r="A76" s="325" t="s">
        <v>564</v>
      </c>
      <c r="B76" s="328"/>
      <c r="C76" s="328"/>
      <c r="D76" s="542"/>
      <c r="E76" s="330"/>
      <c r="F76" s="331"/>
      <c r="G76" s="332"/>
      <c r="H76" s="483"/>
      <c r="I76" s="335"/>
      <c r="J76" s="335"/>
      <c r="K76" s="296">
        <f t="shared" si="2"/>
        <v>0</v>
      </c>
      <c r="L76" s="377"/>
    </row>
    <row r="77" spans="1:12" s="93" customFormat="1">
      <c r="A77" s="325" t="s">
        <v>564</v>
      </c>
      <c r="B77" s="328"/>
      <c r="C77" s="328"/>
      <c r="D77" s="542"/>
      <c r="E77" s="330"/>
      <c r="F77" s="331"/>
      <c r="G77" s="332"/>
      <c r="H77" s="483"/>
      <c r="I77" s="335"/>
      <c r="J77" s="335"/>
      <c r="K77" s="296">
        <f t="shared" si="2"/>
        <v>0</v>
      </c>
      <c r="L77" s="377"/>
    </row>
    <row r="78" spans="1:12" s="93" customFormat="1">
      <c r="A78" s="325" t="s">
        <v>564</v>
      </c>
      <c r="B78" s="328"/>
      <c r="C78" s="328"/>
      <c r="D78" s="542"/>
      <c r="E78" s="330"/>
      <c r="F78" s="331"/>
      <c r="G78" s="332"/>
      <c r="H78" s="483"/>
      <c r="I78" s="335"/>
      <c r="J78" s="335"/>
      <c r="K78" s="296">
        <f t="shared" si="2"/>
        <v>0</v>
      </c>
      <c r="L78" s="377"/>
    </row>
    <row r="79" spans="1:12" s="93" customFormat="1">
      <c r="A79" s="325" t="s">
        <v>564</v>
      </c>
      <c r="B79" s="328"/>
      <c r="C79" s="328"/>
      <c r="D79" s="542"/>
      <c r="E79" s="330"/>
      <c r="F79" s="331"/>
      <c r="G79" s="332"/>
      <c r="H79" s="483"/>
      <c r="I79" s="335"/>
      <c r="J79" s="335"/>
      <c r="K79" s="296">
        <f t="shared" si="2"/>
        <v>0</v>
      </c>
      <c r="L79" s="377"/>
    </row>
    <row r="80" spans="1:12" s="93" customFormat="1">
      <c r="A80" s="325" t="s">
        <v>564</v>
      </c>
      <c r="B80" s="328"/>
      <c r="C80" s="328"/>
      <c r="D80" s="542"/>
      <c r="E80" s="330"/>
      <c r="F80" s="331"/>
      <c r="G80" s="332"/>
      <c r="H80" s="483"/>
      <c r="I80" s="335"/>
      <c r="J80" s="335"/>
      <c r="K80" s="296">
        <f t="shared" si="2"/>
        <v>0</v>
      </c>
      <c r="L80" s="377"/>
    </row>
    <row r="81" spans="1:12" s="93" customFormat="1">
      <c r="A81" s="325" t="s">
        <v>564</v>
      </c>
      <c r="B81" s="328"/>
      <c r="C81" s="328"/>
      <c r="D81" s="542"/>
      <c r="E81" s="330"/>
      <c r="F81" s="331"/>
      <c r="G81" s="332"/>
      <c r="H81" s="483"/>
      <c r="I81" s="335"/>
      <c r="J81" s="335"/>
      <c r="K81" s="296">
        <f t="shared" si="2"/>
        <v>0</v>
      </c>
      <c r="L81" s="377"/>
    </row>
    <row r="82" spans="1:12" s="93" customFormat="1">
      <c r="A82" s="325" t="s">
        <v>565</v>
      </c>
      <c r="B82" s="328"/>
      <c r="C82" s="328"/>
      <c r="D82" s="542"/>
      <c r="E82" s="330"/>
      <c r="F82" s="331"/>
      <c r="G82" s="332"/>
      <c r="H82" s="483"/>
      <c r="I82" s="335"/>
      <c r="J82" s="335"/>
      <c r="K82" s="296">
        <f t="shared" si="2"/>
        <v>0</v>
      </c>
      <c r="L82" s="377"/>
    </row>
    <row r="83" spans="1:12" s="93" customFormat="1">
      <c r="A83" s="325" t="s">
        <v>565</v>
      </c>
      <c r="B83" s="328"/>
      <c r="C83" s="328"/>
      <c r="D83" s="542"/>
      <c r="E83" s="330"/>
      <c r="F83" s="331"/>
      <c r="G83" s="332"/>
      <c r="H83" s="483"/>
      <c r="I83" s="335"/>
      <c r="J83" s="335"/>
      <c r="K83" s="296">
        <f t="shared" si="2"/>
        <v>0</v>
      </c>
      <c r="L83" s="377"/>
    </row>
    <row r="84" spans="1:12" s="93" customFormat="1">
      <c r="A84" s="325" t="s">
        <v>564</v>
      </c>
      <c r="B84" s="328"/>
      <c r="C84" s="328"/>
      <c r="D84" s="542"/>
      <c r="E84" s="330"/>
      <c r="F84" s="331"/>
      <c r="G84" s="332"/>
      <c r="H84" s="483"/>
      <c r="I84" s="335"/>
      <c r="J84" s="335"/>
      <c r="K84" s="296">
        <f t="shared" si="2"/>
        <v>0</v>
      </c>
      <c r="L84" s="377"/>
    </row>
    <row r="85" spans="1:12" s="93" customFormat="1">
      <c r="A85" s="325" t="s">
        <v>564</v>
      </c>
      <c r="B85" s="328"/>
      <c r="C85" s="328"/>
      <c r="D85" s="542"/>
      <c r="E85" s="330"/>
      <c r="F85" s="331"/>
      <c r="G85" s="332"/>
      <c r="H85" s="483"/>
      <c r="I85" s="335"/>
      <c r="J85" s="335"/>
      <c r="K85" s="296">
        <f t="shared" ref="K85:K148" si="3">IF(LEFT(A85,2)="TU",(J85-I85)*E85/100*100000*2,(J85-I85)*E85/100*100000)</f>
        <v>0</v>
      </c>
      <c r="L85" s="377"/>
    </row>
    <row r="86" spans="1:12" s="93" customFormat="1">
      <c r="A86" s="325" t="s">
        <v>564</v>
      </c>
      <c r="B86" s="328"/>
      <c r="C86" s="328"/>
      <c r="D86" s="542"/>
      <c r="E86" s="330"/>
      <c r="F86" s="331"/>
      <c r="G86" s="332"/>
      <c r="H86" s="483"/>
      <c r="I86" s="335"/>
      <c r="J86" s="335"/>
      <c r="K86" s="296">
        <f t="shared" si="3"/>
        <v>0</v>
      </c>
      <c r="L86" s="377"/>
    </row>
    <row r="87" spans="1:12" s="93" customFormat="1">
      <c r="A87" s="325" t="s">
        <v>564</v>
      </c>
      <c r="B87" s="328"/>
      <c r="C87" s="328"/>
      <c r="D87" s="542"/>
      <c r="E87" s="330"/>
      <c r="F87" s="331"/>
      <c r="G87" s="332"/>
      <c r="H87" s="483"/>
      <c r="I87" s="335"/>
      <c r="J87" s="335"/>
      <c r="K87" s="296">
        <f t="shared" si="3"/>
        <v>0</v>
      </c>
      <c r="L87" s="377"/>
    </row>
    <row r="88" spans="1:12" s="93" customFormat="1">
      <c r="A88" s="325" t="s">
        <v>564</v>
      </c>
      <c r="B88" s="328"/>
      <c r="C88" s="328"/>
      <c r="D88" s="542"/>
      <c r="E88" s="330"/>
      <c r="F88" s="331"/>
      <c r="G88" s="332"/>
      <c r="H88" s="483"/>
      <c r="I88" s="335"/>
      <c r="J88" s="335"/>
      <c r="K88" s="296">
        <f t="shared" si="3"/>
        <v>0</v>
      </c>
      <c r="L88" s="377"/>
    </row>
    <row r="89" spans="1:12" s="93" customFormat="1">
      <c r="A89" s="325" t="s">
        <v>564</v>
      </c>
      <c r="B89" s="328"/>
      <c r="C89" s="328"/>
      <c r="D89" s="542"/>
      <c r="E89" s="330"/>
      <c r="F89" s="331"/>
      <c r="G89" s="332"/>
      <c r="H89" s="483"/>
      <c r="I89" s="335"/>
      <c r="J89" s="335"/>
      <c r="K89" s="296">
        <f t="shared" si="3"/>
        <v>0</v>
      </c>
      <c r="L89" s="377"/>
    </row>
    <row r="90" spans="1:12" s="93" customFormat="1">
      <c r="A90" s="325" t="s">
        <v>564</v>
      </c>
      <c r="B90" s="328"/>
      <c r="C90" s="328"/>
      <c r="D90" s="542"/>
      <c r="E90" s="330"/>
      <c r="F90" s="331"/>
      <c r="G90" s="332"/>
      <c r="H90" s="483"/>
      <c r="I90" s="335"/>
      <c r="J90" s="335"/>
      <c r="K90" s="296">
        <f t="shared" si="3"/>
        <v>0</v>
      </c>
      <c r="L90" s="377"/>
    </row>
    <row r="91" spans="1:12" s="93" customFormat="1">
      <c r="A91" s="325" t="s">
        <v>564</v>
      </c>
      <c r="B91" s="328"/>
      <c r="C91" s="328"/>
      <c r="D91" s="542"/>
      <c r="E91" s="330"/>
      <c r="F91" s="331"/>
      <c r="G91" s="332"/>
      <c r="H91" s="483"/>
      <c r="I91" s="335"/>
      <c r="J91" s="335"/>
      <c r="K91" s="296">
        <f t="shared" si="3"/>
        <v>0</v>
      </c>
      <c r="L91" s="377"/>
    </row>
    <row r="92" spans="1:12" s="93" customFormat="1">
      <c r="A92" s="325" t="s">
        <v>564</v>
      </c>
      <c r="B92" s="328"/>
      <c r="C92" s="328"/>
      <c r="D92" s="542"/>
      <c r="E92" s="330"/>
      <c r="F92" s="331"/>
      <c r="G92" s="332"/>
      <c r="H92" s="483"/>
      <c r="I92" s="335"/>
      <c r="J92" s="335"/>
      <c r="K92" s="296">
        <f t="shared" si="3"/>
        <v>0</v>
      </c>
      <c r="L92" s="377"/>
    </row>
    <row r="93" spans="1:12" s="93" customFormat="1">
      <c r="A93" s="325" t="s">
        <v>564</v>
      </c>
      <c r="B93" s="328"/>
      <c r="C93" s="328"/>
      <c r="D93" s="542"/>
      <c r="E93" s="330"/>
      <c r="F93" s="331"/>
      <c r="G93" s="332"/>
      <c r="H93" s="483"/>
      <c r="I93" s="335"/>
      <c r="J93" s="335"/>
      <c r="K93" s="296">
        <f t="shared" si="3"/>
        <v>0</v>
      </c>
      <c r="L93" s="377"/>
    </row>
    <row r="94" spans="1:12" s="93" customFormat="1">
      <c r="A94" s="325" t="s">
        <v>564</v>
      </c>
      <c r="B94" s="328"/>
      <c r="C94" s="328"/>
      <c r="D94" s="542"/>
      <c r="E94" s="330"/>
      <c r="F94" s="331"/>
      <c r="G94" s="332"/>
      <c r="H94" s="483"/>
      <c r="I94" s="335"/>
      <c r="J94" s="335"/>
      <c r="K94" s="296">
        <f t="shared" si="3"/>
        <v>0</v>
      </c>
      <c r="L94" s="377"/>
    </row>
    <row r="95" spans="1:12" s="93" customFormat="1">
      <c r="A95" s="325" t="s">
        <v>564</v>
      </c>
      <c r="B95" s="328"/>
      <c r="C95" s="328"/>
      <c r="D95" s="542"/>
      <c r="E95" s="330"/>
      <c r="F95" s="331"/>
      <c r="G95" s="332"/>
      <c r="H95" s="483"/>
      <c r="I95" s="335"/>
      <c r="J95" s="335"/>
      <c r="K95" s="296">
        <f t="shared" si="3"/>
        <v>0</v>
      </c>
      <c r="L95" s="377"/>
    </row>
    <row r="96" spans="1:12" s="93" customFormat="1">
      <c r="A96" s="325" t="s">
        <v>564</v>
      </c>
      <c r="B96" s="328"/>
      <c r="C96" s="328"/>
      <c r="D96" s="542"/>
      <c r="E96" s="330"/>
      <c r="F96" s="331"/>
      <c r="G96" s="332"/>
      <c r="H96" s="483"/>
      <c r="I96" s="335"/>
      <c r="J96" s="335"/>
      <c r="K96" s="296">
        <f t="shared" si="3"/>
        <v>0</v>
      </c>
      <c r="L96" s="377"/>
    </row>
    <row r="97" spans="1:12" s="93" customFormat="1">
      <c r="A97" s="325" t="s">
        <v>564</v>
      </c>
      <c r="B97" s="328"/>
      <c r="C97" s="328"/>
      <c r="D97" s="542"/>
      <c r="E97" s="330"/>
      <c r="F97" s="331"/>
      <c r="G97" s="332"/>
      <c r="H97" s="483"/>
      <c r="I97" s="335"/>
      <c r="J97" s="335"/>
      <c r="K97" s="296">
        <f t="shared" si="3"/>
        <v>0</v>
      </c>
      <c r="L97" s="377"/>
    </row>
    <row r="98" spans="1:12" s="93" customFormat="1">
      <c r="A98" s="325" t="s">
        <v>564</v>
      </c>
      <c r="B98" s="328"/>
      <c r="C98" s="328"/>
      <c r="D98" s="542"/>
      <c r="E98" s="330"/>
      <c r="F98" s="331"/>
      <c r="G98" s="332"/>
      <c r="H98" s="483"/>
      <c r="I98" s="335"/>
      <c r="J98" s="335"/>
      <c r="K98" s="296">
        <f t="shared" si="3"/>
        <v>0</v>
      </c>
      <c r="L98" s="377"/>
    </row>
    <row r="99" spans="1:12" s="93" customFormat="1">
      <c r="A99" s="325" t="s">
        <v>564</v>
      </c>
      <c r="B99" s="328"/>
      <c r="C99" s="328"/>
      <c r="D99" s="542"/>
      <c r="E99" s="330"/>
      <c r="F99" s="331"/>
      <c r="G99" s="332"/>
      <c r="H99" s="483"/>
      <c r="I99" s="335"/>
      <c r="J99" s="335"/>
      <c r="K99" s="296">
        <f t="shared" si="3"/>
        <v>0</v>
      </c>
      <c r="L99" s="377"/>
    </row>
    <row r="100" spans="1:12" s="93" customFormat="1">
      <c r="A100" s="325" t="s">
        <v>564</v>
      </c>
      <c r="B100" s="328"/>
      <c r="C100" s="328"/>
      <c r="D100" s="542"/>
      <c r="E100" s="330"/>
      <c r="F100" s="331"/>
      <c r="G100" s="332"/>
      <c r="H100" s="483"/>
      <c r="I100" s="335"/>
      <c r="J100" s="335"/>
      <c r="K100" s="296">
        <f t="shared" si="3"/>
        <v>0</v>
      </c>
      <c r="L100" s="377"/>
    </row>
    <row r="101" spans="1:12" s="93" customFormat="1">
      <c r="A101" s="325" t="s">
        <v>564</v>
      </c>
      <c r="B101" s="328"/>
      <c r="C101" s="328"/>
      <c r="D101" s="542"/>
      <c r="E101" s="330"/>
      <c r="F101" s="331"/>
      <c r="G101" s="332"/>
      <c r="H101" s="483"/>
      <c r="I101" s="335"/>
      <c r="J101" s="335"/>
      <c r="K101" s="296">
        <f t="shared" si="3"/>
        <v>0</v>
      </c>
      <c r="L101" s="377"/>
    </row>
    <row r="102" spans="1:12" s="93" customFormat="1">
      <c r="A102" s="325" t="s">
        <v>564</v>
      </c>
      <c r="B102" s="328"/>
      <c r="C102" s="328"/>
      <c r="D102" s="542"/>
      <c r="E102" s="330"/>
      <c r="F102" s="331"/>
      <c r="G102" s="332"/>
      <c r="H102" s="483"/>
      <c r="I102" s="335"/>
      <c r="J102" s="335"/>
      <c r="K102" s="296">
        <f t="shared" si="3"/>
        <v>0</v>
      </c>
      <c r="L102" s="377"/>
    </row>
    <row r="103" spans="1:12" s="93" customFormat="1">
      <c r="A103" s="325" t="s">
        <v>564</v>
      </c>
      <c r="B103" s="328"/>
      <c r="C103" s="328"/>
      <c r="D103" s="542"/>
      <c r="E103" s="330"/>
      <c r="F103" s="331"/>
      <c r="G103" s="332"/>
      <c r="H103" s="483"/>
      <c r="I103" s="335"/>
      <c r="J103" s="335"/>
      <c r="K103" s="296">
        <f t="shared" si="3"/>
        <v>0</v>
      </c>
      <c r="L103" s="377"/>
    </row>
    <row r="104" spans="1:12" s="93" customFormat="1">
      <c r="A104" s="325" t="s">
        <v>564</v>
      </c>
      <c r="B104" s="328"/>
      <c r="C104" s="328"/>
      <c r="D104" s="542"/>
      <c r="E104" s="330"/>
      <c r="F104" s="331"/>
      <c r="G104" s="332"/>
      <c r="H104" s="483"/>
      <c r="I104" s="335"/>
      <c r="J104" s="335"/>
      <c r="K104" s="296">
        <f t="shared" si="3"/>
        <v>0</v>
      </c>
      <c r="L104" s="377"/>
    </row>
    <row r="105" spans="1:12" s="93" customFormat="1">
      <c r="A105" s="325" t="s">
        <v>564</v>
      </c>
      <c r="B105" s="328"/>
      <c r="C105" s="328"/>
      <c r="D105" s="542"/>
      <c r="E105" s="330"/>
      <c r="F105" s="331"/>
      <c r="G105" s="332"/>
      <c r="H105" s="483"/>
      <c r="I105" s="335"/>
      <c r="J105" s="335"/>
      <c r="K105" s="296">
        <f t="shared" si="3"/>
        <v>0</v>
      </c>
      <c r="L105" s="377"/>
    </row>
    <row r="106" spans="1:12" s="93" customFormat="1">
      <c r="A106" s="325" t="s">
        <v>564</v>
      </c>
      <c r="B106" s="328"/>
      <c r="C106" s="328"/>
      <c r="D106" s="542"/>
      <c r="E106" s="330"/>
      <c r="F106" s="331"/>
      <c r="G106" s="332"/>
      <c r="H106" s="483"/>
      <c r="I106" s="335"/>
      <c r="J106" s="335"/>
      <c r="K106" s="296">
        <f t="shared" si="3"/>
        <v>0</v>
      </c>
      <c r="L106" s="377"/>
    </row>
    <row r="107" spans="1:12" s="93" customFormat="1">
      <c r="A107" s="325" t="s">
        <v>564</v>
      </c>
      <c r="B107" s="328"/>
      <c r="C107" s="328"/>
      <c r="D107" s="542"/>
      <c r="E107" s="330"/>
      <c r="F107" s="331"/>
      <c r="G107" s="332"/>
      <c r="H107" s="483"/>
      <c r="I107" s="335"/>
      <c r="J107" s="335"/>
      <c r="K107" s="296">
        <f t="shared" si="3"/>
        <v>0</v>
      </c>
      <c r="L107" s="377"/>
    </row>
    <row r="108" spans="1:12" s="93" customFormat="1">
      <c r="A108" s="325" t="s">
        <v>564</v>
      </c>
      <c r="B108" s="328"/>
      <c r="C108" s="328"/>
      <c r="D108" s="542"/>
      <c r="E108" s="330"/>
      <c r="F108" s="331"/>
      <c r="G108" s="332"/>
      <c r="H108" s="483"/>
      <c r="I108" s="335"/>
      <c r="J108" s="335"/>
      <c r="K108" s="296">
        <f t="shared" si="3"/>
        <v>0</v>
      </c>
      <c r="L108" s="377"/>
    </row>
    <row r="109" spans="1:12" s="93" customFormat="1">
      <c r="A109" s="325" t="s">
        <v>564</v>
      </c>
      <c r="B109" s="328"/>
      <c r="C109" s="328"/>
      <c r="D109" s="542"/>
      <c r="E109" s="330"/>
      <c r="F109" s="331"/>
      <c r="G109" s="332"/>
      <c r="H109" s="483"/>
      <c r="I109" s="335"/>
      <c r="J109" s="335"/>
      <c r="K109" s="296">
        <f t="shared" si="3"/>
        <v>0</v>
      </c>
      <c r="L109" s="377"/>
    </row>
    <row r="110" spans="1:12" s="93" customFormat="1">
      <c r="A110" s="325" t="s">
        <v>564</v>
      </c>
      <c r="B110" s="328"/>
      <c r="C110" s="328"/>
      <c r="D110" s="542"/>
      <c r="E110" s="330"/>
      <c r="F110" s="331"/>
      <c r="G110" s="332"/>
      <c r="H110" s="483"/>
      <c r="I110" s="335"/>
      <c r="J110" s="335"/>
      <c r="K110" s="296">
        <f t="shared" si="3"/>
        <v>0</v>
      </c>
      <c r="L110" s="377"/>
    </row>
    <row r="111" spans="1:12" s="93" customFormat="1">
      <c r="A111" s="325" t="s">
        <v>564</v>
      </c>
      <c r="B111" s="328"/>
      <c r="C111" s="328"/>
      <c r="D111" s="542"/>
      <c r="E111" s="330"/>
      <c r="F111" s="331"/>
      <c r="G111" s="332"/>
      <c r="H111" s="483"/>
      <c r="I111" s="335"/>
      <c r="J111" s="335"/>
      <c r="K111" s="296">
        <f t="shared" si="3"/>
        <v>0</v>
      </c>
      <c r="L111" s="377"/>
    </row>
    <row r="112" spans="1:12" s="93" customFormat="1">
      <c r="A112" s="325" t="s">
        <v>564</v>
      </c>
      <c r="B112" s="328"/>
      <c r="C112" s="328"/>
      <c r="D112" s="542"/>
      <c r="E112" s="330"/>
      <c r="F112" s="331"/>
      <c r="G112" s="332"/>
      <c r="H112" s="483"/>
      <c r="I112" s="335"/>
      <c r="J112" s="335"/>
      <c r="K112" s="296">
        <f t="shared" si="3"/>
        <v>0</v>
      </c>
      <c r="L112" s="377"/>
    </row>
    <row r="113" spans="1:12" s="93" customFormat="1">
      <c r="A113" s="325" t="s">
        <v>564</v>
      </c>
      <c r="B113" s="328"/>
      <c r="C113" s="328"/>
      <c r="D113" s="542"/>
      <c r="E113" s="330"/>
      <c r="F113" s="331"/>
      <c r="G113" s="332"/>
      <c r="H113" s="483"/>
      <c r="I113" s="335"/>
      <c r="J113" s="335"/>
      <c r="K113" s="296">
        <f t="shared" si="3"/>
        <v>0</v>
      </c>
      <c r="L113" s="377"/>
    </row>
    <row r="114" spans="1:12" s="93" customFormat="1">
      <c r="A114" s="325" t="s">
        <v>564</v>
      </c>
      <c r="B114" s="328"/>
      <c r="C114" s="328"/>
      <c r="D114" s="542"/>
      <c r="E114" s="330"/>
      <c r="F114" s="331"/>
      <c r="G114" s="332"/>
      <c r="H114" s="483"/>
      <c r="I114" s="335"/>
      <c r="J114" s="335"/>
      <c r="K114" s="296">
        <f t="shared" si="3"/>
        <v>0</v>
      </c>
      <c r="L114" s="377"/>
    </row>
    <row r="115" spans="1:12" s="93" customFormat="1">
      <c r="A115" s="325" t="s">
        <v>564</v>
      </c>
      <c r="B115" s="328"/>
      <c r="C115" s="328"/>
      <c r="D115" s="542"/>
      <c r="E115" s="330"/>
      <c r="F115" s="331"/>
      <c r="G115" s="332"/>
      <c r="H115" s="483"/>
      <c r="I115" s="335"/>
      <c r="J115" s="335"/>
      <c r="K115" s="296">
        <f t="shared" si="3"/>
        <v>0</v>
      </c>
      <c r="L115" s="377"/>
    </row>
    <row r="116" spans="1:12" s="93" customFormat="1">
      <c r="A116" s="325" t="s">
        <v>564</v>
      </c>
      <c r="B116" s="328"/>
      <c r="C116" s="328"/>
      <c r="D116" s="542"/>
      <c r="E116" s="330"/>
      <c r="F116" s="331"/>
      <c r="G116" s="332"/>
      <c r="H116" s="483"/>
      <c r="I116" s="335"/>
      <c r="J116" s="335"/>
      <c r="K116" s="296">
        <f t="shared" si="3"/>
        <v>0</v>
      </c>
      <c r="L116" s="377"/>
    </row>
    <row r="117" spans="1:12" s="93" customFormat="1">
      <c r="A117" s="325" t="s">
        <v>564</v>
      </c>
      <c r="B117" s="328"/>
      <c r="C117" s="328"/>
      <c r="D117" s="542"/>
      <c r="E117" s="330"/>
      <c r="F117" s="331"/>
      <c r="G117" s="332"/>
      <c r="H117" s="483"/>
      <c r="I117" s="335"/>
      <c r="J117" s="335"/>
      <c r="K117" s="296">
        <f t="shared" si="3"/>
        <v>0</v>
      </c>
      <c r="L117" s="377"/>
    </row>
    <row r="118" spans="1:12" s="93" customFormat="1">
      <c r="A118" s="325" t="s">
        <v>564</v>
      </c>
      <c r="B118" s="328"/>
      <c r="C118" s="328"/>
      <c r="D118" s="542"/>
      <c r="E118" s="330"/>
      <c r="F118" s="331"/>
      <c r="G118" s="332"/>
      <c r="H118" s="483"/>
      <c r="I118" s="335"/>
      <c r="J118" s="335"/>
      <c r="K118" s="296">
        <f t="shared" si="3"/>
        <v>0</v>
      </c>
      <c r="L118" s="377"/>
    </row>
    <row r="119" spans="1:12" s="93" customFormat="1">
      <c r="A119" s="325" t="s">
        <v>565</v>
      </c>
      <c r="B119" s="328"/>
      <c r="C119" s="328"/>
      <c r="D119" s="542"/>
      <c r="E119" s="330"/>
      <c r="F119" s="331"/>
      <c r="G119" s="332"/>
      <c r="H119" s="483"/>
      <c r="I119" s="335"/>
      <c r="J119" s="335"/>
      <c r="K119" s="296">
        <f t="shared" si="3"/>
        <v>0</v>
      </c>
      <c r="L119" s="377"/>
    </row>
    <row r="120" spans="1:12" s="93" customFormat="1">
      <c r="A120" s="325" t="s">
        <v>565</v>
      </c>
      <c r="B120" s="328"/>
      <c r="C120" s="328"/>
      <c r="D120" s="542"/>
      <c r="E120" s="330"/>
      <c r="F120" s="331"/>
      <c r="G120" s="332"/>
      <c r="H120" s="483"/>
      <c r="I120" s="335"/>
      <c r="J120" s="335"/>
      <c r="K120" s="296">
        <f t="shared" si="3"/>
        <v>0</v>
      </c>
      <c r="L120" s="377"/>
    </row>
    <row r="121" spans="1:12" s="93" customFormat="1">
      <c r="A121" s="325" t="s">
        <v>497</v>
      </c>
      <c r="B121" s="328"/>
      <c r="C121" s="328"/>
      <c r="D121" s="542"/>
      <c r="E121" s="330"/>
      <c r="F121" s="331"/>
      <c r="G121" s="332"/>
      <c r="H121" s="483"/>
      <c r="I121" s="335"/>
      <c r="J121" s="335"/>
      <c r="K121" s="296">
        <f t="shared" si="3"/>
        <v>0</v>
      </c>
      <c r="L121" s="377"/>
    </row>
    <row r="122" spans="1:12" s="93" customFormat="1">
      <c r="A122" s="325" t="s">
        <v>497</v>
      </c>
      <c r="B122" s="328"/>
      <c r="C122" s="328"/>
      <c r="D122" s="542"/>
      <c r="E122" s="330"/>
      <c r="F122" s="331"/>
      <c r="G122" s="332"/>
      <c r="H122" s="483"/>
      <c r="I122" s="335"/>
      <c r="J122" s="335"/>
      <c r="K122" s="296">
        <f t="shared" si="3"/>
        <v>0</v>
      </c>
      <c r="L122" s="377"/>
    </row>
    <row r="123" spans="1:12" s="93" customFormat="1">
      <c r="A123" s="325" t="s">
        <v>497</v>
      </c>
      <c r="B123" s="328"/>
      <c r="C123" s="328"/>
      <c r="D123" s="542"/>
      <c r="E123" s="330"/>
      <c r="F123" s="331"/>
      <c r="G123" s="332"/>
      <c r="H123" s="483"/>
      <c r="I123" s="335"/>
      <c r="J123" s="335"/>
      <c r="K123" s="296">
        <f t="shared" si="3"/>
        <v>0</v>
      </c>
      <c r="L123" s="377"/>
    </row>
    <row r="124" spans="1:12" s="93" customFormat="1">
      <c r="A124" s="325" t="s">
        <v>497</v>
      </c>
      <c r="B124" s="328"/>
      <c r="C124" s="328"/>
      <c r="D124" s="542"/>
      <c r="E124" s="330"/>
      <c r="F124" s="331"/>
      <c r="G124" s="332"/>
      <c r="H124" s="483"/>
      <c r="I124" s="335"/>
      <c r="J124" s="335"/>
      <c r="K124" s="296">
        <f t="shared" si="3"/>
        <v>0</v>
      </c>
      <c r="L124" s="377"/>
    </row>
    <row r="125" spans="1:12" s="93" customFormat="1">
      <c r="A125" s="325" t="s">
        <v>497</v>
      </c>
      <c r="B125" s="328"/>
      <c r="C125" s="328"/>
      <c r="D125" s="542"/>
      <c r="E125" s="330"/>
      <c r="F125" s="331"/>
      <c r="G125" s="332"/>
      <c r="H125" s="483"/>
      <c r="I125" s="335"/>
      <c r="J125" s="335"/>
      <c r="K125" s="296">
        <f t="shared" si="3"/>
        <v>0</v>
      </c>
      <c r="L125" s="377"/>
    </row>
    <row r="126" spans="1:12" s="93" customFormat="1">
      <c r="A126" s="325" t="s">
        <v>497</v>
      </c>
      <c r="B126" s="328"/>
      <c r="C126" s="328"/>
      <c r="D126" s="542"/>
      <c r="E126" s="330"/>
      <c r="F126" s="331"/>
      <c r="G126" s="332"/>
      <c r="H126" s="483"/>
      <c r="I126" s="335"/>
      <c r="J126" s="335"/>
      <c r="K126" s="296">
        <f t="shared" si="3"/>
        <v>0</v>
      </c>
      <c r="L126" s="377"/>
    </row>
    <row r="127" spans="1:12" s="93" customFormat="1">
      <c r="A127" s="325" t="s">
        <v>497</v>
      </c>
      <c r="B127" s="328"/>
      <c r="C127" s="328"/>
      <c r="D127" s="542"/>
      <c r="E127" s="330"/>
      <c r="F127" s="331"/>
      <c r="G127" s="332"/>
      <c r="H127" s="483"/>
      <c r="I127" s="335"/>
      <c r="J127" s="335"/>
      <c r="K127" s="296">
        <f t="shared" si="3"/>
        <v>0</v>
      </c>
      <c r="L127" s="377"/>
    </row>
    <row r="128" spans="1:12" s="93" customFormat="1">
      <c r="A128" s="325" t="s">
        <v>497</v>
      </c>
      <c r="B128" s="328"/>
      <c r="C128" s="328"/>
      <c r="D128" s="542"/>
      <c r="E128" s="330"/>
      <c r="F128" s="331"/>
      <c r="G128" s="332"/>
      <c r="H128" s="483"/>
      <c r="I128" s="335"/>
      <c r="J128" s="335"/>
      <c r="K128" s="296">
        <f t="shared" si="3"/>
        <v>0</v>
      </c>
      <c r="L128" s="377"/>
    </row>
    <row r="129" spans="1:12" s="93" customFormat="1">
      <c r="A129" s="325" t="s">
        <v>497</v>
      </c>
      <c r="B129" s="328"/>
      <c r="C129" s="328"/>
      <c r="D129" s="542"/>
      <c r="E129" s="330"/>
      <c r="F129" s="331"/>
      <c r="G129" s="332"/>
      <c r="H129" s="483"/>
      <c r="I129" s="335"/>
      <c r="J129" s="335"/>
      <c r="K129" s="296">
        <f t="shared" si="3"/>
        <v>0</v>
      </c>
      <c r="L129" s="377"/>
    </row>
    <row r="130" spans="1:12" s="93" customFormat="1">
      <c r="A130" s="325" t="s">
        <v>497</v>
      </c>
      <c r="B130" s="328"/>
      <c r="C130" s="328"/>
      <c r="D130" s="542"/>
      <c r="E130" s="330"/>
      <c r="F130" s="331"/>
      <c r="G130" s="332"/>
      <c r="H130" s="483"/>
      <c r="I130" s="335"/>
      <c r="J130" s="335"/>
      <c r="K130" s="296">
        <f t="shared" si="3"/>
        <v>0</v>
      </c>
      <c r="L130" s="377"/>
    </row>
    <row r="131" spans="1:12" s="93" customFormat="1">
      <c r="A131" s="325" t="s">
        <v>497</v>
      </c>
      <c r="B131" s="328"/>
      <c r="C131" s="328"/>
      <c r="D131" s="542"/>
      <c r="E131" s="330"/>
      <c r="F131" s="331"/>
      <c r="G131" s="332"/>
      <c r="H131" s="483"/>
      <c r="I131" s="335"/>
      <c r="J131" s="335"/>
      <c r="K131" s="296">
        <f t="shared" si="3"/>
        <v>0</v>
      </c>
      <c r="L131" s="377"/>
    </row>
    <row r="132" spans="1:12" s="93" customFormat="1">
      <c r="A132" s="325" t="s">
        <v>497</v>
      </c>
      <c r="B132" s="328"/>
      <c r="C132" s="328"/>
      <c r="D132" s="542"/>
      <c r="E132" s="330"/>
      <c r="F132" s="331"/>
      <c r="G132" s="332"/>
      <c r="H132" s="483"/>
      <c r="I132" s="335"/>
      <c r="J132" s="335"/>
      <c r="K132" s="296">
        <f t="shared" si="3"/>
        <v>0</v>
      </c>
      <c r="L132" s="377"/>
    </row>
    <row r="133" spans="1:12" s="93" customFormat="1">
      <c r="A133" s="325" t="s">
        <v>497</v>
      </c>
      <c r="B133" s="328"/>
      <c r="C133" s="328"/>
      <c r="D133" s="542"/>
      <c r="E133" s="330"/>
      <c r="F133" s="331"/>
      <c r="G133" s="332"/>
      <c r="H133" s="483"/>
      <c r="I133" s="335"/>
      <c r="J133" s="335"/>
      <c r="K133" s="296">
        <f t="shared" si="3"/>
        <v>0</v>
      </c>
      <c r="L133" s="377"/>
    </row>
    <row r="134" spans="1:12" s="93" customFormat="1">
      <c r="A134" s="325" t="s">
        <v>497</v>
      </c>
      <c r="B134" s="328"/>
      <c r="C134" s="328"/>
      <c r="D134" s="542"/>
      <c r="E134" s="330"/>
      <c r="F134" s="331"/>
      <c r="G134" s="332"/>
      <c r="H134" s="483"/>
      <c r="I134" s="335"/>
      <c r="J134" s="335"/>
      <c r="K134" s="296">
        <f t="shared" si="3"/>
        <v>0</v>
      </c>
      <c r="L134" s="377"/>
    </row>
    <row r="135" spans="1:12" s="93" customFormat="1">
      <c r="A135" s="325" t="s">
        <v>497</v>
      </c>
      <c r="B135" s="328"/>
      <c r="C135" s="328"/>
      <c r="D135" s="542"/>
      <c r="E135" s="330"/>
      <c r="F135" s="331"/>
      <c r="G135" s="332"/>
      <c r="H135" s="483"/>
      <c r="I135" s="335"/>
      <c r="J135" s="335"/>
      <c r="K135" s="296">
        <f t="shared" si="3"/>
        <v>0</v>
      </c>
      <c r="L135" s="377"/>
    </row>
    <row r="136" spans="1:12" s="93" customFormat="1">
      <c r="A136" s="325" t="s">
        <v>497</v>
      </c>
      <c r="B136" s="328"/>
      <c r="C136" s="328"/>
      <c r="D136" s="542"/>
      <c r="E136" s="330"/>
      <c r="F136" s="331"/>
      <c r="G136" s="332"/>
      <c r="H136" s="483"/>
      <c r="I136" s="335"/>
      <c r="J136" s="335"/>
      <c r="K136" s="296">
        <f t="shared" si="3"/>
        <v>0</v>
      </c>
      <c r="L136" s="377"/>
    </row>
    <row r="137" spans="1:12" s="93" customFormat="1">
      <c r="A137" s="325" t="s">
        <v>497</v>
      </c>
      <c r="B137" s="328"/>
      <c r="C137" s="328"/>
      <c r="D137" s="542"/>
      <c r="E137" s="330"/>
      <c r="F137" s="331"/>
      <c r="G137" s="332"/>
      <c r="H137" s="483"/>
      <c r="I137" s="335"/>
      <c r="J137" s="335"/>
      <c r="K137" s="296">
        <f t="shared" si="3"/>
        <v>0</v>
      </c>
      <c r="L137" s="377"/>
    </row>
    <row r="138" spans="1:12" s="93" customFormat="1">
      <c r="A138" s="325" t="s">
        <v>497</v>
      </c>
      <c r="B138" s="328"/>
      <c r="C138" s="328"/>
      <c r="D138" s="542"/>
      <c r="E138" s="330"/>
      <c r="F138" s="331"/>
      <c r="G138" s="332"/>
      <c r="H138" s="483"/>
      <c r="I138" s="335"/>
      <c r="J138" s="335"/>
      <c r="K138" s="296">
        <f t="shared" si="3"/>
        <v>0</v>
      </c>
      <c r="L138" s="377"/>
    </row>
    <row r="139" spans="1:12" s="93" customFormat="1">
      <c r="A139" s="325" t="s">
        <v>497</v>
      </c>
      <c r="B139" s="328"/>
      <c r="C139" s="328"/>
      <c r="D139" s="542"/>
      <c r="E139" s="330"/>
      <c r="F139" s="331"/>
      <c r="G139" s="332"/>
      <c r="H139" s="483"/>
      <c r="I139" s="335"/>
      <c r="J139" s="335"/>
      <c r="K139" s="296">
        <f t="shared" si="3"/>
        <v>0</v>
      </c>
      <c r="L139" s="377"/>
    </row>
    <row r="140" spans="1:12" s="93" customFormat="1">
      <c r="A140" s="325" t="s">
        <v>501</v>
      </c>
      <c r="B140" s="328"/>
      <c r="C140" s="328"/>
      <c r="D140" s="542"/>
      <c r="E140" s="330"/>
      <c r="F140" s="331"/>
      <c r="G140" s="332"/>
      <c r="H140" s="483"/>
      <c r="I140" s="335"/>
      <c r="J140" s="335"/>
      <c r="K140" s="296">
        <f t="shared" si="3"/>
        <v>0</v>
      </c>
      <c r="L140" s="377"/>
    </row>
    <row r="141" spans="1:12" s="93" customFormat="1">
      <c r="A141" s="325" t="s">
        <v>501</v>
      </c>
      <c r="B141" s="328"/>
      <c r="C141" s="328"/>
      <c r="D141" s="542"/>
      <c r="E141" s="330"/>
      <c r="F141" s="331"/>
      <c r="G141" s="332"/>
      <c r="H141" s="483"/>
      <c r="I141" s="335"/>
      <c r="J141" s="335"/>
      <c r="K141" s="296">
        <f t="shared" si="3"/>
        <v>0</v>
      </c>
      <c r="L141" s="377"/>
    </row>
    <row r="142" spans="1:12" s="93" customFormat="1">
      <c r="A142" s="325" t="s">
        <v>511</v>
      </c>
      <c r="B142" s="328"/>
      <c r="C142" s="328"/>
      <c r="D142" s="542"/>
      <c r="E142" s="330"/>
      <c r="F142" s="331"/>
      <c r="G142" s="332"/>
      <c r="H142" s="483"/>
      <c r="I142" s="335"/>
      <c r="J142" s="335"/>
      <c r="K142" s="296">
        <f t="shared" si="3"/>
        <v>0</v>
      </c>
      <c r="L142" s="377"/>
    </row>
    <row r="143" spans="1:12" s="93" customFormat="1">
      <c r="A143" s="325" t="s">
        <v>511</v>
      </c>
      <c r="B143" s="328"/>
      <c r="C143" s="328"/>
      <c r="D143" s="542"/>
      <c r="E143" s="330"/>
      <c r="F143" s="331"/>
      <c r="G143" s="332"/>
      <c r="H143" s="483"/>
      <c r="I143" s="335"/>
      <c r="J143" s="335"/>
      <c r="K143" s="296">
        <f t="shared" si="3"/>
        <v>0</v>
      </c>
      <c r="L143" s="377"/>
    </row>
    <row r="144" spans="1:12" s="93" customFormat="1">
      <c r="A144" s="325" t="s">
        <v>501</v>
      </c>
      <c r="B144" s="328"/>
      <c r="C144" s="328"/>
      <c r="D144" s="542"/>
      <c r="E144" s="330"/>
      <c r="F144" s="331"/>
      <c r="G144" s="332"/>
      <c r="H144" s="483"/>
      <c r="I144" s="335"/>
      <c r="J144" s="335"/>
      <c r="K144" s="296">
        <f t="shared" si="3"/>
        <v>0</v>
      </c>
      <c r="L144" s="377"/>
    </row>
    <row r="145" spans="1:12" s="93" customFormat="1">
      <c r="A145" s="325" t="s">
        <v>501</v>
      </c>
      <c r="B145" s="328"/>
      <c r="C145" s="328"/>
      <c r="D145" s="542"/>
      <c r="E145" s="330"/>
      <c r="F145" s="331"/>
      <c r="G145" s="332"/>
      <c r="H145" s="483"/>
      <c r="I145" s="335"/>
      <c r="J145" s="335"/>
      <c r="K145" s="296">
        <f t="shared" si="3"/>
        <v>0</v>
      </c>
      <c r="L145" s="377"/>
    </row>
    <row r="146" spans="1:12" s="93" customFormat="1">
      <c r="A146" s="325" t="s">
        <v>511</v>
      </c>
      <c r="B146" s="328"/>
      <c r="C146" s="328"/>
      <c r="D146" s="542"/>
      <c r="E146" s="330"/>
      <c r="F146" s="331"/>
      <c r="G146" s="332"/>
      <c r="H146" s="483"/>
      <c r="I146" s="335"/>
      <c r="J146" s="335"/>
      <c r="K146" s="296">
        <f t="shared" si="3"/>
        <v>0</v>
      </c>
      <c r="L146" s="377"/>
    </row>
    <row r="147" spans="1:12" s="93" customFormat="1">
      <c r="A147" s="325" t="s">
        <v>511</v>
      </c>
      <c r="B147" s="328"/>
      <c r="C147" s="328"/>
      <c r="D147" s="542"/>
      <c r="E147" s="330"/>
      <c r="F147" s="331"/>
      <c r="G147" s="332"/>
      <c r="H147" s="483"/>
      <c r="I147" s="335"/>
      <c r="J147" s="335"/>
      <c r="K147" s="296">
        <f t="shared" si="3"/>
        <v>0</v>
      </c>
      <c r="L147" s="377"/>
    </row>
    <row r="148" spans="1:12" s="93" customFormat="1">
      <c r="A148" s="325" t="s">
        <v>511</v>
      </c>
      <c r="B148" s="328"/>
      <c r="C148" s="328"/>
      <c r="D148" s="542"/>
      <c r="E148" s="330"/>
      <c r="F148" s="331"/>
      <c r="G148" s="332"/>
      <c r="H148" s="483"/>
      <c r="I148" s="335"/>
      <c r="J148" s="335"/>
      <c r="K148" s="296">
        <f t="shared" si="3"/>
        <v>0</v>
      </c>
      <c r="L148" s="377"/>
    </row>
    <row r="149" spans="1:12" s="93" customFormat="1">
      <c r="A149" s="325" t="s">
        <v>511</v>
      </c>
      <c r="B149" s="328"/>
      <c r="C149" s="328"/>
      <c r="D149" s="542"/>
      <c r="E149" s="330"/>
      <c r="F149" s="331"/>
      <c r="G149" s="332"/>
      <c r="H149" s="483"/>
      <c r="I149" s="335"/>
      <c r="J149" s="335"/>
      <c r="K149" s="296">
        <f t="shared" ref="K149:K212" si="4">IF(LEFT(A149,2)="TU",(J149-I149)*E149/100*100000*2,(J149-I149)*E149/100*100000)</f>
        <v>0</v>
      </c>
      <c r="L149" s="377"/>
    </row>
    <row r="150" spans="1:12" s="93" customFormat="1">
      <c r="A150" s="325" t="s">
        <v>511</v>
      </c>
      <c r="B150" s="328"/>
      <c r="C150" s="328"/>
      <c r="D150" s="542"/>
      <c r="E150" s="330"/>
      <c r="F150" s="331"/>
      <c r="G150" s="332"/>
      <c r="H150" s="483"/>
      <c r="I150" s="335"/>
      <c r="J150" s="335"/>
      <c r="K150" s="296">
        <f t="shared" si="4"/>
        <v>0</v>
      </c>
      <c r="L150" s="377"/>
    </row>
    <row r="151" spans="1:12" s="93" customFormat="1">
      <c r="A151" s="325" t="s">
        <v>511</v>
      </c>
      <c r="B151" s="328"/>
      <c r="C151" s="328"/>
      <c r="D151" s="542"/>
      <c r="E151" s="330"/>
      <c r="F151" s="331"/>
      <c r="G151" s="332"/>
      <c r="H151" s="483"/>
      <c r="I151" s="335"/>
      <c r="J151" s="335"/>
      <c r="K151" s="296">
        <f t="shared" si="4"/>
        <v>0</v>
      </c>
      <c r="L151" s="377"/>
    </row>
    <row r="152" spans="1:12" s="93" customFormat="1">
      <c r="A152" s="325" t="s">
        <v>511</v>
      </c>
      <c r="B152" s="328"/>
      <c r="C152" s="328"/>
      <c r="D152" s="542"/>
      <c r="E152" s="330"/>
      <c r="F152" s="331"/>
      <c r="G152" s="332"/>
      <c r="H152" s="483"/>
      <c r="I152" s="335"/>
      <c r="J152" s="335"/>
      <c r="K152" s="296">
        <f t="shared" si="4"/>
        <v>0</v>
      </c>
      <c r="L152" s="377"/>
    </row>
    <row r="153" spans="1:12" s="93" customFormat="1">
      <c r="A153" s="325" t="s">
        <v>511</v>
      </c>
      <c r="B153" s="328"/>
      <c r="C153" s="328"/>
      <c r="D153" s="542"/>
      <c r="E153" s="330"/>
      <c r="F153" s="331"/>
      <c r="G153" s="332"/>
      <c r="H153" s="483"/>
      <c r="I153" s="335"/>
      <c r="J153" s="335"/>
      <c r="K153" s="296">
        <f t="shared" si="4"/>
        <v>0</v>
      </c>
      <c r="L153" s="377"/>
    </row>
    <row r="154" spans="1:12" s="93" customFormat="1">
      <c r="A154" s="325" t="s">
        <v>512</v>
      </c>
      <c r="B154" s="328"/>
      <c r="C154" s="328"/>
      <c r="D154" s="542"/>
      <c r="E154" s="330"/>
      <c r="F154" s="331"/>
      <c r="G154" s="332"/>
      <c r="H154" s="483"/>
      <c r="I154" s="335"/>
      <c r="J154" s="335"/>
      <c r="K154" s="296">
        <f t="shared" si="4"/>
        <v>0</v>
      </c>
      <c r="L154" s="377"/>
    </row>
    <row r="155" spans="1:12" s="93" customFormat="1">
      <c r="A155" s="325" t="s">
        <v>511</v>
      </c>
      <c r="B155" s="328"/>
      <c r="C155" s="328"/>
      <c r="D155" s="542"/>
      <c r="E155" s="330"/>
      <c r="F155" s="331"/>
      <c r="G155" s="332"/>
      <c r="H155" s="483"/>
      <c r="I155" s="335"/>
      <c r="J155" s="335"/>
      <c r="K155" s="296">
        <f t="shared" si="4"/>
        <v>0</v>
      </c>
      <c r="L155" s="377"/>
    </row>
    <row r="156" spans="1:12" s="93" customFormat="1">
      <c r="A156" s="325" t="s">
        <v>511</v>
      </c>
      <c r="B156" s="328"/>
      <c r="C156" s="328"/>
      <c r="D156" s="542"/>
      <c r="E156" s="330"/>
      <c r="F156" s="331"/>
      <c r="G156" s="332"/>
      <c r="H156" s="483"/>
      <c r="I156" s="335"/>
      <c r="J156" s="335"/>
      <c r="K156" s="296">
        <f t="shared" si="4"/>
        <v>0</v>
      </c>
      <c r="L156" s="377"/>
    </row>
    <row r="157" spans="1:12" s="93" customFormat="1">
      <c r="A157" s="325" t="s">
        <v>511</v>
      </c>
      <c r="B157" s="328"/>
      <c r="C157" s="328"/>
      <c r="D157" s="542"/>
      <c r="E157" s="330"/>
      <c r="F157" s="331"/>
      <c r="G157" s="332"/>
      <c r="H157" s="483"/>
      <c r="I157" s="335"/>
      <c r="J157" s="335"/>
      <c r="K157" s="296">
        <f t="shared" si="4"/>
        <v>0</v>
      </c>
      <c r="L157" s="377"/>
    </row>
    <row r="158" spans="1:12" s="93" customFormat="1">
      <c r="A158" s="325" t="s">
        <v>512</v>
      </c>
      <c r="B158" s="328"/>
      <c r="C158" s="328"/>
      <c r="D158" s="542"/>
      <c r="E158" s="330"/>
      <c r="F158" s="331"/>
      <c r="G158" s="332"/>
      <c r="H158" s="483"/>
      <c r="I158" s="335"/>
      <c r="J158" s="335"/>
      <c r="K158" s="296">
        <f t="shared" si="4"/>
        <v>0</v>
      </c>
      <c r="L158" s="377"/>
    </row>
    <row r="159" spans="1:12" s="93" customFormat="1">
      <c r="A159" s="325" t="s">
        <v>512</v>
      </c>
      <c r="B159" s="328"/>
      <c r="C159" s="328"/>
      <c r="D159" s="542"/>
      <c r="E159" s="330"/>
      <c r="F159" s="331"/>
      <c r="G159" s="332"/>
      <c r="H159" s="483"/>
      <c r="I159" s="335"/>
      <c r="J159" s="335"/>
      <c r="K159" s="296">
        <f t="shared" si="4"/>
        <v>0</v>
      </c>
      <c r="L159" s="377"/>
    </row>
    <row r="160" spans="1:12" s="93" customFormat="1">
      <c r="A160" s="325" t="s">
        <v>511</v>
      </c>
      <c r="B160" s="328"/>
      <c r="C160" s="328"/>
      <c r="D160" s="542"/>
      <c r="E160" s="330"/>
      <c r="F160" s="331"/>
      <c r="G160" s="332"/>
      <c r="H160" s="483"/>
      <c r="I160" s="335"/>
      <c r="J160" s="335"/>
      <c r="K160" s="296">
        <f t="shared" si="4"/>
        <v>0</v>
      </c>
      <c r="L160" s="377"/>
    </row>
    <row r="161" spans="1:12" s="93" customFormat="1">
      <c r="A161" s="325" t="s">
        <v>511</v>
      </c>
      <c r="B161" s="328"/>
      <c r="C161" s="328"/>
      <c r="D161" s="542"/>
      <c r="E161" s="330"/>
      <c r="F161" s="331"/>
      <c r="G161" s="332"/>
      <c r="H161" s="483"/>
      <c r="I161" s="335"/>
      <c r="J161" s="335"/>
      <c r="K161" s="296">
        <f t="shared" si="4"/>
        <v>0</v>
      </c>
      <c r="L161" s="377"/>
    </row>
    <row r="162" spans="1:12" s="93" customFormat="1">
      <c r="A162" s="325" t="s">
        <v>511</v>
      </c>
      <c r="B162" s="328"/>
      <c r="C162" s="328"/>
      <c r="D162" s="542"/>
      <c r="E162" s="330"/>
      <c r="F162" s="331"/>
      <c r="G162" s="332"/>
      <c r="H162" s="483"/>
      <c r="I162" s="335"/>
      <c r="J162" s="335"/>
      <c r="K162" s="296">
        <f t="shared" si="4"/>
        <v>0</v>
      </c>
      <c r="L162" s="377"/>
    </row>
    <row r="163" spans="1:12" s="93" customFormat="1">
      <c r="A163" s="325" t="s">
        <v>511</v>
      </c>
      <c r="B163" s="328"/>
      <c r="C163" s="328"/>
      <c r="D163" s="542"/>
      <c r="E163" s="330"/>
      <c r="F163" s="331"/>
      <c r="G163" s="332"/>
      <c r="H163" s="483"/>
      <c r="I163" s="335"/>
      <c r="J163" s="335"/>
      <c r="K163" s="296">
        <f t="shared" si="4"/>
        <v>0</v>
      </c>
      <c r="L163" s="377"/>
    </row>
    <row r="164" spans="1:12" s="93" customFormat="1">
      <c r="A164" s="325" t="s">
        <v>511</v>
      </c>
      <c r="B164" s="328"/>
      <c r="C164" s="328"/>
      <c r="D164" s="542"/>
      <c r="E164" s="330"/>
      <c r="F164" s="331"/>
      <c r="G164" s="332"/>
      <c r="H164" s="483"/>
      <c r="I164" s="335"/>
      <c r="J164" s="335"/>
      <c r="K164" s="296">
        <f t="shared" si="4"/>
        <v>0</v>
      </c>
      <c r="L164" s="377"/>
    </row>
    <row r="165" spans="1:12" s="93" customFormat="1">
      <c r="A165" s="325" t="s">
        <v>511</v>
      </c>
      <c r="B165" s="328"/>
      <c r="C165" s="328"/>
      <c r="D165" s="542"/>
      <c r="E165" s="330"/>
      <c r="F165" s="331"/>
      <c r="G165" s="332"/>
      <c r="H165" s="483"/>
      <c r="I165" s="335"/>
      <c r="J165" s="335"/>
      <c r="K165" s="296">
        <f t="shared" si="4"/>
        <v>0</v>
      </c>
      <c r="L165" s="377"/>
    </row>
    <row r="166" spans="1:12" s="93" customFormat="1">
      <c r="A166" s="325" t="s">
        <v>511</v>
      </c>
      <c r="B166" s="328"/>
      <c r="C166" s="328"/>
      <c r="D166" s="542"/>
      <c r="E166" s="330"/>
      <c r="F166" s="331"/>
      <c r="G166" s="332"/>
      <c r="H166" s="483"/>
      <c r="I166" s="335"/>
      <c r="J166" s="335"/>
      <c r="K166" s="296">
        <f t="shared" si="4"/>
        <v>0</v>
      </c>
      <c r="L166" s="377"/>
    </row>
    <row r="167" spans="1:12" s="93" customFormat="1">
      <c r="A167" s="325" t="s">
        <v>511</v>
      </c>
      <c r="B167" s="328"/>
      <c r="C167" s="328"/>
      <c r="D167" s="542"/>
      <c r="E167" s="330"/>
      <c r="F167" s="331"/>
      <c r="G167" s="332"/>
      <c r="H167" s="483"/>
      <c r="I167" s="335"/>
      <c r="J167" s="335"/>
      <c r="K167" s="296">
        <f t="shared" si="4"/>
        <v>0</v>
      </c>
      <c r="L167" s="377"/>
    </row>
    <row r="168" spans="1:12" s="93" customFormat="1">
      <c r="A168" s="325" t="s">
        <v>511</v>
      </c>
      <c r="B168" s="328"/>
      <c r="C168" s="328"/>
      <c r="D168" s="542"/>
      <c r="E168" s="330"/>
      <c r="F168" s="331"/>
      <c r="G168" s="332"/>
      <c r="H168" s="483"/>
      <c r="I168" s="335"/>
      <c r="J168" s="335"/>
      <c r="K168" s="296">
        <f t="shared" si="4"/>
        <v>0</v>
      </c>
      <c r="L168" s="377"/>
    </row>
    <row r="169" spans="1:12" s="93" customFormat="1">
      <c r="A169" s="325" t="s">
        <v>511</v>
      </c>
      <c r="B169" s="328"/>
      <c r="C169" s="328"/>
      <c r="D169" s="542"/>
      <c r="E169" s="330"/>
      <c r="F169" s="331"/>
      <c r="G169" s="332"/>
      <c r="H169" s="483"/>
      <c r="I169" s="335"/>
      <c r="J169" s="335"/>
      <c r="K169" s="296">
        <f t="shared" si="4"/>
        <v>0</v>
      </c>
      <c r="L169" s="377"/>
    </row>
    <row r="170" spans="1:12" s="93" customFormat="1">
      <c r="A170" s="325" t="s">
        <v>511</v>
      </c>
      <c r="B170" s="328"/>
      <c r="C170" s="328"/>
      <c r="D170" s="542"/>
      <c r="E170" s="330"/>
      <c r="F170" s="331"/>
      <c r="G170" s="332"/>
      <c r="H170" s="483"/>
      <c r="I170" s="335"/>
      <c r="J170" s="335"/>
      <c r="K170" s="296">
        <f t="shared" si="4"/>
        <v>0</v>
      </c>
      <c r="L170" s="377"/>
    </row>
    <row r="171" spans="1:12" s="93" customFormat="1">
      <c r="A171" s="325" t="s">
        <v>511</v>
      </c>
      <c r="B171" s="328"/>
      <c r="C171" s="328"/>
      <c r="D171" s="542"/>
      <c r="E171" s="330"/>
      <c r="F171" s="331"/>
      <c r="G171" s="332"/>
      <c r="H171" s="483"/>
      <c r="I171" s="335"/>
      <c r="J171" s="335"/>
      <c r="K171" s="296">
        <f t="shared" si="4"/>
        <v>0</v>
      </c>
      <c r="L171" s="377"/>
    </row>
    <row r="172" spans="1:12" s="93" customFormat="1">
      <c r="A172" s="325" t="s">
        <v>511</v>
      </c>
      <c r="B172" s="328"/>
      <c r="C172" s="328"/>
      <c r="D172" s="542"/>
      <c r="E172" s="330"/>
      <c r="F172" s="331"/>
      <c r="G172" s="332"/>
      <c r="H172" s="483"/>
      <c r="I172" s="335"/>
      <c r="J172" s="335"/>
      <c r="K172" s="296">
        <f t="shared" si="4"/>
        <v>0</v>
      </c>
      <c r="L172" s="377"/>
    </row>
    <row r="173" spans="1:12" s="270" customFormat="1">
      <c r="A173" s="325" t="s">
        <v>511</v>
      </c>
      <c r="B173" s="328"/>
      <c r="C173" s="328"/>
      <c r="D173" s="542"/>
      <c r="E173" s="330"/>
      <c r="F173" s="331"/>
      <c r="G173" s="332"/>
      <c r="H173" s="483"/>
      <c r="I173" s="335"/>
      <c r="J173" s="335"/>
      <c r="K173" s="296">
        <f t="shared" si="4"/>
        <v>0</v>
      </c>
      <c r="L173" s="381" t="s">
        <v>374</v>
      </c>
    </row>
    <row r="174" spans="1:12" s="270" customFormat="1">
      <c r="A174" s="325" t="s">
        <v>511</v>
      </c>
      <c r="B174" s="328"/>
      <c r="C174" s="328"/>
      <c r="D174" s="542"/>
      <c r="E174" s="330"/>
      <c r="F174" s="331"/>
      <c r="G174" s="332"/>
      <c r="H174" s="483"/>
      <c r="I174" s="335"/>
      <c r="J174" s="335"/>
      <c r="K174" s="296">
        <f t="shared" si="4"/>
        <v>0</v>
      </c>
      <c r="L174" s="381"/>
    </row>
    <row r="175" spans="1:12" s="270" customFormat="1">
      <c r="A175" s="325" t="s">
        <v>511</v>
      </c>
      <c r="B175" s="328"/>
      <c r="C175" s="328"/>
      <c r="D175" s="542"/>
      <c r="E175" s="330"/>
      <c r="F175" s="331"/>
      <c r="G175" s="332"/>
      <c r="H175" s="483"/>
      <c r="I175" s="335"/>
      <c r="J175" s="335"/>
      <c r="K175" s="296">
        <f t="shared" si="4"/>
        <v>0</v>
      </c>
      <c r="L175" s="381"/>
    </row>
    <row r="176" spans="1:12" s="270" customFormat="1">
      <c r="A176" s="325" t="s">
        <v>511</v>
      </c>
      <c r="B176" s="328"/>
      <c r="C176" s="328"/>
      <c r="D176" s="542"/>
      <c r="E176" s="330"/>
      <c r="F176" s="331"/>
      <c r="G176" s="332"/>
      <c r="H176" s="483"/>
      <c r="I176" s="335"/>
      <c r="J176" s="335"/>
      <c r="K176" s="296">
        <f t="shared" si="4"/>
        <v>0</v>
      </c>
      <c r="L176" s="381"/>
    </row>
    <row r="177" spans="1:17" s="93" customFormat="1">
      <c r="A177" s="325" t="s">
        <v>511</v>
      </c>
      <c r="B177" s="328"/>
      <c r="C177" s="328"/>
      <c r="D177" s="542"/>
      <c r="E177" s="330"/>
      <c r="F177" s="331"/>
      <c r="G177" s="332"/>
      <c r="H177" s="483"/>
      <c r="I177" s="335"/>
      <c r="J177" s="335"/>
      <c r="K177" s="296">
        <f t="shared" si="4"/>
        <v>0</v>
      </c>
      <c r="L177" s="377"/>
      <c r="M177"/>
      <c r="N177"/>
      <c r="O177"/>
      <c r="P177"/>
      <c r="Q177"/>
    </row>
    <row r="178" spans="1:17">
      <c r="A178" s="325" t="s">
        <v>511</v>
      </c>
      <c r="B178" s="328"/>
      <c r="C178" s="328"/>
      <c r="D178" s="542"/>
      <c r="E178" s="330"/>
      <c r="F178" s="331"/>
      <c r="G178" s="332"/>
      <c r="H178" s="483"/>
      <c r="I178" s="335"/>
      <c r="J178" s="335"/>
      <c r="K178" s="296">
        <f t="shared" si="4"/>
        <v>0</v>
      </c>
    </row>
    <row r="179" spans="1:17">
      <c r="A179" s="325" t="s">
        <v>511</v>
      </c>
      <c r="B179" s="328"/>
      <c r="C179" s="328"/>
      <c r="D179" s="542"/>
      <c r="E179" s="330"/>
      <c r="F179" s="331"/>
      <c r="G179" s="332"/>
      <c r="H179" s="483"/>
      <c r="I179" s="335"/>
      <c r="J179" s="335"/>
      <c r="K179" s="296">
        <f t="shared" si="4"/>
        <v>0</v>
      </c>
    </row>
    <row r="180" spans="1:17">
      <c r="A180" s="325" t="s">
        <v>511</v>
      </c>
      <c r="B180" s="328"/>
      <c r="C180" s="328"/>
      <c r="D180" s="542"/>
      <c r="E180" s="330"/>
      <c r="F180" s="331"/>
      <c r="G180" s="332"/>
      <c r="H180" s="483"/>
      <c r="I180" s="335"/>
      <c r="J180" s="335"/>
      <c r="K180" s="296">
        <f t="shared" si="4"/>
        <v>0</v>
      </c>
    </row>
    <row r="181" spans="1:17">
      <c r="A181" s="325" t="s">
        <v>511</v>
      </c>
      <c r="B181" s="328"/>
      <c r="C181" s="328"/>
      <c r="D181" s="542"/>
      <c r="E181" s="330"/>
      <c r="F181" s="331"/>
      <c r="G181" s="332"/>
      <c r="H181" s="483"/>
      <c r="I181" s="335"/>
      <c r="J181" s="335"/>
      <c r="K181" s="296">
        <f t="shared" si="4"/>
        <v>0</v>
      </c>
    </row>
    <row r="182" spans="1:17">
      <c r="A182" s="325" t="s">
        <v>511</v>
      </c>
      <c r="B182" s="328"/>
      <c r="C182" s="328"/>
      <c r="D182" s="542"/>
      <c r="E182" s="330"/>
      <c r="F182" s="331"/>
      <c r="G182" s="332"/>
      <c r="H182" s="483"/>
      <c r="I182" s="335"/>
      <c r="J182" s="335"/>
      <c r="K182" s="296">
        <f t="shared" si="4"/>
        <v>0</v>
      </c>
    </row>
    <row r="183" spans="1:17">
      <c r="A183" s="325" t="s">
        <v>511</v>
      </c>
      <c r="B183" s="328"/>
      <c r="C183" s="328"/>
      <c r="D183" s="542"/>
      <c r="E183" s="330"/>
      <c r="F183" s="331"/>
      <c r="G183" s="332"/>
      <c r="H183" s="483"/>
      <c r="I183" s="335"/>
      <c r="J183" s="335"/>
      <c r="K183" s="296">
        <f t="shared" si="4"/>
        <v>0</v>
      </c>
    </row>
    <row r="184" spans="1:17">
      <c r="A184" s="325" t="s">
        <v>511</v>
      </c>
      <c r="B184" s="328"/>
      <c r="C184" s="328"/>
      <c r="D184" s="542"/>
      <c r="E184" s="330"/>
      <c r="F184" s="331"/>
      <c r="G184" s="332"/>
      <c r="H184" s="483"/>
      <c r="I184" s="335"/>
      <c r="J184" s="335"/>
      <c r="K184" s="296">
        <f t="shared" si="4"/>
        <v>0</v>
      </c>
    </row>
    <row r="185" spans="1:17">
      <c r="A185" s="325" t="s">
        <v>511</v>
      </c>
      <c r="B185" s="328"/>
      <c r="C185" s="328"/>
      <c r="D185" s="542"/>
      <c r="E185" s="330"/>
      <c r="F185" s="331"/>
      <c r="G185" s="332"/>
      <c r="H185" s="483"/>
      <c r="I185" s="335"/>
      <c r="J185" s="335"/>
      <c r="K185" s="296">
        <f t="shared" si="4"/>
        <v>0</v>
      </c>
    </row>
    <row r="186" spans="1:17">
      <c r="A186" s="325" t="s">
        <v>511</v>
      </c>
      <c r="B186" s="328"/>
      <c r="C186" s="328"/>
      <c r="D186" s="542"/>
      <c r="E186" s="330"/>
      <c r="F186" s="331"/>
      <c r="G186" s="332"/>
      <c r="H186" s="483"/>
      <c r="I186" s="335"/>
      <c r="J186" s="335"/>
      <c r="K186" s="296">
        <f t="shared" si="4"/>
        <v>0</v>
      </c>
    </row>
    <row r="187" spans="1:17">
      <c r="A187" s="325" t="s">
        <v>511</v>
      </c>
      <c r="B187" s="328"/>
      <c r="C187" s="328"/>
      <c r="D187" s="542"/>
      <c r="E187" s="330"/>
      <c r="F187" s="331"/>
      <c r="G187" s="332"/>
      <c r="H187" s="483"/>
      <c r="I187" s="335"/>
      <c r="J187" s="335"/>
      <c r="K187" s="296">
        <f t="shared" si="4"/>
        <v>0</v>
      </c>
    </row>
    <row r="188" spans="1:17">
      <c r="A188" s="325" t="s">
        <v>511</v>
      </c>
      <c r="B188" s="328"/>
      <c r="C188" s="328"/>
      <c r="D188" s="542"/>
      <c r="E188" s="330"/>
      <c r="F188" s="331"/>
      <c r="G188" s="332"/>
      <c r="H188" s="483"/>
      <c r="I188" s="335"/>
      <c r="J188" s="335"/>
      <c r="K188" s="296">
        <f t="shared" si="4"/>
        <v>0</v>
      </c>
    </row>
    <row r="189" spans="1:17">
      <c r="A189" s="325" t="s">
        <v>511</v>
      </c>
      <c r="B189" s="328"/>
      <c r="C189" s="328"/>
      <c r="D189" s="542"/>
      <c r="E189" s="330"/>
      <c r="F189" s="331"/>
      <c r="G189" s="332"/>
      <c r="H189" s="483"/>
      <c r="I189" s="335"/>
      <c r="J189" s="335"/>
      <c r="K189" s="296">
        <f t="shared" si="4"/>
        <v>0</v>
      </c>
    </row>
    <row r="190" spans="1:17">
      <c r="A190" s="325" t="s">
        <v>511</v>
      </c>
      <c r="B190" s="328"/>
      <c r="C190" s="328"/>
      <c r="D190" s="542"/>
      <c r="E190" s="330"/>
      <c r="F190" s="331"/>
      <c r="G190" s="332"/>
      <c r="H190" s="483"/>
      <c r="I190" s="335"/>
      <c r="J190" s="335"/>
      <c r="K190" s="296">
        <f t="shared" si="4"/>
        <v>0</v>
      </c>
    </row>
    <row r="191" spans="1:17">
      <c r="A191" s="325" t="s">
        <v>511</v>
      </c>
      <c r="B191" s="328"/>
      <c r="C191" s="328"/>
      <c r="D191" s="542"/>
      <c r="E191" s="330"/>
      <c r="F191" s="331"/>
      <c r="G191" s="332"/>
      <c r="H191" s="483"/>
      <c r="I191" s="335"/>
      <c r="J191" s="335"/>
      <c r="K191" s="296">
        <f t="shared" si="4"/>
        <v>0</v>
      </c>
    </row>
    <row r="192" spans="1:17">
      <c r="A192" s="325" t="s">
        <v>511</v>
      </c>
      <c r="B192" s="328"/>
      <c r="C192" s="328"/>
      <c r="D192" s="542"/>
      <c r="E192" s="330"/>
      <c r="F192" s="331"/>
      <c r="G192" s="332"/>
      <c r="H192" s="483"/>
      <c r="I192" s="335"/>
      <c r="J192" s="335"/>
      <c r="K192" s="296">
        <f t="shared" si="4"/>
        <v>0</v>
      </c>
    </row>
    <row r="193" spans="1:11">
      <c r="A193" s="325" t="s">
        <v>511</v>
      </c>
      <c r="B193" s="328"/>
      <c r="C193" s="328"/>
      <c r="D193" s="542"/>
      <c r="E193" s="330"/>
      <c r="F193" s="331"/>
      <c r="G193" s="332"/>
      <c r="H193" s="483"/>
      <c r="I193" s="335"/>
      <c r="J193" s="335"/>
      <c r="K193" s="296">
        <f t="shared" si="4"/>
        <v>0</v>
      </c>
    </row>
    <row r="194" spans="1:11">
      <c r="A194" s="325" t="s">
        <v>511</v>
      </c>
      <c r="B194" s="328"/>
      <c r="C194" s="328"/>
      <c r="D194" s="542"/>
      <c r="E194" s="330"/>
      <c r="F194" s="331"/>
      <c r="G194" s="332"/>
      <c r="H194" s="483"/>
      <c r="I194" s="335"/>
      <c r="J194" s="335"/>
      <c r="K194" s="296">
        <f t="shared" si="4"/>
        <v>0</v>
      </c>
    </row>
    <row r="195" spans="1:11">
      <c r="A195" s="325" t="s">
        <v>511</v>
      </c>
      <c r="B195" s="328"/>
      <c r="C195" s="328"/>
      <c r="D195" s="542"/>
      <c r="E195" s="330"/>
      <c r="F195" s="331"/>
      <c r="G195" s="332"/>
      <c r="H195" s="483"/>
      <c r="I195" s="335"/>
      <c r="J195" s="335"/>
      <c r="K195" s="296">
        <f t="shared" si="4"/>
        <v>0</v>
      </c>
    </row>
    <row r="196" spans="1:11">
      <c r="A196" s="325" t="s">
        <v>511</v>
      </c>
      <c r="B196" s="328"/>
      <c r="C196" s="328"/>
      <c r="D196" s="542"/>
      <c r="E196" s="330"/>
      <c r="F196" s="331"/>
      <c r="G196" s="332"/>
      <c r="H196" s="483"/>
      <c r="I196" s="335"/>
      <c r="J196" s="335"/>
      <c r="K196" s="296">
        <f t="shared" si="4"/>
        <v>0</v>
      </c>
    </row>
    <row r="197" spans="1:11">
      <c r="A197" s="325" t="s">
        <v>511</v>
      </c>
      <c r="B197" s="328"/>
      <c r="C197" s="328"/>
      <c r="D197" s="542"/>
      <c r="E197" s="330"/>
      <c r="F197" s="331"/>
      <c r="G197" s="332"/>
      <c r="H197" s="483"/>
      <c r="I197" s="335"/>
      <c r="J197" s="335"/>
      <c r="K197" s="296">
        <f t="shared" si="4"/>
        <v>0</v>
      </c>
    </row>
    <row r="198" spans="1:11">
      <c r="A198" s="325" t="s">
        <v>511</v>
      </c>
      <c r="B198" s="328"/>
      <c r="C198" s="328"/>
      <c r="D198" s="542"/>
      <c r="E198" s="330"/>
      <c r="F198" s="331"/>
      <c r="G198" s="332"/>
      <c r="H198" s="483"/>
      <c r="I198" s="335"/>
      <c r="J198" s="335"/>
      <c r="K198" s="296">
        <f t="shared" si="4"/>
        <v>0</v>
      </c>
    </row>
    <row r="199" spans="1:11">
      <c r="A199" s="325" t="s">
        <v>511</v>
      </c>
      <c r="B199" s="328"/>
      <c r="C199" s="328"/>
      <c r="D199" s="542"/>
      <c r="E199" s="330"/>
      <c r="F199" s="331"/>
      <c r="G199" s="332"/>
      <c r="H199" s="483"/>
      <c r="I199" s="335"/>
      <c r="J199" s="335"/>
      <c r="K199" s="296">
        <f t="shared" si="4"/>
        <v>0</v>
      </c>
    </row>
    <row r="200" spans="1:11">
      <c r="A200" s="325" t="s">
        <v>511</v>
      </c>
      <c r="B200" s="328"/>
      <c r="C200" s="328"/>
      <c r="D200" s="542"/>
      <c r="E200" s="330"/>
      <c r="F200" s="331"/>
      <c r="G200" s="332"/>
      <c r="H200" s="483"/>
      <c r="I200" s="335"/>
      <c r="J200" s="335"/>
      <c r="K200" s="296">
        <f t="shared" si="4"/>
        <v>0</v>
      </c>
    </row>
    <row r="201" spans="1:11">
      <c r="A201" s="325" t="s">
        <v>511</v>
      </c>
      <c r="B201" s="328"/>
      <c r="C201" s="328"/>
      <c r="D201" s="542"/>
      <c r="E201" s="330"/>
      <c r="F201" s="331"/>
      <c r="G201" s="332"/>
      <c r="H201" s="483"/>
      <c r="I201" s="335"/>
      <c r="J201" s="335"/>
      <c r="K201" s="296">
        <f t="shared" si="4"/>
        <v>0</v>
      </c>
    </row>
    <row r="202" spans="1:11">
      <c r="A202" s="325" t="s">
        <v>511</v>
      </c>
      <c r="B202" s="328"/>
      <c r="C202" s="328"/>
      <c r="D202" s="542"/>
      <c r="E202" s="330"/>
      <c r="F202" s="331"/>
      <c r="G202" s="332"/>
      <c r="H202" s="483"/>
      <c r="I202" s="335"/>
      <c r="J202" s="335"/>
      <c r="K202" s="296">
        <f t="shared" si="4"/>
        <v>0</v>
      </c>
    </row>
    <row r="203" spans="1:11">
      <c r="A203" s="325" t="s">
        <v>511</v>
      </c>
      <c r="B203" s="328"/>
      <c r="C203" s="328"/>
      <c r="D203" s="542"/>
      <c r="E203" s="330"/>
      <c r="F203" s="331"/>
      <c r="G203" s="332"/>
      <c r="H203" s="483"/>
      <c r="I203" s="335"/>
      <c r="J203" s="335"/>
      <c r="K203" s="296">
        <f t="shared" si="4"/>
        <v>0</v>
      </c>
    </row>
    <row r="204" spans="1:11">
      <c r="A204" s="325" t="s">
        <v>511</v>
      </c>
      <c r="B204" s="328"/>
      <c r="C204" s="328"/>
      <c r="D204" s="542"/>
      <c r="E204" s="330"/>
      <c r="F204" s="331"/>
      <c r="G204" s="332"/>
      <c r="H204" s="483"/>
      <c r="I204" s="335"/>
      <c r="J204" s="335"/>
      <c r="K204" s="296">
        <f t="shared" si="4"/>
        <v>0</v>
      </c>
    </row>
    <row r="205" spans="1:11">
      <c r="A205" s="325" t="s">
        <v>511</v>
      </c>
      <c r="B205" s="328"/>
      <c r="C205" s="328"/>
      <c r="D205" s="542"/>
      <c r="E205" s="330"/>
      <c r="F205" s="331"/>
      <c r="G205" s="332"/>
      <c r="H205" s="483"/>
      <c r="I205" s="335"/>
      <c r="J205" s="335"/>
      <c r="K205" s="296">
        <f t="shared" si="4"/>
        <v>0</v>
      </c>
    </row>
    <row r="206" spans="1:11">
      <c r="A206" s="325" t="s">
        <v>511</v>
      </c>
      <c r="B206" s="328"/>
      <c r="C206" s="328"/>
      <c r="D206" s="542"/>
      <c r="E206" s="330"/>
      <c r="F206" s="331"/>
      <c r="G206" s="332"/>
      <c r="H206" s="483"/>
      <c r="I206" s="335"/>
      <c r="J206" s="335"/>
      <c r="K206" s="296">
        <f t="shared" si="4"/>
        <v>0</v>
      </c>
    </row>
    <row r="207" spans="1:11">
      <c r="A207" s="325" t="s">
        <v>511</v>
      </c>
      <c r="B207" s="328"/>
      <c r="C207" s="328"/>
      <c r="D207" s="542"/>
      <c r="E207" s="330"/>
      <c r="F207" s="331"/>
      <c r="G207" s="332"/>
      <c r="H207" s="483"/>
      <c r="I207" s="335"/>
      <c r="J207" s="335"/>
      <c r="K207" s="296">
        <f t="shared" si="4"/>
        <v>0</v>
      </c>
    </row>
    <row r="208" spans="1:11">
      <c r="A208" s="325" t="s">
        <v>526</v>
      </c>
      <c r="B208" s="328"/>
      <c r="C208" s="328"/>
      <c r="D208" s="542"/>
      <c r="E208" s="330"/>
      <c r="F208" s="331"/>
      <c r="G208" s="332"/>
      <c r="H208" s="483"/>
      <c r="I208" s="335"/>
      <c r="J208" s="335"/>
      <c r="K208" s="296">
        <f t="shared" si="4"/>
        <v>0</v>
      </c>
    </row>
    <row r="209" spans="1:11">
      <c r="A209" s="325" t="s">
        <v>526</v>
      </c>
      <c r="B209" s="328"/>
      <c r="C209" s="328"/>
      <c r="D209" s="542"/>
      <c r="E209" s="330"/>
      <c r="F209" s="331"/>
      <c r="G209" s="332"/>
      <c r="H209" s="483"/>
      <c r="I209" s="335"/>
      <c r="J209" s="335"/>
      <c r="K209" s="296">
        <f t="shared" si="4"/>
        <v>0</v>
      </c>
    </row>
    <row r="210" spans="1:11">
      <c r="A210" s="325" t="s">
        <v>526</v>
      </c>
      <c r="B210" s="328"/>
      <c r="C210" s="328"/>
      <c r="D210" s="542"/>
      <c r="E210" s="330"/>
      <c r="F210" s="331"/>
      <c r="G210" s="332"/>
      <c r="H210" s="483"/>
      <c r="I210" s="335"/>
      <c r="J210" s="335"/>
      <c r="K210" s="296">
        <f t="shared" si="4"/>
        <v>0</v>
      </c>
    </row>
    <row r="211" spans="1:11">
      <c r="A211" s="325" t="s">
        <v>526</v>
      </c>
      <c r="B211" s="328"/>
      <c r="C211" s="328"/>
      <c r="D211" s="542"/>
      <c r="E211" s="330"/>
      <c r="F211" s="331"/>
      <c r="G211" s="332"/>
      <c r="H211" s="483"/>
      <c r="I211" s="335"/>
      <c r="J211" s="335"/>
      <c r="K211" s="296">
        <f t="shared" si="4"/>
        <v>0</v>
      </c>
    </row>
    <row r="212" spans="1:11">
      <c r="A212" s="325" t="s">
        <v>526</v>
      </c>
      <c r="B212" s="328"/>
      <c r="C212" s="328"/>
      <c r="D212" s="542"/>
      <c r="E212" s="330"/>
      <c r="F212" s="331"/>
      <c r="G212" s="332"/>
      <c r="H212" s="483"/>
      <c r="I212" s="335"/>
      <c r="J212" s="335"/>
      <c r="K212" s="296">
        <f t="shared" si="4"/>
        <v>0</v>
      </c>
    </row>
    <row r="213" spans="1:11">
      <c r="A213" s="325" t="s">
        <v>526</v>
      </c>
      <c r="B213" s="328"/>
      <c r="C213" s="328"/>
      <c r="D213" s="542"/>
      <c r="E213" s="330"/>
      <c r="F213" s="331"/>
      <c r="G213" s="332"/>
      <c r="H213" s="483"/>
      <c r="I213" s="335"/>
      <c r="J213" s="335"/>
      <c r="K213" s="296">
        <f t="shared" ref="K213:K230" si="5">IF(LEFT(A213,2)="TU",(J213-I213)*E213/100*100000*2,(J213-I213)*E213/100*100000)</f>
        <v>0</v>
      </c>
    </row>
    <row r="214" spans="1:11">
      <c r="A214" s="325" t="s">
        <v>526</v>
      </c>
      <c r="B214" s="328"/>
      <c r="C214" s="328"/>
      <c r="D214" s="542"/>
      <c r="E214" s="330"/>
      <c r="F214" s="331"/>
      <c r="G214" s="332"/>
      <c r="H214" s="483"/>
      <c r="I214" s="335"/>
      <c r="J214" s="335"/>
      <c r="K214" s="296">
        <f t="shared" si="5"/>
        <v>0</v>
      </c>
    </row>
    <row r="215" spans="1:11">
      <c r="A215" s="325" t="s">
        <v>526</v>
      </c>
      <c r="B215" s="328"/>
      <c r="C215" s="328"/>
      <c r="D215" s="542"/>
      <c r="E215" s="330"/>
      <c r="F215" s="331"/>
      <c r="G215" s="332"/>
      <c r="H215" s="483"/>
      <c r="I215" s="335"/>
      <c r="J215" s="335"/>
      <c r="K215" s="296">
        <f t="shared" si="5"/>
        <v>0</v>
      </c>
    </row>
    <row r="216" spans="1:11">
      <c r="A216" s="325" t="s">
        <v>526</v>
      </c>
      <c r="B216" s="328"/>
      <c r="C216" s="328"/>
      <c r="D216" s="542"/>
      <c r="E216" s="330"/>
      <c r="F216" s="331"/>
      <c r="G216" s="332"/>
      <c r="H216" s="483"/>
      <c r="I216" s="335"/>
      <c r="J216" s="335"/>
      <c r="K216" s="296">
        <f t="shared" si="5"/>
        <v>0</v>
      </c>
    </row>
    <row r="217" spans="1:11">
      <c r="A217" s="325" t="s">
        <v>526</v>
      </c>
      <c r="B217" s="328"/>
      <c r="C217" s="328"/>
      <c r="D217" s="542"/>
      <c r="E217" s="330"/>
      <c r="F217" s="331"/>
      <c r="G217" s="332"/>
      <c r="H217" s="483"/>
      <c r="I217" s="335"/>
      <c r="J217" s="335"/>
      <c r="K217" s="296">
        <f t="shared" si="5"/>
        <v>0</v>
      </c>
    </row>
    <row r="218" spans="1:11">
      <c r="A218" s="325" t="s">
        <v>526</v>
      </c>
      <c r="B218" s="328"/>
      <c r="C218" s="328"/>
      <c r="D218" s="542"/>
      <c r="E218" s="330"/>
      <c r="F218" s="331"/>
      <c r="G218" s="332"/>
      <c r="H218" s="483"/>
      <c r="I218" s="335"/>
      <c r="J218" s="335"/>
      <c r="K218" s="296">
        <f t="shared" si="5"/>
        <v>0</v>
      </c>
    </row>
    <row r="219" spans="1:11">
      <c r="A219" s="325" t="s">
        <v>526</v>
      </c>
      <c r="B219" s="328"/>
      <c r="C219" s="328"/>
      <c r="D219" s="542"/>
      <c r="E219" s="330"/>
      <c r="F219" s="331"/>
      <c r="G219" s="332"/>
      <c r="H219" s="483"/>
      <c r="I219" s="335"/>
      <c r="J219" s="335"/>
      <c r="K219" s="296">
        <f t="shared" si="5"/>
        <v>0</v>
      </c>
    </row>
    <row r="220" spans="1:11">
      <c r="A220" s="325" t="s">
        <v>526</v>
      </c>
      <c r="B220" s="328"/>
      <c r="C220" s="328"/>
      <c r="D220" s="542"/>
      <c r="E220" s="330"/>
      <c r="F220" s="331"/>
      <c r="G220" s="332"/>
      <c r="H220" s="483"/>
      <c r="I220" s="335"/>
      <c r="J220" s="335"/>
      <c r="K220" s="296">
        <f t="shared" si="5"/>
        <v>0</v>
      </c>
    </row>
    <row r="221" spans="1:11">
      <c r="A221" s="325" t="s">
        <v>526</v>
      </c>
      <c r="B221" s="328"/>
      <c r="C221" s="328"/>
      <c r="D221" s="542"/>
      <c r="E221" s="330"/>
      <c r="F221" s="331"/>
      <c r="G221" s="332"/>
      <c r="H221" s="483"/>
      <c r="I221" s="335"/>
      <c r="J221" s="335"/>
      <c r="K221" s="296">
        <f t="shared" si="5"/>
        <v>0</v>
      </c>
    </row>
    <row r="222" spans="1:11">
      <c r="A222" s="325" t="s">
        <v>528</v>
      </c>
      <c r="B222" s="328"/>
      <c r="C222" s="328"/>
      <c r="D222" s="542"/>
      <c r="E222" s="330"/>
      <c r="F222" s="331"/>
      <c r="G222" s="332"/>
      <c r="H222" s="483"/>
      <c r="I222" s="335"/>
      <c r="J222" s="335"/>
      <c r="K222" s="296">
        <f t="shared" si="5"/>
        <v>0</v>
      </c>
    </row>
    <row r="223" spans="1:11">
      <c r="A223" s="325" t="s">
        <v>528</v>
      </c>
      <c r="B223" s="328"/>
      <c r="C223" s="328"/>
      <c r="D223" s="542"/>
      <c r="E223" s="330"/>
      <c r="F223" s="331"/>
      <c r="G223" s="332"/>
      <c r="H223" s="483"/>
      <c r="I223" s="335"/>
      <c r="J223" s="335"/>
      <c r="K223" s="296">
        <f t="shared" si="5"/>
        <v>0</v>
      </c>
    </row>
    <row r="224" spans="1:11">
      <c r="A224" s="325"/>
      <c r="B224" s="328"/>
      <c r="C224" s="328"/>
      <c r="D224" s="542"/>
      <c r="E224" s="330"/>
      <c r="F224" s="331"/>
      <c r="G224" s="332"/>
      <c r="H224" s="483"/>
      <c r="I224" s="335"/>
      <c r="J224" s="335"/>
      <c r="K224" s="296">
        <f t="shared" si="5"/>
        <v>0</v>
      </c>
    </row>
    <row r="225" spans="1:12">
      <c r="A225" s="325"/>
      <c r="B225" s="328"/>
      <c r="C225" s="328"/>
      <c r="D225" s="542"/>
      <c r="E225" s="330"/>
      <c r="F225" s="331"/>
      <c r="G225" s="332"/>
      <c r="H225" s="483"/>
      <c r="I225" s="335"/>
      <c r="J225" s="335"/>
      <c r="K225" s="296">
        <f t="shared" si="5"/>
        <v>0</v>
      </c>
    </row>
    <row r="226" spans="1:12">
      <c r="A226" s="325"/>
      <c r="B226" s="328"/>
      <c r="C226" s="328"/>
      <c r="D226" s="542"/>
      <c r="E226" s="330"/>
      <c r="F226" s="331"/>
      <c r="G226" s="332"/>
      <c r="H226" s="483"/>
      <c r="I226" s="335"/>
      <c r="J226" s="335"/>
      <c r="K226" s="296">
        <f t="shared" si="5"/>
        <v>0</v>
      </c>
    </row>
    <row r="227" spans="1:12">
      <c r="A227" s="325"/>
      <c r="B227" s="328"/>
      <c r="C227" s="328"/>
      <c r="D227" s="542"/>
      <c r="E227" s="330"/>
      <c r="F227" s="331"/>
      <c r="G227" s="332"/>
      <c r="H227" s="483"/>
      <c r="I227" s="335"/>
      <c r="J227" s="335"/>
      <c r="K227" s="296">
        <f t="shared" si="5"/>
        <v>0</v>
      </c>
    </row>
    <row r="228" spans="1:12">
      <c r="A228" s="325"/>
      <c r="B228" s="328"/>
      <c r="C228" s="328"/>
      <c r="D228" s="542"/>
      <c r="E228" s="330"/>
      <c r="F228" s="331"/>
      <c r="G228" s="332"/>
      <c r="H228" s="483"/>
      <c r="I228" s="335"/>
      <c r="J228" s="335"/>
      <c r="K228" s="296">
        <f t="shared" si="5"/>
        <v>0</v>
      </c>
    </row>
    <row r="229" spans="1:12">
      <c r="A229" s="325"/>
      <c r="B229" s="328"/>
      <c r="C229" s="328"/>
      <c r="D229" s="542"/>
      <c r="E229" s="330"/>
      <c r="F229" s="331"/>
      <c r="G229" s="332"/>
      <c r="H229" s="483"/>
      <c r="I229" s="335"/>
      <c r="J229" s="335"/>
      <c r="K229" s="296">
        <f t="shared" si="5"/>
        <v>0</v>
      </c>
    </row>
    <row r="230" spans="1:12">
      <c r="A230" s="325"/>
      <c r="B230" s="328"/>
      <c r="C230" s="328"/>
      <c r="D230" s="542"/>
      <c r="E230" s="330"/>
      <c r="F230" s="331"/>
      <c r="G230" s="332"/>
      <c r="H230" s="483"/>
      <c r="I230" s="335"/>
      <c r="J230" s="335"/>
      <c r="K230" s="296">
        <f t="shared" si="5"/>
        <v>0</v>
      </c>
      <c r="L230"/>
    </row>
    <row r="231" spans="1:12">
      <c r="A231" s="349" t="s">
        <v>166</v>
      </c>
      <c r="B231" s="350"/>
      <c r="C231" s="351"/>
      <c r="D231" s="545"/>
      <c r="E231" s="352">
        <f>SUM(E21:E25)</f>
        <v>0</v>
      </c>
      <c r="F231" s="352"/>
      <c r="G231" s="354">
        <f>SUM(G21:G25)</f>
        <v>0</v>
      </c>
      <c r="H231" s="486"/>
      <c r="I231" s="356"/>
      <c r="J231" s="357"/>
      <c r="K231" s="358">
        <f>SUM(K21:K230)+L174</f>
        <v>0</v>
      </c>
      <c r="L231"/>
    </row>
    <row r="232" spans="1:12">
      <c r="A232" s="359" t="s">
        <v>169</v>
      </c>
      <c r="B232" s="113"/>
      <c r="C232" s="274"/>
      <c r="D232" s="538"/>
      <c r="E232" s="114"/>
      <c r="F232" s="114"/>
      <c r="G232" s="118"/>
      <c r="H232" s="478"/>
      <c r="I232" s="125"/>
      <c r="J232" s="360"/>
      <c r="K232" s="261"/>
      <c r="L232"/>
    </row>
    <row r="233" spans="1:12">
      <c r="A233" s="206" t="s">
        <v>99</v>
      </c>
      <c r="B233" s="207" t="s">
        <v>7</v>
      </c>
      <c r="C233" s="207" t="s">
        <v>171</v>
      </c>
      <c r="D233" s="535" t="s">
        <v>170</v>
      </c>
      <c r="E233" s="208" t="s">
        <v>11</v>
      </c>
      <c r="F233" s="208"/>
      <c r="G233" s="209" t="s">
        <v>12</v>
      </c>
      <c r="H233" s="482" t="s">
        <v>18</v>
      </c>
      <c r="I233" s="209" t="s">
        <v>210</v>
      </c>
      <c r="J233" s="207" t="s">
        <v>216</v>
      </c>
      <c r="K233" s="260" t="s">
        <v>212</v>
      </c>
      <c r="L233"/>
    </row>
    <row r="234" spans="1:12">
      <c r="A234" s="325" t="s">
        <v>308</v>
      </c>
      <c r="B234" s="328">
        <v>42922</v>
      </c>
      <c r="C234" s="328"/>
      <c r="D234" s="542"/>
      <c r="E234" s="330">
        <v>0</v>
      </c>
      <c r="F234" s="330" t="s">
        <v>304</v>
      </c>
      <c r="G234" s="332">
        <v>0</v>
      </c>
      <c r="H234" s="483">
        <v>2017070600003</v>
      </c>
      <c r="I234" s="335">
        <v>161.69999999999999</v>
      </c>
      <c r="J234" s="335">
        <v>160.93</v>
      </c>
      <c r="K234" s="336">
        <f>(J234-I234)*E234/100*10000</f>
        <v>0</v>
      </c>
      <c r="L234"/>
    </row>
    <row r="235" spans="1:12">
      <c r="A235" s="325" t="s">
        <v>308</v>
      </c>
      <c r="B235" s="328">
        <v>42922</v>
      </c>
      <c r="C235" s="328"/>
      <c r="D235" s="542"/>
      <c r="E235" s="330">
        <v>0</v>
      </c>
      <c r="F235" s="330" t="s">
        <v>304</v>
      </c>
      <c r="G235" s="332">
        <v>0</v>
      </c>
      <c r="H235" s="483">
        <v>2017070600004</v>
      </c>
      <c r="I235" s="335">
        <v>161.5</v>
      </c>
      <c r="J235" s="335">
        <v>160.93</v>
      </c>
      <c r="K235" s="336">
        <f>(J235-I235)*E235/100*10000</f>
        <v>0</v>
      </c>
      <c r="L235"/>
    </row>
    <row r="236" spans="1:12">
      <c r="A236" s="325"/>
      <c r="B236" s="328"/>
      <c r="C236" s="328"/>
      <c r="D236" s="542"/>
      <c r="E236" s="330"/>
      <c r="F236" s="330"/>
      <c r="G236" s="332"/>
      <c r="H236" s="483"/>
      <c r="I236" s="335"/>
      <c r="J236" s="335"/>
      <c r="K236" s="336"/>
      <c r="L236"/>
    </row>
    <row r="237" spans="1:12">
      <c r="A237" s="325"/>
      <c r="B237" s="328"/>
      <c r="C237" s="328"/>
      <c r="D237" s="542"/>
      <c r="E237" s="330"/>
      <c r="F237" s="330"/>
      <c r="G237" s="332"/>
      <c r="H237" s="483"/>
      <c r="I237" s="335"/>
      <c r="J237" s="335"/>
      <c r="K237" s="336"/>
      <c r="L237"/>
    </row>
    <row r="238" spans="1:12">
      <c r="A238" s="325" t="s">
        <v>260</v>
      </c>
      <c r="B238" s="328">
        <v>40835</v>
      </c>
      <c r="C238" s="329"/>
      <c r="D238" s="542"/>
      <c r="E238" s="330">
        <v>0</v>
      </c>
      <c r="F238" s="330"/>
      <c r="G238" s="332">
        <v>0</v>
      </c>
      <c r="H238" s="483"/>
      <c r="I238" s="335">
        <v>135.12</v>
      </c>
      <c r="J238" s="335">
        <v>0</v>
      </c>
      <c r="K238" s="336">
        <f>(J238-I238)*E238/100</f>
        <v>0</v>
      </c>
      <c r="L238"/>
    </row>
    <row r="239" spans="1:12">
      <c r="A239" s="337" t="s">
        <v>167</v>
      </c>
      <c r="B239" s="340">
        <v>39090</v>
      </c>
      <c r="C239" s="341"/>
      <c r="D239" s="543"/>
      <c r="E239" s="342">
        <v>0</v>
      </c>
      <c r="F239" s="342"/>
      <c r="G239" s="344">
        <v>0</v>
      </c>
      <c r="H239" s="484" t="s">
        <v>21</v>
      </c>
      <c r="I239" s="347">
        <v>108.77</v>
      </c>
      <c r="J239" s="347">
        <v>0</v>
      </c>
      <c r="K239" s="348">
        <f>(J239-I239)*E239/100</f>
        <v>0</v>
      </c>
      <c r="L239"/>
    </row>
    <row r="240" spans="1:12">
      <c r="A240" s="337" t="s">
        <v>167</v>
      </c>
      <c r="B240" s="340">
        <v>38954</v>
      </c>
      <c r="C240" s="341"/>
      <c r="D240" s="543"/>
      <c r="E240" s="342">
        <v>0</v>
      </c>
      <c r="F240" s="342"/>
      <c r="G240" s="344">
        <v>0</v>
      </c>
      <c r="H240" s="484"/>
      <c r="I240" s="347">
        <v>109.88</v>
      </c>
      <c r="J240" s="347">
        <v>0</v>
      </c>
      <c r="K240" s="348">
        <f>(J240-I240)*E240/100</f>
        <v>0</v>
      </c>
      <c r="L240"/>
    </row>
    <row r="241" spans="1:12">
      <c r="A241" s="285" t="s">
        <v>168</v>
      </c>
      <c r="B241" s="288">
        <v>39220</v>
      </c>
      <c r="C241" s="289" t="s">
        <v>21</v>
      </c>
      <c r="D241" s="544"/>
      <c r="E241" s="290">
        <v>0</v>
      </c>
      <c r="F241" s="290"/>
      <c r="G241" s="292">
        <v>0</v>
      </c>
      <c r="H241" s="485" t="s">
        <v>21</v>
      </c>
      <c r="I241" s="295">
        <v>102.55500000000001</v>
      </c>
      <c r="J241" s="295">
        <v>0</v>
      </c>
      <c r="K241" s="296">
        <f>(J241-I241)*E241/100</f>
        <v>0</v>
      </c>
      <c r="L241"/>
    </row>
    <row r="242" spans="1:12">
      <c r="A242" s="285" t="s">
        <v>168</v>
      </c>
      <c r="B242" s="288">
        <v>39224</v>
      </c>
      <c r="C242" s="289" t="s">
        <v>21</v>
      </c>
      <c r="D242" s="544"/>
      <c r="E242" s="290">
        <v>0</v>
      </c>
      <c r="F242" s="290"/>
      <c r="G242" s="292">
        <v>0</v>
      </c>
      <c r="H242" s="485"/>
      <c r="I242" s="295">
        <v>102.89</v>
      </c>
      <c r="J242" s="295">
        <v>0</v>
      </c>
      <c r="K242" s="296">
        <f>(J242-I242)*E242/100</f>
        <v>0</v>
      </c>
      <c r="L242"/>
    </row>
    <row r="243" spans="1:12">
      <c r="A243" s="349" t="s">
        <v>166</v>
      </c>
      <c r="B243" s="350"/>
      <c r="C243" s="351"/>
      <c r="D243" s="545"/>
      <c r="E243" s="352">
        <f>SUM(E234:E242)</f>
        <v>0</v>
      </c>
      <c r="F243" s="352"/>
      <c r="G243" s="354">
        <f>SUM(G234:G242)</f>
        <v>0</v>
      </c>
      <c r="H243" s="486"/>
      <c r="I243" s="356"/>
      <c r="J243" s="357"/>
      <c r="K243" s="358">
        <f>SUM(K234:K242)</f>
        <v>0</v>
      </c>
      <c r="L243"/>
    </row>
    <row r="244" spans="1:12">
      <c r="A244" s="716" t="s">
        <v>326</v>
      </c>
      <c r="B244" s="108"/>
      <c r="C244" s="275"/>
      <c r="D244" s="546"/>
      <c r="E244" s="70"/>
      <c r="F244" s="203"/>
      <c r="G244" s="105"/>
      <c r="H244" s="487"/>
      <c r="I244" s="204"/>
      <c r="J244" s="205"/>
      <c r="K244" s="106"/>
      <c r="L244"/>
    </row>
    <row r="245" spans="1:12">
      <c r="A245" s="206" t="s">
        <v>99</v>
      </c>
      <c r="B245" s="207" t="s">
        <v>7</v>
      </c>
      <c r="C245" s="207" t="s">
        <v>171</v>
      </c>
      <c r="D245" s="535" t="s">
        <v>170</v>
      </c>
      <c r="E245" s="208" t="s">
        <v>11</v>
      </c>
      <c r="F245" s="207" t="s">
        <v>2</v>
      </c>
      <c r="G245" s="209" t="s">
        <v>12</v>
      </c>
      <c r="H245" s="482" t="s">
        <v>18</v>
      </c>
      <c r="I245" s="209" t="s">
        <v>10</v>
      </c>
      <c r="J245" s="207" t="s">
        <v>216</v>
      </c>
      <c r="K245" s="260" t="s">
        <v>212</v>
      </c>
      <c r="L245"/>
    </row>
    <row r="246" spans="1:12">
      <c r="A246" s="325" t="s">
        <v>507</v>
      </c>
      <c r="B246" s="328"/>
      <c r="C246" s="329"/>
      <c r="D246" s="542"/>
      <c r="E246" s="330"/>
      <c r="F246" s="331"/>
      <c r="G246" s="332"/>
      <c r="H246" s="483"/>
      <c r="I246" s="335"/>
      <c r="J246" s="335"/>
      <c r="K246" s="336">
        <f t="shared" ref="K246:K273" si="6">(J246-I246)*E246/100</f>
        <v>0</v>
      </c>
      <c r="L246"/>
    </row>
    <row r="247" spans="1:12">
      <c r="A247" s="325" t="s">
        <v>507</v>
      </c>
      <c r="B247" s="328"/>
      <c r="C247" s="329"/>
      <c r="D247" s="542"/>
      <c r="E247" s="330"/>
      <c r="F247" s="331"/>
      <c r="G247" s="332"/>
      <c r="H247" s="483"/>
      <c r="I247" s="335"/>
      <c r="J247" s="335"/>
      <c r="K247" s="336">
        <f t="shared" si="6"/>
        <v>0</v>
      </c>
      <c r="L247"/>
    </row>
    <row r="248" spans="1:12">
      <c r="A248" s="325" t="s">
        <v>507</v>
      </c>
      <c r="B248" s="328"/>
      <c r="C248" s="328"/>
      <c r="D248" s="542"/>
      <c r="E248" s="330"/>
      <c r="F248" s="331"/>
      <c r="G248" s="332"/>
      <c r="H248" s="483"/>
      <c r="I248" s="335"/>
      <c r="J248" s="335"/>
      <c r="K248" s="336">
        <f t="shared" si="6"/>
        <v>0</v>
      </c>
      <c r="L248"/>
    </row>
    <row r="249" spans="1:12">
      <c r="A249" s="325" t="s">
        <v>507</v>
      </c>
      <c r="B249" s="328"/>
      <c r="C249" s="328"/>
      <c r="D249" s="542"/>
      <c r="E249" s="330"/>
      <c r="F249" s="331"/>
      <c r="G249" s="332"/>
      <c r="H249" s="483"/>
      <c r="I249" s="335"/>
      <c r="J249" s="335"/>
      <c r="K249" s="336">
        <f t="shared" si="6"/>
        <v>0</v>
      </c>
      <c r="L249"/>
    </row>
    <row r="250" spans="1:12">
      <c r="A250" s="337" t="s">
        <v>514</v>
      </c>
      <c r="B250" s="340"/>
      <c r="C250" s="341"/>
      <c r="D250" s="543"/>
      <c r="E250" s="342"/>
      <c r="F250" s="343"/>
      <c r="G250" s="344"/>
      <c r="H250" s="484"/>
      <c r="I250" s="347"/>
      <c r="J250" s="347"/>
      <c r="K250" s="336">
        <f t="shared" si="6"/>
        <v>0</v>
      </c>
      <c r="L250"/>
    </row>
    <row r="251" spans="1:12">
      <c r="A251" s="337" t="s">
        <v>462</v>
      </c>
      <c r="B251" s="340"/>
      <c r="C251" s="341"/>
      <c r="D251" s="543"/>
      <c r="E251" s="342"/>
      <c r="F251" s="343"/>
      <c r="G251" s="344"/>
      <c r="H251" s="484"/>
      <c r="I251" s="347"/>
      <c r="J251" s="347"/>
      <c r="K251" s="348">
        <f t="shared" si="6"/>
        <v>0</v>
      </c>
      <c r="L251"/>
    </row>
    <row r="252" spans="1:12">
      <c r="A252" s="337" t="s">
        <v>402</v>
      </c>
      <c r="B252" s="340"/>
      <c r="C252" s="341"/>
      <c r="D252" s="543"/>
      <c r="E252" s="342"/>
      <c r="F252" s="343"/>
      <c r="G252" s="344"/>
      <c r="H252" s="484"/>
      <c r="I252" s="347"/>
      <c r="J252" s="347"/>
      <c r="K252" s="348">
        <f t="shared" si="6"/>
        <v>0</v>
      </c>
      <c r="L252"/>
    </row>
    <row r="253" spans="1:12">
      <c r="A253" s="337" t="s">
        <v>415</v>
      </c>
      <c r="B253" s="340"/>
      <c r="C253" s="341"/>
      <c r="D253" s="543"/>
      <c r="E253" s="342"/>
      <c r="F253" s="343"/>
      <c r="G253" s="344"/>
      <c r="H253" s="484"/>
      <c r="I253" s="347"/>
      <c r="J253" s="347"/>
      <c r="K253" s="348">
        <f t="shared" si="6"/>
        <v>0</v>
      </c>
      <c r="L253"/>
    </row>
    <row r="254" spans="1:12">
      <c r="A254" s="337" t="s">
        <v>415</v>
      </c>
      <c r="B254" s="340"/>
      <c r="C254" s="341"/>
      <c r="D254" s="543"/>
      <c r="E254" s="342"/>
      <c r="F254" s="343"/>
      <c r="G254" s="344"/>
      <c r="H254" s="484"/>
      <c r="I254" s="347"/>
      <c r="J254" s="347"/>
      <c r="K254" s="348">
        <f t="shared" si="6"/>
        <v>0</v>
      </c>
      <c r="L254"/>
    </row>
    <row r="255" spans="1:12">
      <c r="A255" s="337" t="s">
        <v>415</v>
      </c>
      <c r="B255" s="340"/>
      <c r="C255" s="341"/>
      <c r="D255" s="543"/>
      <c r="E255" s="342"/>
      <c r="F255" s="343"/>
      <c r="G255" s="344"/>
      <c r="H255" s="484"/>
      <c r="I255" s="347"/>
      <c r="J255" s="347"/>
      <c r="K255" s="348">
        <f t="shared" si="6"/>
        <v>0</v>
      </c>
      <c r="L255"/>
    </row>
    <row r="256" spans="1:12">
      <c r="A256" s="337" t="s">
        <v>368</v>
      </c>
      <c r="B256" s="340"/>
      <c r="C256" s="341"/>
      <c r="D256" s="543"/>
      <c r="E256" s="342"/>
      <c r="F256" s="343"/>
      <c r="G256" s="344"/>
      <c r="H256" s="484"/>
      <c r="I256" s="347"/>
      <c r="J256" s="347"/>
      <c r="K256" s="348">
        <f t="shared" si="6"/>
        <v>0</v>
      </c>
      <c r="L256"/>
    </row>
    <row r="257" spans="1:12">
      <c r="A257" s="337" t="s">
        <v>368</v>
      </c>
      <c r="B257" s="340"/>
      <c r="C257" s="341"/>
      <c r="D257" s="543"/>
      <c r="E257" s="342"/>
      <c r="F257" s="343"/>
      <c r="G257" s="344"/>
      <c r="H257" s="484"/>
      <c r="I257" s="347"/>
      <c r="J257" s="347"/>
      <c r="K257" s="348">
        <f t="shared" si="6"/>
        <v>0</v>
      </c>
      <c r="L257"/>
    </row>
    <row r="258" spans="1:12">
      <c r="A258" s="337" t="s">
        <v>368</v>
      </c>
      <c r="B258" s="340"/>
      <c r="C258" s="341"/>
      <c r="D258" s="543"/>
      <c r="E258" s="342"/>
      <c r="F258" s="343"/>
      <c r="G258" s="344"/>
      <c r="H258" s="484"/>
      <c r="I258" s="347"/>
      <c r="J258" s="347"/>
      <c r="K258" s="348">
        <f t="shared" si="6"/>
        <v>0</v>
      </c>
      <c r="L258"/>
    </row>
    <row r="259" spans="1:12">
      <c r="A259" s="337" t="s">
        <v>413</v>
      </c>
      <c r="B259" s="340"/>
      <c r="C259" s="341"/>
      <c r="D259" s="543"/>
      <c r="E259" s="342"/>
      <c r="F259" s="343"/>
      <c r="G259" s="344"/>
      <c r="H259" s="484"/>
      <c r="I259" s="347"/>
      <c r="J259" s="347"/>
      <c r="K259" s="348">
        <f t="shared" si="6"/>
        <v>0</v>
      </c>
      <c r="L259"/>
    </row>
    <row r="260" spans="1:12">
      <c r="A260" s="337" t="s">
        <v>496</v>
      </c>
      <c r="B260" s="340"/>
      <c r="C260" s="341"/>
      <c r="D260" s="543"/>
      <c r="E260" s="342"/>
      <c r="F260" s="343"/>
      <c r="G260" s="344"/>
      <c r="H260" s="484"/>
      <c r="I260" s="347"/>
      <c r="J260" s="347"/>
      <c r="K260" s="348">
        <f t="shared" si="6"/>
        <v>0</v>
      </c>
      <c r="L260"/>
    </row>
    <row r="261" spans="1:12">
      <c r="A261" s="285" t="s">
        <v>496</v>
      </c>
      <c r="B261" s="288"/>
      <c r="C261" s="289"/>
      <c r="D261" s="544"/>
      <c r="E261" s="290"/>
      <c r="F261" s="291"/>
      <c r="G261" s="292"/>
      <c r="H261" s="485"/>
      <c r="I261" s="295"/>
      <c r="J261" s="295"/>
      <c r="K261" s="296">
        <f t="shared" si="6"/>
        <v>0</v>
      </c>
      <c r="L261"/>
    </row>
    <row r="262" spans="1:12">
      <c r="A262" s="285" t="s">
        <v>507</v>
      </c>
      <c r="B262" s="288"/>
      <c r="C262" s="289"/>
      <c r="D262" s="544"/>
      <c r="E262" s="290"/>
      <c r="F262" s="291"/>
      <c r="G262" s="292"/>
      <c r="H262" s="485"/>
      <c r="I262" s="295"/>
      <c r="J262" s="295"/>
      <c r="K262" s="296">
        <f t="shared" si="6"/>
        <v>0</v>
      </c>
      <c r="L262"/>
    </row>
    <row r="263" spans="1:12">
      <c r="A263" s="285" t="s">
        <v>507</v>
      </c>
      <c r="B263" s="288"/>
      <c r="C263" s="289"/>
      <c r="D263" s="544"/>
      <c r="E263" s="290"/>
      <c r="F263" s="291"/>
      <c r="G263" s="292"/>
      <c r="H263" s="485"/>
      <c r="I263" s="295"/>
      <c r="J263" s="295"/>
      <c r="K263" s="296">
        <f t="shared" si="6"/>
        <v>0</v>
      </c>
      <c r="L263"/>
    </row>
    <row r="264" spans="1:12">
      <c r="A264" s="285" t="s">
        <v>507</v>
      </c>
      <c r="B264" s="288"/>
      <c r="C264" s="289"/>
      <c r="D264" s="544"/>
      <c r="E264" s="290"/>
      <c r="F264" s="291"/>
      <c r="G264" s="292"/>
      <c r="H264" s="485"/>
      <c r="I264" s="295"/>
      <c r="J264" s="295"/>
      <c r="K264" s="296">
        <f t="shared" si="6"/>
        <v>0</v>
      </c>
      <c r="L264"/>
    </row>
    <row r="265" spans="1:12">
      <c r="A265" s="285" t="s">
        <v>507</v>
      </c>
      <c r="B265" s="288"/>
      <c r="C265" s="289"/>
      <c r="D265" s="544"/>
      <c r="E265" s="290"/>
      <c r="F265" s="291"/>
      <c r="G265" s="292"/>
      <c r="H265" s="485"/>
      <c r="I265" s="295"/>
      <c r="J265" s="295"/>
      <c r="K265" s="296">
        <f t="shared" si="6"/>
        <v>0</v>
      </c>
      <c r="L265"/>
    </row>
    <row r="266" spans="1:12">
      <c r="A266" s="285"/>
      <c r="B266" s="288"/>
      <c r="C266" s="289"/>
      <c r="D266" s="544"/>
      <c r="E266" s="290"/>
      <c r="F266" s="291"/>
      <c r="G266" s="292"/>
      <c r="H266" s="485"/>
      <c r="I266" s="295"/>
      <c r="J266" s="295"/>
      <c r="K266" s="296">
        <f t="shared" si="6"/>
        <v>0</v>
      </c>
      <c r="L266"/>
    </row>
    <row r="267" spans="1:12">
      <c r="A267" s="285"/>
      <c r="B267" s="288"/>
      <c r="C267" s="289"/>
      <c r="D267" s="544"/>
      <c r="E267" s="290"/>
      <c r="F267" s="291"/>
      <c r="G267" s="292"/>
      <c r="H267" s="485"/>
      <c r="I267" s="295"/>
      <c r="J267" s="295"/>
      <c r="K267" s="296">
        <f t="shared" si="6"/>
        <v>0</v>
      </c>
      <c r="L267"/>
    </row>
    <row r="268" spans="1:12">
      <c r="A268" s="285"/>
      <c r="B268" s="288"/>
      <c r="C268" s="289"/>
      <c r="D268" s="544"/>
      <c r="E268" s="290"/>
      <c r="F268" s="291"/>
      <c r="G268" s="292"/>
      <c r="H268" s="485"/>
      <c r="I268" s="295"/>
      <c r="J268" s="295"/>
      <c r="K268" s="296">
        <f t="shared" si="6"/>
        <v>0</v>
      </c>
      <c r="L268"/>
    </row>
    <row r="269" spans="1:12">
      <c r="A269" s="285"/>
      <c r="B269" s="288"/>
      <c r="C269" s="289"/>
      <c r="D269" s="544"/>
      <c r="E269" s="290"/>
      <c r="F269" s="291"/>
      <c r="G269" s="292"/>
      <c r="H269" s="485"/>
      <c r="I269" s="295"/>
      <c r="J269" s="295"/>
      <c r="K269" s="296">
        <f t="shared" si="6"/>
        <v>0</v>
      </c>
      <c r="L269"/>
    </row>
    <row r="270" spans="1:12">
      <c r="A270" s="285"/>
      <c r="B270" s="288"/>
      <c r="C270" s="289"/>
      <c r="D270" s="544"/>
      <c r="E270" s="290"/>
      <c r="F270" s="291"/>
      <c r="G270" s="292"/>
      <c r="H270" s="485"/>
      <c r="I270" s="295"/>
      <c r="J270" s="295"/>
      <c r="K270" s="296">
        <f t="shared" si="6"/>
        <v>0</v>
      </c>
      <c r="L270"/>
    </row>
    <row r="271" spans="1:12">
      <c r="A271" s="285"/>
      <c r="B271" s="288"/>
      <c r="C271" s="289"/>
      <c r="D271" s="544"/>
      <c r="E271" s="290"/>
      <c r="F271" s="291"/>
      <c r="G271" s="292"/>
      <c r="H271" s="485"/>
      <c r="I271" s="295"/>
      <c r="J271" s="295"/>
      <c r="K271" s="296">
        <f t="shared" si="6"/>
        <v>0</v>
      </c>
      <c r="L271"/>
    </row>
    <row r="272" spans="1:12">
      <c r="A272" s="285"/>
      <c r="B272" s="288"/>
      <c r="C272" s="289"/>
      <c r="D272" s="544"/>
      <c r="E272" s="290"/>
      <c r="F272" s="291"/>
      <c r="G272" s="292"/>
      <c r="H272" s="485"/>
      <c r="I272" s="295"/>
      <c r="J272" s="295"/>
      <c r="K272" s="296">
        <f t="shared" si="6"/>
        <v>0</v>
      </c>
      <c r="L272"/>
    </row>
    <row r="273" spans="1:12">
      <c r="A273" s="285"/>
      <c r="B273" s="288"/>
      <c r="C273" s="289"/>
      <c r="D273" s="544"/>
      <c r="E273" s="290"/>
      <c r="F273" s="291"/>
      <c r="G273" s="292"/>
      <c r="H273" s="485"/>
      <c r="I273" s="295">
        <v>102.89</v>
      </c>
      <c r="J273" s="295">
        <v>0</v>
      </c>
      <c r="K273" s="296">
        <f t="shared" si="6"/>
        <v>0</v>
      </c>
      <c r="L273"/>
    </row>
    <row r="274" spans="1:12">
      <c r="A274" s="111" t="s">
        <v>329</v>
      </c>
      <c r="B274" s="313"/>
      <c r="C274" s="313"/>
      <c r="D274" s="539"/>
      <c r="E274" s="314">
        <f>SUM(E246:E273)</f>
        <v>0</v>
      </c>
      <c r="F274" s="314"/>
      <c r="G274" s="316">
        <f>SUM(G246:G273)</f>
        <v>0</v>
      </c>
      <c r="H274" s="479"/>
      <c r="I274" s="323"/>
      <c r="J274" s="318"/>
      <c r="K274" s="316">
        <f>SUM(K246:K273)</f>
        <v>0</v>
      </c>
      <c r="L274"/>
    </row>
    <row r="275" spans="1:12">
      <c r="G275" s="14"/>
      <c r="H275" s="488"/>
      <c r="L275"/>
    </row>
    <row r="276" spans="1:12">
      <c r="G276" s="14"/>
      <c r="H276" s="488"/>
      <c r="L276"/>
    </row>
    <row r="277" spans="1:12">
      <c r="G277" s="14"/>
      <c r="H277" s="488"/>
      <c r="L277"/>
    </row>
    <row r="278" spans="1:12">
      <c r="B278"/>
      <c r="C278"/>
      <c r="D278"/>
      <c r="E278"/>
      <c r="F278"/>
      <c r="G278" s="14"/>
      <c r="H278" s="488"/>
      <c r="I278"/>
      <c r="J278"/>
      <c r="L278"/>
    </row>
    <row r="279" spans="1:12">
      <c r="B279"/>
      <c r="C279"/>
      <c r="D279"/>
      <c r="E279"/>
      <c r="F279"/>
      <c r="G279" s="14"/>
      <c r="H279" s="488"/>
      <c r="I279"/>
      <c r="J279"/>
      <c r="L279"/>
    </row>
    <row r="280" spans="1:12">
      <c r="B280"/>
      <c r="C280"/>
      <c r="D280"/>
      <c r="E280"/>
      <c r="F280"/>
      <c r="G280" s="14"/>
      <c r="H280" s="488"/>
      <c r="I280"/>
      <c r="J280"/>
      <c r="L280"/>
    </row>
    <row r="281" spans="1:12">
      <c r="B281"/>
      <c r="C281"/>
      <c r="D281"/>
      <c r="E281"/>
      <c r="F281"/>
      <c r="G281" s="14"/>
      <c r="H281" s="488"/>
      <c r="I281"/>
      <c r="J281"/>
      <c r="L281"/>
    </row>
    <row r="282" spans="1:12">
      <c r="B282"/>
      <c r="C282"/>
      <c r="D282"/>
      <c r="E282"/>
      <c r="F282"/>
      <c r="G282" s="14"/>
      <c r="H282" s="488"/>
      <c r="I282"/>
      <c r="J282"/>
      <c r="L282"/>
    </row>
    <row r="283" spans="1:12">
      <c r="B283"/>
      <c r="C283"/>
      <c r="D283"/>
      <c r="E283"/>
      <c r="F283"/>
      <c r="G283" s="14"/>
      <c r="H283" s="488"/>
      <c r="I283"/>
      <c r="J283"/>
      <c r="L283"/>
    </row>
    <row r="284" spans="1:12">
      <c r="B284"/>
      <c r="C284"/>
      <c r="D284"/>
      <c r="E284"/>
      <c r="F284"/>
      <c r="G284" s="14"/>
      <c r="H284" s="488"/>
      <c r="I284"/>
      <c r="J284"/>
      <c r="L284"/>
    </row>
    <row r="285" spans="1:12">
      <c r="B285"/>
      <c r="C285"/>
      <c r="D285"/>
      <c r="E285"/>
      <c r="F285"/>
      <c r="G285" s="14"/>
      <c r="H285" s="488"/>
      <c r="I285"/>
      <c r="J285"/>
      <c r="L285"/>
    </row>
    <row r="286" spans="1:12">
      <c r="B286"/>
      <c r="C286"/>
      <c r="D286"/>
      <c r="E286"/>
      <c r="F286"/>
      <c r="G286" s="14"/>
      <c r="H286" s="488"/>
      <c r="I286"/>
      <c r="J286"/>
      <c r="L286"/>
    </row>
    <row r="287" spans="1:12">
      <c r="B287"/>
      <c r="C287"/>
      <c r="D287"/>
      <c r="E287"/>
      <c r="F287"/>
      <c r="G287" s="14"/>
      <c r="H287" s="488"/>
      <c r="I287"/>
      <c r="J287"/>
      <c r="L287"/>
    </row>
    <row r="288" spans="1:12">
      <c r="B288"/>
      <c r="C288"/>
      <c r="D288"/>
      <c r="E288"/>
      <c r="F288"/>
      <c r="G288" s="14"/>
      <c r="H288" s="488"/>
      <c r="I288"/>
      <c r="J288"/>
      <c r="L288"/>
    </row>
    <row r="289" spans="2:12">
      <c r="B289"/>
      <c r="C289"/>
      <c r="D289"/>
      <c r="E289"/>
      <c r="F289"/>
      <c r="G289" s="14"/>
      <c r="H289" s="488"/>
      <c r="I289"/>
      <c r="J289"/>
      <c r="L289"/>
    </row>
    <row r="290" spans="2:12">
      <c r="B290"/>
      <c r="C290"/>
      <c r="D290"/>
      <c r="E290"/>
      <c r="F290"/>
      <c r="G290" s="14"/>
      <c r="H290" s="488"/>
      <c r="I290"/>
      <c r="J290"/>
      <c r="L290"/>
    </row>
    <row r="291" spans="2:12">
      <c r="B291"/>
      <c r="C291"/>
      <c r="D291"/>
      <c r="E291"/>
      <c r="F291"/>
      <c r="G291" s="14"/>
      <c r="H291" s="488"/>
      <c r="I291"/>
      <c r="J291"/>
      <c r="L291"/>
    </row>
    <row r="292" spans="2:12">
      <c r="B292"/>
      <c r="C292"/>
      <c r="D292"/>
      <c r="E292"/>
      <c r="F292"/>
      <c r="G292" s="14"/>
      <c r="H292" s="488"/>
      <c r="I292"/>
      <c r="J292"/>
      <c r="L292"/>
    </row>
    <row r="293" spans="2:12">
      <c r="B293"/>
      <c r="C293"/>
      <c r="D293"/>
      <c r="E293"/>
      <c r="F293"/>
      <c r="G293" s="14"/>
      <c r="H293" s="489"/>
      <c r="I293"/>
      <c r="J293"/>
      <c r="L293"/>
    </row>
    <row r="294" spans="2:12">
      <c r="B294"/>
      <c r="C294"/>
      <c r="D294"/>
      <c r="E294"/>
      <c r="F294"/>
      <c r="G294" s="14"/>
      <c r="H294" s="489"/>
      <c r="I294"/>
      <c r="J294"/>
      <c r="L294"/>
    </row>
    <row r="295" spans="2:12">
      <c r="B295"/>
      <c r="C295"/>
      <c r="D295"/>
      <c r="E295"/>
      <c r="F295"/>
      <c r="G295" s="14"/>
      <c r="H295" s="489"/>
      <c r="I295"/>
      <c r="J295"/>
      <c r="L295"/>
    </row>
    <row r="296" spans="2:12">
      <c r="B296"/>
      <c r="C296"/>
      <c r="D296"/>
      <c r="E296"/>
      <c r="F296"/>
      <c r="G296" s="14"/>
      <c r="H296" s="489"/>
      <c r="I296"/>
      <c r="J296"/>
      <c r="L296"/>
    </row>
    <row r="297" spans="2:12">
      <c r="B297"/>
      <c r="C297"/>
      <c r="D297"/>
      <c r="E297"/>
      <c r="F297"/>
      <c r="G297" s="14"/>
      <c r="H297" s="489"/>
      <c r="I297"/>
      <c r="J297"/>
      <c r="L297"/>
    </row>
    <row r="298" spans="2:12">
      <c r="B298"/>
      <c r="C298"/>
      <c r="D298"/>
      <c r="E298"/>
      <c r="F298"/>
      <c r="G298" s="14"/>
      <c r="H298" s="489"/>
      <c r="I298"/>
      <c r="J298"/>
      <c r="L298"/>
    </row>
    <row r="299" spans="2:12">
      <c r="B299"/>
      <c r="C299"/>
      <c r="D299"/>
      <c r="E299"/>
      <c r="F299"/>
      <c r="G299" s="14"/>
      <c r="H299" s="489"/>
      <c r="I299"/>
      <c r="J299"/>
      <c r="L299"/>
    </row>
    <row r="300" spans="2:12">
      <c r="B300"/>
      <c r="C300"/>
      <c r="D300"/>
      <c r="E300"/>
      <c r="F300"/>
      <c r="G300" s="14"/>
      <c r="H300" s="489"/>
      <c r="I300"/>
      <c r="J300"/>
      <c r="L300"/>
    </row>
    <row r="301" spans="2:12">
      <c r="B301"/>
      <c r="C301"/>
      <c r="D301"/>
      <c r="E301"/>
      <c r="F301"/>
      <c r="G301" s="14"/>
      <c r="H301" s="489"/>
      <c r="I301"/>
      <c r="J301"/>
      <c r="L301"/>
    </row>
    <row r="302" spans="2:12">
      <c r="B302"/>
      <c r="C302"/>
      <c r="D302"/>
      <c r="E302"/>
      <c r="F302"/>
      <c r="G302" s="14"/>
      <c r="H302" s="489"/>
      <c r="I302"/>
      <c r="J302"/>
      <c r="L302"/>
    </row>
    <row r="303" spans="2:12">
      <c r="B303"/>
      <c r="C303"/>
      <c r="D303"/>
      <c r="E303"/>
      <c r="F303"/>
      <c r="G303" s="14"/>
      <c r="H303" s="489"/>
      <c r="I303"/>
      <c r="J303"/>
      <c r="L303"/>
    </row>
    <row r="304" spans="2:12">
      <c r="B304"/>
      <c r="C304"/>
      <c r="D304"/>
      <c r="E304"/>
      <c r="F304"/>
      <c r="G304" s="14"/>
      <c r="H304" s="489"/>
      <c r="I304"/>
      <c r="J304"/>
      <c r="L304"/>
    </row>
    <row r="305" spans="2:12">
      <c r="B305"/>
      <c r="C305"/>
      <c r="D305"/>
      <c r="E305"/>
      <c r="F305"/>
      <c r="G305" s="14"/>
      <c r="H305" s="489"/>
      <c r="I305"/>
      <c r="J305"/>
      <c r="L305"/>
    </row>
    <row r="306" spans="2:12">
      <c r="B306"/>
      <c r="C306"/>
      <c r="D306"/>
      <c r="E306"/>
      <c r="F306"/>
      <c r="G306" s="14"/>
      <c r="H306" s="489"/>
      <c r="I306"/>
      <c r="J306"/>
      <c r="L306"/>
    </row>
    <row r="307" spans="2:12">
      <c r="B307"/>
      <c r="C307"/>
      <c r="D307"/>
      <c r="E307"/>
      <c r="F307"/>
      <c r="G307" s="14"/>
      <c r="H307" s="489"/>
      <c r="I307"/>
      <c r="J307"/>
      <c r="L307"/>
    </row>
    <row r="308" spans="2:12">
      <c r="B308"/>
      <c r="C308"/>
      <c r="D308"/>
      <c r="E308"/>
      <c r="F308"/>
      <c r="G308" s="14"/>
      <c r="H308" s="489"/>
      <c r="I308"/>
      <c r="J308"/>
      <c r="L308"/>
    </row>
    <row r="309" spans="2:12">
      <c r="B309"/>
      <c r="C309"/>
      <c r="D309"/>
      <c r="E309"/>
      <c r="F309"/>
      <c r="G309" s="14"/>
      <c r="H309" s="489"/>
      <c r="I309"/>
      <c r="J309"/>
      <c r="L309"/>
    </row>
    <row r="310" spans="2:12">
      <c r="B310"/>
      <c r="C310"/>
      <c r="D310"/>
      <c r="E310"/>
      <c r="F310"/>
      <c r="G310" s="14"/>
      <c r="H310" s="489"/>
      <c r="I310"/>
      <c r="J310"/>
      <c r="L310"/>
    </row>
    <row r="311" spans="2:12">
      <c r="B311"/>
      <c r="C311"/>
      <c r="D311"/>
      <c r="E311"/>
      <c r="F311"/>
      <c r="G311" s="14"/>
      <c r="H311" s="489"/>
      <c r="I311"/>
      <c r="J311"/>
      <c r="L311"/>
    </row>
    <row r="312" spans="2:12">
      <c r="B312"/>
      <c r="C312"/>
      <c r="D312"/>
      <c r="E312"/>
      <c r="F312"/>
      <c r="G312" s="14"/>
      <c r="H312" s="489"/>
      <c r="I312"/>
      <c r="J312"/>
      <c r="L312"/>
    </row>
    <row r="313" spans="2:12">
      <c r="B313"/>
      <c r="C313"/>
      <c r="D313"/>
      <c r="E313"/>
      <c r="F313"/>
      <c r="G313" s="14"/>
      <c r="H313" s="489"/>
      <c r="I313"/>
      <c r="J313"/>
      <c r="L313"/>
    </row>
    <row r="314" spans="2:12">
      <c r="B314"/>
      <c r="C314"/>
      <c r="D314"/>
      <c r="E314"/>
      <c r="F314"/>
      <c r="G314" s="14"/>
      <c r="H314" s="489"/>
      <c r="I314"/>
      <c r="J314"/>
      <c r="L314"/>
    </row>
    <row r="315" spans="2:12">
      <c r="B315"/>
      <c r="C315"/>
      <c r="D315"/>
      <c r="E315"/>
      <c r="F315"/>
      <c r="G315" s="14"/>
      <c r="H315" s="489"/>
      <c r="I315"/>
      <c r="J315"/>
      <c r="L315"/>
    </row>
    <row r="316" spans="2:12">
      <c r="B316"/>
      <c r="C316"/>
      <c r="D316"/>
      <c r="E316"/>
      <c r="F316"/>
      <c r="G316" s="14"/>
      <c r="H316" s="489"/>
      <c r="I316"/>
      <c r="J316"/>
      <c r="L316"/>
    </row>
    <row r="317" spans="2:12">
      <c r="B317"/>
      <c r="C317"/>
      <c r="D317"/>
      <c r="E317"/>
      <c r="F317"/>
      <c r="G317" s="14"/>
      <c r="H317" s="489"/>
      <c r="I317"/>
      <c r="J317"/>
      <c r="L317"/>
    </row>
    <row r="318" spans="2:12">
      <c r="B318"/>
      <c r="C318"/>
      <c r="D318"/>
      <c r="E318"/>
      <c r="F318"/>
      <c r="G318" s="14"/>
      <c r="H318" s="489"/>
      <c r="I318"/>
      <c r="J318"/>
      <c r="L318"/>
    </row>
    <row r="319" spans="2:12">
      <c r="B319"/>
      <c r="C319"/>
      <c r="D319"/>
      <c r="E319"/>
      <c r="F319"/>
      <c r="G319" s="14"/>
      <c r="H319" s="489"/>
      <c r="I319"/>
      <c r="J319"/>
      <c r="L319"/>
    </row>
    <row r="320" spans="2:12">
      <c r="B320"/>
      <c r="C320"/>
      <c r="D320"/>
      <c r="E320"/>
      <c r="F320"/>
      <c r="G320" s="14"/>
      <c r="H320" s="489"/>
      <c r="I320"/>
      <c r="J320"/>
      <c r="L320"/>
    </row>
    <row r="321" spans="2:12">
      <c r="B321"/>
      <c r="C321"/>
      <c r="D321"/>
      <c r="E321"/>
      <c r="F321"/>
      <c r="G321" s="14"/>
      <c r="H321" s="489"/>
      <c r="I321"/>
      <c r="J321"/>
      <c r="L321"/>
    </row>
    <row r="322" spans="2:12">
      <c r="B322"/>
      <c r="C322"/>
      <c r="D322"/>
      <c r="E322"/>
      <c r="F322"/>
      <c r="G322" s="14"/>
      <c r="H322" s="489"/>
      <c r="I322"/>
      <c r="J322"/>
      <c r="L322"/>
    </row>
    <row r="323" spans="2:12">
      <c r="B323"/>
      <c r="C323"/>
      <c r="D323"/>
      <c r="E323"/>
      <c r="F323"/>
      <c r="G323" s="14"/>
      <c r="H323" s="489"/>
      <c r="I323"/>
      <c r="J323"/>
      <c r="L323"/>
    </row>
    <row r="324" spans="2:12">
      <c r="B324"/>
      <c r="C324"/>
      <c r="D324"/>
      <c r="E324"/>
      <c r="F324"/>
      <c r="G324" s="14"/>
      <c r="H324" s="489"/>
      <c r="I324"/>
      <c r="J324"/>
      <c r="L324"/>
    </row>
    <row r="325" spans="2:12">
      <c r="B325"/>
      <c r="C325"/>
      <c r="D325"/>
      <c r="E325"/>
      <c r="F325"/>
      <c r="G325" s="14"/>
      <c r="H325" s="489"/>
      <c r="I325"/>
      <c r="J325"/>
      <c r="L325"/>
    </row>
    <row r="326" spans="2:12">
      <c r="B326"/>
      <c r="C326"/>
      <c r="D326"/>
      <c r="E326"/>
      <c r="F326"/>
      <c r="G326" s="14"/>
      <c r="H326" s="489"/>
      <c r="I326"/>
      <c r="J326"/>
      <c r="L326"/>
    </row>
    <row r="327" spans="2:12">
      <c r="B327"/>
      <c r="C327"/>
      <c r="D327"/>
      <c r="E327"/>
      <c r="F327"/>
      <c r="G327" s="14"/>
      <c r="H327" s="489"/>
      <c r="I327"/>
      <c r="J327"/>
      <c r="L327"/>
    </row>
    <row r="328" spans="2:12">
      <c r="B328"/>
      <c r="C328"/>
      <c r="D328"/>
      <c r="E328"/>
      <c r="F328"/>
      <c r="G328" s="14"/>
      <c r="H328" s="489"/>
      <c r="I328"/>
      <c r="J328"/>
      <c r="L328"/>
    </row>
    <row r="329" spans="2:12">
      <c r="B329"/>
      <c r="C329"/>
      <c r="D329"/>
      <c r="E329"/>
      <c r="F329"/>
      <c r="G329" s="14"/>
      <c r="H329" s="489"/>
      <c r="I329"/>
      <c r="J329"/>
      <c r="L329"/>
    </row>
    <row r="330" spans="2:12">
      <c r="B330"/>
      <c r="C330"/>
      <c r="D330"/>
      <c r="E330"/>
      <c r="F330"/>
      <c r="G330" s="14"/>
      <c r="H330" s="489"/>
      <c r="I330"/>
      <c r="J330"/>
      <c r="L330"/>
    </row>
    <row r="331" spans="2:12">
      <c r="B331"/>
      <c r="C331"/>
      <c r="D331"/>
      <c r="E331"/>
      <c r="F331"/>
      <c r="G331" s="14"/>
      <c r="H331" s="489"/>
      <c r="I331"/>
      <c r="J331"/>
      <c r="L331"/>
    </row>
    <row r="332" spans="2:12">
      <c r="B332"/>
      <c r="C332"/>
      <c r="D332"/>
      <c r="E332"/>
      <c r="F332"/>
      <c r="G332" s="14"/>
      <c r="H332" s="489"/>
      <c r="I332"/>
      <c r="J332"/>
      <c r="L332"/>
    </row>
    <row r="333" spans="2:12">
      <c r="B333"/>
      <c r="C333"/>
      <c r="D333"/>
      <c r="E333"/>
      <c r="F333"/>
      <c r="G333" s="14"/>
      <c r="H333" s="489"/>
      <c r="I333"/>
      <c r="J333"/>
      <c r="L333"/>
    </row>
    <row r="334" spans="2:12">
      <c r="B334"/>
      <c r="C334"/>
      <c r="D334"/>
      <c r="E334"/>
      <c r="F334"/>
      <c r="G334" s="14"/>
      <c r="H334" s="489"/>
      <c r="I334"/>
      <c r="J334"/>
      <c r="L334"/>
    </row>
    <row r="335" spans="2:12">
      <c r="B335"/>
      <c r="C335"/>
      <c r="D335"/>
      <c r="E335"/>
      <c r="F335"/>
      <c r="G335" s="14"/>
      <c r="H335" s="489"/>
      <c r="I335"/>
      <c r="J335"/>
      <c r="L335"/>
    </row>
    <row r="336" spans="2:12">
      <c r="B336"/>
      <c r="C336"/>
      <c r="D336"/>
      <c r="E336"/>
      <c r="F336"/>
      <c r="G336" s="14"/>
      <c r="H336" s="489"/>
      <c r="I336"/>
      <c r="J336"/>
      <c r="L336"/>
    </row>
    <row r="337" spans="2:12">
      <c r="B337"/>
      <c r="C337"/>
      <c r="D337"/>
      <c r="E337"/>
      <c r="F337"/>
      <c r="G337" s="14"/>
      <c r="H337" s="489"/>
      <c r="I337"/>
      <c r="J337"/>
      <c r="L337"/>
    </row>
    <row r="338" spans="2:12">
      <c r="B338"/>
      <c r="C338"/>
      <c r="D338"/>
      <c r="E338"/>
      <c r="F338"/>
      <c r="G338" s="14"/>
      <c r="H338" s="489"/>
      <c r="I338"/>
      <c r="J338"/>
      <c r="L338"/>
    </row>
    <row r="339" spans="2:12">
      <c r="B339"/>
      <c r="C339"/>
      <c r="D339"/>
      <c r="E339"/>
      <c r="F339"/>
      <c r="G339" s="14"/>
      <c r="H339" s="489"/>
      <c r="I339"/>
      <c r="J339"/>
      <c r="L339"/>
    </row>
    <row r="340" spans="2:12">
      <c r="B340"/>
      <c r="C340"/>
      <c r="D340"/>
      <c r="E340"/>
      <c r="F340"/>
      <c r="G340" s="14"/>
      <c r="H340" s="489"/>
      <c r="I340"/>
      <c r="J340"/>
      <c r="L340"/>
    </row>
    <row r="341" spans="2:12">
      <c r="B341"/>
      <c r="C341"/>
      <c r="D341"/>
      <c r="E341"/>
      <c r="F341"/>
      <c r="G341" s="14"/>
      <c r="H341" s="489"/>
      <c r="I341"/>
      <c r="J341"/>
      <c r="L341"/>
    </row>
    <row r="342" spans="2:12">
      <c r="B342"/>
      <c r="C342"/>
      <c r="D342"/>
      <c r="E342"/>
      <c r="F342"/>
      <c r="G342" s="14"/>
      <c r="H342" s="489"/>
      <c r="I342"/>
      <c r="J342"/>
      <c r="L342"/>
    </row>
    <row r="343" spans="2:12">
      <c r="B343"/>
      <c r="C343"/>
      <c r="D343"/>
      <c r="E343"/>
      <c r="F343"/>
      <c r="G343" s="14"/>
      <c r="H343" s="489"/>
      <c r="I343"/>
      <c r="J343"/>
      <c r="L343"/>
    </row>
    <row r="344" spans="2:12">
      <c r="B344"/>
      <c r="C344"/>
      <c r="D344"/>
      <c r="E344"/>
      <c r="F344"/>
      <c r="G344" s="14"/>
      <c r="H344" s="489"/>
      <c r="I344"/>
      <c r="J344"/>
      <c r="L344"/>
    </row>
    <row r="345" spans="2:12">
      <c r="B345"/>
      <c r="C345"/>
      <c r="D345"/>
      <c r="E345"/>
      <c r="F345"/>
      <c r="G345" s="14"/>
      <c r="H345" s="489"/>
      <c r="I345"/>
      <c r="J345"/>
      <c r="L345"/>
    </row>
    <row r="346" spans="2:12">
      <c r="B346"/>
      <c r="C346"/>
      <c r="D346"/>
      <c r="E346"/>
      <c r="F346"/>
      <c r="G346" s="14"/>
      <c r="H346" s="489"/>
      <c r="I346"/>
      <c r="J346"/>
      <c r="L346"/>
    </row>
    <row r="347" spans="2:12">
      <c r="B347"/>
      <c r="C347"/>
      <c r="D347"/>
      <c r="E347"/>
      <c r="F347"/>
      <c r="G347" s="14"/>
      <c r="H347" s="489"/>
      <c r="I347"/>
      <c r="J347"/>
      <c r="L347"/>
    </row>
    <row r="348" spans="2:12">
      <c r="B348"/>
      <c r="C348"/>
      <c r="D348"/>
      <c r="E348"/>
      <c r="F348"/>
      <c r="G348" s="14"/>
      <c r="H348" s="489"/>
      <c r="I348"/>
      <c r="J348"/>
      <c r="L348"/>
    </row>
    <row r="349" spans="2:12">
      <c r="B349"/>
      <c r="C349"/>
      <c r="D349"/>
      <c r="E349"/>
      <c r="F349"/>
      <c r="G349" s="14"/>
      <c r="H349" s="489"/>
      <c r="I349"/>
      <c r="J349"/>
      <c r="L349"/>
    </row>
    <row r="350" spans="2:12">
      <c r="B350"/>
      <c r="C350"/>
      <c r="D350"/>
      <c r="E350"/>
      <c r="F350"/>
      <c r="G350" s="14"/>
      <c r="H350" s="489"/>
      <c r="I350"/>
      <c r="J350"/>
      <c r="L350"/>
    </row>
    <row r="351" spans="2:12">
      <c r="B351"/>
      <c r="C351"/>
      <c r="D351"/>
      <c r="E351"/>
      <c r="F351"/>
      <c r="G351" s="14"/>
      <c r="H351" s="489"/>
      <c r="I351"/>
      <c r="J351"/>
      <c r="L351"/>
    </row>
    <row r="352" spans="2:12">
      <c r="B352"/>
      <c r="C352"/>
      <c r="D352"/>
      <c r="E352"/>
      <c r="F352"/>
      <c r="G352" s="14"/>
      <c r="H352" s="489"/>
      <c r="I352"/>
      <c r="J352"/>
      <c r="L352"/>
    </row>
    <row r="353" spans="2:12">
      <c r="B353"/>
      <c r="C353"/>
      <c r="D353"/>
      <c r="E353"/>
      <c r="F353"/>
      <c r="G353" s="14"/>
      <c r="H353" s="489"/>
      <c r="I353"/>
      <c r="J353"/>
      <c r="L353"/>
    </row>
    <row r="354" spans="2:12">
      <c r="B354"/>
      <c r="C354"/>
      <c r="D354"/>
      <c r="E354"/>
      <c r="F354"/>
      <c r="G354" s="14"/>
      <c r="H354" s="489"/>
      <c r="I354"/>
      <c r="J354"/>
      <c r="L354"/>
    </row>
    <row r="355" spans="2:12">
      <c r="B355"/>
      <c r="C355"/>
      <c r="D355"/>
      <c r="E355"/>
      <c r="F355"/>
      <c r="G355" s="14"/>
      <c r="H355" s="489"/>
      <c r="I355"/>
      <c r="J355"/>
      <c r="L355"/>
    </row>
    <row r="356" spans="2:12">
      <c r="B356"/>
      <c r="C356"/>
      <c r="D356"/>
      <c r="E356"/>
      <c r="F356"/>
      <c r="G356" s="14"/>
      <c r="H356" s="489"/>
      <c r="I356"/>
      <c r="J356"/>
      <c r="L356"/>
    </row>
    <row r="357" spans="2:12">
      <c r="B357"/>
      <c r="C357"/>
      <c r="D357"/>
      <c r="E357"/>
      <c r="F357"/>
      <c r="G357" s="14"/>
      <c r="H357" s="489"/>
      <c r="I357"/>
      <c r="J357"/>
      <c r="L357"/>
    </row>
    <row r="358" spans="2:12">
      <c r="B358"/>
      <c r="C358"/>
      <c r="D358"/>
      <c r="E358"/>
      <c r="F358"/>
      <c r="G358" s="14"/>
      <c r="H358" s="489"/>
      <c r="I358"/>
      <c r="J358"/>
      <c r="L358"/>
    </row>
    <row r="359" spans="2:12">
      <c r="B359"/>
      <c r="C359"/>
      <c r="D359"/>
      <c r="E359"/>
      <c r="F359"/>
      <c r="G359" s="14"/>
      <c r="H359" s="489"/>
      <c r="I359"/>
      <c r="J359"/>
      <c r="L359"/>
    </row>
    <row r="360" spans="2:12">
      <c r="B360"/>
      <c r="C360"/>
      <c r="D360"/>
      <c r="E360"/>
      <c r="F360"/>
      <c r="G360" s="14"/>
      <c r="H360" s="489"/>
      <c r="I360"/>
      <c r="J360"/>
      <c r="L360"/>
    </row>
    <row r="361" spans="2:12">
      <c r="B361"/>
      <c r="C361"/>
      <c r="D361"/>
      <c r="E361"/>
      <c r="F361"/>
      <c r="G361" s="14"/>
      <c r="H361" s="489"/>
      <c r="I361"/>
      <c r="J361"/>
      <c r="L361"/>
    </row>
    <row r="362" spans="2:12">
      <c r="B362"/>
      <c r="C362"/>
      <c r="D362"/>
      <c r="E362"/>
      <c r="F362"/>
      <c r="G362" s="14"/>
      <c r="H362" s="489"/>
      <c r="I362"/>
      <c r="J362"/>
      <c r="L362"/>
    </row>
    <row r="363" spans="2:12">
      <c r="B363"/>
      <c r="C363"/>
      <c r="D363"/>
      <c r="E363"/>
      <c r="F363"/>
      <c r="G363" s="14"/>
      <c r="H363" s="489"/>
      <c r="I363"/>
      <c r="J363"/>
      <c r="L363"/>
    </row>
    <row r="364" spans="2:12">
      <c r="B364"/>
      <c r="C364"/>
      <c r="D364"/>
      <c r="E364"/>
      <c r="F364"/>
      <c r="G364" s="14"/>
      <c r="H364" s="489"/>
      <c r="I364"/>
      <c r="J364"/>
      <c r="L364"/>
    </row>
    <row r="365" spans="2:12">
      <c r="B365"/>
      <c r="C365"/>
      <c r="D365"/>
      <c r="E365"/>
      <c r="F365"/>
      <c r="G365" s="14"/>
      <c r="H365" s="489"/>
      <c r="I365"/>
      <c r="J365"/>
      <c r="L365"/>
    </row>
    <row r="366" spans="2:12">
      <c r="B366"/>
      <c r="C366"/>
      <c r="D366"/>
      <c r="E366"/>
      <c r="F366"/>
      <c r="G366" s="14"/>
      <c r="H366" s="489"/>
      <c r="I366"/>
      <c r="J366"/>
      <c r="L366"/>
    </row>
    <row r="367" spans="2:12">
      <c r="B367"/>
      <c r="C367"/>
      <c r="D367"/>
      <c r="E367"/>
      <c r="F367"/>
      <c r="G367" s="14"/>
      <c r="H367" s="489"/>
      <c r="I367"/>
      <c r="J367"/>
      <c r="L367"/>
    </row>
    <row r="368" spans="2:12">
      <c r="B368"/>
      <c r="C368"/>
      <c r="D368"/>
      <c r="E368"/>
      <c r="F368"/>
      <c r="G368" s="14"/>
      <c r="H368" s="489"/>
      <c r="I368"/>
      <c r="J368"/>
      <c r="L368"/>
    </row>
    <row r="369" spans="2:12">
      <c r="B369"/>
      <c r="C369"/>
      <c r="D369"/>
      <c r="E369"/>
      <c r="F369"/>
      <c r="G369" s="14"/>
      <c r="H369" s="489"/>
      <c r="I369"/>
      <c r="J369"/>
      <c r="L369"/>
    </row>
    <row r="370" spans="2:12">
      <c r="B370"/>
      <c r="C370"/>
      <c r="D370"/>
      <c r="E370"/>
      <c r="F370"/>
      <c r="G370" s="14"/>
      <c r="H370" s="489"/>
      <c r="I370"/>
      <c r="J370"/>
      <c r="L370"/>
    </row>
    <row r="371" spans="2:12">
      <c r="B371"/>
      <c r="C371"/>
      <c r="D371"/>
      <c r="E371"/>
      <c r="F371"/>
      <c r="G371" s="14"/>
      <c r="H371" s="489"/>
      <c r="I371"/>
      <c r="J371"/>
      <c r="L371"/>
    </row>
    <row r="372" spans="2:12">
      <c r="B372"/>
      <c r="C372"/>
      <c r="D372"/>
      <c r="E372"/>
      <c r="F372"/>
      <c r="G372" s="14"/>
      <c r="H372" s="489"/>
      <c r="I372"/>
      <c r="J372"/>
      <c r="L372"/>
    </row>
    <row r="373" spans="2:12">
      <c r="B373"/>
      <c r="C373"/>
      <c r="D373"/>
      <c r="E373"/>
      <c r="F373"/>
      <c r="G373" s="14"/>
      <c r="H373" s="489"/>
      <c r="I373"/>
      <c r="J373"/>
      <c r="L373"/>
    </row>
    <row r="374" spans="2:12">
      <c r="B374"/>
      <c r="C374"/>
      <c r="D374"/>
      <c r="E374"/>
      <c r="F374"/>
      <c r="G374" s="14"/>
      <c r="H374" s="489"/>
      <c r="I374"/>
      <c r="J374"/>
      <c r="L374"/>
    </row>
    <row r="375" spans="2:12">
      <c r="B375"/>
      <c r="C375"/>
      <c r="D375"/>
      <c r="E375"/>
      <c r="F375"/>
      <c r="G375" s="14"/>
      <c r="H375" s="489"/>
      <c r="I375"/>
      <c r="J375"/>
      <c r="L375"/>
    </row>
    <row r="376" spans="2:12">
      <c r="B376"/>
      <c r="C376"/>
      <c r="D376"/>
      <c r="E376"/>
      <c r="F376"/>
      <c r="G376" s="14"/>
      <c r="H376" s="489"/>
      <c r="I376"/>
      <c r="J376"/>
      <c r="L376"/>
    </row>
    <row r="377" spans="2:12">
      <c r="B377"/>
      <c r="C377"/>
      <c r="D377"/>
      <c r="E377"/>
      <c r="F377"/>
      <c r="G377" s="14"/>
      <c r="H377" s="489"/>
      <c r="I377"/>
      <c r="J377"/>
      <c r="L377"/>
    </row>
    <row r="378" spans="2:12">
      <c r="B378"/>
      <c r="C378"/>
      <c r="D378"/>
      <c r="E378"/>
      <c r="F378"/>
      <c r="G378" s="14"/>
      <c r="H378" s="489"/>
      <c r="I378"/>
      <c r="J378"/>
      <c r="L378"/>
    </row>
    <row r="379" spans="2:12">
      <c r="B379"/>
      <c r="C379"/>
      <c r="D379"/>
      <c r="E379"/>
      <c r="F379"/>
      <c r="G379" s="14"/>
      <c r="H379" s="489"/>
      <c r="I379"/>
      <c r="J379"/>
      <c r="L379"/>
    </row>
    <row r="380" spans="2:12">
      <c r="B380"/>
      <c r="C380"/>
      <c r="D380"/>
      <c r="E380"/>
      <c r="F380"/>
      <c r="G380" s="14"/>
      <c r="H380" s="489"/>
      <c r="I380"/>
      <c r="J380"/>
      <c r="L380"/>
    </row>
    <row r="381" spans="2:12">
      <c r="B381"/>
      <c r="C381"/>
      <c r="D381"/>
      <c r="E381"/>
      <c r="F381"/>
      <c r="G381" s="14"/>
      <c r="H381" s="489"/>
      <c r="I381"/>
      <c r="J381"/>
      <c r="L381"/>
    </row>
    <row r="382" spans="2:12">
      <c r="B382"/>
      <c r="C382"/>
      <c r="D382"/>
      <c r="E382"/>
      <c r="F382"/>
      <c r="G382" s="14"/>
      <c r="H382" s="489"/>
      <c r="I382"/>
      <c r="J382"/>
      <c r="L382"/>
    </row>
    <row r="383" spans="2:12">
      <c r="B383"/>
      <c r="C383"/>
      <c r="D383"/>
      <c r="E383"/>
      <c r="F383"/>
      <c r="G383" s="14"/>
      <c r="H383" s="489"/>
      <c r="I383"/>
      <c r="J383"/>
      <c r="L383"/>
    </row>
    <row r="384" spans="2:12">
      <c r="B384"/>
      <c r="C384"/>
      <c r="D384"/>
      <c r="E384"/>
      <c r="F384"/>
      <c r="G384" s="14"/>
      <c r="H384" s="489"/>
      <c r="I384"/>
      <c r="J384"/>
      <c r="L384"/>
    </row>
    <row r="385" spans="2:12">
      <c r="B385"/>
      <c r="C385"/>
      <c r="D385"/>
      <c r="E385"/>
      <c r="F385"/>
      <c r="G385" s="14"/>
      <c r="H385" s="489"/>
      <c r="I385"/>
      <c r="J385"/>
      <c r="L385"/>
    </row>
    <row r="386" spans="2:12">
      <c r="B386"/>
      <c r="C386"/>
      <c r="D386"/>
      <c r="E386"/>
      <c r="F386"/>
      <c r="G386" s="14"/>
      <c r="H386" s="489"/>
      <c r="I386"/>
      <c r="J386"/>
      <c r="L386"/>
    </row>
    <row r="387" spans="2:12">
      <c r="B387"/>
      <c r="C387"/>
      <c r="D387"/>
      <c r="E387"/>
      <c r="F387"/>
      <c r="G387" s="14"/>
      <c r="H387" s="489"/>
      <c r="I387"/>
      <c r="J387"/>
      <c r="L387"/>
    </row>
    <row r="388" spans="2:12">
      <c r="B388"/>
      <c r="C388"/>
      <c r="D388"/>
      <c r="E388"/>
      <c r="F388"/>
      <c r="G388" s="14"/>
      <c r="H388" s="489"/>
      <c r="I388"/>
      <c r="J388"/>
      <c r="L388"/>
    </row>
    <row r="389" spans="2:12">
      <c r="B389"/>
      <c r="C389"/>
      <c r="D389"/>
      <c r="E389"/>
      <c r="F389"/>
      <c r="G389" s="14"/>
      <c r="H389" s="489"/>
      <c r="I389"/>
      <c r="J389"/>
      <c r="L389"/>
    </row>
    <row r="390" spans="2:12">
      <c r="B390"/>
      <c r="C390"/>
      <c r="D390"/>
      <c r="E390"/>
      <c r="F390"/>
      <c r="G390" s="14"/>
      <c r="H390" s="489"/>
      <c r="I390"/>
      <c r="J390"/>
      <c r="L390"/>
    </row>
    <row r="391" spans="2:12">
      <c r="B391"/>
      <c r="C391"/>
      <c r="D391"/>
      <c r="E391"/>
      <c r="F391"/>
      <c r="G391" s="14"/>
      <c r="H391" s="489"/>
      <c r="I391"/>
      <c r="J391"/>
      <c r="L391"/>
    </row>
    <row r="392" spans="2:12">
      <c r="B392"/>
      <c r="C392"/>
      <c r="D392"/>
      <c r="E392"/>
      <c r="F392"/>
      <c r="G392" s="14"/>
      <c r="H392" s="489"/>
      <c r="I392"/>
      <c r="J392"/>
      <c r="L392"/>
    </row>
    <row r="393" spans="2:12">
      <c r="B393"/>
      <c r="C393"/>
      <c r="D393"/>
      <c r="E393"/>
      <c r="F393"/>
      <c r="G393" s="14"/>
      <c r="H393" s="489"/>
      <c r="I393"/>
      <c r="J393"/>
      <c r="L393"/>
    </row>
    <row r="394" spans="2:12">
      <c r="B394"/>
      <c r="C394"/>
      <c r="D394"/>
      <c r="E394"/>
      <c r="F394"/>
      <c r="G394" s="14"/>
      <c r="H394" s="489"/>
      <c r="I394"/>
      <c r="J394"/>
      <c r="L394"/>
    </row>
    <row r="395" spans="2:12">
      <c r="B395"/>
      <c r="C395"/>
      <c r="D395"/>
      <c r="E395"/>
      <c r="F395"/>
      <c r="G395" s="14"/>
      <c r="H395" s="489"/>
      <c r="I395"/>
      <c r="J395"/>
      <c r="L395"/>
    </row>
    <row r="396" spans="2:12">
      <c r="B396"/>
      <c r="C396"/>
      <c r="D396"/>
      <c r="E396"/>
      <c r="F396"/>
      <c r="G396" s="14"/>
      <c r="H396" s="489"/>
      <c r="I396"/>
      <c r="J396"/>
      <c r="L396"/>
    </row>
    <row r="397" spans="2:12">
      <c r="B397"/>
      <c r="C397"/>
      <c r="D397"/>
      <c r="E397"/>
      <c r="F397"/>
      <c r="G397" s="14"/>
      <c r="H397" s="489"/>
      <c r="I397"/>
      <c r="J397"/>
      <c r="L397"/>
    </row>
    <row r="398" spans="2:12">
      <c r="B398"/>
      <c r="C398"/>
      <c r="D398"/>
      <c r="E398"/>
      <c r="F398"/>
      <c r="G398" s="14"/>
      <c r="H398" s="489"/>
      <c r="I398"/>
      <c r="J398"/>
      <c r="L398"/>
    </row>
    <row r="399" spans="2:12">
      <c r="B399"/>
      <c r="C399"/>
      <c r="D399"/>
      <c r="E399"/>
      <c r="F399"/>
      <c r="G399" s="14"/>
      <c r="H399" s="489"/>
      <c r="I399"/>
      <c r="J399"/>
      <c r="L399"/>
    </row>
    <row r="400" spans="2:12">
      <c r="B400"/>
      <c r="C400"/>
      <c r="D400"/>
      <c r="E400"/>
      <c r="F400"/>
      <c r="G400" s="14"/>
      <c r="H400" s="489"/>
      <c r="I400"/>
      <c r="J400"/>
      <c r="L400"/>
    </row>
    <row r="401" spans="2:12">
      <c r="B401"/>
      <c r="C401"/>
      <c r="D401"/>
      <c r="E401"/>
      <c r="F401"/>
      <c r="G401" s="14"/>
      <c r="H401" s="489"/>
      <c r="I401"/>
      <c r="J401"/>
      <c r="L401"/>
    </row>
    <row r="402" spans="2:12">
      <c r="B402"/>
      <c r="C402"/>
      <c r="D402"/>
      <c r="E402"/>
      <c r="F402"/>
      <c r="G402" s="14"/>
      <c r="H402" s="489"/>
      <c r="I402"/>
      <c r="J402"/>
      <c r="L402"/>
    </row>
    <row r="403" spans="2:12">
      <c r="B403"/>
      <c r="C403"/>
      <c r="D403"/>
      <c r="E403"/>
      <c r="F403"/>
      <c r="G403" s="14"/>
      <c r="H403" s="489"/>
      <c r="I403"/>
      <c r="J403"/>
      <c r="L403"/>
    </row>
    <row r="404" spans="2:12">
      <c r="B404"/>
      <c r="C404"/>
      <c r="D404"/>
      <c r="E404"/>
      <c r="F404"/>
      <c r="G404" s="14"/>
      <c r="H404" s="489"/>
      <c r="I404"/>
      <c r="J404"/>
      <c r="L404"/>
    </row>
    <row r="405" spans="2:12">
      <c r="B405"/>
      <c r="C405"/>
      <c r="D405"/>
      <c r="E405"/>
      <c r="F405"/>
      <c r="G405" s="14"/>
      <c r="H405" s="489"/>
      <c r="I405"/>
      <c r="J405"/>
      <c r="L405"/>
    </row>
    <row r="406" spans="2:12">
      <c r="B406"/>
      <c r="C406"/>
      <c r="D406"/>
      <c r="E406"/>
      <c r="F406"/>
      <c r="G406" s="14"/>
      <c r="H406" s="489"/>
      <c r="I406"/>
      <c r="J406"/>
      <c r="L406"/>
    </row>
    <row r="407" spans="2:12">
      <c r="B407"/>
      <c r="C407"/>
      <c r="D407"/>
      <c r="E407"/>
      <c r="F407"/>
      <c r="G407" s="14"/>
      <c r="H407" s="489"/>
      <c r="I407"/>
      <c r="J407"/>
      <c r="L407"/>
    </row>
    <row r="408" spans="2:12">
      <c r="B408"/>
      <c r="C408"/>
      <c r="D408"/>
      <c r="E408"/>
      <c r="F408"/>
      <c r="G408" s="14"/>
      <c r="H408" s="489"/>
      <c r="I408"/>
      <c r="J408"/>
      <c r="L408"/>
    </row>
    <row r="409" spans="2:12">
      <c r="B409"/>
      <c r="C409"/>
      <c r="D409"/>
      <c r="E409"/>
      <c r="F409"/>
      <c r="G409" s="14"/>
      <c r="H409" s="489"/>
      <c r="I409"/>
      <c r="J409"/>
      <c r="L409"/>
    </row>
    <row r="410" spans="2:12">
      <c r="B410"/>
      <c r="C410"/>
      <c r="D410"/>
      <c r="E410"/>
      <c r="F410"/>
      <c r="G410" s="14"/>
      <c r="H410" s="489"/>
      <c r="I410"/>
      <c r="J410"/>
      <c r="L410"/>
    </row>
    <row r="411" spans="2:12">
      <c r="B411"/>
      <c r="C411"/>
      <c r="D411"/>
      <c r="E411"/>
      <c r="F411"/>
      <c r="G411" s="14"/>
      <c r="H411" s="489"/>
      <c r="I411"/>
      <c r="J411"/>
      <c r="L411"/>
    </row>
    <row r="412" spans="2:12">
      <c r="B412"/>
      <c r="C412"/>
      <c r="D412"/>
      <c r="E412"/>
      <c r="F412"/>
      <c r="G412" s="14"/>
      <c r="H412" s="489"/>
      <c r="I412"/>
      <c r="J412"/>
      <c r="L412"/>
    </row>
    <row r="413" spans="2:12">
      <c r="B413"/>
      <c r="C413"/>
      <c r="D413"/>
      <c r="E413"/>
      <c r="F413"/>
      <c r="G413" s="14"/>
      <c r="H413" s="489"/>
      <c r="I413"/>
      <c r="J413"/>
      <c r="L413"/>
    </row>
    <row r="414" spans="2:12">
      <c r="B414"/>
      <c r="C414"/>
      <c r="D414"/>
      <c r="E414"/>
      <c r="F414"/>
      <c r="G414" s="14"/>
      <c r="H414" s="489"/>
      <c r="I414"/>
      <c r="J414"/>
      <c r="L414"/>
    </row>
    <row r="415" spans="2:12">
      <c r="B415"/>
      <c r="C415"/>
      <c r="D415"/>
      <c r="E415"/>
      <c r="F415"/>
      <c r="G415" s="14"/>
      <c r="H415" s="489"/>
      <c r="I415"/>
      <c r="J415"/>
      <c r="L415"/>
    </row>
    <row r="416" spans="2:12">
      <c r="B416"/>
      <c r="C416"/>
      <c r="D416"/>
      <c r="E416"/>
      <c r="F416"/>
      <c r="G416" s="14"/>
      <c r="H416" s="489"/>
      <c r="I416"/>
      <c r="J416"/>
      <c r="L416"/>
    </row>
    <row r="417" spans="2:12">
      <c r="B417"/>
      <c r="C417"/>
      <c r="D417"/>
      <c r="E417"/>
      <c r="F417"/>
      <c r="G417" s="14"/>
      <c r="H417" s="489"/>
      <c r="I417"/>
      <c r="J417"/>
      <c r="L417"/>
    </row>
    <row r="418" spans="2:12">
      <c r="B418"/>
      <c r="C418"/>
      <c r="D418"/>
      <c r="E418"/>
      <c r="F418"/>
      <c r="G418" s="14"/>
      <c r="H418" s="489"/>
      <c r="I418"/>
      <c r="J418"/>
      <c r="L418"/>
    </row>
    <row r="419" spans="2:12">
      <c r="B419"/>
      <c r="C419"/>
      <c r="D419"/>
      <c r="E419"/>
      <c r="F419"/>
      <c r="G419" s="14"/>
      <c r="H419" s="489"/>
      <c r="I419"/>
      <c r="J419"/>
      <c r="L419"/>
    </row>
    <row r="420" spans="2:12">
      <c r="B420"/>
      <c r="C420"/>
      <c r="D420"/>
      <c r="E420"/>
      <c r="F420"/>
      <c r="G420" s="14"/>
      <c r="H420" s="489"/>
      <c r="I420"/>
      <c r="J420"/>
      <c r="L420"/>
    </row>
    <row r="421" spans="2:12">
      <c r="B421"/>
      <c r="C421"/>
      <c r="D421"/>
      <c r="E421"/>
      <c r="F421"/>
      <c r="G421" s="14"/>
      <c r="H421" s="489"/>
      <c r="I421"/>
      <c r="J421"/>
      <c r="L421"/>
    </row>
    <row r="422" spans="2:12">
      <c r="B422"/>
      <c r="C422"/>
      <c r="D422"/>
      <c r="E422"/>
      <c r="F422"/>
      <c r="G422" s="14"/>
      <c r="H422" s="489"/>
      <c r="I422"/>
      <c r="J422"/>
      <c r="L422"/>
    </row>
    <row r="423" spans="2:12">
      <c r="B423"/>
      <c r="C423"/>
      <c r="D423"/>
      <c r="E423"/>
      <c r="F423"/>
      <c r="G423" s="14"/>
      <c r="H423" s="489"/>
      <c r="I423"/>
      <c r="J423"/>
      <c r="L423"/>
    </row>
    <row r="424" spans="2:12">
      <c r="B424"/>
      <c r="C424"/>
      <c r="D424"/>
      <c r="E424"/>
      <c r="F424"/>
      <c r="G424" s="14"/>
      <c r="H424" s="489"/>
      <c r="I424"/>
      <c r="J424"/>
      <c r="L424"/>
    </row>
    <row r="425" spans="2:12">
      <c r="B425"/>
      <c r="C425"/>
      <c r="D425"/>
      <c r="E425"/>
      <c r="F425"/>
      <c r="G425" s="14"/>
      <c r="H425" s="489"/>
      <c r="I425"/>
      <c r="J425"/>
      <c r="L425"/>
    </row>
    <row r="426" spans="2:12">
      <c r="B426"/>
      <c r="C426"/>
      <c r="D426"/>
      <c r="E426"/>
      <c r="F426"/>
      <c r="G426" s="14"/>
      <c r="H426" s="489"/>
      <c r="I426"/>
      <c r="J426"/>
      <c r="L426"/>
    </row>
    <row r="427" spans="2:12">
      <c r="B427"/>
      <c r="C427"/>
      <c r="D427"/>
      <c r="E427"/>
      <c r="F427"/>
      <c r="G427" s="14"/>
      <c r="H427" s="489"/>
      <c r="I427"/>
      <c r="J427"/>
      <c r="L427"/>
    </row>
    <row r="428" spans="2:12">
      <c r="B428"/>
      <c r="C428"/>
      <c r="D428"/>
      <c r="E428"/>
      <c r="F428"/>
      <c r="G428" s="14"/>
      <c r="H428" s="489"/>
      <c r="I428"/>
      <c r="J428"/>
      <c r="L428"/>
    </row>
    <row r="429" spans="2:12">
      <c r="B429"/>
      <c r="C429"/>
      <c r="D429"/>
      <c r="E429"/>
      <c r="F429"/>
      <c r="G429" s="14"/>
      <c r="H429" s="489"/>
      <c r="I429"/>
      <c r="J429"/>
      <c r="L429"/>
    </row>
    <row r="430" spans="2:12">
      <c r="B430"/>
      <c r="C430"/>
      <c r="D430"/>
      <c r="E430"/>
      <c r="F430"/>
      <c r="G430" s="14"/>
      <c r="H430" s="489"/>
      <c r="I430"/>
      <c r="J430"/>
      <c r="L430"/>
    </row>
    <row r="431" spans="2:12">
      <c r="B431"/>
      <c r="C431"/>
      <c r="D431"/>
      <c r="E431"/>
      <c r="F431"/>
      <c r="G431" s="14"/>
      <c r="H431" s="489"/>
      <c r="I431"/>
      <c r="J431"/>
      <c r="L431"/>
    </row>
    <row r="432" spans="2:12">
      <c r="B432"/>
      <c r="C432"/>
      <c r="D432"/>
      <c r="E432"/>
      <c r="F432"/>
      <c r="G432" s="14"/>
      <c r="H432" s="489"/>
      <c r="I432"/>
      <c r="J432"/>
      <c r="L432"/>
    </row>
    <row r="433" spans="2:12">
      <c r="B433"/>
      <c r="C433"/>
      <c r="D433"/>
      <c r="E433"/>
      <c r="F433"/>
      <c r="G433" s="14"/>
      <c r="H433" s="489"/>
      <c r="I433"/>
      <c r="J433"/>
      <c r="L433"/>
    </row>
    <row r="434" spans="2:12">
      <c r="B434"/>
      <c r="C434"/>
      <c r="D434"/>
      <c r="E434"/>
      <c r="F434"/>
      <c r="G434" s="14"/>
      <c r="H434" s="489"/>
      <c r="I434"/>
      <c r="J434"/>
      <c r="L434"/>
    </row>
    <row r="435" spans="2:12">
      <c r="B435"/>
      <c r="C435"/>
      <c r="D435"/>
      <c r="E435"/>
      <c r="F435"/>
      <c r="G435" s="14"/>
      <c r="H435" s="489"/>
      <c r="I435"/>
      <c r="J435"/>
      <c r="L435"/>
    </row>
    <row r="436" spans="2:12">
      <c r="B436"/>
      <c r="C436"/>
      <c r="D436"/>
      <c r="E436"/>
      <c r="F436"/>
      <c r="G436" s="14"/>
      <c r="H436" s="489"/>
      <c r="I436"/>
      <c r="J436"/>
      <c r="L436"/>
    </row>
    <row r="437" spans="2:12">
      <c r="B437"/>
      <c r="C437"/>
      <c r="D437"/>
      <c r="E437"/>
      <c r="F437"/>
      <c r="G437" s="14"/>
      <c r="H437" s="489"/>
      <c r="I437"/>
      <c r="J437"/>
      <c r="L437"/>
    </row>
    <row r="438" spans="2:12">
      <c r="B438"/>
      <c r="C438"/>
      <c r="D438"/>
      <c r="E438"/>
      <c r="F438"/>
      <c r="G438" s="14"/>
      <c r="H438" s="489"/>
      <c r="I438"/>
      <c r="J438"/>
      <c r="L438"/>
    </row>
    <row r="439" spans="2:12">
      <c r="B439"/>
      <c r="C439"/>
      <c r="D439"/>
      <c r="E439"/>
      <c r="F439"/>
      <c r="G439" s="14"/>
      <c r="H439" s="489"/>
      <c r="I439"/>
      <c r="J439"/>
      <c r="L439"/>
    </row>
    <row r="440" spans="2:12">
      <c r="B440"/>
      <c r="C440"/>
      <c r="D440"/>
      <c r="E440"/>
      <c r="F440"/>
      <c r="G440" s="14"/>
      <c r="H440" s="489"/>
      <c r="I440"/>
      <c r="J440"/>
      <c r="L440"/>
    </row>
    <row r="441" spans="2:12">
      <c r="B441"/>
      <c r="C441"/>
      <c r="D441"/>
      <c r="E441"/>
      <c r="F441"/>
      <c r="G441" s="14"/>
      <c r="H441" s="489"/>
      <c r="I441"/>
      <c r="J441"/>
      <c r="L441"/>
    </row>
    <row r="442" spans="2:12">
      <c r="B442"/>
      <c r="C442"/>
      <c r="D442"/>
      <c r="E442"/>
      <c r="F442"/>
      <c r="G442" s="14"/>
      <c r="H442" s="489"/>
      <c r="I442"/>
      <c r="J442"/>
      <c r="L442"/>
    </row>
    <row r="443" spans="2:12">
      <c r="B443"/>
      <c r="C443"/>
      <c r="D443"/>
      <c r="E443"/>
      <c r="F443"/>
      <c r="G443" s="14"/>
      <c r="H443" s="489"/>
      <c r="I443"/>
      <c r="J443"/>
      <c r="L443"/>
    </row>
    <row r="444" spans="2:12">
      <c r="B444"/>
      <c r="C444"/>
      <c r="D444"/>
      <c r="E444"/>
      <c r="F444"/>
      <c r="G444" s="14"/>
      <c r="H444" s="489"/>
      <c r="I444"/>
      <c r="J444"/>
      <c r="L444"/>
    </row>
    <row r="445" spans="2:12">
      <c r="B445"/>
      <c r="C445"/>
      <c r="D445"/>
      <c r="E445"/>
      <c r="F445"/>
      <c r="G445" s="14"/>
      <c r="H445" s="489"/>
      <c r="I445"/>
      <c r="J445"/>
      <c r="L445"/>
    </row>
    <row r="446" spans="2:12">
      <c r="B446"/>
      <c r="C446"/>
      <c r="D446"/>
      <c r="E446"/>
      <c r="F446"/>
      <c r="G446" s="14"/>
      <c r="H446" s="489"/>
      <c r="I446"/>
      <c r="J446"/>
      <c r="L446"/>
    </row>
    <row r="447" spans="2:12">
      <c r="B447"/>
      <c r="C447"/>
      <c r="D447"/>
      <c r="E447"/>
      <c r="F447"/>
      <c r="G447" s="14"/>
      <c r="H447" s="489"/>
      <c r="I447"/>
      <c r="J447"/>
      <c r="L447"/>
    </row>
    <row r="448" spans="2:12">
      <c r="B448"/>
      <c r="C448"/>
      <c r="D448"/>
      <c r="E448"/>
      <c r="F448"/>
      <c r="G448" s="14"/>
      <c r="H448" s="489"/>
      <c r="I448"/>
      <c r="J448"/>
      <c r="L448"/>
    </row>
    <row r="449" spans="2:12">
      <c r="B449"/>
      <c r="C449"/>
      <c r="D449"/>
      <c r="E449"/>
      <c r="F449"/>
      <c r="G449" s="14"/>
      <c r="H449" s="489"/>
      <c r="I449"/>
      <c r="J449"/>
      <c r="L449"/>
    </row>
    <row r="450" spans="2:12">
      <c r="B450"/>
      <c r="C450"/>
      <c r="D450"/>
      <c r="E450"/>
      <c r="F450"/>
      <c r="G450" s="14"/>
      <c r="H450" s="489"/>
      <c r="I450"/>
      <c r="J450"/>
      <c r="L450"/>
    </row>
    <row r="451" spans="2:12">
      <c r="B451"/>
      <c r="C451"/>
      <c r="D451"/>
      <c r="E451"/>
      <c r="F451"/>
      <c r="G451" s="14"/>
      <c r="H451" s="489"/>
      <c r="I451"/>
      <c r="J451"/>
      <c r="L451"/>
    </row>
    <row r="452" spans="2:12">
      <c r="B452"/>
      <c r="C452"/>
      <c r="D452"/>
      <c r="E452"/>
      <c r="F452"/>
      <c r="G452" s="14"/>
      <c r="H452" s="489"/>
      <c r="I452"/>
      <c r="J452"/>
      <c r="L452"/>
    </row>
    <row r="453" spans="2:12">
      <c r="B453"/>
      <c r="C453"/>
      <c r="D453"/>
      <c r="E453"/>
      <c r="F453"/>
      <c r="G453" s="14"/>
      <c r="H453" s="489"/>
      <c r="I453"/>
      <c r="J453"/>
      <c r="L453"/>
    </row>
    <row r="454" spans="2:12">
      <c r="B454"/>
      <c r="C454"/>
      <c r="D454"/>
      <c r="E454"/>
      <c r="F454"/>
      <c r="G454" s="14"/>
      <c r="H454" s="489"/>
      <c r="I454"/>
      <c r="J454"/>
      <c r="L454"/>
    </row>
    <row r="455" spans="2:12">
      <c r="B455"/>
      <c r="C455"/>
      <c r="D455"/>
      <c r="E455"/>
      <c r="F455"/>
      <c r="G455" s="14"/>
      <c r="H455" s="489"/>
      <c r="I455"/>
      <c r="J455"/>
      <c r="L455"/>
    </row>
    <row r="456" spans="2:12">
      <c r="B456"/>
      <c r="C456"/>
      <c r="D456"/>
      <c r="E456"/>
      <c r="F456"/>
      <c r="G456" s="14"/>
      <c r="H456" s="489"/>
      <c r="I456"/>
      <c r="J456"/>
      <c r="L456"/>
    </row>
    <row r="457" spans="2:12">
      <c r="B457"/>
      <c r="C457"/>
      <c r="D457"/>
      <c r="E457"/>
      <c r="F457"/>
      <c r="G457" s="14"/>
      <c r="H457" s="489"/>
      <c r="I457"/>
      <c r="J457"/>
      <c r="L457"/>
    </row>
    <row r="458" spans="2:12">
      <c r="B458"/>
      <c r="C458"/>
      <c r="D458"/>
      <c r="E458"/>
      <c r="F458"/>
      <c r="G458" s="14"/>
      <c r="H458" s="489"/>
      <c r="I458"/>
      <c r="J458"/>
      <c r="L458"/>
    </row>
    <row r="459" spans="2:12">
      <c r="B459"/>
      <c r="C459"/>
      <c r="D459"/>
      <c r="E459"/>
      <c r="F459"/>
      <c r="G459" s="14"/>
      <c r="H459" s="489"/>
      <c r="I459"/>
      <c r="J459"/>
      <c r="L459"/>
    </row>
    <row r="460" spans="2:12">
      <c r="B460"/>
      <c r="C460"/>
      <c r="D460"/>
      <c r="E460"/>
      <c r="F460"/>
      <c r="G460" s="14"/>
      <c r="H460" s="489"/>
      <c r="I460"/>
      <c r="J460"/>
      <c r="L460"/>
    </row>
    <row r="461" spans="2:12">
      <c r="B461"/>
      <c r="C461"/>
      <c r="D461"/>
      <c r="E461"/>
      <c r="F461"/>
      <c r="G461" s="14"/>
      <c r="H461" s="489"/>
      <c r="I461"/>
      <c r="J461"/>
      <c r="L461"/>
    </row>
    <row r="462" spans="2:12">
      <c r="B462"/>
      <c r="C462"/>
      <c r="D462"/>
      <c r="E462"/>
      <c r="F462"/>
      <c r="G462" s="14"/>
      <c r="H462" s="489"/>
      <c r="I462"/>
      <c r="J462"/>
      <c r="L462"/>
    </row>
    <row r="463" spans="2:12">
      <c r="B463"/>
      <c r="C463"/>
      <c r="D463"/>
      <c r="E463"/>
      <c r="F463"/>
      <c r="G463" s="14"/>
      <c r="H463" s="489"/>
      <c r="I463"/>
      <c r="J463"/>
      <c r="L463"/>
    </row>
    <row r="464" spans="2:12">
      <c r="B464"/>
      <c r="C464"/>
      <c r="D464"/>
      <c r="E464"/>
      <c r="F464"/>
      <c r="G464" s="14"/>
      <c r="H464" s="489"/>
      <c r="I464"/>
      <c r="J464"/>
      <c r="L464"/>
    </row>
    <row r="465" spans="2:12">
      <c r="B465"/>
      <c r="C465"/>
      <c r="D465"/>
      <c r="E465"/>
      <c r="F465"/>
      <c r="G465" s="14"/>
      <c r="H465" s="489"/>
      <c r="I465"/>
      <c r="J465"/>
      <c r="L465"/>
    </row>
    <row r="466" spans="2:12">
      <c r="B466"/>
      <c r="C466"/>
      <c r="D466"/>
      <c r="E466"/>
      <c r="F466"/>
      <c r="G466" s="14"/>
      <c r="H466" s="489"/>
      <c r="I466"/>
      <c r="J466"/>
      <c r="L466"/>
    </row>
    <row r="467" spans="2:12">
      <c r="B467"/>
      <c r="C467"/>
      <c r="D467"/>
      <c r="E467"/>
      <c r="F467"/>
      <c r="G467" s="14"/>
      <c r="H467" s="489"/>
      <c r="I467"/>
      <c r="J467"/>
      <c r="L467"/>
    </row>
    <row r="468" spans="2:12">
      <c r="B468"/>
      <c r="C468"/>
      <c r="D468"/>
      <c r="E468"/>
      <c r="F468"/>
      <c r="G468" s="14"/>
      <c r="H468" s="489"/>
      <c r="I468"/>
      <c r="J468"/>
      <c r="L468"/>
    </row>
    <row r="469" spans="2:12">
      <c r="B469"/>
      <c r="C469"/>
      <c r="D469"/>
      <c r="E469"/>
      <c r="F469"/>
      <c r="G469" s="14"/>
      <c r="H469" s="489"/>
      <c r="I469"/>
      <c r="J469"/>
      <c r="L469"/>
    </row>
    <row r="470" spans="2:12">
      <c r="B470"/>
      <c r="C470"/>
      <c r="D470"/>
      <c r="E470"/>
      <c r="F470"/>
      <c r="G470" s="14"/>
      <c r="H470" s="489"/>
      <c r="I470"/>
      <c r="J470"/>
      <c r="L470"/>
    </row>
    <row r="471" spans="2:12">
      <c r="B471"/>
      <c r="C471"/>
      <c r="D471"/>
      <c r="E471"/>
      <c r="F471"/>
      <c r="G471" s="14"/>
      <c r="H471" s="489"/>
      <c r="I471"/>
      <c r="J471"/>
      <c r="L471"/>
    </row>
    <row r="472" spans="2:12">
      <c r="B472"/>
      <c r="C472"/>
      <c r="D472"/>
      <c r="E472"/>
      <c r="F472"/>
      <c r="G472" s="14"/>
      <c r="H472" s="489"/>
      <c r="I472"/>
      <c r="J472"/>
      <c r="L472"/>
    </row>
    <row r="473" spans="2:12">
      <c r="B473"/>
      <c r="C473"/>
      <c r="D473"/>
      <c r="E473"/>
      <c r="F473"/>
      <c r="G473" s="14"/>
      <c r="H473" s="489"/>
      <c r="I473"/>
      <c r="J473"/>
      <c r="L473"/>
    </row>
    <row r="474" spans="2:12">
      <c r="B474"/>
      <c r="C474"/>
      <c r="D474"/>
      <c r="E474"/>
      <c r="F474"/>
      <c r="G474" s="14"/>
      <c r="H474" s="489"/>
      <c r="I474"/>
      <c r="J474"/>
      <c r="L474"/>
    </row>
    <row r="475" spans="2:12">
      <c r="B475"/>
      <c r="C475"/>
      <c r="D475"/>
      <c r="E475"/>
      <c r="F475"/>
      <c r="G475" s="14"/>
      <c r="H475" s="489"/>
      <c r="I475"/>
      <c r="J475"/>
      <c r="L475"/>
    </row>
    <row r="476" spans="2:12">
      <c r="B476"/>
      <c r="C476"/>
      <c r="D476"/>
      <c r="E476"/>
      <c r="F476"/>
      <c r="G476" s="14"/>
      <c r="H476" s="489"/>
      <c r="I476"/>
      <c r="J476"/>
      <c r="L476"/>
    </row>
    <row r="477" spans="2:12">
      <c r="B477"/>
      <c r="C477"/>
      <c r="D477"/>
      <c r="E477"/>
      <c r="F477"/>
      <c r="G477" s="14"/>
      <c r="H477" s="489"/>
      <c r="I477"/>
      <c r="J477"/>
      <c r="L477"/>
    </row>
    <row r="478" spans="2:12">
      <c r="B478"/>
      <c r="C478"/>
      <c r="D478"/>
      <c r="E478"/>
      <c r="F478"/>
      <c r="G478" s="14"/>
      <c r="H478" s="489"/>
      <c r="I478"/>
      <c r="J478"/>
      <c r="L478"/>
    </row>
    <row r="479" spans="2:12">
      <c r="B479"/>
      <c r="C479"/>
      <c r="D479"/>
      <c r="E479"/>
      <c r="F479"/>
      <c r="G479" s="14"/>
      <c r="H479" s="489"/>
      <c r="I479"/>
      <c r="J479"/>
      <c r="L479"/>
    </row>
    <row r="480" spans="2:12">
      <c r="B480"/>
      <c r="C480"/>
      <c r="D480"/>
      <c r="E480"/>
      <c r="F480"/>
      <c r="G480" s="14"/>
      <c r="H480" s="489"/>
      <c r="I480"/>
      <c r="J480"/>
      <c r="L480"/>
    </row>
    <row r="481" spans="2:12">
      <c r="B481"/>
      <c r="C481"/>
      <c r="D481"/>
      <c r="E481"/>
      <c r="F481"/>
      <c r="G481" s="14"/>
      <c r="H481" s="489"/>
      <c r="I481"/>
      <c r="J481"/>
      <c r="L481"/>
    </row>
    <row r="482" spans="2:12">
      <c r="B482"/>
      <c r="C482"/>
      <c r="D482"/>
      <c r="E482"/>
      <c r="F482"/>
      <c r="G482" s="14"/>
      <c r="H482" s="489"/>
      <c r="I482"/>
      <c r="J482"/>
      <c r="L482"/>
    </row>
    <row r="483" spans="2:12">
      <c r="B483"/>
      <c r="C483"/>
      <c r="D483"/>
      <c r="E483"/>
      <c r="F483"/>
      <c r="G483" s="14"/>
      <c r="H483" s="489"/>
      <c r="I483"/>
      <c r="J483"/>
      <c r="L483"/>
    </row>
    <row r="484" spans="2:12">
      <c r="B484"/>
      <c r="C484"/>
      <c r="D484"/>
      <c r="E484"/>
      <c r="F484"/>
      <c r="G484" s="14"/>
      <c r="H484" s="489"/>
      <c r="I484"/>
      <c r="J484"/>
      <c r="L484"/>
    </row>
    <row r="485" spans="2:12">
      <c r="B485"/>
      <c r="C485"/>
      <c r="D485"/>
      <c r="E485"/>
      <c r="F485"/>
      <c r="G485" s="14"/>
      <c r="H485" s="489"/>
      <c r="I485"/>
      <c r="J485"/>
      <c r="L485"/>
    </row>
    <row r="486" spans="2:12">
      <c r="B486"/>
      <c r="C486"/>
      <c r="D486"/>
      <c r="E486"/>
      <c r="F486"/>
      <c r="G486" s="14"/>
      <c r="H486" s="489"/>
      <c r="I486"/>
      <c r="J486"/>
      <c r="L486"/>
    </row>
    <row r="487" spans="2:12">
      <c r="B487"/>
      <c r="C487"/>
      <c r="D487"/>
      <c r="E487"/>
      <c r="F487"/>
      <c r="G487" s="14"/>
      <c r="H487" s="489"/>
      <c r="I487"/>
      <c r="J487"/>
      <c r="L487"/>
    </row>
    <row r="488" spans="2:12">
      <c r="B488"/>
      <c r="C488"/>
      <c r="D488"/>
      <c r="E488"/>
      <c r="F488"/>
      <c r="G488" s="14"/>
      <c r="H488" s="489"/>
      <c r="I488"/>
      <c r="J488"/>
      <c r="L488"/>
    </row>
    <row r="489" spans="2:12">
      <c r="B489"/>
      <c r="C489"/>
      <c r="D489"/>
      <c r="E489"/>
      <c r="F489"/>
      <c r="G489" s="14"/>
      <c r="H489" s="489"/>
      <c r="I489"/>
      <c r="J489"/>
      <c r="L489"/>
    </row>
    <row r="490" spans="2:12">
      <c r="B490"/>
      <c r="C490"/>
      <c r="D490"/>
      <c r="E490"/>
      <c r="F490"/>
      <c r="G490" s="14"/>
      <c r="H490" s="489"/>
      <c r="I490"/>
      <c r="J490"/>
      <c r="L490"/>
    </row>
    <row r="491" spans="2:12">
      <c r="B491"/>
      <c r="C491"/>
      <c r="D491"/>
      <c r="E491"/>
      <c r="F491"/>
      <c r="G491" s="14"/>
      <c r="H491" s="489"/>
      <c r="I491"/>
      <c r="J491"/>
      <c r="L491"/>
    </row>
    <row r="492" spans="2:12">
      <c r="B492"/>
      <c r="C492"/>
      <c r="D492"/>
      <c r="E492"/>
      <c r="F492"/>
      <c r="G492" s="14"/>
      <c r="H492" s="489"/>
      <c r="I492"/>
      <c r="J492"/>
      <c r="L492"/>
    </row>
    <row r="493" spans="2:12">
      <c r="B493"/>
      <c r="C493"/>
      <c r="D493"/>
      <c r="E493"/>
      <c r="F493"/>
      <c r="G493" s="14"/>
      <c r="H493" s="489"/>
      <c r="I493"/>
      <c r="J493"/>
      <c r="L493"/>
    </row>
    <row r="494" spans="2:12">
      <c r="B494"/>
      <c r="C494"/>
      <c r="D494"/>
      <c r="E494"/>
      <c r="F494"/>
      <c r="G494" s="14"/>
      <c r="H494" s="489"/>
      <c r="I494"/>
      <c r="J494"/>
      <c r="L494"/>
    </row>
    <row r="495" spans="2:12">
      <c r="B495"/>
      <c r="C495"/>
      <c r="D495"/>
      <c r="E495"/>
      <c r="F495"/>
      <c r="G495" s="14"/>
      <c r="H495" s="489"/>
      <c r="I495"/>
      <c r="J495"/>
      <c r="L495"/>
    </row>
    <row r="496" spans="2:12">
      <c r="B496"/>
      <c r="C496"/>
      <c r="D496"/>
      <c r="E496"/>
      <c r="F496"/>
      <c r="G496" s="14"/>
      <c r="H496" s="489"/>
      <c r="I496"/>
      <c r="J496"/>
      <c r="L496"/>
    </row>
    <row r="497" spans="2:12">
      <c r="B497"/>
      <c r="C497"/>
      <c r="D497"/>
      <c r="E497"/>
      <c r="F497"/>
      <c r="G497" s="14"/>
      <c r="H497" s="489"/>
      <c r="I497"/>
      <c r="J497"/>
      <c r="L497"/>
    </row>
    <row r="498" spans="2:12">
      <c r="B498"/>
      <c r="C498"/>
      <c r="D498"/>
      <c r="E498"/>
      <c r="F498"/>
      <c r="G498" s="14"/>
      <c r="H498" s="489"/>
      <c r="I498"/>
      <c r="J498"/>
      <c r="L498"/>
    </row>
    <row r="499" spans="2:12">
      <c r="B499"/>
      <c r="C499"/>
      <c r="D499"/>
      <c r="E499"/>
      <c r="F499"/>
      <c r="G499" s="14"/>
      <c r="H499" s="489"/>
      <c r="I499"/>
      <c r="J499"/>
      <c r="L499"/>
    </row>
    <row r="500" spans="2:12">
      <c r="B500"/>
      <c r="C500"/>
      <c r="D500"/>
      <c r="E500"/>
      <c r="F500"/>
      <c r="G500" s="14"/>
      <c r="H500" s="489"/>
      <c r="I500"/>
      <c r="J500"/>
      <c r="L500"/>
    </row>
    <row r="501" spans="2:12">
      <c r="B501"/>
      <c r="C501"/>
      <c r="D501"/>
      <c r="E501"/>
      <c r="F501"/>
      <c r="G501" s="14"/>
      <c r="H501" s="489"/>
      <c r="I501"/>
      <c r="J501"/>
      <c r="L501"/>
    </row>
    <row r="502" spans="2:12">
      <c r="B502"/>
      <c r="C502"/>
      <c r="D502"/>
      <c r="E502"/>
      <c r="F502"/>
      <c r="G502" s="14"/>
      <c r="H502" s="489"/>
      <c r="I502"/>
      <c r="J502"/>
      <c r="L502"/>
    </row>
    <row r="503" spans="2:12">
      <c r="B503"/>
      <c r="C503"/>
      <c r="D503"/>
      <c r="E503"/>
      <c r="F503"/>
      <c r="G503" s="14"/>
      <c r="H503" s="489"/>
      <c r="I503"/>
      <c r="J503"/>
      <c r="L503"/>
    </row>
    <row r="504" spans="2:12">
      <c r="B504"/>
      <c r="C504"/>
      <c r="D504"/>
      <c r="E504"/>
      <c r="F504"/>
      <c r="G504" s="14"/>
      <c r="H504" s="489"/>
      <c r="I504"/>
      <c r="J504"/>
      <c r="L504"/>
    </row>
    <row r="505" spans="2:12">
      <c r="B505"/>
      <c r="C505"/>
      <c r="D505"/>
      <c r="E505"/>
      <c r="F505"/>
      <c r="G505" s="14"/>
      <c r="H505" s="489"/>
      <c r="I505"/>
      <c r="J505"/>
      <c r="L505"/>
    </row>
    <row r="506" spans="2:12">
      <c r="B506"/>
      <c r="C506"/>
      <c r="D506"/>
      <c r="E506"/>
      <c r="F506"/>
      <c r="G506" s="14"/>
      <c r="H506" s="489"/>
      <c r="I506"/>
      <c r="J506"/>
      <c r="L506"/>
    </row>
    <row r="507" spans="2:12">
      <c r="B507"/>
      <c r="C507"/>
      <c r="D507"/>
      <c r="E507"/>
      <c r="F507"/>
      <c r="G507" s="14"/>
      <c r="H507" s="489"/>
      <c r="I507"/>
      <c r="J507"/>
      <c r="L507"/>
    </row>
    <row r="508" spans="2:12">
      <c r="B508"/>
      <c r="C508"/>
      <c r="D508"/>
      <c r="E508"/>
      <c r="F508"/>
      <c r="G508" s="14"/>
      <c r="H508" s="489"/>
      <c r="I508"/>
      <c r="J508"/>
      <c r="L508"/>
    </row>
    <row r="509" spans="2:12">
      <c r="B509"/>
      <c r="C509"/>
      <c r="D509"/>
      <c r="E509"/>
      <c r="F509"/>
      <c r="G509" s="14"/>
      <c r="H509" s="489"/>
      <c r="I509"/>
      <c r="J509"/>
      <c r="L509"/>
    </row>
    <row r="510" spans="2:12">
      <c r="B510"/>
      <c r="C510"/>
      <c r="D510"/>
      <c r="E510"/>
      <c r="F510"/>
      <c r="G510" s="14"/>
      <c r="H510" s="489"/>
      <c r="I510"/>
      <c r="J510"/>
      <c r="L510"/>
    </row>
    <row r="511" spans="2:12">
      <c r="B511"/>
      <c r="C511"/>
      <c r="D511"/>
      <c r="E511"/>
      <c r="F511"/>
      <c r="G511" s="14"/>
      <c r="H511" s="489"/>
      <c r="I511"/>
      <c r="J511"/>
      <c r="L511"/>
    </row>
    <row r="512" spans="2:12">
      <c r="B512"/>
      <c r="C512"/>
      <c r="D512"/>
      <c r="E512"/>
      <c r="F512"/>
      <c r="G512" s="14"/>
      <c r="H512" s="489"/>
      <c r="I512"/>
      <c r="J512"/>
      <c r="L512"/>
    </row>
    <row r="513" spans="2:12">
      <c r="B513"/>
      <c r="C513"/>
      <c r="D513"/>
      <c r="E513"/>
      <c r="F513"/>
      <c r="G513" s="14"/>
      <c r="H513" s="489"/>
      <c r="I513"/>
      <c r="J513"/>
      <c r="L513"/>
    </row>
    <row r="514" spans="2:12">
      <c r="B514"/>
      <c r="C514"/>
      <c r="D514"/>
      <c r="E514"/>
      <c r="F514"/>
      <c r="G514" s="14"/>
      <c r="H514" s="489"/>
      <c r="I514"/>
      <c r="J514"/>
      <c r="L514"/>
    </row>
    <row r="515" spans="2:12">
      <c r="B515"/>
      <c r="C515"/>
      <c r="D515"/>
      <c r="E515"/>
      <c r="F515"/>
      <c r="G515" s="14"/>
      <c r="H515" s="489"/>
      <c r="I515"/>
      <c r="J515"/>
      <c r="L515"/>
    </row>
    <row r="516" spans="2:12">
      <c r="B516"/>
      <c r="C516"/>
      <c r="D516"/>
      <c r="E516"/>
      <c r="F516"/>
      <c r="G516" s="14"/>
      <c r="H516" s="489"/>
      <c r="I516"/>
      <c r="J516"/>
      <c r="L516"/>
    </row>
    <row r="517" spans="2:12">
      <c r="B517"/>
      <c r="C517"/>
      <c r="D517"/>
      <c r="E517"/>
      <c r="F517"/>
      <c r="G517" s="14"/>
      <c r="H517" s="489"/>
      <c r="I517"/>
      <c r="J517"/>
      <c r="L517"/>
    </row>
    <row r="518" spans="2:12">
      <c r="B518"/>
      <c r="C518"/>
      <c r="D518"/>
      <c r="E518"/>
      <c r="F518"/>
      <c r="G518" s="14"/>
      <c r="H518" s="489"/>
      <c r="I518"/>
      <c r="J518"/>
      <c r="L518"/>
    </row>
    <row r="519" spans="2:12">
      <c r="B519"/>
      <c r="C519"/>
      <c r="D519"/>
      <c r="E519"/>
      <c r="F519"/>
      <c r="G519" s="14"/>
      <c r="H519" s="489"/>
      <c r="I519"/>
      <c r="J519"/>
      <c r="L519"/>
    </row>
    <row r="520" spans="2:12">
      <c r="B520"/>
      <c r="C520"/>
      <c r="D520"/>
      <c r="E520"/>
      <c r="F520"/>
      <c r="G520" s="14"/>
      <c r="H520" s="489"/>
      <c r="I520"/>
      <c r="J520"/>
      <c r="L520"/>
    </row>
    <row r="521" spans="2:12">
      <c r="B521"/>
      <c r="C521"/>
      <c r="D521"/>
      <c r="E521"/>
      <c r="F521"/>
      <c r="G521" s="14"/>
      <c r="H521" s="489"/>
      <c r="I521"/>
      <c r="J521"/>
      <c r="L521"/>
    </row>
    <row r="522" spans="2:12">
      <c r="B522"/>
      <c r="C522"/>
      <c r="D522"/>
      <c r="E522"/>
      <c r="F522"/>
      <c r="G522" s="14"/>
      <c r="H522" s="489"/>
      <c r="I522"/>
      <c r="J522"/>
      <c r="L522"/>
    </row>
    <row r="523" spans="2:12">
      <c r="B523"/>
      <c r="C523"/>
      <c r="D523"/>
      <c r="E523"/>
      <c r="F523"/>
      <c r="G523" s="14"/>
      <c r="H523" s="489"/>
      <c r="I523"/>
      <c r="J523"/>
      <c r="L523"/>
    </row>
    <row r="524" spans="2:12">
      <c r="B524"/>
      <c r="C524"/>
      <c r="D524"/>
      <c r="E524"/>
      <c r="F524"/>
      <c r="G524" s="14"/>
      <c r="H524" s="489"/>
      <c r="I524"/>
      <c r="J524"/>
      <c r="L524"/>
    </row>
    <row r="525" spans="2:12">
      <c r="B525"/>
      <c r="C525"/>
      <c r="D525"/>
      <c r="E525"/>
      <c r="F525"/>
      <c r="G525" s="14"/>
      <c r="H525" s="489"/>
      <c r="I525"/>
      <c r="J525"/>
      <c r="L525"/>
    </row>
    <row r="526" spans="2:12">
      <c r="B526"/>
      <c r="C526"/>
      <c r="D526"/>
      <c r="E526"/>
      <c r="F526"/>
      <c r="G526" s="14"/>
      <c r="H526" s="489"/>
      <c r="I526"/>
      <c r="J526"/>
      <c r="L526"/>
    </row>
    <row r="527" spans="2:12">
      <c r="B527"/>
      <c r="C527"/>
      <c r="D527"/>
      <c r="E527"/>
      <c r="F527"/>
      <c r="G527" s="14"/>
      <c r="H527" s="489"/>
      <c r="I527"/>
      <c r="J527"/>
      <c r="L527"/>
    </row>
    <row r="528" spans="2:12">
      <c r="B528"/>
      <c r="C528"/>
      <c r="D528"/>
      <c r="E528"/>
      <c r="F528"/>
      <c r="G528" s="14"/>
      <c r="H528" s="489"/>
      <c r="I528"/>
      <c r="J528"/>
      <c r="L528"/>
    </row>
    <row r="529" spans="2:12">
      <c r="B529"/>
      <c r="C529"/>
      <c r="D529"/>
      <c r="E529"/>
      <c r="F529"/>
      <c r="G529" s="14"/>
      <c r="H529" s="489"/>
      <c r="I529"/>
      <c r="J529"/>
      <c r="L529"/>
    </row>
    <row r="530" spans="2:12">
      <c r="B530"/>
      <c r="C530"/>
      <c r="D530"/>
      <c r="E530"/>
      <c r="F530"/>
      <c r="G530" s="14"/>
      <c r="H530" s="489"/>
      <c r="I530"/>
      <c r="J530"/>
      <c r="L530"/>
    </row>
    <row r="531" spans="2:12">
      <c r="B531"/>
      <c r="C531"/>
      <c r="D531"/>
      <c r="E531"/>
      <c r="F531"/>
      <c r="G531" s="14"/>
      <c r="H531" s="489"/>
      <c r="I531"/>
      <c r="J531"/>
      <c r="L531"/>
    </row>
    <row r="532" spans="2:12">
      <c r="B532"/>
      <c r="C532"/>
      <c r="D532"/>
      <c r="E532"/>
      <c r="F532"/>
      <c r="G532" s="14"/>
      <c r="H532" s="489"/>
      <c r="I532"/>
      <c r="J532"/>
      <c r="L532"/>
    </row>
    <row r="533" spans="2:12">
      <c r="B533"/>
      <c r="C533"/>
      <c r="D533"/>
      <c r="E533"/>
      <c r="F533"/>
      <c r="G533" s="14"/>
      <c r="H533" s="489"/>
      <c r="I533"/>
      <c r="J533"/>
      <c r="L533"/>
    </row>
    <row r="534" spans="2:12">
      <c r="B534"/>
      <c r="C534"/>
      <c r="D534"/>
      <c r="E534"/>
      <c r="F534"/>
      <c r="G534" s="14"/>
      <c r="H534" s="489"/>
      <c r="I534"/>
      <c r="J534"/>
      <c r="L534"/>
    </row>
    <row r="535" spans="2:12">
      <c r="B535"/>
      <c r="C535"/>
      <c r="D535"/>
      <c r="E535"/>
      <c r="F535"/>
      <c r="G535" s="14"/>
      <c r="H535" s="489"/>
      <c r="I535"/>
      <c r="J535"/>
      <c r="L535"/>
    </row>
    <row r="536" spans="2:12">
      <c r="B536"/>
      <c r="C536"/>
      <c r="D536"/>
      <c r="E536"/>
      <c r="F536"/>
      <c r="G536" s="14"/>
      <c r="H536" s="489"/>
      <c r="I536"/>
      <c r="J536"/>
      <c r="L536"/>
    </row>
    <row r="537" spans="2:12">
      <c r="B537"/>
      <c r="C537"/>
      <c r="D537"/>
      <c r="E537"/>
      <c r="F537"/>
      <c r="G537" s="14"/>
      <c r="H537" s="489"/>
      <c r="I537"/>
      <c r="J537"/>
      <c r="L537"/>
    </row>
    <row r="538" spans="2:12">
      <c r="B538"/>
      <c r="C538"/>
      <c r="D538"/>
      <c r="E538"/>
      <c r="F538"/>
      <c r="G538" s="14"/>
      <c r="H538" s="489"/>
      <c r="I538"/>
      <c r="J538"/>
      <c r="L538"/>
    </row>
    <row r="539" spans="2:12">
      <c r="B539"/>
      <c r="C539"/>
      <c r="D539"/>
      <c r="E539"/>
      <c r="F539"/>
      <c r="G539" s="14"/>
      <c r="H539" s="489"/>
      <c r="I539"/>
      <c r="J539"/>
      <c r="L539"/>
    </row>
    <row r="540" spans="2:12">
      <c r="B540"/>
      <c r="C540"/>
      <c r="D540"/>
      <c r="E540"/>
      <c r="F540"/>
      <c r="G540" s="14"/>
      <c r="H540" s="489"/>
      <c r="I540"/>
      <c r="J540"/>
      <c r="L540"/>
    </row>
    <row r="541" spans="2:12">
      <c r="B541"/>
      <c r="C541"/>
      <c r="D541"/>
      <c r="E541"/>
      <c r="F541"/>
      <c r="G541" s="14"/>
      <c r="H541" s="489"/>
      <c r="I541"/>
      <c r="J541"/>
      <c r="L541"/>
    </row>
    <row r="542" spans="2:12">
      <c r="B542"/>
      <c r="C542"/>
      <c r="D542"/>
      <c r="E542"/>
      <c r="F542"/>
      <c r="G542" s="14"/>
      <c r="H542" s="489"/>
      <c r="I542"/>
      <c r="J542"/>
      <c r="L542"/>
    </row>
    <row r="543" spans="2:12">
      <c r="B543"/>
      <c r="C543"/>
      <c r="D543"/>
      <c r="E543"/>
      <c r="F543"/>
      <c r="G543" s="14"/>
      <c r="H543" s="489"/>
      <c r="I543"/>
      <c r="J543"/>
      <c r="L543"/>
    </row>
    <row r="544" spans="2:12">
      <c r="B544"/>
      <c r="C544"/>
      <c r="D544"/>
      <c r="E544"/>
      <c r="F544"/>
      <c r="G544" s="14"/>
      <c r="H544" s="489"/>
      <c r="I544"/>
      <c r="J544"/>
      <c r="L544"/>
    </row>
    <row r="545" spans="2:12">
      <c r="B545"/>
      <c r="C545"/>
      <c r="D545"/>
      <c r="E545"/>
      <c r="F545"/>
      <c r="G545" s="14"/>
      <c r="H545" s="489"/>
      <c r="I545"/>
      <c r="J545"/>
      <c r="L545"/>
    </row>
    <row r="546" spans="2:12">
      <c r="B546"/>
      <c r="C546"/>
      <c r="D546"/>
      <c r="E546"/>
      <c r="F546"/>
      <c r="G546" s="14"/>
      <c r="H546" s="489"/>
      <c r="I546"/>
      <c r="J546"/>
      <c r="L546"/>
    </row>
    <row r="547" spans="2:12">
      <c r="B547"/>
      <c r="C547"/>
      <c r="D547"/>
      <c r="E547"/>
      <c r="F547"/>
      <c r="G547" s="14"/>
      <c r="H547" s="489"/>
      <c r="I547"/>
      <c r="J547"/>
      <c r="L547"/>
    </row>
    <row r="548" spans="2:12">
      <c r="B548"/>
      <c r="C548"/>
      <c r="D548"/>
      <c r="E548"/>
      <c r="F548"/>
      <c r="G548" s="14"/>
      <c r="H548" s="489"/>
      <c r="I548"/>
      <c r="J548"/>
      <c r="L548"/>
    </row>
    <row r="549" spans="2:12">
      <c r="B549"/>
      <c r="C549"/>
      <c r="D549"/>
      <c r="E549"/>
      <c r="F549"/>
      <c r="G549" s="14"/>
      <c r="H549" s="489"/>
      <c r="I549"/>
      <c r="J549"/>
      <c r="L549"/>
    </row>
    <row r="550" spans="2:12">
      <c r="B550"/>
      <c r="C550"/>
      <c r="D550"/>
      <c r="E550"/>
      <c r="F550"/>
      <c r="G550" s="14"/>
      <c r="H550" s="489"/>
      <c r="I550"/>
      <c r="J550"/>
      <c r="L550"/>
    </row>
    <row r="551" spans="2:12">
      <c r="B551"/>
      <c r="C551"/>
      <c r="D551"/>
      <c r="E551"/>
      <c r="F551"/>
      <c r="G551" s="14"/>
      <c r="H551" s="489"/>
      <c r="I551"/>
      <c r="J551"/>
      <c r="L551"/>
    </row>
    <row r="552" spans="2:12">
      <c r="B552"/>
      <c r="C552"/>
      <c r="D552"/>
      <c r="E552"/>
      <c r="F552"/>
      <c r="G552" s="14"/>
      <c r="H552" s="489"/>
      <c r="I552"/>
      <c r="J552"/>
      <c r="L552"/>
    </row>
    <row r="553" spans="2:12">
      <c r="B553"/>
      <c r="C553"/>
      <c r="D553"/>
      <c r="E553"/>
      <c r="F553"/>
      <c r="G553" s="14"/>
      <c r="H553" s="489"/>
      <c r="I553"/>
      <c r="J553"/>
      <c r="L553"/>
    </row>
    <row r="554" spans="2:12">
      <c r="B554"/>
      <c r="C554"/>
      <c r="D554"/>
      <c r="E554"/>
      <c r="F554"/>
      <c r="G554" s="14"/>
      <c r="H554" s="489"/>
      <c r="I554"/>
      <c r="J554"/>
      <c r="L554"/>
    </row>
    <row r="555" spans="2:12">
      <c r="B555"/>
      <c r="C555"/>
      <c r="D555"/>
      <c r="E555"/>
      <c r="F555"/>
      <c r="G555" s="14"/>
      <c r="H555" s="489"/>
      <c r="I555"/>
      <c r="J555"/>
      <c r="L555"/>
    </row>
    <row r="556" spans="2:12">
      <c r="B556"/>
      <c r="C556"/>
      <c r="D556"/>
      <c r="E556"/>
      <c r="F556"/>
      <c r="G556" s="14"/>
      <c r="H556" s="489"/>
      <c r="I556"/>
      <c r="J556"/>
      <c r="L556"/>
    </row>
    <row r="557" spans="2:12">
      <c r="B557"/>
      <c r="C557"/>
      <c r="D557"/>
      <c r="E557"/>
      <c r="F557"/>
      <c r="G557" s="14"/>
      <c r="H557" s="489"/>
      <c r="I557"/>
      <c r="J557"/>
      <c r="L557"/>
    </row>
    <row r="558" spans="2:12">
      <c r="B558"/>
      <c r="C558"/>
      <c r="D558"/>
      <c r="E558"/>
      <c r="F558"/>
      <c r="G558" s="14"/>
      <c r="H558" s="489"/>
      <c r="I558"/>
      <c r="J558"/>
      <c r="L558"/>
    </row>
    <row r="559" spans="2:12">
      <c r="B559"/>
      <c r="C559"/>
      <c r="D559"/>
      <c r="E559"/>
      <c r="F559"/>
      <c r="G559" s="14"/>
      <c r="H559" s="489"/>
      <c r="I559"/>
      <c r="J559"/>
      <c r="L559"/>
    </row>
    <row r="560" spans="2:12">
      <c r="B560"/>
      <c r="C560"/>
      <c r="D560"/>
      <c r="E560"/>
      <c r="F560"/>
      <c r="G560" s="14"/>
      <c r="H560" s="489"/>
      <c r="I560"/>
      <c r="J560"/>
      <c r="L560"/>
    </row>
    <row r="561" spans="2:12">
      <c r="B561"/>
      <c r="C561"/>
      <c r="D561"/>
      <c r="E561"/>
      <c r="F561"/>
      <c r="G561" s="14"/>
      <c r="H561" s="489"/>
      <c r="I561"/>
      <c r="J561"/>
      <c r="L561"/>
    </row>
    <row r="562" spans="2:12">
      <c r="B562"/>
      <c r="C562"/>
      <c r="D562"/>
      <c r="E562"/>
      <c r="F562"/>
      <c r="G562" s="14"/>
      <c r="H562" s="489"/>
      <c r="I562"/>
      <c r="J562"/>
      <c r="L562"/>
    </row>
    <row r="563" spans="2:12">
      <c r="B563"/>
      <c r="C563"/>
      <c r="D563"/>
      <c r="E563"/>
      <c r="F563"/>
      <c r="G563" s="14"/>
      <c r="H563" s="489"/>
      <c r="I563"/>
      <c r="J563"/>
      <c r="L563"/>
    </row>
    <row r="564" spans="2:12">
      <c r="B564"/>
      <c r="C564"/>
      <c r="D564"/>
      <c r="E564"/>
      <c r="F564"/>
      <c r="G564" s="14"/>
      <c r="H564" s="489"/>
      <c r="I564"/>
      <c r="J564"/>
      <c r="L564"/>
    </row>
    <row r="565" spans="2:12">
      <c r="B565"/>
      <c r="C565"/>
      <c r="D565"/>
      <c r="E565"/>
      <c r="F565"/>
      <c r="G565" s="14"/>
      <c r="H565" s="489"/>
      <c r="I565"/>
      <c r="J565"/>
      <c r="L565"/>
    </row>
    <row r="566" spans="2:12">
      <c r="B566"/>
      <c r="C566"/>
      <c r="D566"/>
      <c r="E566"/>
      <c r="F566"/>
      <c r="G566" s="14"/>
      <c r="H566" s="489"/>
      <c r="I566"/>
      <c r="J566"/>
      <c r="L566"/>
    </row>
    <row r="567" spans="2:12">
      <c r="B567"/>
      <c r="C567"/>
      <c r="D567"/>
      <c r="E567"/>
      <c r="F567"/>
      <c r="G567" s="14"/>
      <c r="H567" s="489"/>
      <c r="I567"/>
      <c r="J567"/>
      <c r="L567"/>
    </row>
    <row r="568" spans="2:12">
      <c r="B568"/>
      <c r="C568"/>
      <c r="D568"/>
      <c r="E568"/>
      <c r="F568"/>
      <c r="G568" s="14"/>
      <c r="H568" s="489"/>
      <c r="I568"/>
      <c r="J568"/>
      <c r="L568"/>
    </row>
    <row r="569" spans="2:12">
      <c r="B569"/>
      <c r="C569"/>
      <c r="D569"/>
      <c r="E569"/>
      <c r="F569"/>
      <c r="G569" s="14"/>
      <c r="H569" s="489"/>
      <c r="I569"/>
      <c r="J569"/>
      <c r="L569"/>
    </row>
    <row r="570" spans="2:12">
      <c r="B570"/>
      <c r="C570"/>
      <c r="D570"/>
      <c r="E570"/>
      <c r="F570"/>
      <c r="G570" s="14"/>
      <c r="H570" s="489"/>
      <c r="I570"/>
      <c r="J570"/>
      <c r="L570"/>
    </row>
    <row r="571" spans="2:12">
      <c r="B571"/>
      <c r="C571"/>
      <c r="D571"/>
      <c r="E571"/>
      <c r="F571"/>
      <c r="G571" s="14"/>
      <c r="H571" s="489"/>
      <c r="I571"/>
      <c r="J571"/>
      <c r="L571"/>
    </row>
    <row r="572" spans="2:12">
      <c r="B572"/>
      <c r="C572"/>
      <c r="D572"/>
      <c r="E572"/>
      <c r="F572"/>
      <c r="G572" s="14"/>
      <c r="H572" s="489"/>
      <c r="I572"/>
      <c r="J572"/>
      <c r="L572"/>
    </row>
    <row r="573" spans="2:12">
      <c r="B573"/>
      <c r="C573"/>
      <c r="D573"/>
      <c r="E573"/>
      <c r="F573"/>
      <c r="G573" s="14"/>
      <c r="H573" s="489"/>
      <c r="I573"/>
      <c r="J573"/>
      <c r="L573"/>
    </row>
    <row r="574" spans="2:12">
      <c r="B574"/>
      <c r="C574"/>
      <c r="D574"/>
      <c r="E574"/>
      <c r="F574"/>
      <c r="G574" s="14"/>
      <c r="H574" s="489"/>
      <c r="I574"/>
      <c r="J574"/>
      <c r="L574"/>
    </row>
    <row r="575" spans="2:12">
      <c r="B575"/>
      <c r="C575"/>
      <c r="D575"/>
      <c r="E575"/>
      <c r="F575"/>
      <c r="G575" s="14"/>
      <c r="H575" s="489"/>
      <c r="I575"/>
      <c r="J575"/>
      <c r="L575"/>
    </row>
    <row r="576" spans="2:12">
      <c r="B576"/>
      <c r="C576"/>
      <c r="D576"/>
      <c r="E576"/>
      <c r="F576"/>
      <c r="G576" s="14"/>
      <c r="H576" s="489"/>
      <c r="I576"/>
      <c r="J576"/>
      <c r="L576"/>
    </row>
    <row r="577" spans="2:12">
      <c r="B577"/>
      <c r="C577"/>
      <c r="D577"/>
      <c r="E577"/>
      <c r="F577"/>
      <c r="G577" s="14"/>
      <c r="H577" s="489"/>
      <c r="I577"/>
      <c r="J577"/>
      <c r="L577"/>
    </row>
    <row r="578" spans="2:12">
      <c r="B578"/>
      <c r="C578"/>
      <c r="D578"/>
      <c r="E578"/>
      <c r="F578"/>
      <c r="G578" s="14"/>
      <c r="H578" s="489"/>
      <c r="I578"/>
      <c r="J578"/>
      <c r="L578"/>
    </row>
    <row r="579" spans="2:12">
      <c r="B579"/>
      <c r="C579"/>
      <c r="D579"/>
      <c r="E579"/>
      <c r="F579"/>
      <c r="G579" s="14"/>
      <c r="H579" s="489"/>
      <c r="I579"/>
      <c r="J579"/>
      <c r="L579"/>
    </row>
    <row r="580" spans="2:12">
      <c r="B580"/>
      <c r="C580"/>
      <c r="D580"/>
      <c r="E580"/>
      <c r="F580"/>
      <c r="G580" s="14"/>
      <c r="H580" s="489"/>
      <c r="I580"/>
      <c r="J580"/>
      <c r="L580"/>
    </row>
    <row r="581" spans="2:12">
      <c r="B581"/>
      <c r="C581"/>
      <c r="D581"/>
      <c r="E581"/>
      <c r="F581"/>
      <c r="G581" s="14"/>
      <c r="H581" s="489"/>
      <c r="I581"/>
      <c r="J581"/>
      <c r="L581"/>
    </row>
    <row r="582" spans="2:12">
      <c r="B582"/>
      <c r="C582"/>
      <c r="D582"/>
      <c r="E582"/>
      <c r="F582"/>
      <c r="G582" s="14"/>
      <c r="H582" s="489"/>
      <c r="I582"/>
      <c r="J582"/>
      <c r="L582"/>
    </row>
    <row r="583" spans="2:12">
      <c r="B583"/>
      <c r="C583"/>
      <c r="D583"/>
      <c r="E583"/>
      <c r="F583"/>
      <c r="G583" s="14"/>
      <c r="H583" s="489"/>
      <c r="I583"/>
      <c r="J583"/>
      <c r="L583"/>
    </row>
    <row r="584" spans="2:12">
      <c r="B584"/>
      <c r="C584"/>
      <c r="D584"/>
      <c r="E584"/>
      <c r="F584"/>
      <c r="G584" s="14"/>
      <c r="H584" s="489"/>
      <c r="I584"/>
      <c r="J584"/>
      <c r="L584"/>
    </row>
    <row r="585" spans="2:12">
      <c r="B585"/>
      <c r="C585"/>
      <c r="D585"/>
      <c r="E585"/>
      <c r="F585"/>
      <c r="G585" s="14"/>
      <c r="H585" s="489"/>
      <c r="I585"/>
      <c r="J585"/>
      <c r="L585"/>
    </row>
    <row r="586" spans="2:12">
      <c r="B586"/>
      <c r="C586"/>
      <c r="D586"/>
      <c r="E586"/>
      <c r="F586"/>
      <c r="G586" s="14"/>
      <c r="H586" s="489"/>
      <c r="I586"/>
      <c r="J586"/>
      <c r="L586"/>
    </row>
    <row r="587" spans="2:12">
      <c r="B587"/>
      <c r="C587"/>
      <c r="D587"/>
      <c r="E587"/>
      <c r="F587"/>
      <c r="G587" s="14"/>
      <c r="H587" s="489"/>
      <c r="I587"/>
      <c r="J587"/>
      <c r="L587"/>
    </row>
    <row r="588" spans="2:12">
      <c r="B588"/>
      <c r="C588"/>
      <c r="D588"/>
      <c r="E588"/>
      <c r="F588"/>
      <c r="G588" s="14"/>
      <c r="H588" s="489"/>
      <c r="I588"/>
      <c r="J588"/>
      <c r="L588"/>
    </row>
    <row r="589" spans="2:12">
      <c r="B589"/>
      <c r="C589"/>
      <c r="D589"/>
      <c r="E589"/>
      <c r="F589"/>
      <c r="G589" s="14"/>
      <c r="H589" s="489"/>
      <c r="I589"/>
      <c r="J589"/>
      <c r="L589"/>
    </row>
    <row r="590" spans="2:12">
      <c r="B590"/>
      <c r="C590"/>
      <c r="D590"/>
      <c r="E590"/>
      <c r="F590"/>
      <c r="G590" s="14"/>
      <c r="H590" s="489"/>
      <c r="I590"/>
      <c r="J590"/>
      <c r="L590"/>
    </row>
    <row r="591" spans="2:12">
      <c r="B591"/>
      <c r="C591"/>
      <c r="D591"/>
      <c r="E591"/>
      <c r="F591"/>
      <c r="G591" s="14"/>
      <c r="H591" s="489"/>
      <c r="I591"/>
      <c r="J591"/>
      <c r="L591"/>
    </row>
    <row r="592" spans="2:12">
      <c r="B592"/>
      <c r="C592"/>
      <c r="D592"/>
      <c r="E592"/>
      <c r="F592"/>
      <c r="G592" s="14"/>
      <c r="H592" s="489"/>
      <c r="I592"/>
      <c r="J592"/>
      <c r="L592"/>
    </row>
    <row r="593" spans="2:12">
      <c r="B593"/>
      <c r="C593"/>
      <c r="D593"/>
      <c r="E593"/>
      <c r="F593"/>
      <c r="G593" s="14"/>
      <c r="H593" s="489"/>
      <c r="I593"/>
      <c r="J593"/>
      <c r="L593"/>
    </row>
    <row r="594" spans="2:12">
      <c r="B594"/>
      <c r="C594"/>
      <c r="D594"/>
      <c r="E594"/>
      <c r="F594"/>
      <c r="G594" s="14"/>
      <c r="H594" s="489"/>
      <c r="I594"/>
      <c r="J594"/>
      <c r="L594"/>
    </row>
    <row r="595" spans="2:12">
      <c r="B595"/>
      <c r="C595"/>
      <c r="D595"/>
      <c r="E595"/>
      <c r="F595"/>
      <c r="G595" s="14"/>
      <c r="H595" s="489"/>
      <c r="I595"/>
      <c r="J595"/>
      <c r="L595"/>
    </row>
    <row r="596" spans="2:12">
      <c r="B596"/>
      <c r="C596"/>
      <c r="D596"/>
      <c r="E596"/>
      <c r="F596"/>
      <c r="G596" s="14"/>
      <c r="H596" s="489"/>
      <c r="I596"/>
      <c r="J596"/>
      <c r="L596"/>
    </row>
    <row r="597" spans="2:12">
      <c r="B597"/>
      <c r="C597"/>
      <c r="D597"/>
      <c r="E597"/>
      <c r="F597"/>
      <c r="G597" s="14"/>
      <c r="H597" s="489"/>
      <c r="I597"/>
      <c r="J597"/>
      <c r="L597"/>
    </row>
    <row r="598" spans="2:12">
      <c r="B598"/>
      <c r="C598"/>
      <c r="D598"/>
      <c r="E598"/>
      <c r="F598"/>
      <c r="G598" s="14"/>
      <c r="H598" s="489"/>
      <c r="I598"/>
      <c r="J598"/>
      <c r="L598"/>
    </row>
    <row r="599" spans="2:12">
      <c r="B599"/>
      <c r="C599"/>
      <c r="D599"/>
      <c r="E599"/>
      <c r="F599"/>
      <c r="G599" s="14"/>
      <c r="H599" s="489"/>
      <c r="I599"/>
      <c r="J599"/>
      <c r="L599"/>
    </row>
    <row r="600" spans="2:12">
      <c r="B600"/>
      <c r="C600"/>
      <c r="D600"/>
      <c r="E600"/>
      <c r="F600"/>
      <c r="G600" s="14"/>
      <c r="H600" s="489"/>
      <c r="I600"/>
      <c r="J600"/>
      <c r="L600"/>
    </row>
    <row r="601" spans="2:12">
      <c r="B601"/>
      <c r="C601"/>
      <c r="D601"/>
      <c r="E601"/>
      <c r="F601"/>
      <c r="G601" s="14"/>
      <c r="H601" s="489"/>
      <c r="I601"/>
      <c r="J601"/>
      <c r="L601"/>
    </row>
    <row r="602" spans="2:12">
      <c r="B602"/>
      <c r="C602"/>
      <c r="D602"/>
      <c r="E602"/>
      <c r="F602"/>
      <c r="G602" s="14"/>
      <c r="H602" s="489"/>
      <c r="I602"/>
      <c r="J602"/>
      <c r="L602"/>
    </row>
    <row r="603" spans="2:12">
      <c r="B603"/>
      <c r="C603"/>
      <c r="D603"/>
      <c r="E603"/>
      <c r="F603"/>
      <c r="G603" s="14"/>
      <c r="H603" s="489"/>
      <c r="I603"/>
      <c r="J603"/>
      <c r="L603"/>
    </row>
    <row r="604" spans="2:12">
      <c r="B604"/>
      <c r="C604"/>
      <c r="D604"/>
      <c r="E604"/>
      <c r="F604"/>
      <c r="G604" s="14"/>
      <c r="H604" s="489"/>
      <c r="I604"/>
      <c r="J604"/>
      <c r="L604"/>
    </row>
    <row r="605" spans="2:12">
      <c r="B605"/>
      <c r="C605"/>
      <c r="D605"/>
      <c r="E605"/>
      <c r="F605"/>
      <c r="G605" s="14"/>
      <c r="H605" s="489"/>
      <c r="I605"/>
      <c r="J605"/>
      <c r="L605"/>
    </row>
    <row r="606" spans="2:12">
      <c r="B606"/>
      <c r="C606"/>
      <c r="D606"/>
      <c r="E606"/>
      <c r="F606"/>
      <c r="G606" s="14"/>
      <c r="H606" s="489"/>
      <c r="I606"/>
      <c r="J606"/>
      <c r="L606"/>
    </row>
    <row r="607" spans="2:12">
      <c r="B607"/>
      <c r="C607"/>
      <c r="D607"/>
      <c r="E607"/>
      <c r="F607"/>
      <c r="G607" s="14"/>
      <c r="H607" s="489"/>
      <c r="I607"/>
      <c r="J607"/>
      <c r="L607"/>
    </row>
    <row r="608" spans="2:12">
      <c r="B608"/>
      <c r="C608"/>
      <c r="D608"/>
      <c r="E608"/>
      <c r="F608"/>
      <c r="G608" s="14"/>
      <c r="H608" s="489"/>
      <c r="I608"/>
      <c r="J608"/>
      <c r="L608"/>
    </row>
    <row r="609" spans="2:12">
      <c r="B609"/>
      <c r="C609"/>
      <c r="D609"/>
      <c r="E609"/>
      <c r="F609"/>
      <c r="G609" s="14"/>
      <c r="H609" s="489"/>
      <c r="I609"/>
      <c r="J609"/>
      <c r="L609"/>
    </row>
    <row r="610" spans="2:12">
      <c r="B610"/>
      <c r="C610"/>
      <c r="D610"/>
      <c r="E610"/>
      <c r="F610"/>
      <c r="G610" s="14"/>
      <c r="H610" s="489"/>
      <c r="I610"/>
      <c r="J610"/>
      <c r="L610"/>
    </row>
    <row r="611" spans="2:12">
      <c r="B611"/>
      <c r="C611"/>
      <c r="D611"/>
      <c r="E611"/>
      <c r="F611"/>
      <c r="G611" s="14"/>
      <c r="H611" s="489"/>
      <c r="I611"/>
      <c r="J611"/>
      <c r="L611"/>
    </row>
    <row r="612" spans="2:12">
      <c r="B612"/>
      <c r="C612"/>
      <c r="D612"/>
      <c r="E612"/>
      <c r="F612"/>
      <c r="G612" s="14"/>
      <c r="H612" s="489"/>
      <c r="I612"/>
      <c r="J612"/>
      <c r="L612"/>
    </row>
    <row r="613" spans="2:12">
      <c r="B613"/>
      <c r="C613"/>
      <c r="D613"/>
      <c r="E613"/>
      <c r="F613"/>
      <c r="G613" s="14"/>
      <c r="H613" s="489"/>
      <c r="I613"/>
      <c r="J613"/>
      <c r="L613"/>
    </row>
    <row r="614" spans="2:12">
      <c r="B614"/>
      <c r="C614"/>
      <c r="D614"/>
      <c r="E614"/>
      <c r="F614"/>
      <c r="G614" s="14"/>
      <c r="H614" s="489"/>
      <c r="I614"/>
      <c r="J614"/>
      <c r="L614"/>
    </row>
    <row r="615" spans="2:12">
      <c r="B615"/>
      <c r="C615"/>
      <c r="D615"/>
      <c r="E615"/>
      <c r="F615"/>
      <c r="G615" s="14"/>
      <c r="H615" s="489"/>
      <c r="I615"/>
      <c r="J615"/>
      <c r="L615"/>
    </row>
    <row r="616" spans="2:12">
      <c r="B616"/>
      <c r="C616"/>
      <c r="D616"/>
      <c r="E616"/>
      <c r="F616"/>
      <c r="G616" s="14"/>
      <c r="H616" s="489"/>
      <c r="I616"/>
      <c r="J616"/>
      <c r="L616"/>
    </row>
    <row r="617" spans="2:12">
      <c r="B617"/>
      <c r="C617"/>
      <c r="D617"/>
      <c r="E617"/>
      <c r="F617"/>
      <c r="G617" s="14"/>
      <c r="H617" s="489"/>
      <c r="I617"/>
      <c r="J617"/>
      <c r="L617"/>
    </row>
    <row r="618" spans="2:12">
      <c r="B618"/>
      <c r="C618"/>
      <c r="D618"/>
      <c r="E618"/>
      <c r="F618"/>
      <c r="G618" s="14"/>
      <c r="H618" s="489"/>
      <c r="I618"/>
      <c r="J618"/>
      <c r="L618"/>
    </row>
    <row r="619" spans="2:12">
      <c r="B619"/>
      <c r="C619"/>
      <c r="D619"/>
      <c r="E619"/>
      <c r="F619"/>
      <c r="G619" s="14"/>
      <c r="H619" s="489"/>
      <c r="I619"/>
      <c r="J619"/>
      <c r="L619"/>
    </row>
    <row r="620" spans="2:12">
      <c r="B620"/>
      <c r="C620"/>
      <c r="D620"/>
      <c r="E620"/>
      <c r="F620"/>
      <c r="G620" s="14"/>
      <c r="H620" s="489"/>
      <c r="I620"/>
      <c r="J620"/>
      <c r="L620"/>
    </row>
    <row r="621" spans="2:12">
      <c r="B621"/>
      <c r="C621"/>
      <c r="D621"/>
      <c r="E621"/>
      <c r="F621"/>
      <c r="G621" s="14"/>
      <c r="H621" s="489"/>
      <c r="I621"/>
      <c r="J621"/>
      <c r="L621"/>
    </row>
    <row r="622" spans="2:12">
      <c r="B622"/>
      <c r="C622"/>
      <c r="D622"/>
      <c r="E622"/>
      <c r="F622"/>
      <c r="G622" s="14"/>
      <c r="H622" s="489"/>
      <c r="I622"/>
      <c r="J622"/>
      <c r="L622"/>
    </row>
    <row r="623" spans="2:12">
      <c r="B623"/>
      <c r="C623"/>
      <c r="D623"/>
      <c r="E623"/>
      <c r="F623"/>
      <c r="G623" s="14"/>
      <c r="H623" s="489"/>
      <c r="I623"/>
      <c r="J623"/>
      <c r="L623"/>
    </row>
    <row r="624" spans="2:12">
      <c r="B624"/>
      <c r="C624"/>
      <c r="D624"/>
      <c r="E624"/>
      <c r="F624"/>
      <c r="G624" s="14"/>
      <c r="H624" s="489"/>
      <c r="I624"/>
      <c r="J624"/>
      <c r="L624"/>
    </row>
    <row r="625" spans="2:12">
      <c r="B625"/>
      <c r="C625"/>
      <c r="D625"/>
      <c r="E625"/>
      <c r="F625"/>
      <c r="G625" s="14"/>
      <c r="H625" s="489"/>
      <c r="I625"/>
      <c r="J625"/>
      <c r="L625"/>
    </row>
    <row r="626" spans="2:12">
      <c r="B626"/>
      <c r="C626"/>
      <c r="D626"/>
      <c r="E626"/>
      <c r="F626"/>
      <c r="G626" s="14"/>
      <c r="I626"/>
      <c r="J626"/>
      <c r="L626"/>
    </row>
    <row r="627" spans="2:12">
      <c r="B627"/>
      <c r="C627"/>
      <c r="D627"/>
      <c r="E627"/>
      <c r="F627"/>
      <c r="G627" s="14"/>
      <c r="I627"/>
      <c r="J627"/>
      <c r="L627"/>
    </row>
    <row r="628" spans="2:12">
      <c r="B628"/>
      <c r="C628"/>
      <c r="D628"/>
      <c r="E628"/>
      <c r="F628"/>
      <c r="G628" s="14"/>
      <c r="I628"/>
      <c r="J628"/>
      <c r="L628"/>
    </row>
    <row r="629" spans="2:12">
      <c r="B629"/>
      <c r="C629"/>
      <c r="D629"/>
      <c r="E629"/>
      <c r="F629"/>
      <c r="G629" s="14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  <c r="L692"/>
    </row>
    <row r="693" spans="2:12">
      <c r="B693"/>
      <c r="C693"/>
      <c r="D693"/>
      <c r="E693"/>
      <c r="F693"/>
      <c r="G693" s="14"/>
      <c r="H693"/>
      <c r="I693"/>
      <c r="J693"/>
      <c r="L693"/>
    </row>
    <row r="694" spans="2:12">
      <c r="B694"/>
      <c r="C694"/>
      <c r="D694"/>
      <c r="E694"/>
      <c r="F694"/>
      <c r="G694" s="14"/>
      <c r="H694"/>
      <c r="I694"/>
      <c r="J694"/>
      <c r="L694"/>
    </row>
    <row r="695" spans="2:12">
      <c r="B695"/>
      <c r="C695"/>
      <c r="D695"/>
      <c r="E695"/>
      <c r="F695"/>
      <c r="G695" s="14"/>
      <c r="H695"/>
      <c r="I695"/>
      <c r="J695"/>
      <c r="L695"/>
    </row>
    <row r="696" spans="2:12">
      <c r="B696"/>
      <c r="C696"/>
      <c r="D696"/>
      <c r="E696"/>
      <c r="F696"/>
      <c r="G696" s="14"/>
      <c r="H696"/>
      <c r="I696"/>
      <c r="J696"/>
      <c r="L696"/>
    </row>
    <row r="697" spans="2:12">
      <c r="B697"/>
      <c r="C697"/>
      <c r="D697"/>
      <c r="E697"/>
      <c r="F697"/>
      <c r="G697" s="14"/>
      <c r="H697"/>
      <c r="I697"/>
      <c r="J697"/>
      <c r="L697"/>
    </row>
    <row r="698" spans="2:12">
      <c r="B698"/>
      <c r="C698"/>
      <c r="D698"/>
      <c r="E698"/>
      <c r="F698"/>
      <c r="G698" s="14"/>
      <c r="H698"/>
      <c r="I698"/>
      <c r="J698"/>
      <c r="L698"/>
    </row>
    <row r="699" spans="2:12">
      <c r="B699"/>
      <c r="C699"/>
      <c r="D699"/>
      <c r="E699"/>
      <c r="F699"/>
      <c r="G699" s="14"/>
      <c r="H699"/>
      <c r="I699"/>
      <c r="J699"/>
      <c r="L699"/>
    </row>
    <row r="700" spans="2:12">
      <c r="B700"/>
      <c r="C700"/>
      <c r="D700"/>
      <c r="E700"/>
      <c r="F700"/>
      <c r="G700" s="14"/>
      <c r="H700"/>
      <c r="I700"/>
      <c r="J700"/>
      <c r="L700"/>
    </row>
    <row r="701" spans="2:12">
      <c r="B701"/>
      <c r="C701"/>
      <c r="D701"/>
      <c r="E701"/>
      <c r="F701"/>
      <c r="G701" s="14"/>
      <c r="H701"/>
      <c r="I701"/>
      <c r="J701"/>
      <c r="L701"/>
    </row>
    <row r="702" spans="2:12">
      <c r="B702"/>
      <c r="C702"/>
      <c r="D702"/>
      <c r="E702"/>
      <c r="F702"/>
      <c r="G702" s="14"/>
      <c r="H702"/>
      <c r="I702"/>
      <c r="J702"/>
      <c r="L702"/>
    </row>
    <row r="703" spans="2:12">
      <c r="B703"/>
      <c r="C703"/>
      <c r="D703"/>
      <c r="E703"/>
      <c r="F703"/>
      <c r="G703" s="14"/>
      <c r="H703"/>
      <c r="I703"/>
      <c r="J703"/>
      <c r="L703"/>
    </row>
    <row r="704" spans="2:12">
      <c r="B704"/>
      <c r="C704"/>
      <c r="D704"/>
      <c r="E704"/>
      <c r="F704"/>
      <c r="G704" s="14"/>
      <c r="H704"/>
      <c r="I704"/>
      <c r="J704"/>
      <c r="L704"/>
    </row>
    <row r="705" spans="2:12">
      <c r="B705"/>
      <c r="C705"/>
      <c r="D705"/>
      <c r="E705"/>
      <c r="F705"/>
      <c r="G705" s="14"/>
      <c r="H705"/>
      <c r="I705"/>
      <c r="J705"/>
      <c r="L705"/>
    </row>
    <row r="706" spans="2:12">
      <c r="B706"/>
      <c r="C706"/>
      <c r="D706"/>
      <c r="E706"/>
      <c r="F706"/>
      <c r="G706" s="14"/>
      <c r="H706"/>
      <c r="I706"/>
      <c r="J706"/>
      <c r="L706"/>
    </row>
    <row r="707" spans="2:12">
      <c r="B707"/>
      <c r="C707"/>
      <c r="D707"/>
      <c r="E707"/>
      <c r="F707"/>
      <c r="G707" s="14"/>
      <c r="H707"/>
      <c r="I707"/>
      <c r="J707"/>
      <c r="L707"/>
    </row>
    <row r="708" spans="2:12">
      <c r="B708"/>
      <c r="C708"/>
      <c r="D708"/>
      <c r="E708"/>
      <c r="F708"/>
      <c r="G708" s="14"/>
      <c r="H708"/>
      <c r="I708"/>
      <c r="J708"/>
      <c r="L708"/>
    </row>
    <row r="709" spans="2:12">
      <c r="B709"/>
      <c r="C709"/>
      <c r="D709"/>
      <c r="E709"/>
      <c r="F709"/>
      <c r="G709" s="14"/>
      <c r="H709"/>
      <c r="I709"/>
      <c r="J709"/>
      <c r="L709"/>
    </row>
    <row r="710" spans="2:12">
      <c r="B710"/>
      <c r="C710"/>
      <c r="D710"/>
      <c r="E710"/>
      <c r="F710"/>
      <c r="G710" s="14"/>
      <c r="H710"/>
      <c r="I710"/>
      <c r="J710"/>
      <c r="L710"/>
    </row>
    <row r="711" spans="2:12">
      <c r="B711"/>
      <c r="C711"/>
      <c r="D711"/>
      <c r="E711"/>
      <c r="F711"/>
      <c r="G711" s="14"/>
      <c r="H711"/>
      <c r="I711"/>
      <c r="J711"/>
      <c r="L711"/>
    </row>
    <row r="712" spans="2:12">
      <c r="B712"/>
      <c r="C712"/>
      <c r="D712"/>
      <c r="E712"/>
      <c r="F712"/>
      <c r="G712" s="14"/>
      <c r="H712"/>
      <c r="I712"/>
      <c r="J712"/>
      <c r="L712"/>
    </row>
    <row r="713" spans="2:12">
      <c r="B713"/>
      <c r="C713"/>
      <c r="D713"/>
      <c r="E713"/>
      <c r="F713"/>
      <c r="G713" s="14"/>
      <c r="H713"/>
      <c r="I713"/>
      <c r="J713"/>
      <c r="L713"/>
    </row>
    <row r="714" spans="2:12">
      <c r="B714"/>
      <c r="C714"/>
      <c r="D714"/>
      <c r="E714"/>
      <c r="F714"/>
      <c r="G714" s="14"/>
      <c r="H714"/>
      <c r="I714"/>
      <c r="J714"/>
      <c r="L714"/>
    </row>
    <row r="715" spans="2:12">
      <c r="B715"/>
      <c r="C715"/>
      <c r="D715"/>
      <c r="E715"/>
      <c r="F715"/>
      <c r="G715" s="14"/>
      <c r="H715"/>
      <c r="I715"/>
      <c r="J715"/>
      <c r="L715"/>
    </row>
    <row r="716" spans="2:12">
      <c r="B716"/>
      <c r="C716"/>
      <c r="D716"/>
      <c r="E716"/>
      <c r="F716"/>
      <c r="G716" s="14"/>
      <c r="H716"/>
      <c r="I716"/>
      <c r="J716"/>
      <c r="L716"/>
    </row>
    <row r="717" spans="2:12">
      <c r="B717"/>
      <c r="C717"/>
      <c r="D717"/>
      <c r="E717"/>
      <c r="F717"/>
      <c r="G717" s="14"/>
      <c r="H717"/>
      <c r="I717"/>
      <c r="J717"/>
      <c r="L717"/>
    </row>
    <row r="718" spans="2:12">
      <c r="B718"/>
      <c r="C718"/>
      <c r="D718"/>
      <c r="E718"/>
      <c r="F718"/>
      <c r="G718" s="14"/>
      <c r="H718"/>
      <c r="I718"/>
      <c r="J718"/>
      <c r="L718"/>
    </row>
    <row r="719" spans="2:12">
      <c r="B719"/>
      <c r="C719"/>
      <c r="D719"/>
      <c r="E719"/>
      <c r="F719"/>
      <c r="G719" s="14"/>
      <c r="H719"/>
      <c r="I719"/>
      <c r="J719"/>
      <c r="L719"/>
    </row>
    <row r="720" spans="2:12">
      <c r="B720"/>
      <c r="C720"/>
      <c r="D720"/>
      <c r="E720"/>
      <c r="F720"/>
      <c r="G720" s="14"/>
      <c r="H720"/>
      <c r="I720"/>
      <c r="J720"/>
      <c r="L720"/>
    </row>
    <row r="721" spans="2:12">
      <c r="B721"/>
      <c r="C721"/>
      <c r="D721"/>
      <c r="E721"/>
      <c r="F721"/>
      <c r="G721" s="14"/>
      <c r="H721"/>
      <c r="I721"/>
      <c r="J721"/>
      <c r="L721"/>
    </row>
    <row r="722" spans="2:12">
      <c r="B722"/>
      <c r="C722"/>
      <c r="D722"/>
      <c r="E722"/>
      <c r="F722"/>
      <c r="G722" s="14"/>
      <c r="H722"/>
      <c r="I722"/>
      <c r="J722"/>
      <c r="L722"/>
    </row>
    <row r="723" spans="2:12">
      <c r="B723"/>
      <c r="C723"/>
      <c r="D723"/>
      <c r="E723"/>
      <c r="F723"/>
      <c r="G723" s="14"/>
      <c r="H723"/>
      <c r="I723"/>
      <c r="J723"/>
      <c r="L723"/>
    </row>
    <row r="724" spans="2:12">
      <c r="B724"/>
      <c r="C724"/>
      <c r="D724"/>
      <c r="E724"/>
      <c r="F724"/>
      <c r="G724" s="14"/>
      <c r="H724"/>
      <c r="I724"/>
      <c r="J724"/>
      <c r="L724"/>
    </row>
    <row r="725" spans="2:12">
      <c r="B725"/>
      <c r="C725"/>
      <c r="D725"/>
      <c r="E725"/>
      <c r="F725"/>
      <c r="G725" s="14"/>
      <c r="H725"/>
      <c r="I725"/>
      <c r="J725"/>
      <c r="L725"/>
    </row>
    <row r="726" spans="2:12">
      <c r="B726"/>
      <c r="C726"/>
      <c r="D726"/>
      <c r="E726"/>
      <c r="F726"/>
      <c r="G726" s="14"/>
      <c r="H726"/>
      <c r="I726"/>
      <c r="J726"/>
      <c r="L726"/>
    </row>
    <row r="727" spans="2:12">
      <c r="B727"/>
      <c r="C727"/>
      <c r="D727"/>
      <c r="E727"/>
      <c r="F727"/>
      <c r="G727" s="14"/>
      <c r="H727"/>
      <c r="I727"/>
      <c r="J727"/>
      <c r="L727"/>
    </row>
    <row r="728" spans="2:12">
      <c r="B728"/>
      <c r="C728"/>
      <c r="D728"/>
      <c r="E728"/>
      <c r="F728"/>
      <c r="G728" s="14"/>
      <c r="H728"/>
      <c r="I728"/>
      <c r="J728"/>
      <c r="L728"/>
    </row>
    <row r="729" spans="2:12">
      <c r="B729"/>
      <c r="C729"/>
      <c r="D729"/>
      <c r="E729"/>
      <c r="F729"/>
      <c r="G729" s="14"/>
      <c r="H729"/>
      <c r="I729"/>
      <c r="J729"/>
      <c r="L729"/>
    </row>
    <row r="730" spans="2:12">
      <c r="B730"/>
      <c r="C730"/>
      <c r="D730"/>
      <c r="E730"/>
      <c r="F730"/>
      <c r="G730" s="14"/>
      <c r="H730"/>
      <c r="I730"/>
      <c r="J730"/>
      <c r="L730"/>
    </row>
    <row r="731" spans="2:12">
      <c r="B731"/>
      <c r="C731"/>
      <c r="D731"/>
      <c r="E731"/>
      <c r="F731"/>
      <c r="G731" s="14"/>
      <c r="H731"/>
      <c r="I731"/>
      <c r="J731"/>
      <c r="L731"/>
    </row>
    <row r="732" spans="2:12">
      <c r="B732"/>
      <c r="C732"/>
      <c r="D732"/>
      <c r="E732"/>
      <c r="F732"/>
      <c r="G732" s="14"/>
      <c r="H732"/>
      <c r="I732"/>
      <c r="J732"/>
      <c r="L732"/>
    </row>
    <row r="733" spans="2:12">
      <c r="B733"/>
      <c r="C733"/>
      <c r="D733"/>
      <c r="E733"/>
      <c r="F733"/>
      <c r="G733" s="14"/>
      <c r="H733"/>
      <c r="I733"/>
      <c r="J733"/>
      <c r="L733"/>
    </row>
    <row r="734" spans="2:12">
      <c r="B734"/>
      <c r="C734"/>
      <c r="D734"/>
      <c r="E734"/>
      <c r="F734"/>
      <c r="G734" s="14"/>
      <c r="H734"/>
      <c r="I734"/>
      <c r="J734"/>
      <c r="L734"/>
    </row>
    <row r="735" spans="2:12">
      <c r="B735"/>
      <c r="C735"/>
      <c r="D735"/>
      <c r="E735"/>
      <c r="F735"/>
      <c r="G735" s="14"/>
      <c r="H735"/>
      <c r="I735"/>
      <c r="J735"/>
      <c r="L735"/>
    </row>
    <row r="736" spans="2:12">
      <c r="B736"/>
      <c r="C736"/>
      <c r="D736"/>
      <c r="E736"/>
      <c r="F736"/>
      <c r="G736" s="14"/>
      <c r="H736"/>
      <c r="I736"/>
      <c r="J736"/>
      <c r="L736"/>
    </row>
    <row r="737" spans="2:12">
      <c r="B737"/>
      <c r="C737"/>
      <c r="D737"/>
      <c r="E737"/>
      <c r="F737"/>
      <c r="G737" s="14"/>
      <c r="H737"/>
      <c r="I737"/>
      <c r="J737"/>
      <c r="L737"/>
    </row>
    <row r="738" spans="2:12">
      <c r="B738"/>
      <c r="C738"/>
      <c r="D738"/>
      <c r="E738"/>
      <c r="F738"/>
      <c r="G738" s="14"/>
      <c r="H738"/>
      <c r="I738"/>
      <c r="J738"/>
      <c r="L738"/>
    </row>
    <row r="739" spans="2:12">
      <c r="B739"/>
      <c r="C739"/>
      <c r="D739"/>
      <c r="E739"/>
      <c r="F739"/>
      <c r="G739" s="14"/>
      <c r="H739"/>
      <c r="I739"/>
      <c r="J739"/>
      <c r="L739"/>
    </row>
    <row r="740" spans="2:12">
      <c r="B740"/>
      <c r="C740"/>
      <c r="D740"/>
      <c r="E740"/>
      <c r="F740"/>
      <c r="G740" s="14"/>
      <c r="H740"/>
      <c r="I740"/>
      <c r="J740"/>
      <c r="L740"/>
    </row>
    <row r="741" spans="2:12">
      <c r="B741"/>
      <c r="C741"/>
      <c r="D741"/>
      <c r="E741"/>
      <c r="F741"/>
      <c r="G741" s="14"/>
      <c r="H741"/>
      <c r="I741"/>
      <c r="J741"/>
      <c r="L741"/>
    </row>
    <row r="742" spans="2:12">
      <c r="B742"/>
      <c r="C742"/>
      <c r="D742"/>
      <c r="E742"/>
      <c r="F742"/>
      <c r="G742" s="14"/>
      <c r="H742"/>
      <c r="I742"/>
      <c r="J742"/>
      <c r="L742"/>
    </row>
    <row r="743" spans="2:12">
      <c r="B743"/>
      <c r="C743"/>
      <c r="D743"/>
      <c r="E743"/>
      <c r="F743"/>
      <c r="G743" s="14"/>
      <c r="H743"/>
      <c r="I743"/>
      <c r="J743"/>
      <c r="L743"/>
    </row>
    <row r="744" spans="2:12">
      <c r="B744"/>
      <c r="C744"/>
      <c r="D744"/>
      <c r="E744"/>
      <c r="F744"/>
      <c r="G744" s="14"/>
      <c r="H744"/>
      <c r="I744"/>
      <c r="J744"/>
      <c r="L744"/>
    </row>
    <row r="745" spans="2:12">
      <c r="B745"/>
      <c r="C745"/>
      <c r="D745"/>
      <c r="E745"/>
      <c r="F745"/>
      <c r="G745" s="14"/>
      <c r="H745"/>
      <c r="I745"/>
      <c r="J745"/>
      <c r="L745"/>
    </row>
    <row r="746" spans="2:12">
      <c r="B746"/>
      <c r="C746"/>
      <c r="D746"/>
      <c r="E746"/>
      <c r="F746"/>
      <c r="G746" s="14"/>
      <c r="H746"/>
      <c r="I746"/>
      <c r="J746"/>
      <c r="L746"/>
    </row>
    <row r="747" spans="2:12">
      <c r="B747"/>
      <c r="C747"/>
      <c r="D747"/>
      <c r="E747"/>
      <c r="F747"/>
      <c r="G747" s="14"/>
      <c r="H747"/>
      <c r="I747"/>
      <c r="J747"/>
      <c r="L747"/>
    </row>
    <row r="748" spans="2:12">
      <c r="B748"/>
      <c r="C748"/>
      <c r="D748"/>
      <c r="E748"/>
      <c r="F748"/>
      <c r="G748" s="14"/>
      <c r="H748"/>
      <c r="I748"/>
      <c r="J748"/>
      <c r="L748"/>
    </row>
    <row r="749" spans="2:12">
      <c r="B749"/>
      <c r="C749"/>
      <c r="D749"/>
      <c r="E749"/>
      <c r="F749"/>
      <c r="G749" s="14"/>
      <c r="H749"/>
      <c r="I749"/>
      <c r="J749"/>
      <c r="L749"/>
    </row>
    <row r="750" spans="2:12">
      <c r="B750"/>
      <c r="C750"/>
      <c r="D750"/>
      <c r="E750"/>
      <c r="F750"/>
      <c r="G750" s="14"/>
      <c r="H750"/>
      <c r="I750"/>
      <c r="J750"/>
      <c r="L750"/>
    </row>
    <row r="751" spans="2:12">
      <c r="B751"/>
      <c r="C751"/>
      <c r="D751"/>
      <c r="E751"/>
      <c r="F751"/>
      <c r="G751" s="14"/>
      <c r="H751"/>
      <c r="I751"/>
      <c r="J751"/>
      <c r="L751"/>
    </row>
    <row r="752" spans="2:12">
      <c r="B752"/>
      <c r="C752"/>
      <c r="D752"/>
      <c r="E752"/>
      <c r="F752"/>
      <c r="G752" s="14"/>
      <c r="H752"/>
      <c r="I752"/>
      <c r="J752"/>
      <c r="L752"/>
    </row>
    <row r="753" spans="2:12">
      <c r="B753"/>
      <c r="C753"/>
      <c r="D753"/>
      <c r="E753"/>
      <c r="F753"/>
      <c r="G753" s="14"/>
      <c r="H753"/>
      <c r="I753"/>
      <c r="J753"/>
      <c r="L753"/>
    </row>
    <row r="754" spans="2:12">
      <c r="B754"/>
      <c r="C754"/>
      <c r="D754"/>
      <c r="E754"/>
      <c r="F754"/>
      <c r="G754" s="14"/>
      <c r="H754"/>
      <c r="I754"/>
      <c r="J754"/>
      <c r="L754"/>
    </row>
    <row r="755" spans="2:12">
      <c r="B755"/>
      <c r="C755"/>
      <c r="D755"/>
      <c r="E755"/>
      <c r="F755"/>
      <c r="G755" s="14"/>
      <c r="H755"/>
      <c r="I755"/>
      <c r="J755"/>
      <c r="L755"/>
    </row>
    <row r="756" spans="2:12">
      <c r="B756"/>
      <c r="C756"/>
      <c r="D756"/>
      <c r="E756"/>
      <c r="F756"/>
      <c r="G756" s="14"/>
      <c r="H756"/>
      <c r="I756"/>
      <c r="J756"/>
      <c r="L756"/>
    </row>
    <row r="757" spans="2:12">
      <c r="B757"/>
      <c r="C757"/>
      <c r="D757"/>
      <c r="E757"/>
      <c r="F757"/>
      <c r="G757" s="14"/>
      <c r="H757"/>
      <c r="I757"/>
      <c r="J757"/>
      <c r="L757"/>
    </row>
    <row r="758" spans="2:12">
      <c r="B758"/>
      <c r="C758"/>
      <c r="D758"/>
      <c r="E758"/>
      <c r="F758"/>
      <c r="G758" s="14"/>
      <c r="H758"/>
      <c r="I758"/>
      <c r="J758"/>
      <c r="L758"/>
    </row>
    <row r="759" spans="2:12">
      <c r="B759"/>
      <c r="C759"/>
      <c r="D759"/>
      <c r="E759"/>
      <c r="F759"/>
      <c r="G759" s="14"/>
      <c r="H759"/>
      <c r="I759"/>
      <c r="J759"/>
      <c r="L759"/>
    </row>
    <row r="760" spans="2:12">
      <c r="B760"/>
      <c r="C760"/>
      <c r="D760"/>
      <c r="E760"/>
      <c r="F760"/>
      <c r="G760" s="14"/>
      <c r="H760"/>
      <c r="I760"/>
      <c r="J760"/>
      <c r="L760"/>
    </row>
    <row r="761" spans="2:12">
      <c r="B761"/>
      <c r="C761"/>
      <c r="D761"/>
      <c r="E761"/>
      <c r="F761"/>
      <c r="G761" s="14"/>
      <c r="H761"/>
      <c r="I761"/>
      <c r="J761"/>
      <c r="L761"/>
    </row>
    <row r="762" spans="2:12">
      <c r="B762"/>
      <c r="C762"/>
      <c r="D762"/>
      <c r="E762"/>
      <c r="F762"/>
      <c r="G762" s="14"/>
      <c r="H762"/>
      <c r="I762"/>
      <c r="J762"/>
      <c r="L762"/>
    </row>
    <row r="763" spans="2:12">
      <c r="B763"/>
      <c r="C763"/>
      <c r="D763"/>
      <c r="E763"/>
      <c r="F763"/>
      <c r="G763" s="14"/>
      <c r="H763"/>
      <c r="I763"/>
      <c r="J763"/>
      <c r="L763"/>
    </row>
    <row r="764" spans="2:12">
      <c r="B764"/>
      <c r="C764"/>
      <c r="D764"/>
      <c r="E764"/>
      <c r="F764"/>
      <c r="G764" s="14"/>
      <c r="H764"/>
      <c r="I764"/>
      <c r="J764"/>
      <c r="L764"/>
    </row>
    <row r="765" spans="2:12">
      <c r="B765"/>
      <c r="C765"/>
      <c r="D765"/>
      <c r="E765"/>
      <c r="F765"/>
      <c r="G765" s="14"/>
      <c r="H765"/>
      <c r="I765"/>
      <c r="J765"/>
      <c r="L765"/>
    </row>
    <row r="766" spans="2:12">
      <c r="B766"/>
      <c r="C766"/>
      <c r="D766"/>
      <c r="E766"/>
      <c r="F766"/>
      <c r="G766" s="14"/>
      <c r="H766"/>
      <c r="I766"/>
      <c r="J766"/>
      <c r="L766"/>
    </row>
    <row r="767" spans="2:12">
      <c r="B767"/>
      <c r="C767"/>
      <c r="D767"/>
      <c r="E767"/>
      <c r="F767"/>
      <c r="G767" s="14"/>
      <c r="H767"/>
      <c r="I767"/>
      <c r="J767"/>
      <c r="L767"/>
    </row>
    <row r="768" spans="2:12">
      <c r="B768"/>
      <c r="C768"/>
      <c r="D768"/>
      <c r="E768"/>
      <c r="F768"/>
      <c r="G768" s="14"/>
      <c r="H768"/>
      <c r="I768"/>
      <c r="J768"/>
      <c r="L768"/>
    </row>
    <row r="769" spans="2:12">
      <c r="B769"/>
      <c r="C769"/>
      <c r="D769"/>
      <c r="E769"/>
      <c r="F769"/>
      <c r="G769" s="14"/>
      <c r="H769"/>
      <c r="I769"/>
      <c r="J769"/>
      <c r="L769"/>
    </row>
    <row r="770" spans="2:12">
      <c r="B770"/>
      <c r="C770"/>
      <c r="D770"/>
      <c r="E770"/>
      <c r="F770"/>
      <c r="G770" s="14"/>
      <c r="H770"/>
      <c r="I770"/>
      <c r="J770"/>
      <c r="L770"/>
    </row>
    <row r="771" spans="2:12">
      <c r="B771"/>
      <c r="C771"/>
      <c r="D771"/>
      <c r="E771"/>
      <c r="F771"/>
      <c r="G771" s="14"/>
      <c r="H771"/>
      <c r="I771"/>
      <c r="J771"/>
      <c r="L771"/>
    </row>
    <row r="772" spans="2:12">
      <c r="B772"/>
      <c r="C772"/>
      <c r="D772"/>
      <c r="E772"/>
      <c r="F772"/>
      <c r="G772" s="14"/>
      <c r="H772"/>
      <c r="I772"/>
      <c r="J772"/>
      <c r="L772"/>
    </row>
    <row r="773" spans="2:12">
      <c r="B773"/>
      <c r="C773"/>
      <c r="D773"/>
      <c r="E773"/>
      <c r="F773"/>
      <c r="G773" s="14"/>
      <c r="H773"/>
      <c r="I773"/>
      <c r="J773"/>
      <c r="L773"/>
    </row>
    <row r="774" spans="2:12">
      <c r="B774"/>
      <c r="C774"/>
      <c r="D774"/>
      <c r="E774"/>
      <c r="F774"/>
      <c r="G774" s="14"/>
      <c r="H774"/>
      <c r="I774"/>
      <c r="J774"/>
      <c r="L774"/>
    </row>
    <row r="775" spans="2:12">
      <c r="B775"/>
      <c r="C775"/>
      <c r="D775"/>
      <c r="E775"/>
      <c r="F775"/>
      <c r="G775" s="14"/>
      <c r="H775"/>
      <c r="I775"/>
      <c r="J775"/>
      <c r="L775"/>
    </row>
    <row r="776" spans="2:12">
      <c r="B776"/>
      <c r="C776"/>
      <c r="D776"/>
      <c r="E776"/>
      <c r="F776"/>
      <c r="G776" s="14"/>
      <c r="H776"/>
      <c r="I776"/>
      <c r="J776"/>
      <c r="L776"/>
    </row>
    <row r="777" spans="2:12">
      <c r="B777"/>
      <c r="C777"/>
      <c r="D777"/>
      <c r="E777"/>
      <c r="F777"/>
      <c r="G777" s="14"/>
      <c r="H777"/>
      <c r="I777"/>
      <c r="J777"/>
      <c r="L777"/>
    </row>
    <row r="778" spans="2:12">
      <c r="B778"/>
      <c r="C778"/>
      <c r="D778"/>
      <c r="E778"/>
      <c r="F778"/>
      <c r="G778" s="14"/>
      <c r="H778"/>
      <c r="I778"/>
      <c r="J778"/>
      <c r="L778"/>
    </row>
    <row r="779" spans="2:12">
      <c r="B779"/>
      <c r="C779"/>
      <c r="D779"/>
      <c r="E779"/>
      <c r="F779"/>
      <c r="G779" s="14"/>
      <c r="H779"/>
      <c r="I779"/>
      <c r="J779"/>
      <c r="L779"/>
    </row>
    <row r="780" spans="2:12">
      <c r="B780"/>
      <c r="C780"/>
      <c r="D780"/>
      <c r="E780"/>
      <c r="F780"/>
      <c r="G780" s="14"/>
      <c r="H780"/>
      <c r="I780"/>
      <c r="J780"/>
      <c r="L780"/>
    </row>
    <row r="781" spans="2:12">
      <c r="B781"/>
      <c r="C781"/>
      <c r="D781"/>
      <c r="E781"/>
      <c r="F781"/>
      <c r="G781" s="14"/>
      <c r="H781"/>
      <c r="I781"/>
      <c r="J781"/>
      <c r="L781"/>
    </row>
    <row r="782" spans="2:12">
      <c r="B782"/>
      <c r="C782"/>
      <c r="D782"/>
      <c r="E782"/>
      <c r="F782"/>
      <c r="G782" s="14"/>
      <c r="H782"/>
      <c r="I782"/>
      <c r="J782"/>
      <c r="L782"/>
    </row>
    <row r="783" spans="2:12">
      <c r="B783"/>
      <c r="C783"/>
      <c r="D783"/>
      <c r="E783"/>
      <c r="F783"/>
      <c r="G783" s="14"/>
      <c r="H783"/>
      <c r="I783"/>
      <c r="J783"/>
      <c r="L783"/>
    </row>
    <row r="784" spans="2:12">
      <c r="B784"/>
      <c r="C784"/>
      <c r="D784"/>
      <c r="E784"/>
      <c r="F784"/>
      <c r="G784" s="14"/>
      <c r="H784"/>
      <c r="I784"/>
      <c r="J784"/>
      <c r="L784"/>
    </row>
    <row r="785" spans="2:12">
      <c r="B785"/>
      <c r="C785"/>
      <c r="D785"/>
      <c r="E785"/>
      <c r="F785"/>
      <c r="G785" s="14"/>
      <c r="H785"/>
      <c r="I785"/>
      <c r="J785"/>
      <c r="L785"/>
    </row>
    <row r="786" spans="2:12">
      <c r="B786"/>
      <c r="C786"/>
      <c r="D786"/>
      <c r="E786"/>
      <c r="F786"/>
      <c r="G786" s="14"/>
      <c r="H786"/>
      <c r="I786"/>
      <c r="J786"/>
      <c r="L786"/>
    </row>
    <row r="787" spans="2:12">
      <c r="B787"/>
      <c r="C787"/>
      <c r="D787"/>
      <c r="E787"/>
      <c r="F787"/>
      <c r="G787" s="14"/>
      <c r="H787"/>
      <c r="I787"/>
      <c r="J787"/>
      <c r="L787"/>
    </row>
    <row r="788" spans="2:12">
      <c r="B788"/>
      <c r="C788"/>
      <c r="D788"/>
      <c r="E788"/>
      <c r="F788"/>
      <c r="G788" s="14"/>
      <c r="H788"/>
      <c r="I788"/>
      <c r="J788"/>
      <c r="L788"/>
    </row>
    <row r="789" spans="2:12">
      <c r="B789"/>
      <c r="C789"/>
      <c r="D789"/>
      <c r="E789"/>
      <c r="F789"/>
      <c r="G789" s="14"/>
      <c r="H789"/>
      <c r="I789"/>
      <c r="J789"/>
      <c r="L789"/>
    </row>
    <row r="790" spans="2:12">
      <c r="B790"/>
      <c r="C790"/>
      <c r="D790"/>
      <c r="E790"/>
      <c r="F790"/>
      <c r="G790" s="14"/>
      <c r="H790"/>
      <c r="I790"/>
      <c r="J790"/>
      <c r="L790"/>
    </row>
    <row r="791" spans="2:12">
      <c r="B791"/>
      <c r="C791"/>
      <c r="D791"/>
      <c r="E791"/>
      <c r="F791"/>
      <c r="G791" s="14"/>
      <c r="H791"/>
      <c r="I791"/>
      <c r="J791"/>
      <c r="L791"/>
    </row>
    <row r="792" spans="2:12">
      <c r="B792"/>
      <c r="C792"/>
      <c r="D792"/>
      <c r="E792"/>
      <c r="F792"/>
      <c r="G792" s="14"/>
      <c r="H792"/>
      <c r="I792"/>
      <c r="J792"/>
      <c r="L792"/>
    </row>
    <row r="793" spans="2:12">
      <c r="B793"/>
      <c r="C793"/>
      <c r="D793"/>
      <c r="E793"/>
      <c r="F793"/>
      <c r="G793" s="14"/>
      <c r="H793"/>
      <c r="I793"/>
      <c r="J793"/>
      <c r="L793"/>
    </row>
    <row r="794" spans="2:12">
      <c r="B794"/>
      <c r="C794"/>
      <c r="D794"/>
      <c r="E794"/>
      <c r="F794"/>
      <c r="G794" s="14"/>
      <c r="H794"/>
      <c r="I794"/>
      <c r="J794"/>
      <c r="L794"/>
    </row>
    <row r="795" spans="2:12">
      <c r="B795"/>
      <c r="C795"/>
      <c r="D795"/>
      <c r="E795"/>
      <c r="F795"/>
      <c r="G795" s="14"/>
      <c r="H795"/>
      <c r="I795"/>
      <c r="J795"/>
      <c r="L795"/>
    </row>
    <row r="796" spans="2:12">
      <c r="B796"/>
      <c r="C796"/>
      <c r="D796"/>
      <c r="E796"/>
      <c r="F796"/>
      <c r="G796" s="14"/>
      <c r="H796"/>
      <c r="I796"/>
      <c r="J796"/>
      <c r="L796"/>
    </row>
    <row r="797" spans="2:12">
      <c r="B797"/>
      <c r="C797"/>
      <c r="D797"/>
      <c r="E797"/>
      <c r="F797"/>
      <c r="G797" s="14"/>
      <c r="H797"/>
      <c r="I797"/>
      <c r="J797"/>
      <c r="L797"/>
    </row>
    <row r="798" spans="2:12">
      <c r="B798"/>
      <c r="C798"/>
      <c r="D798"/>
      <c r="E798"/>
      <c r="F798"/>
      <c r="G798" s="14"/>
      <c r="H798"/>
      <c r="I798"/>
      <c r="J798"/>
      <c r="L798"/>
    </row>
    <row r="799" spans="2:12">
      <c r="B799"/>
      <c r="C799"/>
      <c r="D799"/>
      <c r="E799"/>
      <c r="F799"/>
      <c r="G799" s="14"/>
      <c r="H799"/>
      <c r="I799"/>
      <c r="J799"/>
      <c r="L799"/>
    </row>
    <row r="800" spans="2:12">
      <c r="B800"/>
      <c r="C800"/>
      <c r="D800"/>
      <c r="E800"/>
      <c r="F800"/>
      <c r="G800" s="14"/>
      <c r="H800"/>
      <c r="I800"/>
      <c r="J800"/>
      <c r="L800"/>
    </row>
    <row r="801" spans="2:12">
      <c r="B801"/>
      <c r="C801"/>
      <c r="D801"/>
      <c r="E801"/>
      <c r="F801"/>
      <c r="G801" s="14"/>
      <c r="H801"/>
      <c r="I801"/>
      <c r="J801"/>
      <c r="L801"/>
    </row>
    <row r="802" spans="2:12">
      <c r="B802"/>
      <c r="C802"/>
      <c r="D802"/>
      <c r="E802"/>
      <c r="F802"/>
      <c r="G802" s="14"/>
      <c r="H802"/>
      <c r="I802"/>
      <c r="J802"/>
      <c r="L802"/>
    </row>
    <row r="803" spans="2:12">
      <c r="B803"/>
      <c r="C803"/>
      <c r="D803"/>
      <c r="E803"/>
      <c r="F803"/>
      <c r="G803" s="14"/>
      <c r="H803"/>
      <c r="I803"/>
      <c r="J803"/>
      <c r="L803"/>
    </row>
    <row r="804" spans="2:12">
      <c r="B804"/>
      <c r="C804"/>
      <c r="D804"/>
      <c r="E804"/>
      <c r="F804"/>
      <c r="G804" s="14"/>
      <c r="H804"/>
      <c r="I804"/>
      <c r="J804"/>
      <c r="L804"/>
    </row>
    <row r="805" spans="2:12">
      <c r="B805"/>
      <c r="C805"/>
      <c r="D805"/>
      <c r="E805"/>
      <c r="F805"/>
      <c r="G805" s="14"/>
      <c r="H805"/>
      <c r="I805"/>
      <c r="J805"/>
      <c r="L805"/>
    </row>
    <row r="806" spans="2:12">
      <c r="B806"/>
      <c r="C806"/>
      <c r="D806"/>
      <c r="E806"/>
      <c r="F806"/>
      <c r="G806" s="14"/>
      <c r="H806"/>
      <c r="I806"/>
      <c r="J806"/>
      <c r="L806"/>
    </row>
    <row r="807" spans="2:12">
      <c r="B807"/>
      <c r="C807"/>
      <c r="D807"/>
      <c r="E807"/>
      <c r="F807"/>
      <c r="G807" s="14"/>
      <c r="H807"/>
      <c r="I807"/>
      <c r="J807"/>
      <c r="L807"/>
    </row>
    <row r="808" spans="2:12">
      <c r="B808"/>
      <c r="C808"/>
      <c r="D808"/>
      <c r="E808"/>
      <c r="F808"/>
      <c r="G808" s="14"/>
      <c r="H808"/>
      <c r="I808"/>
      <c r="J808"/>
      <c r="L808"/>
    </row>
    <row r="809" spans="2:12">
      <c r="B809"/>
      <c r="C809"/>
      <c r="D809"/>
      <c r="E809"/>
      <c r="F809"/>
      <c r="G809" s="14"/>
      <c r="H809"/>
      <c r="I809"/>
      <c r="J809"/>
      <c r="L809"/>
    </row>
    <row r="810" spans="2:12">
      <c r="B810"/>
      <c r="C810"/>
      <c r="D810"/>
      <c r="E810"/>
      <c r="F810"/>
      <c r="G810" s="14"/>
      <c r="H810"/>
      <c r="I810"/>
      <c r="J810"/>
      <c r="L810"/>
    </row>
    <row r="811" spans="2:12">
      <c r="B811"/>
      <c r="C811"/>
      <c r="D811"/>
      <c r="E811"/>
      <c r="F811"/>
      <c r="G811" s="14"/>
      <c r="H811"/>
      <c r="I811"/>
      <c r="J811"/>
      <c r="L811"/>
    </row>
    <row r="812" spans="2:12">
      <c r="B812"/>
      <c r="C812"/>
      <c r="D812"/>
      <c r="E812"/>
      <c r="F812"/>
      <c r="G812" s="14"/>
      <c r="H812"/>
      <c r="I812"/>
      <c r="J812"/>
      <c r="L812"/>
    </row>
    <row r="813" spans="2:12">
      <c r="B813"/>
      <c r="C813"/>
      <c r="D813"/>
      <c r="E813"/>
      <c r="F813"/>
      <c r="G813" s="14"/>
      <c r="H813"/>
      <c r="I813"/>
      <c r="J813"/>
      <c r="L813"/>
    </row>
    <row r="814" spans="2:12">
      <c r="B814"/>
      <c r="C814"/>
      <c r="D814"/>
      <c r="E814"/>
      <c r="F814"/>
      <c r="G814" s="14"/>
      <c r="H814"/>
      <c r="I814"/>
      <c r="J814"/>
      <c r="L814"/>
    </row>
    <row r="815" spans="2:12">
      <c r="B815"/>
      <c r="C815"/>
      <c r="D815"/>
      <c r="E815"/>
      <c r="F815"/>
      <c r="G815" s="14"/>
      <c r="H815"/>
      <c r="I815"/>
      <c r="J815"/>
      <c r="L815"/>
    </row>
    <row r="816" spans="2:12">
      <c r="B816"/>
      <c r="C816"/>
      <c r="D816"/>
      <c r="E816"/>
      <c r="F816"/>
      <c r="G816" s="14"/>
      <c r="H816"/>
      <c r="I816"/>
      <c r="J816"/>
      <c r="L816"/>
    </row>
    <row r="817" spans="2:12">
      <c r="B817"/>
      <c r="C817"/>
      <c r="D817"/>
      <c r="E817"/>
      <c r="F817"/>
      <c r="G817" s="14"/>
      <c r="H817"/>
      <c r="I817"/>
      <c r="J817"/>
      <c r="L817"/>
    </row>
    <row r="818" spans="2:12">
      <c r="B818"/>
      <c r="C818"/>
      <c r="D818"/>
      <c r="E818"/>
      <c r="F818"/>
      <c r="G818" s="14"/>
      <c r="H818"/>
      <c r="I818"/>
      <c r="J818"/>
      <c r="L818"/>
    </row>
    <row r="819" spans="2:12">
      <c r="B819"/>
      <c r="C819"/>
      <c r="D819"/>
      <c r="E819"/>
      <c r="F819"/>
      <c r="G819" s="14"/>
      <c r="H819"/>
      <c r="I819"/>
      <c r="J819"/>
      <c r="L819"/>
    </row>
    <row r="820" spans="2:12">
      <c r="B820"/>
      <c r="C820"/>
      <c r="D820"/>
      <c r="E820"/>
      <c r="F820"/>
      <c r="G820" s="14"/>
      <c r="H820"/>
      <c r="I820"/>
      <c r="J820"/>
      <c r="L820"/>
    </row>
    <row r="821" spans="2:12">
      <c r="B821"/>
      <c r="C821"/>
      <c r="D821"/>
      <c r="E821"/>
      <c r="F821"/>
      <c r="G821" s="14"/>
      <c r="H821"/>
      <c r="I821"/>
      <c r="J821"/>
      <c r="L821"/>
    </row>
    <row r="822" spans="2:12">
      <c r="B822"/>
      <c r="C822"/>
      <c r="D822"/>
      <c r="E822"/>
      <c r="F822"/>
      <c r="G822" s="14"/>
      <c r="H822"/>
      <c r="I822"/>
      <c r="J822"/>
      <c r="L822"/>
    </row>
    <row r="823" spans="2:12">
      <c r="B823"/>
      <c r="C823"/>
      <c r="D823"/>
      <c r="E823"/>
      <c r="F823"/>
      <c r="G823" s="14"/>
      <c r="H823"/>
      <c r="I823"/>
      <c r="J823"/>
      <c r="L823"/>
    </row>
    <row r="824" spans="2:12">
      <c r="B824"/>
      <c r="C824"/>
      <c r="D824"/>
      <c r="E824"/>
      <c r="F824"/>
      <c r="G824" s="14"/>
      <c r="H824"/>
      <c r="I824"/>
      <c r="J824"/>
      <c r="L824"/>
    </row>
    <row r="825" spans="2:12">
      <c r="B825"/>
      <c r="C825"/>
      <c r="D825"/>
      <c r="E825"/>
      <c r="F825"/>
      <c r="G825" s="14"/>
      <c r="H825"/>
      <c r="I825"/>
      <c r="J825"/>
      <c r="L825"/>
    </row>
    <row r="826" spans="2:12">
      <c r="B826"/>
      <c r="C826"/>
      <c r="D826"/>
      <c r="E826"/>
      <c r="F826"/>
      <c r="G826" s="14"/>
      <c r="H826"/>
      <c r="I826"/>
      <c r="J826"/>
      <c r="L826"/>
    </row>
    <row r="827" spans="2:12">
      <c r="B827"/>
      <c r="C827"/>
      <c r="D827"/>
      <c r="E827"/>
      <c r="F827"/>
      <c r="G827" s="14"/>
      <c r="H827"/>
      <c r="I827"/>
      <c r="J827"/>
      <c r="L827"/>
    </row>
    <row r="828" spans="2:12">
      <c r="B828"/>
      <c r="C828"/>
      <c r="D828"/>
      <c r="E828"/>
      <c r="F828"/>
      <c r="G828" s="14"/>
      <c r="H828"/>
      <c r="I828"/>
      <c r="J828"/>
      <c r="L828"/>
    </row>
    <row r="829" spans="2:12">
      <c r="B829"/>
      <c r="C829"/>
      <c r="D829"/>
      <c r="E829"/>
      <c r="F829"/>
      <c r="G829" s="14"/>
      <c r="H829"/>
      <c r="I829"/>
      <c r="J829"/>
      <c r="L829"/>
    </row>
    <row r="830" spans="2:12">
      <c r="B830"/>
      <c r="C830"/>
      <c r="D830"/>
      <c r="E830"/>
      <c r="F830"/>
      <c r="G830" s="14"/>
      <c r="H830"/>
      <c r="I830"/>
      <c r="J830"/>
      <c r="L830"/>
    </row>
    <row r="831" spans="2:12">
      <c r="B831"/>
      <c r="C831"/>
      <c r="D831"/>
      <c r="E831"/>
      <c r="F831"/>
      <c r="G831" s="14"/>
      <c r="H831"/>
      <c r="I831"/>
      <c r="J831"/>
      <c r="L831"/>
    </row>
    <row r="832" spans="2:12">
      <c r="B832"/>
      <c r="C832"/>
      <c r="D832"/>
      <c r="E832"/>
      <c r="F832"/>
      <c r="G832" s="14"/>
      <c r="H832"/>
      <c r="I832"/>
      <c r="J832"/>
      <c r="L832"/>
    </row>
    <row r="833" spans="2:12">
      <c r="B833"/>
      <c r="C833"/>
      <c r="D833"/>
      <c r="E833"/>
      <c r="F833"/>
      <c r="G833" s="14"/>
      <c r="H833"/>
      <c r="I833"/>
      <c r="J833"/>
      <c r="L833"/>
    </row>
    <row r="834" spans="2:12">
      <c r="B834"/>
      <c r="C834"/>
      <c r="D834"/>
      <c r="E834"/>
      <c r="F834"/>
      <c r="G834" s="14"/>
      <c r="H834"/>
      <c r="I834"/>
      <c r="J834"/>
      <c r="L834"/>
    </row>
    <row r="835" spans="2:12">
      <c r="B835"/>
      <c r="C835"/>
      <c r="D835"/>
      <c r="E835"/>
      <c r="F835"/>
      <c r="G835" s="14"/>
      <c r="H835"/>
      <c r="I835"/>
      <c r="J835"/>
      <c r="L835"/>
    </row>
    <row r="836" spans="2:12">
      <c r="B836"/>
      <c r="C836"/>
      <c r="D836"/>
      <c r="E836"/>
      <c r="F836"/>
      <c r="G836" s="14"/>
      <c r="H836"/>
      <c r="I836"/>
      <c r="J836"/>
      <c r="L836"/>
    </row>
    <row r="837" spans="2:12">
      <c r="B837"/>
      <c r="C837"/>
      <c r="D837"/>
      <c r="E837"/>
      <c r="F837"/>
      <c r="G837" s="14"/>
      <c r="H837"/>
      <c r="I837"/>
      <c r="J837"/>
      <c r="L837"/>
    </row>
    <row r="838" spans="2:12">
      <c r="B838"/>
      <c r="C838"/>
      <c r="D838"/>
      <c r="E838"/>
      <c r="F838"/>
      <c r="G838" s="14"/>
      <c r="H838"/>
      <c r="I838"/>
      <c r="J838"/>
      <c r="L838"/>
    </row>
    <row r="839" spans="2:12">
      <c r="B839"/>
      <c r="C839"/>
      <c r="D839"/>
      <c r="E839"/>
      <c r="F839"/>
      <c r="G839" s="14"/>
      <c r="H839"/>
      <c r="I839"/>
      <c r="J839"/>
      <c r="L839"/>
    </row>
    <row r="840" spans="2:12">
      <c r="B840"/>
      <c r="C840"/>
      <c r="D840"/>
      <c r="E840"/>
      <c r="F840"/>
      <c r="G840" s="14"/>
      <c r="H840"/>
      <c r="I840"/>
      <c r="J840"/>
      <c r="L840"/>
    </row>
    <row r="841" spans="2:12">
      <c r="B841"/>
      <c r="C841"/>
      <c r="D841"/>
      <c r="E841"/>
      <c r="F841"/>
      <c r="G841" s="14"/>
      <c r="H841"/>
      <c r="I841"/>
      <c r="J841"/>
      <c r="L841"/>
    </row>
    <row r="842" spans="2:12">
      <c r="B842"/>
      <c r="C842"/>
      <c r="D842"/>
      <c r="E842"/>
      <c r="F842"/>
      <c r="G842" s="14"/>
      <c r="H842"/>
      <c r="I842"/>
      <c r="J842"/>
      <c r="L842"/>
    </row>
    <row r="843" spans="2:12">
      <c r="B843"/>
      <c r="C843"/>
      <c r="D843"/>
      <c r="E843"/>
      <c r="F843"/>
      <c r="G843" s="14"/>
      <c r="H843"/>
      <c r="I843"/>
      <c r="J843"/>
      <c r="L843"/>
    </row>
    <row r="844" spans="2:12">
      <c r="B844"/>
      <c r="C844"/>
      <c r="D844"/>
      <c r="E844"/>
      <c r="F844"/>
      <c r="G844" s="14"/>
      <c r="H844"/>
      <c r="I844"/>
      <c r="J844"/>
      <c r="L844"/>
    </row>
    <row r="845" spans="2:12">
      <c r="B845"/>
      <c r="C845"/>
      <c r="D845"/>
      <c r="E845"/>
      <c r="F845"/>
      <c r="G845" s="14"/>
      <c r="H845"/>
      <c r="I845"/>
      <c r="J845"/>
      <c r="L845"/>
    </row>
    <row r="846" spans="2:12">
      <c r="B846"/>
      <c r="C846"/>
      <c r="D846"/>
      <c r="E846"/>
      <c r="F846"/>
      <c r="G846" s="14"/>
      <c r="H846"/>
      <c r="I846"/>
      <c r="J846"/>
      <c r="L846"/>
    </row>
    <row r="847" spans="2:12">
      <c r="B847"/>
      <c r="C847"/>
      <c r="D847"/>
      <c r="E847"/>
      <c r="F847"/>
      <c r="G847" s="14"/>
      <c r="H847"/>
      <c r="I847"/>
      <c r="J847"/>
      <c r="L847"/>
    </row>
    <row r="848" spans="2:12">
      <c r="B848"/>
      <c r="C848"/>
      <c r="D848"/>
      <c r="E848"/>
      <c r="F848"/>
      <c r="G848" s="14"/>
      <c r="H848"/>
      <c r="I848"/>
      <c r="J848"/>
      <c r="L848"/>
    </row>
    <row r="849" spans="2:12">
      <c r="B849"/>
      <c r="C849"/>
      <c r="D849"/>
      <c r="E849"/>
      <c r="F849"/>
      <c r="G849" s="14"/>
      <c r="H849"/>
      <c r="I849"/>
      <c r="J849"/>
      <c r="L849"/>
    </row>
    <row r="850" spans="2:12">
      <c r="B850"/>
      <c r="C850"/>
      <c r="D850"/>
      <c r="E850"/>
      <c r="F850"/>
      <c r="G850" s="14"/>
      <c r="H850"/>
      <c r="I850"/>
      <c r="J850"/>
      <c r="L850"/>
    </row>
    <row r="851" spans="2:12">
      <c r="B851"/>
      <c r="C851"/>
      <c r="D851"/>
      <c r="E851"/>
      <c r="F851"/>
      <c r="G851" s="14"/>
      <c r="H851"/>
      <c r="I851"/>
      <c r="J851"/>
      <c r="L851"/>
    </row>
    <row r="852" spans="2:12">
      <c r="B852"/>
      <c r="C852"/>
      <c r="D852"/>
      <c r="E852"/>
      <c r="F852"/>
      <c r="G852" s="14"/>
      <c r="H852"/>
      <c r="I852"/>
      <c r="J852"/>
      <c r="L852"/>
    </row>
    <row r="853" spans="2:12">
      <c r="B853"/>
      <c r="C853"/>
      <c r="D853"/>
      <c r="E853"/>
      <c r="F853"/>
      <c r="G853" s="14"/>
      <c r="H853"/>
      <c r="I853"/>
      <c r="J853"/>
    </row>
    <row r="854" spans="2:12">
      <c r="B854"/>
      <c r="C854"/>
      <c r="D854"/>
      <c r="E854"/>
      <c r="F854"/>
      <c r="G854" s="14"/>
      <c r="H854"/>
      <c r="I854"/>
      <c r="J854"/>
    </row>
    <row r="855" spans="2:12">
      <c r="B855"/>
      <c r="C855"/>
      <c r="D855"/>
      <c r="E855"/>
      <c r="F855"/>
      <c r="G855" s="14"/>
      <c r="H855"/>
      <c r="I855"/>
      <c r="J855"/>
    </row>
    <row r="856" spans="2:12">
      <c r="B856"/>
      <c r="C856"/>
      <c r="D856"/>
      <c r="E856"/>
      <c r="F856"/>
      <c r="G856" s="14"/>
      <c r="H856"/>
      <c r="I856"/>
      <c r="J856"/>
    </row>
    <row r="857" spans="2:12">
      <c r="B857"/>
      <c r="C857"/>
      <c r="D857"/>
      <c r="E857"/>
      <c r="F857"/>
      <c r="G857" s="14"/>
      <c r="H857"/>
      <c r="I857"/>
      <c r="J857"/>
    </row>
    <row r="858" spans="2:12">
      <c r="B858"/>
      <c r="C858"/>
      <c r="D858"/>
      <c r="E858"/>
      <c r="F858"/>
      <c r="G858" s="14"/>
      <c r="H858"/>
      <c r="I858"/>
      <c r="J858"/>
    </row>
    <row r="859" spans="2:12">
      <c r="B859"/>
      <c r="C859"/>
      <c r="D859"/>
      <c r="E859"/>
      <c r="F859"/>
      <c r="G859" s="14"/>
      <c r="H859"/>
      <c r="I859"/>
      <c r="J859"/>
    </row>
    <row r="860" spans="2:12">
      <c r="B860"/>
      <c r="C860"/>
      <c r="D860"/>
      <c r="E860"/>
      <c r="F860"/>
      <c r="G860" s="14"/>
      <c r="H860"/>
      <c r="I860"/>
      <c r="J860"/>
    </row>
    <row r="861" spans="2:12">
      <c r="B861"/>
      <c r="C861"/>
      <c r="D861"/>
      <c r="E861"/>
      <c r="F861"/>
      <c r="G861" s="14"/>
      <c r="H861"/>
      <c r="I861"/>
      <c r="J861"/>
    </row>
    <row r="862" spans="2:12">
      <c r="B862"/>
      <c r="C862"/>
      <c r="D862"/>
      <c r="E862"/>
      <c r="F862"/>
      <c r="G862" s="14"/>
      <c r="H862"/>
      <c r="I862"/>
      <c r="J862"/>
    </row>
    <row r="863" spans="2:12">
      <c r="B863"/>
      <c r="C863"/>
      <c r="D863"/>
      <c r="E863"/>
      <c r="F863"/>
      <c r="G863" s="14"/>
      <c r="H863"/>
      <c r="I863"/>
      <c r="J863"/>
    </row>
    <row r="864" spans="2:12">
      <c r="B864"/>
      <c r="C864"/>
      <c r="D864"/>
      <c r="E864"/>
      <c r="F864"/>
      <c r="G864" s="14"/>
      <c r="H864"/>
      <c r="I864"/>
      <c r="J864"/>
    </row>
    <row r="865" spans="2:10">
      <c r="B865"/>
      <c r="C865"/>
      <c r="D865"/>
      <c r="E865"/>
      <c r="F865"/>
      <c r="G865" s="14"/>
      <c r="H865"/>
      <c r="I865"/>
      <c r="J865"/>
    </row>
    <row r="866" spans="2:10">
      <c r="B866"/>
      <c r="C866"/>
      <c r="D866"/>
      <c r="E866"/>
      <c r="F866"/>
      <c r="G866" s="14"/>
      <c r="H866"/>
      <c r="I866"/>
      <c r="J866"/>
    </row>
    <row r="867" spans="2:10">
      <c r="B867"/>
      <c r="C867"/>
      <c r="D867"/>
      <c r="E867"/>
      <c r="F867"/>
      <c r="G867" s="14"/>
      <c r="H867"/>
      <c r="I867"/>
      <c r="J867"/>
    </row>
    <row r="868" spans="2:10">
      <c r="B868"/>
      <c r="C868"/>
      <c r="D868"/>
      <c r="E868"/>
      <c r="F868"/>
      <c r="G868" s="14"/>
      <c r="H868"/>
      <c r="I868"/>
      <c r="J868"/>
    </row>
    <row r="869" spans="2:10">
      <c r="B869"/>
      <c r="C869"/>
      <c r="D869"/>
      <c r="E869"/>
      <c r="F869"/>
      <c r="G869" s="14"/>
      <c r="H869"/>
      <c r="I869"/>
      <c r="J869"/>
    </row>
    <row r="870" spans="2:10">
      <c r="B870"/>
      <c r="C870"/>
      <c r="D870"/>
      <c r="E870"/>
      <c r="F870"/>
      <c r="G870" s="14"/>
      <c r="H870"/>
      <c r="I870"/>
      <c r="J870"/>
    </row>
    <row r="871" spans="2:10">
      <c r="B871"/>
      <c r="C871"/>
      <c r="D871"/>
      <c r="E871"/>
      <c r="F871"/>
      <c r="G871" s="14"/>
      <c r="H871"/>
      <c r="I871"/>
      <c r="J871"/>
    </row>
    <row r="872" spans="2:10">
      <c r="B872"/>
      <c r="C872"/>
      <c r="D872"/>
      <c r="E872"/>
      <c r="F872"/>
      <c r="G872" s="14"/>
      <c r="H872"/>
      <c r="I872"/>
      <c r="J872"/>
    </row>
    <row r="873" spans="2:10">
      <c r="B873"/>
      <c r="C873"/>
      <c r="D873"/>
      <c r="E873"/>
      <c r="F873"/>
      <c r="G873" s="14"/>
      <c r="H873"/>
      <c r="I873"/>
      <c r="J873"/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2060"/>
  </sheetPr>
  <dimension ref="A1:S664"/>
  <sheetViews>
    <sheetView topLeftCell="A16" zoomScaleNormal="100" workbookViewId="0">
      <selection activeCell="E46" sqref="E46"/>
    </sheetView>
  </sheetViews>
  <sheetFormatPr defaultRowHeight="16.5"/>
  <cols>
    <col min="1" max="1" width="24.25" customWidth="1"/>
    <col min="2" max="2" width="17.125" style="14" customWidth="1"/>
    <col min="3" max="3" width="12.25" style="14" customWidth="1"/>
    <col min="4" max="4" width="15.25" style="534" bestFit="1" customWidth="1"/>
    <col min="5" max="5" width="15.625" style="2" customWidth="1"/>
    <col min="6" max="6" width="12.375" style="14" customWidth="1"/>
    <col min="7" max="7" width="10" customWidth="1"/>
    <col min="8" max="8" width="14.75" style="555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319</v>
      </c>
      <c r="F1" s="2"/>
      <c r="H1" s="474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307</v>
      </c>
      <c r="S2" s="131" t="s">
        <v>21</v>
      </c>
    </row>
    <row r="3" spans="1:19" s="102" customFormat="1">
      <c r="A3" s="773" t="s">
        <v>507</v>
      </c>
      <c r="B3" s="802">
        <v>44410</v>
      </c>
      <c r="C3" s="774"/>
      <c r="D3" s="775"/>
      <c r="E3" s="776">
        <v>0</v>
      </c>
      <c r="F3" s="774"/>
      <c r="G3" s="779">
        <f>-VLOOKUP(A3,'market px'!K$1:P$35,3,FALSE)*E3/1000000</f>
        <v>0</v>
      </c>
      <c r="H3" s="778"/>
      <c r="I3" s="777">
        <v>104.1588</v>
      </c>
      <c r="J3" s="774">
        <f>VLOOKUP(A3,'market px'!K$2:P$35,6,FALSE)</f>
        <v>104.7786</v>
      </c>
      <c r="K3" s="698">
        <f t="shared" ref="K3:K11" si="0"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773" t="s">
        <v>557</v>
      </c>
      <c r="B4" s="802">
        <v>44602</v>
      </c>
      <c r="C4" s="774"/>
      <c r="D4" s="775"/>
      <c r="E4" s="776">
        <v>0</v>
      </c>
      <c r="F4" s="774"/>
      <c r="G4" s="779">
        <f>-VLOOKUP(A4,'market px'!K$1:P$80,3,FALSE)*E4/1000000</f>
        <v>0</v>
      </c>
      <c r="H4" s="778"/>
      <c r="I4" s="777">
        <v>104.44029999999999</v>
      </c>
      <c r="J4" s="774">
        <f>VLOOKUP(A4,'market px'!K$2:P$80,6,FALSE)</f>
        <v>103.646</v>
      </c>
      <c r="K4" s="698">
        <f>(J4-I4)*E4/100</f>
        <v>0</v>
      </c>
      <c r="L4" s="693"/>
      <c r="M4" s="93"/>
      <c r="N4" s="93"/>
      <c r="O4" s="93"/>
      <c r="P4" s="93"/>
      <c r="Q4" s="93"/>
      <c r="S4" s="103"/>
    </row>
    <row r="5" spans="1:19" s="102" customFormat="1">
      <c r="A5" s="690" t="s">
        <v>557</v>
      </c>
      <c r="B5" s="691"/>
      <c r="C5" s="774"/>
      <c r="D5" s="775"/>
      <c r="E5" s="776">
        <v>0</v>
      </c>
      <c r="F5" s="774"/>
      <c r="G5" s="779">
        <f>-VLOOKUP(A5,'market px'!K$1:P$80,3,FALSE)*E5/1000000</f>
        <v>0</v>
      </c>
      <c r="H5" s="778"/>
      <c r="I5" s="835">
        <v>103.4074</v>
      </c>
      <c r="J5" s="774">
        <f>VLOOKUP(A5,'market px'!K$2:P$80,6,FALSE)</f>
        <v>103.646</v>
      </c>
      <c r="K5" s="698">
        <f t="shared" si="0"/>
        <v>0</v>
      </c>
      <c r="L5" s="693"/>
      <c r="M5" s="93"/>
      <c r="N5" s="93"/>
      <c r="O5" s="93"/>
      <c r="P5" s="93"/>
      <c r="Q5" s="93"/>
      <c r="S5" s="103"/>
    </row>
    <row r="6" spans="1:19" s="102" customFormat="1">
      <c r="A6" s="773" t="s">
        <v>514</v>
      </c>
      <c r="B6" s="802">
        <v>44435</v>
      </c>
      <c r="C6" s="774"/>
      <c r="D6" s="775"/>
      <c r="E6" s="776">
        <v>0</v>
      </c>
      <c r="F6" s="774"/>
      <c r="G6" s="779">
        <f>-VLOOKUP(A6,'market px'!K$1:P$80,3,FALSE)*E6/1000000</f>
        <v>0</v>
      </c>
      <c r="H6" s="778"/>
      <c r="I6" s="777">
        <v>102.4952</v>
      </c>
      <c r="J6" s="774">
        <f>VLOOKUP(A6,'market px'!K$2:P$80,6,FALSE)</f>
        <v>102.6726</v>
      </c>
      <c r="K6" s="698">
        <f t="shared" si="0"/>
        <v>0</v>
      </c>
      <c r="L6" s="693"/>
      <c r="M6" s="93"/>
      <c r="N6" s="93"/>
      <c r="O6" s="93"/>
      <c r="P6" s="93"/>
      <c r="Q6" s="93"/>
      <c r="S6" s="103"/>
    </row>
    <row r="7" spans="1:19" s="116" customFormat="1">
      <c r="A7" s="690" t="s">
        <v>415</v>
      </c>
      <c r="B7" s="691">
        <v>44313</v>
      </c>
      <c r="C7" s="691"/>
      <c r="D7" s="699"/>
      <c r="E7" s="693">
        <v>0</v>
      </c>
      <c r="F7" s="693"/>
      <c r="G7" s="779">
        <f>-VLOOKUP(A7,'market px'!K$1:P$80,3,FALSE)*E7/1000000</f>
        <v>0</v>
      </c>
      <c r="H7" s="695"/>
      <c r="I7" s="696">
        <v>102.9756</v>
      </c>
      <c r="J7" s="774">
        <f>VLOOKUP(A7,'market px'!K$2:P$80,6,FALSE)</f>
        <v>102.9756</v>
      </c>
      <c r="K7" s="698">
        <f t="shared" si="0"/>
        <v>0</v>
      </c>
      <c r="L7" s="693"/>
      <c r="S7" s="320"/>
    </row>
    <row r="8" spans="1:19" s="116" customFormat="1">
      <c r="A8" s="690" t="s">
        <v>415</v>
      </c>
      <c r="B8" s="691">
        <v>44363</v>
      </c>
      <c r="C8" s="691"/>
      <c r="D8" s="692"/>
      <c r="E8" s="693">
        <v>0</v>
      </c>
      <c r="F8" s="693"/>
      <c r="G8" s="779">
        <f>-VLOOKUP(A8,'market px'!K$1:P$80,3,FALSE)*E8/1000000</f>
        <v>0</v>
      </c>
      <c r="H8" s="695"/>
      <c r="I8" s="696">
        <v>102.9756</v>
      </c>
      <c r="J8" s="774">
        <f>VLOOKUP(A8,'market px'!K$2:P$80,6,FALSE)</f>
        <v>102.9756</v>
      </c>
      <c r="K8" s="698">
        <f t="shared" si="0"/>
        <v>0</v>
      </c>
      <c r="L8" s="693"/>
      <c r="S8" s="117"/>
    </row>
    <row r="9" spans="1:19" s="116" customFormat="1">
      <c r="A9" s="690" t="s">
        <v>507</v>
      </c>
      <c r="B9" s="700">
        <v>44421</v>
      </c>
      <c r="C9" s="691"/>
      <c r="D9" s="701"/>
      <c r="E9" s="693">
        <v>0</v>
      </c>
      <c r="F9" s="693"/>
      <c r="G9" s="779">
        <f>-VLOOKUP(A9,'market px'!K$1:P$35,3,FALSE)*E9/1000000</f>
        <v>0</v>
      </c>
      <c r="H9" s="703"/>
      <c r="I9" s="704">
        <v>104.1588</v>
      </c>
      <c r="J9" s="696">
        <f>VLOOKUP(A9,'market px'!K$2:P$50,6,FALSE)</f>
        <v>104.7786</v>
      </c>
      <c r="K9" s="698">
        <f t="shared" si="0"/>
        <v>0</v>
      </c>
      <c r="L9" s="693"/>
      <c r="S9" s="117"/>
    </row>
    <row r="10" spans="1:19" s="93" customFormat="1">
      <c r="A10" s="773" t="s">
        <v>507</v>
      </c>
      <c r="B10" s="700">
        <v>44427</v>
      </c>
      <c r="C10" s="774"/>
      <c r="D10" s="775"/>
      <c r="E10" s="776">
        <v>0</v>
      </c>
      <c r="F10" s="774"/>
      <c r="G10" s="779">
        <f>-VLOOKUP(A10,'market px'!K$1:P$80,3,FALSE)*E10/1000000</f>
        <v>0</v>
      </c>
      <c r="H10" s="778"/>
      <c r="I10" s="777">
        <v>104.1588</v>
      </c>
      <c r="J10" s="696">
        <f>VLOOKUP(A10,'market px'!K$2:P$50,6,FALSE)</f>
        <v>104.7786</v>
      </c>
      <c r="K10" s="698">
        <f t="shared" si="0"/>
        <v>0</v>
      </c>
      <c r="L10" s="693"/>
    </row>
    <row r="11" spans="1:19" s="93" customFormat="1">
      <c r="A11" s="690" t="s">
        <v>507</v>
      </c>
      <c r="B11" s="700">
        <v>44456</v>
      </c>
      <c r="C11" s="691"/>
      <c r="D11" s="701"/>
      <c r="E11" s="776">
        <v>0</v>
      </c>
      <c r="F11" s="693"/>
      <c r="G11" s="779">
        <f>-VLOOKUP(A11,'market px'!K$1:P$80,3,FALSE)*E11/1000000</f>
        <v>0</v>
      </c>
      <c r="H11" s="703"/>
      <c r="I11" s="704">
        <v>104.1588</v>
      </c>
      <c r="J11" s="696">
        <f>VLOOKUP(A11,'market px'!K$2:P$50,6,FALSE)</f>
        <v>104.7786</v>
      </c>
      <c r="K11" s="698">
        <f t="shared" si="0"/>
        <v>0</v>
      </c>
      <c r="L11" s="693"/>
      <c r="S11" s="131" t="s">
        <v>21</v>
      </c>
    </row>
    <row r="12" spans="1:19" s="102" customFormat="1">
      <c r="A12" s="690"/>
      <c r="B12" s="700"/>
      <c r="C12" s="700"/>
      <c r="D12" s="701"/>
      <c r="E12" s="705"/>
      <c r="F12" s="693"/>
      <c r="G12" s="694"/>
      <c r="H12" s="706"/>
      <c r="I12" s="704"/>
      <c r="J12" s="697"/>
      <c r="K12" s="698"/>
      <c r="L12" s="693"/>
      <c r="M12" s="93"/>
      <c r="N12" s="93"/>
      <c r="O12" s="93"/>
      <c r="P12" s="93"/>
      <c r="Q12" s="93"/>
      <c r="S12" s="103"/>
    </row>
    <row r="13" spans="1:19" s="102" customFormat="1">
      <c r="A13" s="111" t="s">
        <v>166</v>
      </c>
      <c r="B13" s="313"/>
      <c r="C13" s="313"/>
      <c r="D13" s="539"/>
      <c r="E13" s="314">
        <f>SUM(E3:E12)</f>
        <v>0</v>
      </c>
      <c r="F13" s="314"/>
      <c r="G13" s="316">
        <f>SUM(G3:G12)</f>
        <v>0</v>
      </c>
      <c r="H13" s="479"/>
      <c r="I13" s="323"/>
      <c r="J13" s="318"/>
      <c r="K13" s="316">
        <f>SUM(K3:K12)</f>
        <v>0</v>
      </c>
      <c r="L13" s="316"/>
      <c r="M13" s="93"/>
      <c r="N13" s="93"/>
      <c r="O13" s="93"/>
      <c r="P13" s="93"/>
      <c r="Q13" s="93"/>
      <c r="S13" s="103"/>
    </row>
    <row r="14" spans="1:19" s="102" customFormat="1">
      <c r="A14" t="s">
        <v>162</v>
      </c>
      <c r="B14" s="14"/>
      <c r="C14" s="14"/>
      <c r="D14" s="534"/>
      <c r="E14" s="2"/>
      <c r="F14" s="14"/>
      <c r="G14"/>
      <c r="H14" s="555"/>
      <c r="I14" s="44"/>
      <c r="J14" s="44"/>
      <c r="K14"/>
      <c r="L14" s="377"/>
      <c r="M14" s="93"/>
      <c r="N14" s="93"/>
      <c r="O14" s="93"/>
      <c r="P14" s="93"/>
      <c r="Q14" s="93"/>
      <c r="S14" s="103"/>
    </row>
    <row r="15" spans="1:19" s="102" customFormat="1">
      <c r="A15" s="206" t="s">
        <v>234</v>
      </c>
      <c r="B15" s="207" t="s">
        <v>176</v>
      </c>
      <c r="C15" s="207" t="s">
        <v>171</v>
      </c>
      <c r="D15" s="535" t="s">
        <v>170</v>
      </c>
      <c r="E15" s="208" t="s">
        <v>11</v>
      </c>
      <c r="F15" s="207" t="s">
        <v>2</v>
      </c>
      <c r="G15" s="209" t="s">
        <v>12</v>
      </c>
      <c r="H15" s="567" t="s">
        <v>236</v>
      </c>
      <c r="I15" s="209" t="s">
        <v>210</v>
      </c>
      <c r="J15" s="207" t="s">
        <v>211</v>
      </c>
      <c r="K15" s="260" t="s">
        <v>212</v>
      </c>
      <c r="L15" s="377"/>
      <c r="M15" s="93"/>
      <c r="N15" s="93"/>
      <c r="O15" s="93"/>
      <c r="P15" s="93"/>
      <c r="Q15" s="93"/>
      <c r="S15" s="103"/>
    </row>
    <row r="16" spans="1:19" s="116" customFormat="1">
      <c r="A16" s="87" t="s">
        <v>301</v>
      </c>
      <c r="B16" s="122">
        <v>39616</v>
      </c>
      <c r="C16" s="122"/>
      <c r="D16" s="536"/>
      <c r="E16" s="88">
        <f t="shared" ref="E16:E21" si="1">1000000*0</f>
        <v>0</v>
      </c>
      <c r="F16" s="122">
        <v>43235</v>
      </c>
      <c r="G16" s="550">
        <f>-LOOKUP(A16,'market px'!K$2:K$497,'market px'!M$2:M$497)*E16/1000000</f>
        <v>0</v>
      </c>
      <c r="H16" s="475" t="s">
        <v>238</v>
      </c>
      <c r="I16" s="396">
        <v>97.3359375</v>
      </c>
      <c r="J16" s="396">
        <f>LOOKUP(A16,'market px'!K$2:K$497,'market px'!P$2:$P$497)</f>
        <v>98.219200000000001</v>
      </c>
      <c r="K16" s="104">
        <f t="shared" ref="K16:K21" si="2">(J16-I16)*E16/100</f>
        <v>0</v>
      </c>
      <c r="L16" s="382"/>
      <c r="S16" s="320"/>
    </row>
    <row r="17" spans="1:19" s="116" customFormat="1">
      <c r="A17" s="87" t="s">
        <v>301</v>
      </c>
      <c r="B17" s="122">
        <v>38853</v>
      </c>
      <c r="C17" s="122"/>
      <c r="D17" s="536"/>
      <c r="E17" s="88">
        <f t="shared" si="1"/>
        <v>0</v>
      </c>
      <c r="F17" s="122">
        <v>42505</v>
      </c>
      <c r="G17" s="550">
        <f>-LOOKUP(A17,'market px'!K$2:K$497,'market px'!M$2:M$497)*E17/1000000</f>
        <v>0</v>
      </c>
      <c r="H17" s="475" t="s">
        <v>238</v>
      </c>
      <c r="I17" s="129">
        <v>95.90234375</v>
      </c>
      <c r="J17" s="129">
        <f>LOOKUP(A17,'market px'!K$2:K$497,'market px'!P$2:$P$497)</f>
        <v>98.219200000000001</v>
      </c>
      <c r="K17" s="104">
        <f t="shared" si="2"/>
        <v>0</v>
      </c>
      <c r="L17" s="382"/>
      <c r="S17" s="117"/>
    </row>
    <row r="18" spans="1:19" s="532" customFormat="1">
      <c r="A18" s="262" t="s">
        <v>301</v>
      </c>
      <c r="B18" s="265">
        <v>38839</v>
      </c>
      <c r="C18" s="265"/>
      <c r="D18" s="537"/>
      <c r="E18" s="266">
        <f t="shared" si="1"/>
        <v>0</v>
      </c>
      <c r="F18" s="265">
        <v>39568</v>
      </c>
      <c r="G18" s="551">
        <f>-LOOKUP(A18,'market px'!K$2:K$497,'market px'!M$2:M$497)*E18/1000000</f>
        <v>0</v>
      </c>
      <c r="H18" s="476"/>
      <c r="I18" s="268">
        <v>99.875</v>
      </c>
      <c r="J18" s="129">
        <f>LOOKUP(A18,'market px'!K$2:K$497,'market px'!P$2:$P$497)</f>
        <v>98.219200000000001</v>
      </c>
      <c r="K18" s="269">
        <f t="shared" si="2"/>
        <v>0</v>
      </c>
      <c r="L18" s="382"/>
      <c r="S18" s="533"/>
    </row>
    <row r="19" spans="1:19" s="116" customFormat="1">
      <c r="A19" s="262" t="s">
        <v>301</v>
      </c>
      <c r="B19" s="265">
        <v>38839</v>
      </c>
      <c r="C19" s="265"/>
      <c r="D19" s="537"/>
      <c r="E19" s="266">
        <f t="shared" si="1"/>
        <v>0</v>
      </c>
      <c r="F19" s="265">
        <v>39568</v>
      </c>
      <c r="G19" s="551">
        <f>-LOOKUP(A19,'market px'!K$2:K$497,'market px'!M$2:M$497)*E19/1000000</f>
        <v>0</v>
      </c>
      <c r="H19" s="476" t="s">
        <v>238</v>
      </c>
      <c r="I19" s="268">
        <v>99.875</v>
      </c>
      <c r="J19" s="129">
        <f>LOOKUP(A19,'market px'!K$2:K$497,'market px'!P$2:$P$497)</f>
        <v>98.219200000000001</v>
      </c>
      <c r="K19" s="269">
        <f t="shared" si="2"/>
        <v>0</v>
      </c>
      <c r="L19" s="382"/>
      <c r="S19" s="117"/>
    </row>
    <row r="20" spans="1:19" s="93" customFormat="1">
      <c r="A20" s="110" t="s">
        <v>301</v>
      </c>
      <c r="B20" s="113">
        <v>38839</v>
      </c>
      <c r="C20" s="113"/>
      <c r="D20" s="538"/>
      <c r="E20" s="114">
        <f t="shared" si="1"/>
        <v>0</v>
      </c>
      <c r="F20" s="113">
        <v>39568</v>
      </c>
      <c r="G20" s="552">
        <f>-LOOKUP(A20,'market px'!K$2:K$497,'market px'!M$2:M$497)*E20/1000000</f>
        <v>0</v>
      </c>
      <c r="H20" s="477" t="s">
        <v>238</v>
      </c>
      <c r="I20" s="319">
        <v>99.875</v>
      </c>
      <c r="J20" s="129">
        <f>LOOKUP(A20,'market px'!K$2:K$497,'market px'!P$2:$P$497)</f>
        <v>98.219200000000001</v>
      </c>
      <c r="K20" s="261">
        <f t="shared" si="2"/>
        <v>0</v>
      </c>
      <c r="L20" s="382"/>
      <c r="M20"/>
      <c r="N20" s="646"/>
      <c r="O20"/>
      <c r="P20"/>
      <c r="Q20"/>
      <c r="S20" s="131" t="s">
        <v>21</v>
      </c>
    </row>
    <row r="21" spans="1:19" s="93" customFormat="1">
      <c r="A21" s="110" t="s">
        <v>301</v>
      </c>
      <c r="B21" s="113">
        <v>38839</v>
      </c>
      <c r="C21" s="113"/>
      <c r="D21" s="538"/>
      <c r="E21" s="114">
        <f t="shared" si="1"/>
        <v>0</v>
      </c>
      <c r="F21" s="113">
        <v>42019</v>
      </c>
      <c r="G21" s="552">
        <f>-LOOKUP(A21,'market px'!K$2:K$497,'market px'!M$2:M$497)*E21/1000000</f>
        <v>0</v>
      </c>
      <c r="H21" s="557" t="s">
        <v>238</v>
      </c>
      <c r="I21" s="319">
        <v>99.875</v>
      </c>
      <c r="J21" s="129">
        <f>LOOKUP(A21,'market px'!K$2:K$497,'market px'!P$2:$P$497)</f>
        <v>98.219200000000001</v>
      </c>
      <c r="K21" s="261">
        <f t="shared" si="2"/>
        <v>0</v>
      </c>
      <c r="L21" s="382"/>
    </row>
    <row r="22" spans="1:19" s="93" customFormat="1">
      <c r="A22" s="111" t="s">
        <v>166</v>
      </c>
      <c r="B22" s="313"/>
      <c r="C22" s="313"/>
      <c r="D22" s="539"/>
      <c r="E22" s="314">
        <f>SUM(E16:E21)</f>
        <v>0</v>
      </c>
      <c r="F22" s="313"/>
      <c r="G22" s="316">
        <f>SUM(G16:G21)</f>
        <v>0</v>
      </c>
      <c r="H22" s="558"/>
      <c r="I22" s="323"/>
      <c r="J22" s="318"/>
      <c r="K22" s="316">
        <f>SUM(K16:K21)</f>
        <v>0</v>
      </c>
      <c r="L22" s="383"/>
    </row>
    <row r="23" spans="1:19" s="93" customFormat="1">
      <c r="A23" s="93" t="s">
        <v>163</v>
      </c>
      <c r="B23" s="97"/>
      <c r="C23" s="97"/>
      <c r="D23" s="540"/>
      <c r="E23" s="100"/>
      <c r="F23" s="97"/>
      <c r="H23" s="559"/>
      <c r="I23" s="99"/>
      <c r="J23" s="99"/>
      <c r="L23" s="377"/>
    </row>
    <row r="24" spans="1:19" s="270" customFormat="1">
      <c r="A24" s="206" t="s">
        <v>234</v>
      </c>
      <c r="B24" s="207" t="s">
        <v>7</v>
      </c>
      <c r="C24" s="207" t="s">
        <v>171</v>
      </c>
      <c r="D24" s="535" t="s">
        <v>170</v>
      </c>
      <c r="E24" s="208" t="s">
        <v>302</v>
      </c>
      <c r="F24" s="207" t="s">
        <v>2</v>
      </c>
      <c r="G24" s="209" t="s">
        <v>12</v>
      </c>
      <c r="H24" s="567" t="s">
        <v>18</v>
      </c>
      <c r="I24" s="209" t="s">
        <v>213</v>
      </c>
      <c r="J24" s="207" t="s">
        <v>214</v>
      </c>
      <c r="K24" s="260" t="s">
        <v>215</v>
      </c>
      <c r="L24" s="377"/>
    </row>
    <row r="25" spans="1:19" s="270" customFormat="1">
      <c r="A25" s="87" t="s">
        <v>301</v>
      </c>
      <c r="B25" s="122">
        <v>38898</v>
      </c>
      <c r="C25" s="122"/>
      <c r="D25" s="536"/>
      <c r="E25" s="88">
        <f t="shared" ref="E25:E30" si="3">1000000*0</f>
        <v>0</v>
      </c>
      <c r="F25" s="122">
        <v>42505</v>
      </c>
      <c r="G25" s="550">
        <f>-LOOKUP(A25,'market px'!K$2:K$497,'market px'!M$2:M$497)*E25/1000000</f>
        <v>0</v>
      </c>
      <c r="H25" s="475" t="s">
        <v>238</v>
      </c>
      <c r="I25" s="129">
        <v>99.46875</v>
      </c>
      <c r="J25" s="396">
        <f>LOOKUP(A25,'market px'!K$2:K$497,'market px'!P$2:$P$497)</f>
        <v>98.219200000000001</v>
      </c>
      <c r="K25" s="104">
        <f t="shared" ref="K25:K30" si="4">(J25-I25)*E25/100</f>
        <v>0</v>
      </c>
      <c r="L25" s="378"/>
    </row>
    <row r="26" spans="1:19" s="270" customFormat="1">
      <c r="A26" s="87" t="s">
        <v>301</v>
      </c>
      <c r="B26" s="122">
        <v>38853</v>
      </c>
      <c r="C26" s="122"/>
      <c r="D26" s="536"/>
      <c r="E26" s="88">
        <f t="shared" si="3"/>
        <v>0</v>
      </c>
      <c r="F26" s="122">
        <v>42505</v>
      </c>
      <c r="G26" s="550">
        <f>-LOOKUP(A26,'market px'!K$2:K$497,'market px'!M$2:M$497)*E26/1000000</f>
        <v>0</v>
      </c>
      <c r="H26" s="475" t="s">
        <v>238</v>
      </c>
      <c r="I26" s="129">
        <v>95.90234375</v>
      </c>
      <c r="J26" s="129">
        <f>LOOKUP(A26,'market px'!K$2:K$497,'market px'!P$2:$P$497)</f>
        <v>98.219200000000001</v>
      </c>
      <c r="K26" s="104">
        <f t="shared" si="4"/>
        <v>0</v>
      </c>
      <c r="L26" s="378"/>
    </row>
    <row r="27" spans="1:19" s="270" customFormat="1">
      <c r="A27" s="262" t="s">
        <v>301</v>
      </c>
      <c r="B27" s="265">
        <v>38839</v>
      </c>
      <c r="C27" s="265"/>
      <c r="D27" s="537"/>
      <c r="E27" s="266">
        <f t="shared" si="3"/>
        <v>0</v>
      </c>
      <c r="F27" s="265">
        <v>39568</v>
      </c>
      <c r="G27" s="551">
        <f>-LOOKUP(A27,'market px'!K$2:K$497,'market px'!M$2:M$497)*E27/1000000</f>
        <v>0</v>
      </c>
      <c r="H27" s="476"/>
      <c r="I27" s="268">
        <v>99.875</v>
      </c>
      <c r="J27" s="268">
        <f>LOOKUP(A27,'market px'!K$2:K$497,'market px'!P$2:$P$497)</f>
        <v>98.219200000000001</v>
      </c>
      <c r="K27" s="269">
        <f t="shared" si="4"/>
        <v>0</v>
      </c>
      <c r="L27" s="378"/>
    </row>
    <row r="28" spans="1:19" s="270" customFormat="1">
      <c r="A28" s="262" t="s">
        <v>301</v>
      </c>
      <c r="B28" s="265">
        <v>38839</v>
      </c>
      <c r="C28" s="265"/>
      <c r="D28" s="537"/>
      <c r="E28" s="266">
        <f t="shared" si="3"/>
        <v>0</v>
      </c>
      <c r="F28" s="265">
        <v>39568</v>
      </c>
      <c r="G28" s="551">
        <f>-LOOKUP(A28,'market px'!K$2:K$497,'market px'!M$2:M$497)*E28/1000000</f>
        <v>0</v>
      </c>
      <c r="H28" s="476" t="s">
        <v>238</v>
      </c>
      <c r="I28" s="268">
        <v>99.875</v>
      </c>
      <c r="J28" s="268">
        <f>LOOKUP(A28,'market px'!K$2:K$497,'market px'!P$2:$P$497)</f>
        <v>98.219200000000001</v>
      </c>
      <c r="K28" s="269">
        <f t="shared" si="4"/>
        <v>0</v>
      </c>
      <c r="L28" s="378"/>
    </row>
    <row r="29" spans="1:19" s="270" customFormat="1">
      <c r="A29" s="110" t="s">
        <v>301</v>
      </c>
      <c r="B29" s="113">
        <v>38839</v>
      </c>
      <c r="C29" s="113"/>
      <c r="D29" s="538"/>
      <c r="E29" s="114">
        <f t="shared" si="3"/>
        <v>0</v>
      </c>
      <c r="F29" s="113">
        <v>39568</v>
      </c>
      <c r="G29" s="552">
        <f>-LOOKUP(A29,'market px'!K$2:K$497,'market px'!M$2:M$497)*E29/1000000</f>
        <v>0</v>
      </c>
      <c r="H29" s="477" t="s">
        <v>238</v>
      </c>
      <c r="I29" s="319">
        <v>99.875</v>
      </c>
      <c r="J29" s="319">
        <f>LOOKUP(A29,'market px'!K$2:K$497,'market px'!P$2:$P$497)</f>
        <v>98.219200000000001</v>
      </c>
      <c r="K29" s="261">
        <f t="shared" si="4"/>
        <v>0</v>
      </c>
      <c r="L29" s="379"/>
    </row>
    <row r="30" spans="1:19" s="270" customFormat="1">
      <c r="A30" s="110" t="s">
        <v>301</v>
      </c>
      <c r="B30" s="113">
        <v>38839</v>
      </c>
      <c r="C30" s="113"/>
      <c r="D30" s="538"/>
      <c r="E30" s="114">
        <f t="shared" si="3"/>
        <v>0</v>
      </c>
      <c r="F30" s="113">
        <v>42019</v>
      </c>
      <c r="G30" s="552">
        <f>-LOOKUP(A30,'market px'!K$2:K$497,'market px'!M$2:M$497)*E30/1000000</f>
        <v>0</v>
      </c>
      <c r="H30" s="557" t="s">
        <v>238</v>
      </c>
      <c r="I30" s="319">
        <v>99.875</v>
      </c>
      <c r="J30" s="319">
        <f>LOOKUP(A30,'market px'!K$2:K$497,'market px'!P$2:$P$497)</f>
        <v>98.219200000000001</v>
      </c>
      <c r="K30" s="261">
        <f t="shared" si="4"/>
        <v>0</v>
      </c>
      <c r="L30" s="380"/>
    </row>
    <row r="31" spans="1:19" s="270" customFormat="1" ht="17.25" thickBot="1">
      <c r="A31" s="361" t="s">
        <v>166</v>
      </c>
      <c r="B31" s="363"/>
      <c r="C31" s="363"/>
      <c r="D31" s="541"/>
      <c r="E31" s="364">
        <f>SUM(E25:E30)</f>
        <v>0</v>
      </c>
      <c r="F31" s="363"/>
      <c r="G31" s="365">
        <f>SUM(G25:G30)</f>
        <v>0</v>
      </c>
      <c r="H31" s="560"/>
      <c r="I31" s="367"/>
      <c r="J31" s="366"/>
      <c r="K31" s="365">
        <f>SUM(K25:K30)</f>
        <v>0</v>
      </c>
      <c r="L31" s="531"/>
    </row>
    <row r="32" spans="1:19" s="270" customFormat="1" ht="17.25" thickTop="1">
      <c r="A32" s="324" t="s">
        <v>164</v>
      </c>
      <c r="B32" s="313"/>
      <c r="C32" s="313"/>
      <c r="D32" s="539"/>
      <c r="E32" s="314"/>
      <c r="F32" s="313"/>
      <c r="G32" s="316"/>
      <c r="H32" s="558"/>
      <c r="I32" s="323"/>
      <c r="J32" s="318"/>
      <c r="K32" s="316"/>
      <c r="L32" s="380"/>
    </row>
    <row r="33" spans="1:19" s="93" customFormat="1">
      <c r="A33" s="206" t="s">
        <v>99</v>
      </c>
      <c r="B33" s="207" t="s">
        <v>7</v>
      </c>
      <c r="C33" s="207" t="s">
        <v>171</v>
      </c>
      <c r="D33" s="535" t="s">
        <v>170</v>
      </c>
      <c r="E33" s="208" t="s">
        <v>302</v>
      </c>
      <c r="F33" s="207" t="s">
        <v>2</v>
      </c>
      <c r="G33" s="209" t="s">
        <v>12</v>
      </c>
      <c r="H33" s="567" t="s">
        <v>18</v>
      </c>
      <c r="I33" s="209" t="s">
        <v>213</v>
      </c>
      <c r="J33" s="207" t="s">
        <v>214</v>
      </c>
      <c r="K33" s="260" t="s">
        <v>215</v>
      </c>
      <c r="L33" s="377"/>
      <c r="S33" s="131" t="s">
        <v>21</v>
      </c>
    </row>
    <row r="34" spans="1:19" s="93" customFormat="1">
      <c r="A34" s="325" t="s">
        <v>644</v>
      </c>
      <c r="B34" s="328" t="s">
        <v>571</v>
      </c>
      <c r="C34" s="328" t="s">
        <v>339</v>
      </c>
      <c r="D34" s="542" t="s">
        <v>339</v>
      </c>
      <c r="E34" s="330">
        <v>0</v>
      </c>
      <c r="F34" s="331" t="s">
        <v>304</v>
      </c>
      <c r="G34" s="332">
        <f t="shared" ref="G34:G45" si="5">77*-E34</f>
        <v>0</v>
      </c>
      <c r="H34" s="542" t="s">
        <v>572</v>
      </c>
      <c r="I34" s="335">
        <v>127.1875</v>
      </c>
      <c r="J34" s="335">
        <f>VLOOKUP(A34,'market px'!$B$2:$F$20,5,FALSE)</f>
        <v>116.65625</v>
      </c>
      <c r="K34" s="845">
        <f t="shared" ref="K34:K45" si="6">IF(LEFT(A34,2)="TU",(J34-I34)*E34/100*100000*2,(J34-I34)*E34/100*100000)</f>
        <v>0</v>
      </c>
      <c r="L34" s="377"/>
    </row>
    <row r="35" spans="1:19" s="93" customFormat="1">
      <c r="A35" s="325" t="s">
        <v>645</v>
      </c>
      <c r="B35" s="328" t="s">
        <v>569</v>
      </c>
      <c r="C35" s="328" t="s">
        <v>339</v>
      </c>
      <c r="D35" s="542" t="s">
        <v>339</v>
      </c>
      <c r="E35" s="330">
        <v>0</v>
      </c>
      <c r="F35" s="331" t="s">
        <v>304</v>
      </c>
      <c r="G35" s="332">
        <f t="shared" si="5"/>
        <v>0</v>
      </c>
      <c r="H35" s="542" t="s">
        <v>573</v>
      </c>
      <c r="I35" s="335">
        <v>126.34375</v>
      </c>
      <c r="J35" s="335">
        <f>VLOOKUP(A35,'market px'!$B$2:$F$20,5,FALSE)</f>
        <v>116.65625</v>
      </c>
      <c r="K35" s="845">
        <f t="shared" si="6"/>
        <v>0</v>
      </c>
      <c r="L35" s="377"/>
    </row>
    <row r="36" spans="1:19" s="93" customFormat="1">
      <c r="A36" s="325" t="s">
        <v>643</v>
      </c>
      <c r="B36" s="328" t="s">
        <v>566</v>
      </c>
      <c r="C36" s="328" t="s">
        <v>339</v>
      </c>
      <c r="D36" s="542" t="s">
        <v>339</v>
      </c>
      <c r="E36" s="330">
        <v>0</v>
      </c>
      <c r="F36" s="331" t="s">
        <v>304</v>
      </c>
      <c r="G36" s="332">
        <f t="shared" si="5"/>
        <v>0</v>
      </c>
      <c r="H36" s="542" t="s">
        <v>568</v>
      </c>
      <c r="I36" s="335">
        <v>127.1875</v>
      </c>
      <c r="J36" s="335">
        <f>VLOOKUP(A36,'market px'!$B$2:$F$20,5,FALSE)</f>
        <v>116.65625</v>
      </c>
      <c r="K36" s="845">
        <f t="shared" si="6"/>
        <v>0</v>
      </c>
      <c r="L36" s="377"/>
    </row>
    <row r="37" spans="1:19" s="93" customFormat="1">
      <c r="A37" s="325" t="s">
        <v>643</v>
      </c>
      <c r="B37" s="328" t="s">
        <v>561</v>
      </c>
      <c r="C37" s="328" t="s">
        <v>339</v>
      </c>
      <c r="D37" s="542" t="s">
        <v>339</v>
      </c>
      <c r="E37" s="330">
        <v>0</v>
      </c>
      <c r="F37" s="331" t="s">
        <v>304</v>
      </c>
      <c r="G37" s="332">
        <f t="shared" si="5"/>
        <v>0</v>
      </c>
      <c r="H37" s="542" t="s">
        <v>562</v>
      </c>
      <c r="I37" s="335">
        <v>126.453125</v>
      </c>
      <c r="J37" s="335">
        <f>VLOOKUP(A37,'market px'!$B$2:$F$20,5,FALSE)</f>
        <v>116.65625</v>
      </c>
      <c r="K37" s="845">
        <f t="shared" si="6"/>
        <v>0</v>
      </c>
      <c r="L37" s="377"/>
    </row>
    <row r="38" spans="1:19" s="93" customFormat="1">
      <c r="A38" s="325" t="s">
        <v>643</v>
      </c>
      <c r="B38" s="328" t="s">
        <v>560</v>
      </c>
      <c r="C38" s="328" t="s">
        <v>339</v>
      </c>
      <c r="D38" s="542" t="s">
        <v>339</v>
      </c>
      <c r="E38" s="330">
        <v>0</v>
      </c>
      <c r="F38" s="331" t="s">
        <v>304</v>
      </c>
      <c r="G38" s="332">
        <f t="shared" si="5"/>
        <v>0</v>
      </c>
      <c r="H38" s="542" t="s">
        <v>563</v>
      </c>
      <c r="I38" s="335">
        <v>126.46875</v>
      </c>
      <c r="J38" s="335">
        <f>VLOOKUP(A38,'market px'!$B$2:$F$20,5,FALSE)</f>
        <v>116.65625</v>
      </c>
      <c r="K38" s="845">
        <f t="shared" si="6"/>
        <v>0</v>
      </c>
      <c r="L38" s="377"/>
    </row>
    <row r="39" spans="1:19" s="93" customFormat="1">
      <c r="A39" s="325" t="s">
        <v>643</v>
      </c>
      <c r="B39" s="328" t="s">
        <v>549</v>
      </c>
      <c r="C39" s="328" t="s">
        <v>339</v>
      </c>
      <c r="D39" s="542" t="s">
        <v>339</v>
      </c>
      <c r="E39" s="330">
        <v>0</v>
      </c>
      <c r="F39" s="331" t="s">
        <v>304</v>
      </c>
      <c r="G39" s="332">
        <f t="shared" si="5"/>
        <v>0</v>
      </c>
      <c r="H39" s="542" t="s">
        <v>550</v>
      </c>
      <c r="I39" s="335">
        <v>128.328125</v>
      </c>
      <c r="J39" s="335">
        <f>VLOOKUP(A39,'market px'!$B$2:$F$20,5,FALSE)</f>
        <v>116.65625</v>
      </c>
      <c r="K39" s="845">
        <f t="shared" si="6"/>
        <v>0</v>
      </c>
      <c r="L39" s="377"/>
    </row>
    <row r="40" spans="1:19" s="93" customFormat="1">
      <c r="A40" s="325" t="s">
        <v>643</v>
      </c>
      <c r="B40" s="328" t="s">
        <v>405</v>
      </c>
      <c r="C40" s="328" t="s">
        <v>339</v>
      </c>
      <c r="D40" s="542" t="s">
        <v>339</v>
      </c>
      <c r="E40" s="330">
        <v>0</v>
      </c>
      <c r="F40" s="331" t="s">
        <v>304</v>
      </c>
      <c r="G40" s="332">
        <f t="shared" si="5"/>
        <v>0</v>
      </c>
      <c r="H40" s="542" t="s">
        <v>406</v>
      </c>
      <c r="I40" s="335">
        <v>136.578125</v>
      </c>
      <c r="J40" s="335">
        <f>VLOOKUP(A40,'market px'!$B$2:$F$20,5,FALSE)</f>
        <v>116.65625</v>
      </c>
      <c r="K40" s="845">
        <f t="shared" si="6"/>
        <v>0</v>
      </c>
      <c r="L40" s="377"/>
    </row>
    <row r="41" spans="1:19" s="93" customFormat="1">
      <c r="A41" s="325" t="s">
        <v>643</v>
      </c>
      <c r="B41" s="328" t="s">
        <v>433</v>
      </c>
      <c r="C41" s="328" t="s">
        <v>339</v>
      </c>
      <c r="D41" s="542" t="s">
        <v>339</v>
      </c>
      <c r="E41" s="330">
        <v>0</v>
      </c>
      <c r="F41" s="331" t="s">
        <v>304</v>
      </c>
      <c r="G41" s="332">
        <f t="shared" si="5"/>
        <v>0</v>
      </c>
      <c r="H41" s="542" t="s">
        <v>434</v>
      </c>
      <c r="I41" s="335">
        <v>132.96875</v>
      </c>
      <c r="J41" s="335">
        <f>VLOOKUP(A41,'market px'!$B$2:$F$20,5,FALSE)</f>
        <v>116.65625</v>
      </c>
      <c r="K41" s="845">
        <f t="shared" si="6"/>
        <v>0</v>
      </c>
      <c r="L41" s="377"/>
    </row>
    <row r="42" spans="1:19" s="93" customFormat="1">
      <c r="A42" s="325" t="s">
        <v>643</v>
      </c>
      <c r="B42" s="328" t="s">
        <v>435</v>
      </c>
      <c r="C42" s="328" t="s">
        <v>339</v>
      </c>
      <c r="D42" s="542" t="s">
        <v>339</v>
      </c>
      <c r="E42" s="330">
        <v>0</v>
      </c>
      <c r="F42" s="331" t="s">
        <v>304</v>
      </c>
      <c r="G42" s="332">
        <f t="shared" si="5"/>
        <v>0</v>
      </c>
      <c r="H42" s="542" t="s">
        <v>436</v>
      </c>
      <c r="I42" s="335">
        <v>133.375</v>
      </c>
      <c r="J42" s="335">
        <f>VLOOKUP(A42,'market px'!$B$2:$F$20,5,FALSE)</f>
        <v>116.65625</v>
      </c>
      <c r="K42" s="845">
        <f t="shared" si="6"/>
        <v>0</v>
      </c>
      <c r="L42" s="377"/>
    </row>
    <row r="43" spans="1:19" s="93" customFormat="1">
      <c r="A43" s="325" t="s">
        <v>643</v>
      </c>
      <c r="B43" s="328" t="s">
        <v>435</v>
      </c>
      <c r="C43" s="328" t="s">
        <v>339</v>
      </c>
      <c r="D43" s="542" t="s">
        <v>339</v>
      </c>
      <c r="E43" s="330">
        <v>0</v>
      </c>
      <c r="F43" s="331" t="s">
        <v>304</v>
      </c>
      <c r="G43" s="332">
        <f t="shared" si="5"/>
        <v>0</v>
      </c>
      <c r="H43" s="542" t="s">
        <v>437</v>
      </c>
      <c r="I43" s="335">
        <v>133.328125</v>
      </c>
      <c r="J43" s="335">
        <f>VLOOKUP(A43,'market px'!$B$2:$F$20,5,FALSE)</f>
        <v>116.65625</v>
      </c>
      <c r="K43" s="845">
        <f t="shared" si="6"/>
        <v>0</v>
      </c>
      <c r="L43" s="377"/>
    </row>
    <row r="44" spans="1:19" s="93" customFormat="1">
      <c r="A44" s="325" t="s">
        <v>643</v>
      </c>
      <c r="B44" s="328" t="s">
        <v>438</v>
      </c>
      <c r="C44" s="328" t="s">
        <v>339</v>
      </c>
      <c r="D44" s="542" t="s">
        <v>339</v>
      </c>
      <c r="E44" s="330">
        <v>0</v>
      </c>
      <c r="F44" s="331" t="s">
        <v>304</v>
      </c>
      <c r="G44" s="332">
        <f t="shared" si="5"/>
        <v>0</v>
      </c>
      <c r="H44" s="542" t="s">
        <v>439</v>
      </c>
      <c r="I44" s="335">
        <v>133.484375</v>
      </c>
      <c r="J44" s="335">
        <f>VLOOKUP(A44,'market px'!$B$2:$F$20,5,FALSE)</f>
        <v>116.65625</v>
      </c>
      <c r="K44" s="845">
        <f t="shared" si="6"/>
        <v>0</v>
      </c>
      <c r="L44" s="377"/>
    </row>
    <row r="45" spans="1:19" s="93" customFormat="1">
      <c r="A45" s="325" t="s">
        <v>643</v>
      </c>
      <c r="B45" s="328" t="s">
        <v>440</v>
      </c>
      <c r="C45" s="328" t="s">
        <v>339</v>
      </c>
      <c r="D45" s="542" t="s">
        <v>339</v>
      </c>
      <c r="E45" s="330">
        <v>0</v>
      </c>
      <c r="F45" s="331" t="s">
        <v>304</v>
      </c>
      <c r="G45" s="332">
        <f t="shared" si="5"/>
        <v>0</v>
      </c>
      <c r="H45" s="561" t="s">
        <v>441</v>
      </c>
      <c r="I45" s="335">
        <v>133.625</v>
      </c>
      <c r="J45" s="335">
        <f>VLOOKUP(A45,'market px'!$B$2:$F$20,5,FALSE)</f>
        <v>116.65625</v>
      </c>
      <c r="K45" s="845">
        <f t="shared" si="6"/>
        <v>0</v>
      </c>
      <c r="L45" s="377"/>
    </row>
    <row r="46" spans="1:19">
      <c r="A46" s="349" t="s">
        <v>166</v>
      </c>
      <c r="B46" s="350"/>
      <c r="C46" s="351"/>
      <c r="D46" s="545"/>
      <c r="E46" s="352">
        <f>SUM(E34:E45)</f>
        <v>0</v>
      </c>
      <c r="F46" s="353"/>
      <c r="G46" s="354">
        <f>SUM(G34:G45)</f>
        <v>0</v>
      </c>
      <c r="H46" s="563"/>
      <c r="I46" s="356"/>
      <c r="J46" s="357"/>
      <c r="K46" s="358">
        <f>SUM(K34:K45)</f>
        <v>0</v>
      </c>
      <c r="L46" s="381"/>
    </row>
    <row r="47" spans="1:19">
      <c r="A47" s="359" t="s">
        <v>169</v>
      </c>
      <c r="B47" s="113"/>
      <c r="C47" s="274"/>
      <c r="D47" s="538"/>
      <c r="E47" s="114"/>
      <c r="F47" s="192"/>
      <c r="G47" s="118"/>
      <c r="H47" s="557"/>
      <c r="I47" s="125"/>
      <c r="J47" s="360"/>
      <c r="K47" s="261"/>
      <c r="L47" s="381"/>
    </row>
    <row r="48" spans="1:19">
      <c r="A48" s="206" t="s">
        <v>99</v>
      </c>
      <c r="B48" s="207" t="s">
        <v>7</v>
      </c>
      <c r="C48" s="207" t="s">
        <v>171</v>
      </c>
      <c r="D48" s="535" t="s">
        <v>170</v>
      </c>
      <c r="E48" s="208" t="s">
        <v>302</v>
      </c>
      <c r="F48" s="207" t="s">
        <v>2</v>
      </c>
      <c r="G48" s="209" t="s">
        <v>12</v>
      </c>
      <c r="H48" s="567" t="s">
        <v>18</v>
      </c>
      <c r="I48" s="209" t="s">
        <v>213</v>
      </c>
      <c r="J48" s="207" t="s">
        <v>214</v>
      </c>
      <c r="K48" s="260" t="s">
        <v>215</v>
      </c>
    </row>
    <row r="49" spans="1:12">
      <c r="A49" s="325" t="s">
        <v>524</v>
      </c>
      <c r="B49" s="328">
        <v>41547</v>
      </c>
      <c r="C49" s="329"/>
      <c r="D49" s="542"/>
      <c r="E49" s="330">
        <v>0</v>
      </c>
      <c r="F49" s="331" t="s">
        <v>135</v>
      </c>
      <c r="G49" s="332">
        <f>-I49/100*1000000*(90/360)/10000*E49</f>
        <v>0</v>
      </c>
      <c r="H49" s="561"/>
      <c r="I49" s="335">
        <v>98.85</v>
      </c>
      <c r="J49" s="335" t="e">
        <f>VLOOKUP(A49,'market px'!$G$2:$I$20,3,FALSE)</f>
        <v>#N/A</v>
      </c>
      <c r="K49" s="336" t="e">
        <f>(J49-I49)*E49/100*(90/360)*1000000</f>
        <v>#N/A</v>
      </c>
    </row>
    <row r="50" spans="1:12">
      <c r="A50" s="325" t="s">
        <v>523</v>
      </c>
      <c r="B50" s="328" t="s">
        <v>530</v>
      </c>
      <c r="C50" s="329" t="s">
        <v>339</v>
      </c>
      <c r="D50" s="542" t="s">
        <v>339</v>
      </c>
      <c r="E50" s="330">
        <v>0</v>
      </c>
      <c r="F50" s="331" t="s">
        <v>304</v>
      </c>
      <c r="G50" s="332">
        <f>-I50/100*1000000*(90/360)/10000*E50</f>
        <v>0</v>
      </c>
      <c r="H50" s="561" t="s">
        <v>531</v>
      </c>
      <c r="I50" s="335">
        <v>98.87</v>
      </c>
      <c r="J50" s="335" t="e">
        <f>VLOOKUP(A50,'market px'!$G$2:$I$20,3,FALSE)</f>
        <v>#N/A</v>
      </c>
      <c r="K50" s="336" t="e">
        <f t="shared" ref="K50:K55" si="7">(J50-I50)*E50/100*(90/360)*1000000</f>
        <v>#N/A</v>
      </c>
    </row>
    <row r="51" spans="1:12">
      <c r="A51" s="325" t="s">
        <v>523</v>
      </c>
      <c r="B51" s="328" t="s">
        <v>525</v>
      </c>
      <c r="C51" s="329" t="s">
        <v>339</v>
      </c>
      <c r="D51" s="542" t="s">
        <v>339</v>
      </c>
      <c r="E51" s="330">
        <v>0</v>
      </c>
      <c r="F51" s="331" t="s">
        <v>304</v>
      </c>
      <c r="G51" s="332">
        <f>-I51/100*1000000*(90/360)/10000*E51</f>
        <v>0</v>
      </c>
      <c r="H51" s="561" t="s">
        <v>527</v>
      </c>
      <c r="I51" s="335">
        <v>98.85</v>
      </c>
      <c r="J51" s="335" t="e">
        <f>VLOOKUP(A51,'market px'!$G$2:$I$20,3,FALSE)</f>
        <v>#N/A</v>
      </c>
      <c r="K51" s="336" t="e">
        <f t="shared" si="7"/>
        <v>#N/A</v>
      </c>
    </row>
    <row r="52" spans="1:12">
      <c r="A52" s="325" t="s">
        <v>524</v>
      </c>
      <c r="B52" s="328">
        <v>41550</v>
      </c>
      <c r="C52" s="329"/>
      <c r="D52" s="542"/>
      <c r="E52" s="330">
        <v>0</v>
      </c>
      <c r="F52" s="331" t="s">
        <v>78</v>
      </c>
      <c r="G52" s="332" t="e">
        <f>-VLOOKUP(A52,'market px'!G$2:H$20,2,FALSE)*E52/1000000</f>
        <v>#N/A</v>
      </c>
      <c r="H52" s="561"/>
      <c r="I52" s="335">
        <v>101.82599999999999</v>
      </c>
      <c r="J52" s="335" t="e">
        <f>VLOOKUP(A52,'market px'!$G$2:$I$20,3,FALSE)</f>
        <v>#N/A</v>
      </c>
      <c r="K52" s="336" t="e">
        <f t="shared" si="7"/>
        <v>#N/A</v>
      </c>
    </row>
    <row r="53" spans="1:12">
      <c r="A53" s="325" t="s">
        <v>524</v>
      </c>
      <c r="B53" s="328">
        <v>41551</v>
      </c>
      <c r="C53" s="329"/>
      <c r="D53" s="542"/>
      <c r="E53" s="330">
        <v>0</v>
      </c>
      <c r="F53" s="331" t="s">
        <v>78</v>
      </c>
      <c r="G53" s="332" t="e">
        <f>-VLOOKUP(A53,'market px'!G$2:H$20,2,FALSE)*E53/1000000</f>
        <v>#N/A</v>
      </c>
      <c r="H53" s="561"/>
      <c r="I53" s="335">
        <v>102.82599999999999</v>
      </c>
      <c r="J53" s="335" t="e">
        <f>VLOOKUP(A53,'market px'!$G$2:$I$20,3,FALSE)</f>
        <v>#N/A</v>
      </c>
      <c r="K53" s="336" t="e">
        <f t="shared" si="7"/>
        <v>#N/A</v>
      </c>
      <c r="L53" s="381"/>
    </row>
    <row r="54" spans="1:12">
      <c r="A54" s="325" t="s">
        <v>524</v>
      </c>
      <c r="B54" s="328">
        <v>41552</v>
      </c>
      <c r="C54" s="329"/>
      <c r="D54" s="542"/>
      <c r="E54" s="330">
        <v>0</v>
      </c>
      <c r="F54" s="331" t="s">
        <v>78</v>
      </c>
      <c r="G54" s="332" t="e">
        <f>-VLOOKUP(A54,'market px'!G$2:H$20,2,FALSE)*E54/1000000</f>
        <v>#N/A</v>
      </c>
      <c r="H54" s="561"/>
      <c r="I54" s="335">
        <v>103.82599999999999</v>
      </c>
      <c r="J54" s="335" t="e">
        <f>VLOOKUP(A54,'market px'!$G$2:$I$20,3,FALSE)</f>
        <v>#N/A</v>
      </c>
      <c r="K54" s="336" t="e">
        <f t="shared" si="7"/>
        <v>#N/A</v>
      </c>
      <c r="L54" s="381"/>
    </row>
    <row r="55" spans="1:12">
      <c r="A55" s="325" t="s">
        <v>524</v>
      </c>
      <c r="B55" s="328">
        <v>41553</v>
      </c>
      <c r="C55" s="329"/>
      <c r="D55" s="542"/>
      <c r="E55" s="330">
        <v>0</v>
      </c>
      <c r="F55" s="331" t="s">
        <v>78</v>
      </c>
      <c r="G55" s="332" t="e">
        <f>-VLOOKUP(A55,'market px'!G$2:H$20,2,FALSE)*E55/1000000</f>
        <v>#N/A</v>
      </c>
      <c r="H55" s="561"/>
      <c r="I55" s="335">
        <v>104.82599999999999</v>
      </c>
      <c r="J55" s="335" t="e">
        <f>VLOOKUP(A55,'market px'!$G$2:$I$20,3,FALSE)</f>
        <v>#N/A</v>
      </c>
      <c r="K55" s="336" t="e">
        <f t="shared" si="7"/>
        <v>#N/A</v>
      </c>
      <c r="L55" s="381"/>
    </row>
    <row r="56" spans="1:12">
      <c r="A56" s="349" t="s">
        <v>166</v>
      </c>
      <c r="B56" s="350"/>
      <c r="C56" s="351"/>
      <c r="D56" s="545"/>
      <c r="E56" s="352">
        <f>SUM(E49:E55)</f>
        <v>0</v>
      </c>
      <c r="F56" s="353"/>
      <c r="G56" s="354" t="e">
        <f>SUM(G49:G55)</f>
        <v>#N/A</v>
      </c>
      <c r="H56" s="563"/>
      <c r="I56" s="356"/>
      <c r="J56" s="357"/>
      <c r="K56" s="358" t="e">
        <f>SUM(K49:K55)</f>
        <v>#N/A</v>
      </c>
      <c r="L56" s="381"/>
    </row>
    <row r="57" spans="1:12">
      <c r="A57" s="65"/>
      <c r="B57" s="108"/>
      <c r="C57" s="275"/>
      <c r="D57" s="546"/>
      <c r="E57" s="70"/>
      <c r="F57" s="203"/>
      <c r="G57" s="105"/>
      <c r="H57" s="564"/>
      <c r="I57" s="204"/>
      <c r="J57" s="205"/>
      <c r="K57" s="106"/>
    </row>
    <row r="58" spans="1:12">
      <c r="G58" s="14"/>
      <c r="H58" s="565"/>
    </row>
    <row r="59" spans="1:12">
      <c r="G59" s="14"/>
      <c r="H59" s="565"/>
    </row>
    <row r="60" spans="1:12">
      <c r="G60" s="14"/>
      <c r="H60" s="565"/>
    </row>
    <row r="61" spans="1:12">
      <c r="G61" s="14"/>
      <c r="H61" s="565"/>
    </row>
    <row r="62" spans="1:12">
      <c r="G62" s="14"/>
      <c r="H62" s="565"/>
    </row>
    <row r="63" spans="1:12">
      <c r="G63" s="14"/>
      <c r="H63" s="565"/>
    </row>
    <row r="64" spans="1:12">
      <c r="G64" s="14"/>
      <c r="H64" s="565"/>
    </row>
    <row r="65" spans="7:8">
      <c r="G65" s="14"/>
      <c r="H65" s="565"/>
    </row>
    <row r="66" spans="7:8">
      <c r="G66" s="14"/>
      <c r="H66" s="565"/>
    </row>
    <row r="67" spans="7:8">
      <c r="G67" s="14"/>
      <c r="H67" s="565"/>
    </row>
    <row r="68" spans="7:8">
      <c r="G68" s="14"/>
      <c r="H68" s="565"/>
    </row>
    <row r="69" spans="7:8">
      <c r="G69" s="14"/>
      <c r="H69" s="565"/>
    </row>
    <row r="70" spans="7:8">
      <c r="G70" s="14"/>
      <c r="H70" s="565"/>
    </row>
    <row r="71" spans="7:8">
      <c r="G71" s="14"/>
      <c r="H71" s="565"/>
    </row>
    <row r="72" spans="7:8">
      <c r="G72" s="14"/>
      <c r="H72" s="565"/>
    </row>
    <row r="73" spans="7:8">
      <c r="G73" s="14"/>
      <c r="H73" s="565"/>
    </row>
    <row r="74" spans="7:8">
      <c r="G74" s="14"/>
      <c r="H74" s="565"/>
    </row>
    <row r="75" spans="7:8">
      <c r="G75" s="14"/>
      <c r="H75" s="565"/>
    </row>
    <row r="76" spans="7:8">
      <c r="G76" s="14"/>
      <c r="H76" s="565"/>
    </row>
    <row r="77" spans="7:8">
      <c r="G77" s="14"/>
      <c r="H77" s="565"/>
    </row>
    <row r="78" spans="7:8">
      <c r="G78" s="14"/>
      <c r="H78" s="565"/>
    </row>
    <row r="79" spans="7:8">
      <c r="G79" s="14"/>
      <c r="H79" s="565"/>
    </row>
    <row r="80" spans="7:8">
      <c r="G80" s="14"/>
      <c r="H80" s="565"/>
    </row>
    <row r="81" spans="7:8">
      <c r="G81" s="14"/>
      <c r="H81" s="565"/>
    </row>
    <row r="82" spans="7:8">
      <c r="G82" s="14"/>
      <c r="H82" s="565"/>
    </row>
    <row r="83" spans="7:8">
      <c r="G83" s="14"/>
      <c r="H83" s="565"/>
    </row>
    <row r="84" spans="7:8">
      <c r="G84" s="14"/>
      <c r="H84" s="566"/>
    </row>
    <row r="85" spans="7:8">
      <c r="G85" s="14"/>
      <c r="H85" s="566"/>
    </row>
    <row r="86" spans="7:8">
      <c r="G86" s="14"/>
      <c r="H86" s="566"/>
    </row>
    <row r="87" spans="7:8">
      <c r="G87" s="14"/>
      <c r="H87" s="566"/>
    </row>
    <row r="88" spans="7:8">
      <c r="G88" s="14"/>
      <c r="H88" s="566"/>
    </row>
    <row r="89" spans="7:8">
      <c r="G89" s="14"/>
      <c r="H89" s="566"/>
    </row>
    <row r="90" spans="7:8">
      <c r="G90" s="14"/>
      <c r="H90" s="566"/>
    </row>
    <row r="91" spans="7:8">
      <c r="G91" s="14"/>
      <c r="H91" s="566"/>
    </row>
    <row r="92" spans="7:8">
      <c r="G92" s="14"/>
      <c r="H92" s="566"/>
    </row>
    <row r="93" spans="7:8">
      <c r="G93" s="14"/>
      <c r="H93" s="566"/>
    </row>
    <row r="94" spans="7:8">
      <c r="G94" s="14"/>
      <c r="H94" s="566"/>
    </row>
    <row r="95" spans="7:8">
      <c r="G95" s="14"/>
      <c r="H95" s="566"/>
    </row>
    <row r="96" spans="7:8">
      <c r="G96" s="14"/>
      <c r="H96" s="566"/>
    </row>
    <row r="97" spans="7:8">
      <c r="G97" s="14"/>
      <c r="H97" s="566"/>
    </row>
    <row r="98" spans="7:8">
      <c r="G98" s="14"/>
      <c r="H98" s="566"/>
    </row>
    <row r="99" spans="7:8">
      <c r="G99" s="14"/>
      <c r="H99" s="566"/>
    </row>
    <row r="100" spans="7:8">
      <c r="G100" s="14"/>
      <c r="H100" s="566"/>
    </row>
    <row r="101" spans="7:8">
      <c r="G101" s="14"/>
      <c r="H101" s="566"/>
    </row>
    <row r="102" spans="7:8">
      <c r="G102" s="14"/>
      <c r="H102" s="566"/>
    </row>
    <row r="103" spans="7:8">
      <c r="G103" s="14"/>
      <c r="H103" s="566"/>
    </row>
    <row r="104" spans="7:8">
      <c r="G104" s="14"/>
      <c r="H104" s="566"/>
    </row>
    <row r="105" spans="7:8">
      <c r="G105" s="14"/>
      <c r="H105" s="566"/>
    </row>
    <row r="106" spans="7:8">
      <c r="G106" s="14"/>
      <c r="H106" s="566"/>
    </row>
    <row r="107" spans="7:8">
      <c r="G107" s="14"/>
      <c r="H107" s="566"/>
    </row>
    <row r="108" spans="7:8">
      <c r="G108" s="14"/>
      <c r="H108" s="566"/>
    </row>
    <row r="109" spans="7:8">
      <c r="G109" s="14"/>
      <c r="H109" s="566"/>
    </row>
    <row r="110" spans="7:8">
      <c r="G110" s="14"/>
      <c r="H110" s="566"/>
    </row>
    <row r="111" spans="7:8">
      <c r="G111" s="14"/>
      <c r="H111" s="566"/>
    </row>
    <row r="112" spans="7:8">
      <c r="G112" s="14"/>
      <c r="H112" s="566"/>
    </row>
    <row r="113" spans="7:8">
      <c r="G113" s="14"/>
      <c r="H113" s="566"/>
    </row>
    <row r="114" spans="7:8">
      <c r="G114" s="14"/>
      <c r="H114" s="566"/>
    </row>
    <row r="115" spans="7:8">
      <c r="G115" s="14"/>
      <c r="H115" s="566"/>
    </row>
    <row r="116" spans="7:8">
      <c r="G116" s="14"/>
      <c r="H116" s="566"/>
    </row>
    <row r="117" spans="7:8">
      <c r="G117" s="14"/>
      <c r="H117" s="566"/>
    </row>
    <row r="118" spans="7:8">
      <c r="G118" s="14"/>
      <c r="H118" s="566"/>
    </row>
    <row r="119" spans="7:8">
      <c r="G119" s="14"/>
      <c r="H119" s="566"/>
    </row>
    <row r="120" spans="7:8">
      <c r="G120" s="14"/>
      <c r="H120" s="566"/>
    </row>
    <row r="121" spans="7:8">
      <c r="G121" s="14"/>
      <c r="H121" s="566"/>
    </row>
    <row r="122" spans="7:8">
      <c r="G122" s="14"/>
      <c r="H122" s="566"/>
    </row>
    <row r="123" spans="7:8">
      <c r="G123" s="14"/>
      <c r="H123" s="566"/>
    </row>
    <row r="124" spans="7:8">
      <c r="G124" s="14"/>
      <c r="H124" s="566"/>
    </row>
    <row r="125" spans="7:8">
      <c r="G125" s="14"/>
      <c r="H125" s="566"/>
    </row>
    <row r="126" spans="7:8">
      <c r="G126" s="14"/>
      <c r="H126" s="566"/>
    </row>
    <row r="127" spans="7:8">
      <c r="G127" s="14"/>
      <c r="H127" s="566"/>
    </row>
    <row r="128" spans="7:8">
      <c r="G128" s="14"/>
      <c r="H128" s="566"/>
    </row>
    <row r="129" spans="7:8">
      <c r="G129" s="14"/>
      <c r="H129" s="566"/>
    </row>
    <row r="130" spans="7:8">
      <c r="G130" s="14"/>
      <c r="H130" s="566"/>
    </row>
    <row r="131" spans="7:8">
      <c r="G131" s="14"/>
      <c r="H131" s="566"/>
    </row>
    <row r="132" spans="7:8">
      <c r="G132" s="14"/>
      <c r="H132" s="566"/>
    </row>
    <row r="133" spans="7:8">
      <c r="G133" s="14"/>
      <c r="H133" s="566"/>
    </row>
    <row r="134" spans="7:8">
      <c r="G134" s="14"/>
      <c r="H134" s="566"/>
    </row>
    <row r="135" spans="7:8">
      <c r="G135" s="14"/>
      <c r="H135" s="566"/>
    </row>
    <row r="136" spans="7:8">
      <c r="G136" s="14"/>
      <c r="H136" s="566"/>
    </row>
    <row r="137" spans="7:8">
      <c r="G137" s="14"/>
      <c r="H137" s="566"/>
    </row>
    <row r="138" spans="7:8">
      <c r="G138" s="14"/>
      <c r="H138" s="566"/>
    </row>
    <row r="139" spans="7:8">
      <c r="G139" s="14"/>
      <c r="H139" s="566"/>
    </row>
    <row r="140" spans="7:8">
      <c r="G140" s="14"/>
      <c r="H140" s="566"/>
    </row>
    <row r="141" spans="7:8">
      <c r="G141" s="14"/>
      <c r="H141" s="566"/>
    </row>
    <row r="142" spans="7:8">
      <c r="G142" s="14"/>
      <c r="H142" s="566"/>
    </row>
    <row r="143" spans="7:8">
      <c r="G143" s="14"/>
      <c r="H143" s="566"/>
    </row>
    <row r="144" spans="7:8">
      <c r="G144" s="14"/>
      <c r="H144" s="566"/>
    </row>
    <row r="145" spans="7:8">
      <c r="G145" s="14"/>
      <c r="H145" s="566"/>
    </row>
    <row r="146" spans="7:8">
      <c r="G146" s="14"/>
      <c r="H146" s="566"/>
    </row>
    <row r="147" spans="7:8">
      <c r="G147" s="14"/>
      <c r="H147" s="566"/>
    </row>
    <row r="148" spans="7:8">
      <c r="G148" s="14"/>
      <c r="H148" s="566"/>
    </row>
    <row r="149" spans="7:8">
      <c r="G149" s="14"/>
      <c r="H149" s="566"/>
    </row>
    <row r="150" spans="7:8">
      <c r="G150" s="14"/>
      <c r="H150" s="566"/>
    </row>
    <row r="151" spans="7:8">
      <c r="G151" s="14"/>
      <c r="H151" s="566"/>
    </row>
    <row r="152" spans="7:8">
      <c r="G152" s="14"/>
      <c r="H152" s="566"/>
    </row>
    <row r="153" spans="7:8">
      <c r="G153" s="14"/>
      <c r="H153" s="566"/>
    </row>
    <row r="154" spans="7:8">
      <c r="G154" s="14"/>
      <c r="H154" s="566"/>
    </row>
    <row r="155" spans="7:8">
      <c r="G155" s="14"/>
      <c r="H155" s="566"/>
    </row>
    <row r="156" spans="7:8">
      <c r="G156" s="14"/>
      <c r="H156" s="566"/>
    </row>
    <row r="157" spans="7:8">
      <c r="G157" s="14"/>
      <c r="H157" s="566"/>
    </row>
    <row r="158" spans="7:8">
      <c r="G158" s="14"/>
      <c r="H158" s="566"/>
    </row>
    <row r="159" spans="7:8">
      <c r="G159" s="14"/>
      <c r="H159" s="566"/>
    </row>
    <row r="160" spans="7:8">
      <c r="G160" s="14"/>
      <c r="H160" s="566"/>
    </row>
    <row r="161" spans="7:8">
      <c r="G161" s="14"/>
      <c r="H161" s="566"/>
    </row>
    <row r="162" spans="7:8">
      <c r="G162" s="14"/>
      <c r="H162" s="566"/>
    </row>
    <row r="163" spans="7:8">
      <c r="G163" s="14"/>
      <c r="H163" s="566"/>
    </row>
    <row r="164" spans="7:8">
      <c r="G164" s="14"/>
      <c r="H164" s="566"/>
    </row>
    <row r="165" spans="7:8">
      <c r="G165" s="14"/>
      <c r="H165" s="566"/>
    </row>
    <row r="166" spans="7:8">
      <c r="G166" s="14"/>
      <c r="H166" s="566"/>
    </row>
    <row r="167" spans="7:8">
      <c r="G167" s="14"/>
      <c r="H167" s="566"/>
    </row>
    <row r="168" spans="7:8">
      <c r="G168" s="14"/>
      <c r="H168" s="566"/>
    </row>
    <row r="169" spans="7:8">
      <c r="G169" s="14"/>
      <c r="H169" s="566"/>
    </row>
    <row r="170" spans="7:8">
      <c r="G170" s="14"/>
      <c r="H170" s="566"/>
    </row>
    <row r="171" spans="7:8">
      <c r="G171" s="14"/>
      <c r="H171" s="566"/>
    </row>
    <row r="172" spans="7:8">
      <c r="G172" s="14"/>
      <c r="H172" s="566"/>
    </row>
    <row r="173" spans="7:8">
      <c r="G173" s="14"/>
      <c r="H173" s="566"/>
    </row>
    <row r="174" spans="7:8">
      <c r="G174" s="14"/>
      <c r="H174" s="566"/>
    </row>
    <row r="175" spans="7:8">
      <c r="G175" s="14"/>
      <c r="H175" s="566"/>
    </row>
    <row r="176" spans="7:8">
      <c r="G176" s="14"/>
      <c r="H176" s="566"/>
    </row>
    <row r="177" spans="7:8">
      <c r="G177" s="14"/>
      <c r="H177" s="566"/>
    </row>
    <row r="178" spans="7:8">
      <c r="G178" s="14"/>
      <c r="H178" s="566"/>
    </row>
    <row r="179" spans="7:8">
      <c r="G179" s="14"/>
      <c r="H179" s="566"/>
    </row>
    <row r="180" spans="7:8">
      <c r="G180" s="14"/>
      <c r="H180" s="566"/>
    </row>
    <row r="181" spans="7:8">
      <c r="G181" s="14"/>
      <c r="H181" s="566"/>
    </row>
    <row r="182" spans="7:8">
      <c r="G182" s="14"/>
      <c r="H182" s="566"/>
    </row>
    <row r="183" spans="7:8">
      <c r="G183" s="14"/>
      <c r="H183" s="566"/>
    </row>
    <row r="184" spans="7:8">
      <c r="G184" s="14"/>
      <c r="H184" s="566"/>
    </row>
    <row r="185" spans="7:8">
      <c r="G185" s="14"/>
      <c r="H185" s="566"/>
    </row>
    <row r="186" spans="7:8">
      <c r="G186" s="14"/>
      <c r="H186" s="566"/>
    </row>
    <row r="187" spans="7:8">
      <c r="G187" s="14"/>
      <c r="H187" s="566"/>
    </row>
    <row r="188" spans="7:8">
      <c r="G188" s="14"/>
      <c r="H188" s="566"/>
    </row>
    <row r="189" spans="7:8">
      <c r="G189" s="14"/>
      <c r="H189" s="566"/>
    </row>
    <row r="190" spans="7:8">
      <c r="G190" s="14"/>
      <c r="H190" s="566"/>
    </row>
    <row r="191" spans="7:8">
      <c r="G191" s="14"/>
      <c r="H191" s="566"/>
    </row>
    <row r="192" spans="7:8">
      <c r="G192" s="14"/>
      <c r="H192" s="566"/>
    </row>
    <row r="193" spans="7:8">
      <c r="G193" s="14"/>
      <c r="H193" s="566"/>
    </row>
    <row r="194" spans="7:8">
      <c r="G194" s="14"/>
      <c r="H194" s="566"/>
    </row>
    <row r="195" spans="7:8">
      <c r="G195" s="14"/>
      <c r="H195" s="566"/>
    </row>
    <row r="196" spans="7:8">
      <c r="G196" s="14"/>
      <c r="H196" s="566"/>
    </row>
    <row r="197" spans="7:8">
      <c r="G197" s="14"/>
      <c r="H197" s="566"/>
    </row>
    <row r="198" spans="7:8">
      <c r="G198" s="14"/>
      <c r="H198" s="566"/>
    </row>
    <row r="199" spans="7:8">
      <c r="G199" s="14"/>
      <c r="H199" s="566"/>
    </row>
    <row r="200" spans="7:8">
      <c r="G200" s="14"/>
      <c r="H200" s="566"/>
    </row>
    <row r="201" spans="7:8">
      <c r="G201" s="14"/>
      <c r="H201" s="566"/>
    </row>
    <row r="202" spans="7:8">
      <c r="G202" s="14"/>
      <c r="H202" s="566"/>
    </row>
    <row r="203" spans="7:8">
      <c r="G203" s="14"/>
      <c r="H203" s="566"/>
    </row>
    <row r="204" spans="7:8">
      <c r="G204" s="14"/>
      <c r="H204" s="566"/>
    </row>
    <row r="205" spans="7:8">
      <c r="G205" s="14"/>
      <c r="H205" s="566"/>
    </row>
    <row r="206" spans="7:8">
      <c r="G206" s="14"/>
      <c r="H206" s="566"/>
    </row>
    <row r="207" spans="7:8">
      <c r="G207" s="14"/>
      <c r="H207" s="566"/>
    </row>
    <row r="208" spans="7:8">
      <c r="G208" s="14"/>
      <c r="H208" s="566"/>
    </row>
    <row r="209" spans="7:8">
      <c r="G209" s="14"/>
      <c r="H209" s="566"/>
    </row>
    <row r="210" spans="7:8">
      <c r="G210" s="14"/>
      <c r="H210" s="566"/>
    </row>
    <row r="211" spans="7:8">
      <c r="G211" s="14"/>
      <c r="H211" s="566"/>
    </row>
    <row r="212" spans="7:8">
      <c r="G212" s="14"/>
      <c r="H212" s="566"/>
    </row>
    <row r="213" spans="7:8">
      <c r="G213" s="14"/>
      <c r="H213" s="566"/>
    </row>
    <row r="214" spans="7:8">
      <c r="G214" s="14"/>
      <c r="H214" s="566"/>
    </row>
    <row r="215" spans="7:8">
      <c r="G215" s="14"/>
      <c r="H215" s="566"/>
    </row>
    <row r="216" spans="7:8">
      <c r="G216" s="14"/>
      <c r="H216" s="566"/>
    </row>
    <row r="217" spans="7:8">
      <c r="G217" s="14"/>
      <c r="H217" s="566"/>
    </row>
    <row r="218" spans="7:8">
      <c r="G218" s="14"/>
      <c r="H218" s="566"/>
    </row>
    <row r="219" spans="7:8">
      <c r="G219" s="14"/>
      <c r="H219" s="566"/>
    </row>
    <row r="220" spans="7:8">
      <c r="G220" s="14"/>
      <c r="H220" s="566"/>
    </row>
    <row r="221" spans="7:8">
      <c r="G221" s="14"/>
      <c r="H221" s="566"/>
    </row>
    <row r="222" spans="7:8">
      <c r="G222" s="14"/>
      <c r="H222" s="566"/>
    </row>
    <row r="223" spans="7:8">
      <c r="G223" s="14"/>
      <c r="H223" s="566"/>
    </row>
    <row r="224" spans="7:8">
      <c r="G224" s="14"/>
      <c r="H224" s="566"/>
    </row>
    <row r="225" spans="7:8">
      <c r="G225" s="14"/>
      <c r="H225" s="566"/>
    </row>
    <row r="226" spans="7:8">
      <c r="G226" s="14"/>
      <c r="H226" s="566"/>
    </row>
    <row r="227" spans="7:8">
      <c r="G227" s="14"/>
      <c r="H227" s="566"/>
    </row>
    <row r="228" spans="7:8">
      <c r="G228" s="14"/>
      <c r="H228" s="566"/>
    </row>
    <row r="229" spans="7:8">
      <c r="G229" s="14"/>
      <c r="H229" s="566"/>
    </row>
    <row r="230" spans="7:8">
      <c r="G230" s="14"/>
      <c r="H230" s="566"/>
    </row>
    <row r="231" spans="7:8">
      <c r="G231" s="14"/>
      <c r="H231" s="566"/>
    </row>
    <row r="232" spans="7:8">
      <c r="G232" s="14"/>
      <c r="H232" s="566"/>
    </row>
    <row r="233" spans="7:8">
      <c r="G233" s="14"/>
      <c r="H233" s="566"/>
    </row>
    <row r="234" spans="7:8">
      <c r="G234" s="14"/>
      <c r="H234" s="566"/>
    </row>
    <row r="235" spans="7:8">
      <c r="G235" s="14"/>
      <c r="H235" s="566"/>
    </row>
    <row r="236" spans="7:8">
      <c r="G236" s="14"/>
      <c r="H236" s="566"/>
    </row>
    <row r="237" spans="7:8">
      <c r="G237" s="14"/>
      <c r="H237" s="566"/>
    </row>
    <row r="238" spans="7:8">
      <c r="G238" s="14"/>
      <c r="H238" s="566"/>
    </row>
    <row r="239" spans="7:8">
      <c r="G239" s="14"/>
      <c r="H239" s="566"/>
    </row>
    <row r="240" spans="7:8">
      <c r="G240" s="14"/>
      <c r="H240" s="566"/>
    </row>
    <row r="241" spans="7:8">
      <c r="G241" s="14"/>
      <c r="H241" s="566"/>
    </row>
    <row r="242" spans="7:8">
      <c r="G242" s="14"/>
      <c r="H242" s="566"/>
    </row>
    <row r="243" spans="7:8">
      <c r="G243" s="14"/>
      <c r="H243" s="566"/>
    </row>
    <row r="244" spans="7:8">
      <c r="G244" s="14"/>
      <c r="H244" s="566"/>
    </row>
    <row r="245" spans="7:8">
      <c r="G245" s="14"/>
      <c r="H245" s="566"/>
    </row>
    <row r="246" spans="7:8">
      <c r="G246" s="14"/>
      <c r="H246" s="566"/>
    </row>
    <row r="247" spans="7:8">
      <c r="G247" s="14"/>
      <c r="H247" s="566"/>
    </row>
    <row r="248" spans="7:8">
      <c r="G248" s="14"/>
      <c r="H248" s="566"/>
    </row>
    <row r="249" spans="7:8">
      <c r="G249" s="14"/>
      <c r="H249" s="566"/>
    </row>
    <row r="250" spans="7:8">
      <c r="G250" s="14"/>
      <c r="H250" s="566"/>
    </row>
    <row r="251" spans="7:8">
      <c r="G251" s="14"/>
      <c r="H251" s="566"/>
    </row>
    <row r="252" spans="7:8">
      <c r="G252" s="14"/>
      <c r="H252" s="566"/>
    </row>
    <row r="253" spans="7:8">
      <c r="G253" s="14"/>
      <c r="H253" s="566"/>
    </row>
    <row r="254" spans="7:8">
      <c r="G254" s="14"/>
      <c r="H254" s="566"/>
    </row>
    <row r="255" spans="7:8">
      <c r="G255" s="14"/>
      <c r="H255" s="566"/>
    </row>
    <row r="256" spans="7:8">
      <c r="G256" s="14"/>
      <c r="H256" s="566"/>
    </row>
    <row r="257" spans="7:8">
      <c r="G257" s="14"/>
      <c r="H257" s="566"/>
    </row>
    <row r="258" spans="7:8">
      <c r="G258" s="14"/>
      <c r="H258" s="566"/>
    </row>
    <row r="259" spans="7:8">
      <c r="G259" s="14"/>
      <c r="H259" s="566"/>
    </row>
    <row r="260" spans="7:8">
      <c r="G260" s="14"/>
      <c r="H260" s="566"/>
    </row>
    <row r="261" spans="7:8">
      <c r="G261" s="14"/>
      <c r="H261" s="566"/>
    </row>
    <row r="262" spans="7:8">
      <c r="G262" s="14"/>
      <c r="H262" s="566"/>
    </row>
    <row r="263" spans="7:8">
      <c r="G263" s="14"/>
      <c r="H263" s="566"/>
    </row>
    <row r="264" spans="7:8">
      <c r="G264" s="14"/>
      <c r="H264" s="566"/>
    </row>
    <row r="265" spans="7:8">
      <c r="G265" s="14"/>
      <c r="H265" s="566"/>
    </row>
    <row r="266" spans="7:8">
      <c r="G266" s="14"/>
      <c r="H266" s="566"/>
    </row>
    <row r="267" spans="7:8">
      <c r="G267" s="14"/>
      <c r="H267" s="566"/>
    </row>
    <row r="268" spans="7:8">
      <c r="G268" s="14"/>
      <c r="H268" s="566"/>
    </row>
    <row r="269" spans="7:8">
      <c r="G269" s="14"/>
      <c r="H269" s="566"/>
    </row>
    <row r="270" spans="7:8">
      <c r="G270" s="14"/>
      <c r="H270" s="566"/>
    </row>
    <row r="271" spans="7:8">
      <c r="G271" s="14"/>
      <c r="H271" s="566"/>
    </row>
    <row r="272" spans="7:8">
      <c r="G272" s="14"/>
      <c r="H272" s="566"/>
    </row>
    <row r="273" spans="7:8">
      <c r="G273" s="14"/>
      <c r="H273" s="566"/>
    </row>
    <row r="274" spans="7:8">
      <c r="G274" s="14"/>
      <c r="H274" s="566"/>
    </row>
    <row r="275" spans="7:8">
      <c r="G275" s="14"/>
      <c r="H275" s="566"/>
    </row>
    <row r="276" spans="7:8">
      <c r="G276" s="14"/>
      <c r="H276" s="566"/>
    </row>
    <row r="277" spans="7:8">
      <c r="G277" s="14"/>
      <c r="H277" s="566"/>
    </row>
    <row r="278" spans="7:8">
      <c r="G278" s="14"/>
      <c r="H278" s="566"/>
    </row>
    <row r="279" spans="7:8">
      <c r="G279" s="14"/>
      <c r="H279" s="566"/>
    </row>
    <row r="280" spans="7:8">
      <c r="G280" s="14"/>
      <c r="H280" s="566"/>
    </row>
    <row r="281" spans="7:8">
      <c r="G281" s="14"/>
      <c r="H281" s="566"/>
    </row>
    <row r="282" spans="7:8">
      <c r="G282" s="14"/>
      <c r="H282" s="566"/>
    </row>
    <row r="283" spans="7:8">
      <c r="G283" s="14"/>
      <c r="H283" s="566"/>
    </row>
    <row r="284" spans="7:8">
      <c r="G284" s="14"/>
      <c r="H284" s="566"/>
    </row>
    <row r="285" spans="7:8">
      <c r="G285" s="14"/>
      <c r="H285" s="566"/>
    </row>
    <row r="286" spans="7:8">
      <c r="G286" s="14"/>
      <c r="H286" s="566"/>
    </row>
    <row r="287" spans="7:8">
      <c r="G287" s="14"/>
      <c r="H287" s="566"/>
    </row>
    <row r="288" spans="7:8">
      <c r="G288" s="14"/>
      <c r="H288" s="566"/>
    </row>
    <row r="289" spans="7:8">
      <c r="G289" s="14"/>
      <c r="H289" s="566"/>
    </row>
    <row r="290" spans="7:8">
      <c r="G290" s="14"/>
      <c r="H290" s="566"/>
    </row>
    <row r="291" spans="7:8">
      <c r="G291" s="14"/>
      <c r="H291" s="566"/>
    </row>
    <row r="292" spans="7:8">
      <c r="G292" s="14"/>
      <c r="H292" s="566"/>
    </row>
    <row r="293" spans="7:8">
      <c r="G293" s="14"/>
      <c r="H293" s="566"/>
    </row>
    <row r="294" spans="7:8">
      <c r="G294" s="14"/>
      <c r="H294" s="566"/>
    </row>
    <row r="295" spans="7:8">
      <c r="G295" s="14"/>
      <c r="H295" s="566"/>
    </row>
    <row r="296" spans="7:8">
      <c r="G296" s="14"/>
      <c r="H296" s="566"/>
    </row>
    <row r="297" spans="7:8">
      <c r="G297" s="14"/>
      <c r="H297" s="566"/>
    </row>
    <row r="298" spans="7:8">
      <c r="G298" s="14"/>
      <c r="H298" s="566"/>
    </row>
    <row r="299" spans="7:8">
      <c r="G299" s="14"/>
      <c r="H299" s="566"/>
    </row>
    <row r="300" spans="7:8">
      <c r="G300" s="14"/>
      <c r="H300" s="566"/>
    </row>
    <row r="301" spans="7:8">
      <c r="G301" s="14"/>
      <c r="H301" s="566"/>
    </row>
    <row r="302" spans="7:8">
      <c r="G302" s="14"/>
      <c r="H302" s="566"/>
    </row>
    <row r="303" spans="7:8">
      <c r="G303" s="14"/>
      <c r="H303" s="566"/>
    </row>
    <row r="304" spans="7:8">
      <c r="G304" s="14"/>
      <c r="H304" s="566"/>
    </row>
    <row r="305" spans="7:8">
      <c r="G305" s="14"/>
      <c r="H305" s="566"/>
    </row>
    <row r="306" spans="7:8">
      <c r="G306" s="14"/>
      <c r="H306" s="566"/>
    </row>
    <row r="307" spans="7:8">
      <c r="G307" s="14"/>
      <c r="H307" s="566"/>
    </row>
    <row r="308" spans="7:8">
      <c r="G308" s="14"/>
      <c r="H308" s="566"/>
    </row>
    <row r="309" spans="7:8">
      <c r="G309" s="14"/>
      <c r="H309" s="566"/>
    </row>
    <row r="310" spans="7:8">
      <c r="G310" s="14"/>
      <c r="H310" s="566"/>
    </row>
    <row r="311" spans="7:8">
      <c r="G311" s="14"/>
      <c r="H311" s="566"/>
    </row>
    <row r="312" spans="7:8">
      <c r="G312" s="14"/>
      <c r="H312" s="566"/>
    </row>
    <row r="313" spans="7:8">
      <c r="G313" s="14"/>
      <c r="H313" s="566"/>
    </row>
    <row r="314" spans="7:8">
      <c r="G314" s="14"/>
      <c r="H314" s="566"/>
    </row>
    <row r="315" spans="7:8">
      <c r="G315" s="14"/>
      <c r="H315" s="566"/>
    </row>
    <row r="316" spans="7:8">
      <c r="G316" s="14"/>
      <c r="H316" s="566"/>
    </row>
    <row r="317" spans="7:8">
      <c r="G317" s="14"/>
      <c r="H317" s="566"/>
    </row>
    <row r="318" spans="7:8">
      <c r="G318" s="14"/>
      <c r="H318" s="566"/>
    </row>
    <row r="319" spans="7:8">
      <c r="G319" s="14"/>
      <c r="H319" s="566"/>
    </row>
    <row r="320" spans="7:8">
      <c r="G320" s="14"/>
      <c r="H320" s="566"/>
    </row>
    <row r="321" spans="7:8">
      <c r="G321" s="14"/>
      <c r="H321" s="566"/>
    </row>
    <row r="322" spans="7:8">
      <c r="G322" s="14"/>
      <c r="H322" s="566"/>
    </row>
    <row r="323" spans="7:8">
      <c r="G323" s="14"/>
      <c r="H323" s="566"/>
    </row>
    <row r="324" spans="7:8">
      <c r="G324" s="14"/>
      <c r="H324" s="566"/>
    </row>
    <row r="325" spans="7:8">
      <c r="G325" s="14"/>
      <c r="H325" s="566"/>
    </row>
    <row r="326" spans="7:8">
      <c r="G326" s="14"/>
      <c r="H326" s="566"/>
    </row>
    <row r="327" spans="7:8">
      <c r="G327" s="14"/>
      <c r="H327" s="566"/>
    </row>
    <row r="328" spans="7:8">
      <c r="G328" s="14"/>
      <c r="H328" s="566"/>
    </row>
    <row r="329" spans="7:8">
      <c r="G329" s="14"/>
      <c r="H329" s="566"/>
    </row>
    <row r="330" spans="7:8">
      <c r="G330" s="14"/>
      <c r="H330" s="566"/>
    </row>
    <row r="331" spans="7:8">
      <c r="G331" s="14"/>
      <c r="H331" s="566"/>
    </row>
    <row r="332" spans="7:8">
      <c r="G332" s="14"/>
      <c r="H332" s="566"/>
    </row>
    <row r="333" spans="7:8">
      <c r="G333" s="14"/>
      <c r="H333" s="566"/>
    </row>
    <row r="334" spans="7:8">
      <c r="G334" s="14"/>
      <c r="H334" s="566"/>
    </row>
    <row r="335" spans="7:8">
      <c r="G335" s="14"/>
      <c r="H335" s="566"/>
    </row>
    <row r="336" spans="7:8">
      <c r="G336" s="14"/>
      <c r="H336" s="566"/>
    </row>
    <row r="337" spans="7:8">
      <c r="G337" s="14"/>
      <c r="H337" s="566"/>
    </row>
    <row r="338" spans="7:8">
      <c r="G338" s="14"/>
      <c r="H338" s="566"/>
    </row>
    <row r="339" spans="7:8">
      <c r="G339" s="14"/>
      <c r="H339" s="566"/>
    </row>
    <row r="340" spans="7:8">
      <c r="G340" s="14"/>
      <c r="H340" s="566"/>
    </row>
    <row r="341" spans="7:8">
      <c r="G341" s="14"/>
      <c r="H341" s="566"/>
    </row>
    <row r="342" spans="7:8">
      <c r="G342" s="14"/>
      <c r="H342" s="566"/>
    </row>
    <row r="343" spans="7:8">
      <c r="G343" s="14"/>
      <c r="H343" s="566"/>
    </row>
    <row r="344" spans="7:8">
      <c r="G344" s="14"/>
      <c r="H344" s="566"/>
    </row>
    <row r="345" spans="7:8">
      <c r="G345" s="14"/>
      <c r="H345" s="566"/>
    </row>
    <row r="346" spans="7:8">
      <c r="G346" s="14"/>
      <c r="H346" s="566"/>
    </row>
    <row r="347" spans="7:8">
      <c r="G347" s="14"/>
      <c r="H347" s="566"/>
    </row>
    <row r="348" spans="7:8">
      <c r="G348" s="14"/>
      <c r="H348" s="566"/>
    </row>
    <row r="349" spans="7:8">
      <c r="G349" s="14"/>
      <c r="H349" s="566"/>
    </row>
    <row r="350" spans="7:8">
      <c r="G350" s="14"/>
      <c r="H350" s="566"/>
    </row>
    <row r="351" spans="7:8">
      <c r="G351" s="14"/>
      <c r="H351" s="566"/>
    </row>
    <row r="352" spans="7:8">
      <c r="G352" s="14"/>
      <c r="H352" s="566"/>
    </row>
    <row r="353" spans="7:8">
      <c r="G353" s="14"/>
      <c r="H353" s="566"/>
    </row>
    <row r="354" spans="7:8">
      <c r="G354" s="14"/>
      <c r="H354" s="566"/>
    </row>
    <row r="355" spans="7:8">
      <c r="G355" s="14"/>
      <c r="H355" s="566"/>
    </row>
    <row r="356" spans="7:8">
      <c r="G356" s="14"/>
      <c r="H356" s="566"/>
    </row>
    <row r="357" spans="7:8">
      <c r="G357" s="14"/>
      <c r="H357" s="566"/>
    </row>
    <row r="358" spans="7:8">
      <c r="G358" s="14"/>
      <c r="H358" s="566"/>
    </row>
    <row r="359" spans="7:8">
      <c r="G359" s="14"/>
      <c r="H359" s="566"/>
    </row>
    <row r="360" spans="7:8">
      <c r="G360" s="14"/>
      <c r="H360" s="566"/>
    </row>
    <row r="361" spans="7:8">
      <c r="G361" s="14"/>
      <c r="H361" s="566"/>
    </row>
    <row r="362" spans="7:8">
      <c r="G362" s="14"/>
      <c r="H362" s="566"/>
    </row>
    <row r="363" spans="7:8">
      <c r="G363" s="14"/>
      <c r="H363" s="566"/>
    </row>
    <row r="364" spans="7:8">
      <c r="G364" s="14"/>
      <c r="H364" s="566"/>
    </row>
    <row r="365" spans="7:8">
      <c r="G365" s="14"/>
      <c r="H365" s="566"/>
    </row>
    <row r="366" spans="7:8">
      <c r="G366" s="14"/>
      <c r="H366" s="566"/>
    </row>
    <row r="367" spans="7:8">
      <c r="G367" s="14"/>
      <c r="H367" s="566"/>
    </row>
    <row r="368" spans="7:8">
      <c r="G368" s="14"/>
      <c r="H368" s="566"/>
    </row>
    <row r="369" spans="7:8">
      <c r="G369" s="14"/>
      <c r="H369" s="566"/>
    </row>
    <row r="370" spans="7:8">
      <c r="G370" s="14"/>
      <c r="H370" s="566"/>
    </row>
    <row r="371" spans="7:8">
      <c r="G371" s="14"/>
      <c r="H371" s="566"/>
    </row>
    <row r="372" spans="7:8">
      <c r="G372" s="14"/>
      <c r="H372" s="566"/>
    </row>
    <row r="373" spans="7:8">
      <c r="G373" s="14"/>
      <c r="H373" s="566"/>
    </row>
    <row r="374" spans="7:8">
      <c r="G374" s="14"/>
      <c r="H374" s="566"/>
    </row>
    <row r="375" spans="7:8">
      <c r="G375" s="14"/>
      <c r="H375" s="566"/>
    </row>
    <row r="376" spans="7:8">
      <c r="G376" s="14"/>
      <c r="H376" s="566"/>
    </row>
    <row r="377" spans="7:8">
      <c r="G377" s="14"/>
      <c r="H377" s="566"/>
    </row>
    <row r="378" spans="7:8">
      <c r="G378" s="14"/>
      <c r="H378" s="566"/>
    </row>
    <row r="379" spans="7:8">
      <c r="G379" s="14"/>
      <c r="H379" s="566"/>
    </row>
    <row r="380" spans="7:8">
      <c r="G380" s="14"/>
      <c r="H380" s="566"/>
    </row>
    <row r="381" spans="7:8">
      <c r="G381" s="14"/>
      <c r="H381" s="566"/>
    </row>
    <row r="382" spans="7:8">
      <c r="G382" s="14"/>
      <c r="H382" s="566"/>
    </row>
    <row r="383" spans="7:8">
      <c r="G383" s="14"/>
      <c r="H383" s="566"/>
    </row>
    <row r="384" spans="7:8">
      <c r="G384" s="14"/>
      <c r="H384" s="566"/>
    </row>
    <row r="385" spans="7:8">
      <c r="G385" s="14"/>
      <c r="H385" s="566"/>
    </row>
    <row r="386" spans="7:8">
      <c r="G386" s="14"/>
      <c r="H386" s="566"/>
    </row>
    <row r="387" spans="7:8">
      <c r="G387" s="14"/>
      <c r="H387" s="566"/>
    </row>
    <row r="388" spans="7:8">
      <c r="G388" s="14"/>
      <c r="H388" s="566"/>
    </row>
    <row r="389" spans="7:8">
      <c r="G389" s="14"/>
      <c r="H389" s="566"/>
    </row>
    <row r="390" spans="7:8">
      <c r="G390" s="14"/>
      <c r="H390" s="566"/>
    </row>
    <row r="391" spans="7:8">
      <c r="G391" s="14"/>
      <c r="H391" s="566"/>
    </row>
    <row r="392" spans="7:8">
      <c r="G392" s="14"/>
      <c r="H392" s="566"/>
    </row>
    <row r="393" spans="7:8">
      <c r="G393" s="14"/>
      <c r="H393" s="566"/>
    </row>
    <row r="394" spans="7:8">
      <c r="G394" s="14"/>
      <c r="H394" s="566"/>
    </row>
    <row r="395" spans="7:8">
      <c r="G395" s="14"/>
      <c r="H395" s="566"/>
    </row>
    <row r="396" spans="7:8">
      <c r="G396" s="14"/>
      <c r="H396" s="566"/>
    </row>
    <row r="397" spans="7:8">
      <c r="G397" s="14"/>
      <c r="H397" s="566"/>
    </row>
    <row r="398" spans="7:8">
      <c r="G398" s="14"/>
      <c r="H398" s="566"/>
    </row>
    <row r="399" spans="7:8">
      <c r="G399" s="14"/>
      <c r="H399" s="566"/>
    </row>
    <row r="400" spans="7:8">
      <c r="G400" s="14"/>
      <c r="H400" s="566"/>
    </row>
    <row r="401" spans="7:8">
      <c r="G401" s="14"/>
      <c r="H401" s="566"/>
    </row>
    <row r="402" spans="7:8">
      <c r="G402" s="14"/>
      <c r="H402" s="566"/>
    </row>
    <row r="403" spans="7:8">
      <c r="G403" s="14"/>
      <c r="H403" s="566"/>
    </row>
    <row r="404" spans="7:8">
      <c r="G404" s="14"/>
      <c r="H404" s="566"/>
    </row>
    <row r="405" spans="7:8">
      <c r="G405" s="14"/>
      <c r="H405" s="566"/>
    </row>
    <row r="406" spans="7:8">
      <c r="G406" s="14"/>
      <c r="H406" s="566"/>
    </row>
    <row r="407" spans="7:8">
      <c r="G407" s="14"/>
      <c r="H407" s="566"/>
    </row>
    <row r="408" spans="7:8">
      <c r="G408" s="14"/>
      <c r="H408" s="566"/>
    </row>
    <row r="409" spans="7:8">
      <c r="G409" s="14"/>
      <c r="H409" s="566"/>
    </row>
    <row r="410" spans="7:8">
      <c r="G410" s="14"/>
      <c r="H410" s="566"/>
    </row>
    <row r="411" spans="7:8">
      <c r="G411" s="14"/>
      <c r="H411" s="566"/>
    </row>
    <row r="412" spans="7:8">
      <c r="G412" s="14"/>
      <c r="H412" s="566"/>
    </row>
    <row r="413" spans="7:8">
      <c r="G413" s="14"/>
      <c r="H413" s="566"/>
    </row>
    <row r="414" spans="7:8">
      <c r="G414" s="14"/>
      <c r="H414" s="566"/>
    </row>
    <row r="415" spans="7:8">
      <c r="G415" s="14"/>
      <c r="H415" s="566"/>
    </row>
    <row r="416" spans="7:8">
      <c r="G416" s="14"/>
      <c r="H416" s="566"/>
    </row>
    <row r="417" spans="7:7">
      <c r="G417" s="14"/>
    </row>
    <row r="418" spans="7:7">
      <c r="G418" s="14"/>
    </row>
    <row r="419" spans="7:7">
      <c r="G419" s="14"/>
    </row>
    <row r="420" spans="7:7">
      <c r="G420" s="14"/>
    </row>
    <row r="421" spans="7:7">
      <c r="G421" s="14"/>
    </row>
    <row r="422" spans="7:7">
      <c r="G422" s="14"/>
    </row>
    <row r="423" spans="7:7">
      <c r="G423" s="14"/>
    </row>
    <row r="424" spans="7:7">
      <c r="G424" s="14"/>
    </row>
    <row r="425" spans="7:7">
      <c r="G425" s="14"/>
    </row>
    <row r="426" spans="7:7">
      <c r="G426" s="14"/>
    </row>
    <row r="427" spans="7:7">
      <c r="G427" s="14"/>
    </row>
    <row r="428" spans="7:7">
      <c r="G428" s="14"/>
    </row>
    <row r="429" spans="7:7">
      <c r="G429" s="14"/>
    </row>
    <row r="430" spans="7:7">
      <c r="G430" s="14"/>
    </row>
    <row r="431" spans="7:7">
      <c r="G431" s="14"/>
    </row>
    <row r="432" spans="7:7">
      <c r="G432" s="14"/>
    </row>
    <row r="433" spans="7:7">
      <c r="G433" s="14"/>
    </row>
    <row r="434" spans="7:7">
      <c r="G434" s="14"/>
    </row>
    <row r="435" spans="7:7">
      <c r="G435" s="14"/>
    </row>
    <row r="436" spans="7:7">
      <c r="G436" s="14"/>
    </row>
    <row r="437" spans="7:7">
      <c r="G437" s="14"/>
    </row>
    <row r="438" spans="7:7">
      <c r="G438" s="14"/>
    </row>
    <row r="439" spans="7:7">
      <c r="G439" s="14"/>
    </row>
    <row r="440" spans="7:7">
      <c r="G440" s="14"/>
    </row>
    <row r="441" spans="7:7">
      <c r="G441" s="14"/>
    </row>
    <row r="442" spans="7:7">
      <c r="G442" s="14"/>
    </row>
    <row r="443" spans="7:7">
      <c r="G443" s="14"/>
    </row>
    <row r="444" spans="7:7">
      <c r="G444" s="14"/>
    </row>
    <row r="445" spans="7:7">
      <c r="G445" s="14"/>
    </row>
    <row r="446" spans="7:7">
      <c r="G446" s="14"/>
    </row>
    <row r="447" spans="7:7">
      <c r="G447" s="14"/>
    </row>
    <row r="448" spans="7:7">
      <c r="G448" s="14"/>
    </row>
    <row r="449" spans="7:7">
      <c r="G449" s="14"/>
    </row>
    <row r="450" spans="7:7">
      <c r="G450" s="14"/>
    </row>
    <row r="451" spans="7:7">
      <c r="G451" s="14"/>
    </row>
    <row r="452" spans="7:7">
      <c r="G452" s="14"/>
    </row>
    <row r="453" spans="7:7">
      <c r="G453" s="14"/>
    </row>
    <row r="454" spans="7:7">
      <c r="G454" s="14"/>
    </row>
    <row r="455" spans="7:7">
      <c r="G455" s="14"/>
    </row>
    <row r="456" spans="7:7">
      <c r="G456" s="14"/>
    </row>
    <row r="457" spans="7:7">
      <c r="G457" s="14"/>
    </row>
    <row r="458" spans="7:7">
      <c r="G458" s="14"/>
    </row>
    <row r="459" spans="7:7">
      <c r="G459" s="14"/>
    </row>
    <row r="460" spans="7:7">
      <c r="G460" s="14"/>
    </row>
    <row r="461" spans="7:7">
      <c r="G461" s="14"/>
    </row>
    <row r="462" spans="7:7">
      <c r="G462" s="14"/>
    </row>
    <row r="463" spans="7:7">
      <c r="G463" s="14"/>
    </row>
    <row r="464" spans="7:7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</sheetData>
  <phoneticPr fontId="3" type="noConversion"/>
  <conditionalFormatting sqref="G34:G45">
    <cfRule type="expression" dxfId="1" priority="2">
      <formula>AND(IF(E34&lt;&gt;0,1),IF(G34=0,1))</formula>
    </cfRule>
  </conditionalFormatting>
  <conditionalFormatting sqref="K34:K45">
    <cfRule type="expression" dxfId="0" priority="1">
      <formula>LEFT(A34,2)="TU"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2060"/>
  </sheetPr>
  <dimension ref="A1:S951"/>
  <sheetViews>
    <sheetView topLeftCell="A20" zoomScaleNormal="100" workbookViewId="0">
      <pane ySplit="1" topLeftCell="A331" activePane="bottomLeft" state="frozenSplit"/>
      <selection activeCell="A20" sqref="A20"/>
      <selection pane="bottomLeft" activeCell="B356" sqref="B356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4.625" style="534" bestFit="1" customWidth="1"/>
    <col min="5" max="5" width="15.625" style="2" customWidth="1"/>
    <col min="6" max="6" width="12.375" style="14" customWidth="1"/>
    <col min="7" max="7" width="10" customWidth="1"/>
    <col min="8" max="8" width="15" style="555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556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157</v>
      </c>
      <c r="B3" s="122">
        <v>39616</v>
      </c>
      <c r="C3" s="122"/>
      <c r="D3" s="536"/>
      <c r="E3" s="88">
        <v>0</v>
      </c>
      <c r="F3" s="122">
        <v>43235</v>
      </c>
      <c r="G3" s="550">
        <v>0</v>
      </c>
      <c r="H3" s="475" t="s">
        <v>23</v>
      </c>
      <c r="I3" s="396">
        <v>97.3359375</v>
      </c>
      <c r="J3" s="129">
        <v>0</v>
      </c>
      <c r="K3" s="104">
        <f t="shared" ref="K3:K8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157</v>
      </c>
      <c r="B4" s="122">
        <v>38853</v>
      </c>
      <c r="C4" s="122"/>
      <c r="D4" s="536"/>
      <c r="E4" s="88">
        <v>0</v>
      </c>
      <c r="F4" s="122">
        <v>42505</v>
      </c>
      <c r="G4" s="550">
        <v>0</v>
      </c>
      <c r="H4" s="475" t="s">
        <v>23</v>
      </c>
      <c r="I4" s="129">
        <v>95.90234375</v>
      </c>
      <c r="J4" s="129">
        <v>0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 t="s">
        <v>158</v>
      </c>
      <c r="B5" s="265">
        <v>38839</v>
      </c>
      <c r="C5" s="265"/>
      <c r="D5" s="537"/>
      <c r="E5" s="266">
        <v>0</v>
      </c>
      <c r="F5" s="265">
        <v>39568</v>
      </c>
      <c r="G5" s="551">
        <v>0</v>
      </c>
      <c r="H5" s="476"/>
      <c r="I5" s="268">
        <v>99.875</v>
      </c>
      <c r="J5" s="268">
        <v>0</v>
      </c>
      <c r="K5" s="269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 t="s">
        <v>159</v>
      </c>
      <c r="B6" s="265">
        <v>38839</v>
      </c>
      <c r="C6" s="265"/>
      <c r="D6" s="537"/>
      <c r="E6" s="266">
        <v>0</v>
      </c>
      <c r="F6" s="265">
        <v>39568</v>
      </c>
      <c r="G6" s="551">
        <v>0</v>
      </c>
      <c r="H6" s="476" t="s">
        <v>23</v>
      </c>
      <c r="I6" s="268">
        <v>99.875</v>
      </c>
      <c r="J6" s="268">
        <v>0</v>
      </c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16" customFormat="1">
      <c r="A7" s="110" t="s">
        <v>160</v>
      </c>
      <c r="B7" s="113">
        <v>38839</v>
      </c>
      <c r="C7" s="113"/>
      <c r="D7" s="538"/>
      <c r="E7" s="114">
        <v>0</v>
      </c>
      <c r="F7" s="113">
        <v>39568</v>
      </c>
      <c r="G7" s="552">
        <v>0</v>
      </c>
      <c r="H7" s="477" t="s">
        <v>23</v>
      </c>
      <c r="I7" s="319">
        <v>99.875</v>
      </c>
      <c r="J7" s="319">
        <v>0</v>
      </c>
      <c r="K7" s="261">
        <f t="shared" si="0"/>
        <v>0</v>
      </c>
      <c r="L7" s="382"/>
      <c r="S7" s="320"/>
    </row>
    <row r="8" spans="1:19" s="116" customFormat="1">
      <c r="A8" s="110" t="s">
        <v>160</v>
      </c>
      <c r="B8" s="113">
        <v>38839</v>
      </c>
      <c r="C8" s="113"/>
      <c r="D8" s="538"/>
      <c r="E8" s="114">
        <v>0</v>
      </c>
      <c r="F8" s="113">
        <v>42019</v>
      </c>
      <c r="G8" s="552">
        <v>0</v>
      </c>
      <c r="H8" s="557" t="s">
        <v>23</v>
      </c>
      <c r="I8" s="319">
        <v>99.875</v>
      </c>
      <c r="J8" s="319">
        <v>0</v>
      </c>
      <c r="K8" s="261">
        <f t="shared" si="0"/>
        <v>0</v>
      </c>
      <c r="L8" s="382"/>
      <c r="S8" s="117"/>
    </row>
    <row r="9" spans="1:19" s="116" customFormat="1">
      <c r="A9" s="111" t="s">
        <v>166</v>
      </c>
      <c r="B9" s="313"/>
      <c r="C9" s="313"/>
      <c r="D9" s="539"/>
      <c r="E9" s="314">
        <f>SUM(E3:E8)</f>
        <v>0</v>
      </c>
      <c r="F9" s="313"/>
      <c r="G9" s="316">
        <f>SUM(G3:G8)</f>
        <v>0</v>
      </c>
      <c r="H9" s="558"/>
      <c r="I9" s="323"/>
      <c r="J9" s="318"/>
      <c r="K9" s="316">
        <f>SUM(K3:K8)</f>
        <v>0</v>
      </c>
      <c r="L9" s="383"/>
      <c r="S9" s="117"/>
    </row>
    <row r="10" spans="1:19" s="93" customFormat="1">
      <c r="A10" s="93" t="s">
        <v>163</v>
      </c>
      <c r="B10" s="97"/>
      <c r="C10" s="97"/>
      <c r="D10" s="540"/>
      <c r="E10" s="100"/>
      <c r="F10" s="97"/>
      <c r="H10" s="559"/>
      <c r="I10" s="99"/>
      <c r="J10" s="99"/>
      <c r="L10" s="377"/>
    </row>
    <row r="11" spans="1:19" s="93" customFormat="1">
      <c r="A11" s="206" t="s">
        <v>234</v>
      </c>
      <c r="B11" s="207" t="s">
        <v>7</v>
      </c>
      <c r="C11" s="207" t="s">
        <v>171</v>
      </c>
      <c r="D11" s="535" t="s">
        <v>170</v>
      </c>
      <c r="E11" s="208" t="s">
        <v>11</v>
      </c>
      <c r="F11" s="207" t="s">
        <v>2</v>
      </c>
      <c r="G11" s="209" t="s">
        <v>12</v>
      </c>
      <c r="H11" s="556" t="s">
        <v>18</v>
      </c>
      <c r="I11" s="209" t="s">
        <v>210</v>
      </c>
      <c r="J11" s="207" t="s">
        <v>216</v>
      </c>
      <c r="K11" s="260" t="s">
        <v>212</v>
      </c>
      <c r="L11" s="377"/>
      <c r="S11" s="131" t="s">
        <v>21</v>
      </c>
    </row>
    <row r="12" spans="1:19" s="102" customFormat="1">
      <c r="A12" s="87" t="s">
        <v>154</v>
      </c>
      <c r="B12" s="122">
        <v>38898</v>
      </c>
      <c r="C12" s="122"/>
      <c r="D12" s="536"/>
      <c r="E12" s="88">
        <v>0</v>
      </c>
      <c r="F12" s="122">
        <v>42505</v>
      </c>
      <c r="G12" s="124">
        <v>0</v>
      </c>
      <c r="H12" s="475" t="s">
        <v>23</v>
      </c>
      <c r="I12" s="129">
        <v>99.46875</v>
      </c>
      <c r="J12" s="129">
        <v>0</v>
      </c>
      <c r="K12" s="104">
        <f t="shared" ref="K12:K17" si="1">(J12-I12)*E12/100</f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87" t="s">
        <v>154</v>
      </c>
      <c r="B13" s="122">
        <v>38853</v>
      </c>
      <c r="C13" s="122"/>
      <c r="D13" s="536"/>
      <c r="E13" s="88">
        <v>0</v>
      </c>
      <c r="F13" s="122">
        <v>42505</v>
      </c>
      <c r="G13" s="124">
        <v>0</v>
      </c>
      <c r="H13" s="475" t="s">
        <v>23</v>
      </c>
      <c r="I13" s="129">
        <v>95.90234375</v>
      </c>
      <c r="J13" s="129">
        <v>0</v>
      </c>
      <c r="K13" s="104">
        <f t="shared" si="1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 t="s">
        <v>156</v>
      </c>
      <c r="B14" s="265">
        <v>38839</v>
      </c>
      <c r="C14" s="265"/>
      <c r="D14" s="537"/>
      <c r="E14" s="266">
        <v>0</v>
      </c>
      <c r="F14" s="265">
        <v>39568</v>
      </c>
      <c r="G14" s="151">
        <v>0</v>
      </c>
      <c r="H14" s="476"/>
      <c r="I14" s="268">
        <v>99.875</v>
      </c>
      <c r="J14" s="268">
        <v>0</v>
      </c>
      <c r="K14" s="269">
        <f t="shared" si="1"/>
        <v>0</v>
      </c>
      <c r="L14" s="378"/>
      <c r="M14" s="93"/>
      <c r="N14" s="93"/>
      <c r="O14" s="93"/>
      <c r="P14" s="93"/>
      <c r="Q14" s="93"/>
      <c r="S14" s="103"/>
    </row>
    <row r="15" spans="1:19" s="102" customFormat="1">
      <c r="A15" s="262" t="s">
        <v>156</v>
      </c>
      <c r="B15" s="265">
        <v>38839</v>
      </c>
      <c r="C15" s="265"/>
      <c r="D15" s="537"/>
      <c r="E15" s="266">
        <v>0</v>
      </c>
      <c r="F15" s="265">
        <v>39568</v>
      </c>
      <c r="G15" s="151">
        <v>0</v>
      </c>
      <c r="H15" s="476" t="s">
        <v>23</v>
      </c>
      <c r="I15" s="268">
        <v>99.875</v>
      </c>
      <c r="J15" s="268">
        <v>0</v>
      </c>
      <c r="K15" s="269">
        <f t="shared" si="1"/>
        <v>0</v>
      </c>
      <c r="L15" s="378"/>
      <c r="M15" s="93"/>
      <c r="N15" s="93"/>
      <c r="O15" s="93"/>
      <c r="P15" s="93"/>
      <c r="Q15" s="93"/>
      <c r="S15" s="103"/>
    </row>
    <row r="16" spans="1:19" s="116" customFormat="1">
      <c r="A16" s="110" t="s">
        <v>155</v>
      </c>
      <c r="B16" s="113">
        <v>38839</v>
      </c>
      <c r="C16" s="113"/>
      <c r="D16" s="538"/>
      <c r="E16" s="114">
        <v>0</v>
      </c>
      <c r="F16" s="113">
        <v>39568</v>
      </c>
      <c r="G16" s="118">
        <v>0</v>
      </c>
      <c r="H16" s="477" t="s">
        <v>23</v>
      </c>
      <c r="I16" s="319">
        <v>99.875</v>
      </c>
      <c r="J16" s="319">
        <v>0</v>
      </c>
      <c r="K16" s="261">
        <f t="shared" si="1"/>
        <v>0</v>
      </c>
      <c r="L16" s="379"/>
      <c r="S16" s="320"/>
    </row>
    <row r="17" spans="1:19" s="116" customFormat="1">
      <c r="A17" s="110" t="s">
        <v>155</v>
      </c>
      <c r="B17" s="113">
        <v>38839</v>
      </c>
      <c r="C17" s="113"/>
      <c r="D17" s="538"/>
      <c r="E17" s="114">
        <v>0</v>
      </c>
      <c r="F17" s="113">
        <v>42019</v>
      </c>
      <c r="G17" s="118">
        <v>0</v>
      </c>
      <c r="H17" s="557" t="s">
        <v>23</v>
      </c>
      <c r="I17" s="319">
        <v>99.875</v>
      </c>
      <c r="J17" s="319">
        <v>0</v>
      </c>
      <c r="K17" s="261">
        <f t="shared" si="1"/>
        <v>0</v>
      </c>
      <c r="L17" s="380"/>
      <c r="S17" s="117"/>
    </row>
    <row r="18" spans="1:19" s="532" customFormat="1" ht="17.25" thickBot="1">
      <c r="A18" s="361" t="s">
        <v>166</v>
      </c>
      <c r="B18" s="363"/>
      <c r="C18" s="363"/>
      <c r="D18" s="541"/>
      <c r="E18" s="364">
        <f>SUM(E12:E17)</f>
        <v>0</v>
      </c>
      <c r="F18" s="363"/>
      <c r="G18" s="365">
        <f>SUM(G12:G17)</f>
        <v>0</v>
      </c>
      <c r="H18" s="560"/>
      <c r="I18" s="367"/>
      <c r="J18" s="366"/>
      <c r="K18" s="365">
        <f>SUM(K12:K17)</f>
        <v>0</v>
      </c>
      <c r="L18" s="531"/>
      <c r="S18" s="533"/>
    </row>
    <row r="19" spans="1:19" s="116" customFormat="1" ht="17.25" thickTop="1">
      <c r="A19" s="324" t="s">
        <v>164</v>
      </c>
      <c r="B19" s="313"/>
      <c r="C19" s="313"/>
      <c r="D19" s="539"/>
      <c r="E19" s="314"/>
      <c r="F19" s="313"/>
      <c r="G19" s="316"/>
      <c r="H19" s="558"/>
      <c r="I19" s="323"/>
      <c r="J19" s="318"/>
      <c r="K19" s="316"/>
      <c r="L19" s="380"/>
      <c r="S19" s="117"/>
    </row>
    <row r="20" spans="1:19" s="93" customFormat="1">
      <c r="A20" s="206" t="s">
        <v>99</v>
      </c>
      <c r="B20" s="207" t="s">
        <v>7</v>
      </c>
      <c r="C20" s="288" t="s">
        <v>171</v>
      </c>
      <c r="D20" s="535" t="s">
        <v>170</v>
      </c>
      <c r="E20" s="208" t="s">
        <v>11</v>
      </c>
      <c r="F20" s="207" t="s">
        <v>2</v>
      </c>
      <c r="G20" s="209" t="s">
        <v>12</v>
      </c>
      <c r="H20" s="556" t="s">
        <v>18</v>
      </c>
      <c r="I20" s="209" t="s">
        <v>210</v>
      </c>
      <c r="J20" s="207" t="s">
        <v>216</v>
      </c>
      <c r="K20" s="260" t="s">
        <v>212</v>
      </c>
      <c r="L20" s="377"/>
      <c r="M20"/>
      <c r="N20"/>
      <c r="O20"/>
      <c r="P20"/>
      <c r="Q20"/>
      <c r="S20" s="131" t="s">
        <v>21</v>
      </c>
    </row>
    <row r="21" spans="1:19" s="93" customFormat="1">
      <c r="A21" s="325" t="s">
        <v>526</v>
      </c>
      <c r="B21" s="328"/>
      <c r="C21" s="328"/>
      <c r="D21" s="542"/>
      <c r="E21" s="330"/>
      <c r="F21" s="331"/>
      <c r="G21" s="332"/>
      <c r="H21" s="561"/>
      <c r="I21" s="335"/>
      <c r="J21" s="207"/>
      <c r="K21" s="296">
        <f t="shared" ref="K21:K84" si="2">IF(LEFT(A21,2)="TU",(J21-I21)*E21/100*100000*2,(J21-I21)*E21/100*100000)</f>
        <v>0</v>
      </c>
      <c r="L21" s="377"/>
      <c r="M21"/>
      <c r="N21"/>
      <c r="O21"/>
      <c r="P21"/>
      <c r="Q21"/>
      <c r="S21" s="131"/>
    </row>
    <row r="22" spans="1:19" s="93" customFormat="1">
      <c r="A22" s="325" t="s">
        <v>526</v>
      </c>
      <c r="B22" s="328"/>
      <c r="C22" s="328"/>
      <c r="D22" s="542"/>
      <c r="E22" s="330"/>
      <c r="F22" s="331"/>
      <c r="G22" s="332"/>
      <c r="H22" s="561"/>
      <c r="I22" s="335"/>
      <c r="J22" s="207"/>
      <c r="K22" s="296">
        <f t="shared" si="2"/>
        <v>0</v>
      </c>
      <c r="L22" s="377"/>
      <c r="M22"/>
      <c r="N22"/>
      <c r="O22"/>
      <c r="P22"/>
      <c r="Q22"/>
      <c r="S22" s="131"/>
    </row>
    <row r="23" spans="1:19" s="93" customFormat="1">
      <c r="A23" s="325" t="s">
        <v>526</v>
      </c>
      <c r="B23" s="328"/>
      <c r="C23" s="328"/>
      <c r="D23" s="542"/>
      <c r="E23" s="330"/>
      <c r="F23" s="331"/>
      <c r="G23" s="332"/>
      <c r="H23" s="561"/>
      <c r="I23" s="335"/>
      <c r="J23" s="335"/>
      <c r="K23" s="296">
        <f t="shared" si="2"/>
        <v>0</v>
      </c>
      <c r="L23" s="377"/>
      <c r="M23"/>
      <c r="N23"/>
      <c r="O23"/>
      <c r="P23"/>
      <c r="Q23"/>
      <c r="S23" s="131"/>
    </row>
    <row r="24" spans="1:19" s="93" customFormat="1">
      <c r="A24" s="325" t="s">
        <v>526</v>
      </c>
      <c r="B24" s="328"/>
      <c r="C24" s="328"/>
      <c r="D24" s="542"/>
      <c r="E24" s="330"/>
      <c r="F24" s="331"/>
      <c r="G24" s="332"/>
      <c r="H24" s="561"/>
      <c r="I24" s="335"/>
      <c r="J24" s="335"/>
      <c r="K24" s="296">
        <f t="shared" si="2"/>
        <v>0</v>
      </c>
      <c r="L24" s="377"/>
      <c r="M24"/>
      <c r="N24"/>
      <c r="O24"/>
      <c r="P24"/>
      <c r="Q24"/>
      <c r="S24" s="131"/>
    </row>
    <row r="25" spans="1:19" s="93" customFormat="1">
      <c r="A25" s="206" t="s">
        <v>526</v>
      </c>
      <c r="B25" s="207"/>
      <c r="C25" s="288"/>
      <c r="D25" s="535"/>
      <c r="E25" s="208"/>
      <c r="F25" s="207"/>
      <c r="G25" s="209"/>
      <c r="H25" s="556"/>
      <c r="I25" s="209"/>
      <c r="J25" s="207"/>
      <c r="K25" s="296">
        <f t="shared" si="2"/>
        <v>0</v>
      </c>
      <c r="L25" s="377"/>
      <c r="M25"/>
      <c r="N25"/>
      <c r="O25"/>
      <c r="P25"/>
      <c r="Q25"/>
      <c r="S25" s="131"/>
    </row>
    <row r="26" spans="1:19" s="93" customFormat="1">
      <c r="A26" s="325" t="s">
        <v>526</v>
      </c>
      <c r="B26" s="328"/>
      <c r="C26" s="328"/>
      <c r="D26" s="542"/>
      <c r="E26" s="330"/>
      <c r="F26" s="331"/>
      <c r="G26" s="332"/>
      <c r="H26" s="561"/>
      <c r="I26" s="335"/>
      <c r="J26" s="335"/>
      <c r="K26" s="296">
        <f t="shared" si="2"/>
        <v>0</v>
      </c>
      <c r="L26" s="377"/>
      <c r="M26"/>
      <c r="N26"/>
      <c r="O26"/>
      <c r="P26"/>
      <c r="Q26"/>
      <c r="S26" s="131"/>
    </row>
    <row r="27" spans="1:19" s="93" customFormat="1">
      <c r="A27" s="325" t="s">
        <v>526</v>
      </c>
      <c r="B27" s="328"/>
      <c r="C27" s="328"/>
      <c r="D27" s="542"/>
      <c r="E27" s="330"/>
      <c r="F27" s="331"/>
      <c r="G27" s="332"/>
      <c r="H27" s="542"/>
      <c r="I27" s="335"/>
      <c r="J27" s="335"/>
      <c r="K27" s="296">
        <f t="shared" si="2"/>
        <v>0</v>
      </c>
      <c r="L27" s="377"/>
      <c r="M27"/>
      <c r="N27"/>
      <c r="O27"/>
      <c r="P27"/>
      <c r="Q27"/>
      <c r="S27" s="131"/>
    </row>
    <row r="28" spans="1:19" s="93" customFormat="1">
      <c r="A28" s="325" t="s">
        <v>526</v>
      </c>
      <c r="B28" s="328"/>
      <c r="C28" s="328"/>
      <c r="D28" s="542"/>
      <c r="E28" s="330"/>
      <c r="F28" s="331"/>
      <c r="G28" s="332"/>
      <c r="H28" s="561"/>
      <c r="I28" s="335"/>
      <c r="J28" s="207"/>
      <c r="K28" s="296">
        <f t="shared" si="2"/>
        <v>0</v>
      </c>
      <c r="L28" s="377"/>
      <c r="M28"/>
      <c r="N28"/>
      <c r="O28"/>
      <c r="P28"/>
      <c r="Q28"/>
      <c r="S28" s="131"/>
    </row>
    <row r="29" spans="1:19" s="93" customFormat="1">
      <c r="A29" s="325" t="s">
        <v>526</v>
      </c>
      <c r="B29" s="328"/>
      <c r="C29" s="328"/>
      <c r="D29" s="542"/>
      <c r="E29" s="330"/>
      <c r="F29" s="331"/>
      <c r="G29" s="332"/>
      <c r="H29" s="561"/>
      <c r="I29" s="335"/>
      <c r="J29" s="207"/>
      <c r="K29" s="296">
        <f t="shared" si="2"/>
        <v>0</v>
      </c>
      <c r="L29" s="377"/>
      <c r="M29"/>
      <c r="N29"/>
      <c r="O29"/>
      <c r="P29"/>
      <c r="Q29"/>
      <c r="S29" s="131"/>
    </row>
    <row r="30" spans="1:19" s="93" customFormat="1">
      <c r="A30" s="325" t="s">
        <v>526</v>
      </c>
      <c r="B30" s="328"/>
      <c r="C30" s="328"/>
      <c r="D30" s="542"/>
      <c r="E30" s="330"/>
      <c r="F30" s="331"/>
      <c r="G30" s="332"/>
      <c r="H30" s="561"/>
      <c r="I30" s="335"/>
      <c r="J30" s="207"/>
      <c r="K30" s="296">
        <f t="shared" si="2"/>
        <v>0</v>
      </c>
      <c r="L30" s="377"/>
      <c r="M30"/>
      <c r="N30"/>
      <c r="O30"/>
      <c r="P30"/>
      <c r="Q30"/>
      <c r="S30" s="131"/>
    </row>
    <row r="31" spans="1:19" s="93" customFormat="1">
      <c r="A31" s="325" t="s">
        <v>526</v>
      </c>
      <c r="B31" s="328"/>
      <c r="C31" s="328"/>
      <c r="D31" s="542"/>
      <c r="E31" s="330"/>
      <c r="F31" s="331"/>
      <c r="G31" s="332"/>
      <c r="H31" s="561"/>
      <c r="I31" s="335"/>
      <c r="J31" s="207"/>
      <c r="K31" s="296">
        <f t="shared" si="2"/>
        <v>0</v>
      </c>
      <c r="L31" s="377"/>
      <c r="M31"/>
      <c r="N31"/>
      <c r="O31"/>
      <c r="P31"/>
      <c r="Q31"/>
      <c r="S31" s="131"/>
    </row>
    <row r="32" spans="1:19" s="93" customFormat="1">
      <c r="A32" s="325" t="s">
        <v>526</v>
      </c>
      <c r="B32" s="328"/>
      <c r="C32" s="328"/>
      <c r="D32" s="542"/>
      <c r="E32" s="330"/>
      <c r="F32" s="331"/>
      <c r="G32" s="332"/>
      <c r="H32" s="561"/>
      <c r="I32" s="335"/>
      <c r="J32" s="207"/>
      <c r="K32" s="296">
        <f t="shared" si="2"/>
        <v>0</v>
      </c>
      <c r="L32" s="377"/>
      <c r="M32"/>
      <c r="N32"/>
      <c r="O32"/>
      <c r="P32"/>
      <c r="Q32"/>
      <c r="S32" s="131"/>
    </row>
    <row r="33" spans="1:19" s="93" customFormat="1">
      <c r="A33" s="325" t="s">
        <v>526</v>
      </c>
      <c r="B33" s="328"/>
      <c r="C33" s="328"/>
      <c r="D33" s="542"/>
      <c r="E33" s="330"/>
      <c r="F33" s="331"/>
      <c r="G33" s="332"/>
      <c r="H33" s="561"/>
      <c r="I33" s="335"/>
      <c r="J33" s="295"/>
      <c r="K33" s="296">
        <f t="shared" si="2"/>
        <v>0</v>
      </c>
      <c r="L33" s="377"/>
      <c r="M33"/>
      <c r="N33"/>
      <c r="O33"/>
      <c r="P33"/>
      <c r="Q33"/>
      <c r="S33" s="131"/>
    </row>
    <row r="34" spans="1:19" s="93" customFormat="1">
      <c r="A34" s="325" t="s">
        <v>526</v>
      </c>
      <c r="B34" s="328"/>
      <c r="C34" s="328"/>
      <c r="D34" s="542"/>
      <c r="E34" s="330"/>
      <c r="F34" s="331"/>
      <c r="G34" s="332"/>
      <c r="H34" s="561"/>
      <c r="I34" s="335"/>
      <c r="J34" s="295"/>
      <c r="K34" s="296">
        <f t="shared" si="2"/>
        <v>0</v>
      </c>
      <c r="L34" s="377"/>
      <c r="M34"/>
      <c r="N34"/>
      <c r="O34"/>
      <c r="P34"/>
      <c r="Q34"/>
      <c r="S34" s="131"/>
    </row>
    <row r="35" spans="1:19" s="93" customFormat="1">
      <c r="A35" s="325" t="s">
        <v>526</v>
      </c>
      <c r="B35" s="328"/>
      <c r="C35" s="328"/>
      <c r="D35" s="542"/>
      <c r="E35" s="330"/>
      <c r="F35" s="331"/>
      <c r="G35" s="332"/>
      <c r="H35" s="561"/>
      <c r="I35" s="335"/>
      <c r="J35" s="295"/>
      <c r="K35" s="296">
        <f t="shared" si="2"/>
        <v>0</v>
      </c>
      <c r="L35" s="377"/>
      <c r="M35"/>
      <c r="N35"/>
      <c r="O35"/>
      <c r="P35"/>
      <c r="Q35"/>
      <c r="S35" s="131"/>
    </row>
    <row r="36" spans="1:19" s="93" customFormat="1">
      <c r="A36" s="325" t="s">
        <v>526</v>
      </c>
      <c r="B36" s="328"/>
      <c r="C36" s="328"/>
      <c r="D36" s="542"/>
      <c r="E36" s="330"/>
      <c r="F36" s="331"/>
      <c r="G36" s="332"/>
      <c r="H36" s="561"/>
      <c r="I36" s="335"/>
      <c r="J36" s="295"/>
      <c r="K36" s="296">
        <f t="shared" si="2"/>
        <v>0</v>
      </c>
      <c r="L36" s="377"/>
      <c r="M36"/>
      <c r="N36"/>
      <c r="O36"/>
      <c r="P36"/>
      <c r="Q36"/>
      <c r="S36" s="131"/>
    </row>
    <row r="37" spans="1:19" s="93" customFormat="1">
      <c r="A37" s="325" t="s">
        <v>526</v>
      </c>
      <c r="B37" s="328"/>
      <c r="C37" s="328"/>
      <c r="D37" s="542"/>
      <c r="E37" s="330"/>
      <c r="F37" s="331"/>
      <c r="G37" s="332"/>
      <c r="H37" s="561"/>
      <c r="I37" s="335"/>
      <c r="J37" s="295"/>
      <c r="K37" s="296">
        <f t="shared" si="2"/>
        <v>0</v>
      </c>
      <c r="L37" s="377"/>
      <c r="M37"/>
      <c r="N37"/>
      <c r="O37"/>
      <c r="P37"/>
      <c r="Q37"/>
      <c r="S37" s="131"/>
    </row>
    <row r="38" spans="1:19" s="93" customFormat="1">
      <c r="A38" s="325" t="s">
        <v>526</v>
      </c>
      <c r="B38" s="328"/>
      <c r="C38" s="328"/>
      <c r="D38" s="542"/>
      <c r="E38" s="330"/>
      <c r="F38" s="331"/>
      <c r="G38" s="332"/>
      <c r="H38" s="561"/>
      <c r="I38" s="335"/>
      <c r="J38" s="295"/>
      <c r="K38" s="296">
        <f t="shared" si="2"/>
        <v>0</v>
      </c>
      <c r="L38" s="377"/>
      <c r="M38"/>
      <c r="N38"/>
      <c r="O38"/>
      <c r="P38"/>
      <c r="Q38"/>
      <c r="S38" s="131"/>
    </row>
    <row r="39" spans="1:19" s="93" customFormat="1">
      <c r="A39" s="325" t="s">
        <v>526</v>
      </c>
      <c r="B39" s="328"/>
      <c r="C39" s="328"/>
      <c r="D39" s="542"/>
      <c r="E39" s="330"/>
      <c r="F39" s="331"/>
      <c r="G39" s="332"/>
      <c r="H39" s="542"/>
      <c r="I39" s="335"/>
      <c r="J39" s="295"/>
      <c r="K39" s="296">
        <f t="shared" si="2"/>
        <v>0</v>
      </c>
      <c r="L39" s="377"/>
      <c r="M39"/>
      <c r="N39"/>
      <c r="O39"/>
      <c r="P39"/>
      <c r="Q39"/>
      <c r="S39" s="131"/>
    </row>
    <row r="40" spans="1:19" s="93" customFormat="1">
      <c r="A40" s="325" t="s">
        <v>526</v>
      </c>
      <c r="B40" s="328"/>
      <c r="C40" s="328"/>
      <c r="D40" s="542"/>
      <c r="E40" s="330"/>
      <c r="F40" s="331"/>
      <c r="G40" s="332"/>
      <c r="H40" s="542"/>
      <c r="I40" s="335"/>
      <c r="J40" s="335"/>
      <c r="K40" s="296">
        <f t="shared" si="2"/>
        <v>0</v>
      </c>
      <c r="L40" s="377"/>
      <c r="M40"/>
      <c r="N40"/>
      <c r="O40"/>
      <c r="P40"/>
      <c r="Q40"/>
      <c r="S40" s="131"/>
    </row>
    <row r="41" spans="1:19" s="93" customFormat="1">
      <c r="A41" s="325" t="s">
        <v>526</v>
      </c>
      <c r="B41" s="328"/>
      <c r="C41" s="328"/>
      <c r="D41" s="542"/>
      <c r="E41" s="330"/>
      <c r="F41" s="331"/>
      <c r="G41" s="332"/>
      <c r="H41" s="561"/>
      <c r="I41" s="335"/>
      <c r="J41" s="295"/>
      <c r="K41" s="296">
        <f t="shared" si="2"/>
        <v>0</v>
      </c>
      <c r="L41" s="377"/>
      <c r="M41"/>
      <c r="N41"/>
      <c r="O41"/>
      <c r="P41"/>
      <c r="Q41"/>
      <c r="S41" s="131"/>
    </row>
    <row r="42" spans="1:19" s="93" customFormat="1">
      <c r="A42" s="325" t="s">
        <v>526</v>
      </c>
      <c r="B42" s="328"/>
      <c r="C42" s="328"/>
      <c r="D42" s="542"/>
      <c r="E42" s="330"/>
      <c r="F42" s="331"/>
      <c r="G42" s="332"/>
      <c r="H42" s="561"/>
      <c r="I42" s="335"/>
      <c r="J42" s="295"/>
      <c r="K42" s="296">
        <f t="shared" si="2"/>
        <v>0</v>
      </c>
      <c r="L42" s="377"/>
      <c r="M42"/>
      <c r="N42"/>
      <c r="O42"/>
      <c r="P42"/>
      <c r="Q42"/>
      <c r="S42" s="131"/>
    </row>
    <row r="43" spans="1:19" s="93" customFormat="1">
      <c r="A43" s="325" t="s">
        <v>526</v>
      </c>
      <c r="B43" s="328"/>
      <c r="C43" s="328"/>
      <c r="D43" s="542"/>
      <c r="E43" s="330"/>
      <c r="F43" s="331"/>
      <c r="G43" s="332"/>
      <c r="H43" s="561"/>
      <c r="I43" s="335"/>
      <c r="J43" s="295"/>
      <c r="K43" s="296">
        <f t="shared" si="2"/>
        <v>0</v>
      </c>
      <c r="L43" s="377"/>
      <c r="M43"/>
      <c r="N43"/>
      <c r="O43"/>
      <c r="P43"/>
      <c r="Q43"/>
      <c r="S43" s="131"/>
    </row>
    <row r="44" spans="1:19" s="93" customFormat="1">
      <c r="A44" s="325" t="s">
        <v>526</v>
      </c>
      <c r="B44" s="328"/>
      <c r="C44" s="328"/>
      <c r="D44" s="542"/>
      <c r="E44" s="330"/>
      <c r="F44" s="331"/>
      <c r="G44" s="332"/>
      <c r="H44" s="561"/>
      <c r="I44" s="335"/>
      <c r="J44" s="295"/>
      <c r="K44" s="296">
        <f t="shared" si="2"/>
        <v>0</v>
      </c>
      <c r="L44" s="377"/>
      <c r="M44"/>
      <c r="N44"/>
      <c r="O44"/>
      <c r="P44"/>
      <c r="Q44"/>
      <c r="S44" s="131"/>
    </row>
    <row r="45" spans="1:19" s="93" customFormat="1">
      <c r="A45" s="325" t="s">
        <v>526</v>
      </c>
      <c r="B45" s="328"/>
      <c r="C45" s="328"/>
      <c r="D45" s="542"/>
      <c r="E45" s="330"/>
      <c r="F45" s="331"/>
      <c r="G45" s="332"/>
      <c r="H45" s="561"/>
      <c r="I45" s="335"/>
      <c r="J45" s="295"/>
      <c r="K45" s="296">
        <f t="shared" si="2"/>
        <v>0</v>
      </c>
      <c r="L45" s="377"/>
      <c r="M45"/>
      <c r="N45"/>
      <c r="O45"/>
      <c r="P45"/>
      <c r="Q45"/>
      <c r="S45" s="131"/>
    </row>
    <row r="46" spans="1:19" s="93" customFormat="1">
      <c r="A46" s="325" t="s">
        <v>526</v>
      </c>
      <c r="B46" s="328"/>
      <c r="C46" s="328"/>
      <c r="D46" s="542"/>
      <c r="E46" s="330"/>
      <c r="F46" s="331"/>
      <c r="G46" s="332"/>
      <c r="H46" s="561"/>
      <c r="I46" s="335"/>
      <c r="J46" s="295"/>
      <c r="K46" s="296">
        <f t="shared" si="2"/>
        <v>0</v>
      </c>
      <c r="L46" s="377"/>
      <c r="M46"/>
      <c r="N46"/>
      <c r="O46"/>
      <c r="P46"/>
      <c r="Q46"/>
      <c r="S46" s="131"/>
    </row>
    <row r="47" spans="1:19" s="93" customFormat="1">
      <c r="A47" s="325" t="s">
        <v>526</v>
      </c>
      <c r="B47" s="328"/>
      <c r="C47" s="328"/>
      <c r="D47" s="542"/>
      <c r="E47" s="330"/>
      <c r="F47" s="331"/>
      <c r="G47" s="332"/>
      <c r="H47" s="561"/>
      <c r="I47" s="335"/>
      <c r="J47" s="295"/>
      <c r="K47" s="296">
        <f t="shared" si="2"/>
        <v>0</v>
      </c>
      <c r="L47" s="295"/>
      <c r="M47" s="295"/>
      <c r="N47" s="296"/>
      <c r="O47"/>
      <c r="P47"/>
      <c r="Q47"/>
      <c r="S47" s="131"/>
    </row>
    <row r="48" spans="1:19" s="93" customFormat="1">
      <c r="A48" s="325" t="s">
        <v>526</v>
      </c>
      <c r="B48" s="328"/>
      <c r="C48" s="328"/>
      <c r="D48" s="542"/>
      <c r="E48" s="330"/>
      <c r="F48" s="331"/>
      <c r="G48" s="332"/>
      <c r="H48" s="561"/>
      <c r="I48" s="335"/>
      <c r="J48" s="295"/>
      <c r="K48" s="296">
        <f t="shared" si="2"/>
        <v>0</v>
      </c>
      <c r="L48" s="377"/>
      <c r="M48"/>
      <c r="N48"/>
      <c r="O48"/>
      <c r="P48"/>
      <c r="Q48"/>
      <c r="S48" s="131"/>
    </row>
    <row r="49" spans="1:19" s="93" customFormat="1">
      <c r="A49" s="325" t="s">
        <v>526</v>
      </c>
      <c r="B49" s="328"/>
      <c r="C49" s="328"/>
      <c r="D49" s="542"/>
      <c r="E49" s="330"/>
      <c r="F49" s="331"/>
      <c r="G49" s="332"/>
      <c r="H49" s="561"/>
      <c r="I49" s="335"/>
      <c r="J49" s="772"/>
      <c r="K49" s="296">
        <f t="shared" si="2"/>
        <v>0</v>
      </c>
      <c r="L49" s="291"/>
      <c r="M49" s="292"/>
      <c r="N49" s="554"/>
      <c r="O49" s="295"/>
      <c r="P49" s="295"/>
      <c r="Q49" s="296"/>
      <c r="S49" s="131"/>
    </row>
    <row r="50" spans="1:19" s="93" customFormat="1">
      <c r="A50" s="325" t="s">
        <v>526</v>
      </c>
      <c r="B50" s="328"/>
      <c r="C50" s="328"/>
      <c r="D50" s="542"/>
      <c r="E50" s="330"/>
      <c r="F50" s="331"/>
      <c r="G50" s="332"/>
      <c r="H50" s="561"/>
      <c r="I50" s="335"/>
      <c r="J50" s="772"/>
      <c r="K50" s="296">
        <f t="shared" si="2"/>
        <v>0</v>
      </c>
      <c r="L50" s="377"/>
      <c r="M50"/>
      <c r="N50"/>
      <c r="O50"/>
      <c r="P50"/>
      <c r="Q50"/>
      <c r="S50" s="131"/>
    </row>
    <row r="51" spans="1:19" s="93" customFormat="1">
      <c r="A51" s="325" t="s">
        <v>526</v>
      </c>
      <c r="B51" s="328"/>
      <c r="C51" s="328"/>
      <c r="D51" s="542"/>
      <c r="E51" s="330"/>
      <c r="F51" s="331"/>
      <c r="G51" s="332"/>
      <c r="H51" s="561"/>
      <c r="I51" s="335"/>
      <c r="J51" s="295"/>
      <c r="K51" s="296">
        <f t="shared" si="2"/>
        <v>0</v>
      </c>
      <c r="L51" s="377"/>
      <c r="M51"/>
      <c r="N51"/>
      <c r="O51"/>
      <c r="P51"/>
      <c r="Q51"/>
      <c r="S51" s="131"/>
    </row>
    <row r="52" spans="1:19" s="93" customFormat="1">
      <c r="A52" s="325" t="s">
        <v>526</v>
      </c>
      <c r="B52" s="328"/>
      <c r="C52" s="328"/>
      <c r="D52" s="542"/>
      <c r="E52" s="330"/>
      <c r="F52" s="331"/>
      <c r="G52" s="332"/>
      <c r="H52" s="561"/>
      <c r="I52" s="335"/>
      <c r="J52" s="295"/>
      <c r="K52" s="296">
        <f t="shared" si="2"/>
        <v>0</v>
      </c>
      <c r="L52" s="377"/>
      <c r="M52"/>
      <c r="N52"/>
      <c r="O52"/>
      <c r="P52"/>
      <c r="Q52"/>
      <c r="S52" s="131"/>
    </row>
    <row r="53" spans="1:19" s="93" customFormat="1">
      <c r="A53" s="325" t="s">
        <v>526</v>
      </c>
      <c r="B53" s="328"/>
      <c r="C53" s="328"/>
      <c r="D53" s="542"/>
      <c r="E53" s="330"/>
      <c r="F53" s="331"/>
      <c r="G53" s="332"/>
      <c r="H53" s="561"/>
      <c r="I53" s="335"/>
      <c r="J53" s="295"/>
      <c r="K53" s="296">
        <f t="shared" si="2"/>
        <v>0</v>
      </c>
      <c r="L53" s="377"/>
      <c r="M53"/>
      <c r="N53"/>
      <c r="O53"/>
      <c r="P53"/>
      <c r="Q53"/>
      <c r="S53" s="131"/>
    </row>
    <row r="54" spans="1:19" s="93" customFormat="1">
      <c r="A54" s="325" t="s">
        <v>526</v>
      </c>
      <c r="B54" s="328"/>
      <c r="C54" s="328"/>
      <c r="D54" s="542"/>
      <c r="E54" s="330"/>
      <c r="F54" s="331"/>
      <c r="G54" s="332"/>
      <c r="H54" s="561"/>
      <c r="I54" s="335"/>
      <c r="J54" s="295"/>
      <c r="K54" s="296">
        <f t="shared" si="2"/>
        <v>0</v>
      </c>
      <c r="L54" s="377"/>
      <c r="M54"/>
      <c r="N54"/>
      <c r="O54"/>
      <c r="P54"/>
      <c r="Q54"/>
      <c r="S54" s="131"/>
    </row>
    <row r="55" spans="1:19" s="93" customFormat="1">
      <c r="A55" s="325" t="s">
        <v>564</v>
      </c>
      <c r="B55" s="328"/>
      <c r="C55" s="328"/>
      <c r="D55" s="542"/>
      <c r="E55" s="330"/>
      <c r="F55" s="331"/>
      <c r="G55" s="332"/>
      <c r="H55" s="561"/>
      <c r="I55" s="335"/>
      <c r="J55" s="295"/>
      <c r="K55" s="296">
        <f t="shared" si="2"/>
        <v>0</v>
      </c>
      <c r="L55" s="377"/>
      <c r="M55"/>
      <c r="N55"/>
      <c r="O55"/>
      <c r="P55"/>
      <c r="Q55"/>
      <c r="S55" s="131"/>
    </row>
    <row r="56" spans="1:19" s="93" customFormat="1">
      <c r="A56" s="325" t="s">
        <v>564</v>
      </c>
      <c r="B56" s="328"/>
      <c r="C56" s="328"/>
      <c r="D56" s="542"/>
      <c r="E56" s="330"/>
      <c r="F56" s="331"/>
      <c r="G56" s="332"/>
      <c r="H56" s="561"/>
      <c r="I56" s="335"/>
      <c r="J56" s="295"/>
      <c r="K56" s="296">
        <f t="shared" si="2"/>
        <v>0</v>
      </c>
      <c r="L56" s="377"/>
      <c r="M56"/>
      <c r="N56"/>
      <c r="O56"/>
      <c r="P56"/>
      <c r="Q56"/>
      <c r="S56" s="131"/>
    </row>
    <row r="57" spans="1:19" s="93" customFormat="1">
      <c r="A57" s="325" t="s">
        <v>564</v>
      </c>
      <c r="B57" s="328"/>
      <c r="C57" s="328"/>
      <c r="D57" s="542"/>
      <c r="E57" s="330"/>
      <c r="F57" s="331"/>
      <c r="G57" s="332"/>
      <c r="H57" s="561"/>
      <c r="I57" s="335"/>
      <c r="J57" s="295"/>
      <c r="K57" s="296">
        <f t="shared" si="2"/>
        <v>0</v>
      </c>
      <c r="L57" s="377"/>
      <c r="M57"/>
      <c r="N57"/>
      <c r="O57"/>
      <c r="P57"/>
      <c r="Q57"/>
      <c r="S57" s="131"/>
    </row>
    <row r="58" spans="1:19" s="93" customFormat="1">
      <c r="A58" s="325" t="s">
        <v>564</v>
      </c>
      <c r="B58" s="328"/>
      <c r="C58" s="328"/>
      <c r="D58" s="542"/>
      <c r="E58" s="330"/>
      <c r="F58" s="331"/>
      <c r="G58" s="332"/>
      <c r="H58" s="561"/>
      <c r="I58" s="335"/>
      <c r="J58" s="295"/>
      <c r="K58" s="296">
        <f t="shared" si="2"/>
        <v>0</v>
      </c>
      <c r="L58" s="377"/>
      <c r="M58"/>
      <c r="N58"/>
      <c r="O58"/>
      <c r="P58"/>
      <c r="Q58"/>
      <c r="S58" s="131"/>
    </row>
    <row r="59" spans="1:19" s="93" customFormat="1">
      <c r="A59" s="325" t="s">
        <v>564</v>
      </c>
      <c r="B59" s="328"/>
      <c r="C59" s="328"/>
      <c r="D59" s="542"/>
      <c r="E59" s="330"/>
      <c r="F59" s="331"/>
      <c r="G59" s="332"/>
      <c r="H59" s="561"/>
      <c r="I59" s="335"/>
      <c r="J59" s="295"/>
      <c r="K59" s="296">
        <f t="shared" si="2"/>
        <v>0</v>
      </c>
      <c r="L59" s="377"/>
      <c r="M59"/>
      <c r="N59"/>
      <c r="O59"/>
      <c r="P59"/>
      <c r="Q59"/>
      <c r="S59" s="131"/>
    </row>
    <row r="60" spans="1:19" s="93" customFormat="1">
      <c r="A60" s="325" t="s">
        <v>564</v>
      </c>
      <c r="B60" s="328"/>
      <c r="C60" s="328"/>
      <c r="D60" s="542"/>
      <c r="E60" s="330"/>
      <c r="F60" s="331"/>
      <c r="G60" s="332"/>
      <c r="H60" s="561"/>
      <c r="I60" s="335"/>
      <c r="J60" s="295"/>
      <c r="K60" s="296">
        <f t="shared" si="2"/>
        <v>0</v>
      </c>
      <c r="L60" s="377"/>
      <c r="M60"/>
      <c r="N60"/>
      <c r="O60"/>
      <c r="P60"/>
      <c r="Q60"/>
      <c r="S60" s="131"/>
    </row>
    <row r="61" spans="1:19" s="93" customFormat="1">
      <c r="A61" s="325" t="s">
        <v>564</v>
      </c>
      <c r="B61" s="328"/>
      <c r="C61" s="328"/>
      <c r="D61" s="542"/>
      <c r="E61" s="330"/>
      <c r="F61" s="331"/>
      <c r="G61" s="332"/>
      <c r="H61" s="561"/>
      <c r="I61" s="335"/>
      <c r="J61" s="295"/>
      <c r="K61" s="296">
        <f t="shared" si="2"/>
        <v>0</v>
      </c>
      <c r="L61" s="377"/>
      <c r="M61"/>
      <c r="N61"/>
      <c r="O61"/>
      <c r="P61"/>
      <c r="Q61"/>
      <c r="S61" s="131"/>
    </row>
    <row r="62" spans="1:19" s="93" customFormat="1">
      <c r="A62" s="325" t="s">
        <v>564</v>
      </c>
      <c r="B62" s="328"/>
      <c r="C62" s="328"/>
      <c r="D62" s="542"/>
      <c r="E62" s="330"/>
      <c r="F62" s="331"/>
      <c r="G62" s="332"/>
      <c r="H62" s="561"/>
      <c r="I62" s="335"/>
      <c r="J62" s="295"/>
      <c r="K62" s="296">
        <f t="shared" si="2"/>
        <v>0</v>
      </c>
      <c r="L62" s="377"/>
      <c r="M62"/>
      <c r="N62"/>
      <c r="O62"/>
      <c r="P62"/>
      <c r="Q62"/>
      <c r="S62" s="131"/>
    </row>
    <row r="63" spans="1:19" s="93" customFormat="1">
      <c r="A63" s="325" t="s">
        <v>431</v>
      </c>
      <c r="B63" s="328"/>
      <c r="C63" s="328"/>
      <c r="D63" s="542"/>
      <c r="E63" s="330"/>
      <c r="F63" s="331"/>
      <c r="G63" s="332"/>
      <c r="H63" s="561"/>
      <c r="I63" s="335"/>
      <c r="J63" s="295"/>
      <c r="K63" s="296">
        <f t="shared" si="2"/>
        <v>0</v>
      </c>
      <c r="L63" s="377"/>
      <c r="M63"/>
      <c r="N63"/>
      <c r="O63"/>
      <c r="P63"/>
      <c r="Q63"/>
      <c r="S63" s="131"/>
    </row>
    <row r="64" spans="1:19" s="93" customFormat="1">
      <c r="A64" s="325" t="s">
        <v>431</v>
      </c>
      <c r="B64" s="328"/>
      <c r="C64" s="328"/>
      <c r="D64" s="542"/>
      <c r="E64" s="330"/>
      <c r="F64" s="331"/>
      <c r="G64" s="332"/>
      <c r="H64" s="542"/>
      <c r="I64" s="335"/>
      <c r="J64" s="295"/>
      <c r="K64" s="296">
        <f t="shared" si="2"/>
        <v>0</v>
      </c>
      <c r="L64" s="377"/>
      <c r="M64"/>
      <c r="N64"/>
      <c r="O64"/>
      <c r="P64"/>
      <c r="Q64"/>
      <c r="S64" s="131"/>
    </row>
    <row r="65" spans="1:19" s="93" customFormat="1">
      <c r="A65" s="325" t="s">
        <v>431</v>
      </c>
      <c r="B65" s="328"/>
      <c r="C65" s="328"/>
      <c r="D65" s="542"/>
      <c r="E65" s="330"/>
      <c r="F65" s="331"/>
      <c r="G65" s="332"/>
      <c r="H65" s="542"/>
      <c r="I65" s="335"/>
      <c r="J65" s="295"/>
      <c r="K65" s="296">
        <f t="shared" si="2"/>
        <v>0</v>
      </c>
      <c r="L65" s="377"/>
      <c r="M65"/>
      <c r="N65"/>
      <c r="O65"/>
      <c r="P65"/>
      <c r="Q65"/>
      <c r="S65" s="131"/>
    </row>
    <row r="66" spans="1:19" s="93" customFormat="1">
      <c r="A66" s="325" t="s">
        <v>431</v>
      </c>
      <c r="B66" s="328"/>
      <c r="C66" s="328"/>
      <c r="D66" s="542"/>
      <c r="E66" s="330"/>
      <c r="F66" s="331"/>
      <c r="G66" s="332"/>
      <c r="H66" s="561"/>
      <c r="I66" s="335"/>
      <c r="J66" s="295"/>
      <c r="K66" s="296">
        <f t="shared" si="2"/>
        <v>0</v>
      </c>
      <c r="L66" s="377"/>
      <c r="M66"/>
      <c r="N66"/>
      <c r="O66"/>
      <c r="P66"/>
      <c r="Q66"/>
      <c r="S66" s="131"/>
    </row>
    <row r="67" spans="1:19" s="93" customFormat="1">
      <c r="A67" s="325" t="s">
        <v>431</v>
      </c>
      <c r="B67" s="328"/>
      <c r="C67" s="328"/>
      <c r="D67" s="542"/>
      <c r="E67" s="330"/>
      <c r="F67" s="331"/>
      <c r="G67" s="332"/>
      <c r="H67" s="561"/>
      <c r="I67" s="335"/>
      <c r="J67" s="295"/>
      <c r="K67" s="296">
        <f t="shared" si="2"/>
        <v>0</v>
      </c>
      <c r="L67" s="377"/>
      <c r="M67"/>
      <c r="N67"/>
      <c r="O67"/>
      <c r="P67"/>
      <c r="Q67"/>
      <c r="S67" s="131"/>
    </row>
    <row r="68" spans="1:19" s="93" customFormat="1">
      <c r="A68" s="325" t="s">
        <v>431</v>
      </c>
      <c r="B68" s="328"/>
      <c r="C68" s="328"/>
      <c r="D68" s="542"/>
      <c r="E68" s="330"/>
      <c r="F68" s="331"/>
      <c r="G68" s="332"/>
      <c r="H68" s="561"/>
      <c r="I68" s="335"/>
      <c r="J68" s="295"/>
      <c r="K68" s="296">
        <f t="shared" si="2"/>
        <v>0</v>
      </c>
      <c r="L68" s="377"/>
      <c r="M68"/>
      <c r="N68"/>
      <c r="O68"/>
      <c r="P68"/>
      <c r="Q68"/>
      <c r="S68" s="131"/>
    </row>
    <row r="69" spans="1:19" s="93" customFormat="1">
      <c r="A69" s="325" t="s">
        <v>431</v>
      </c>
      <c r="B69" s="328"/>
      <c r="C69" s="328"/>
      <c r="D69" s="542"/>
      <c r="E69" s="330"/>
      <c r="F69" s="331"/>
      <c r="G69" s="332"/>
      <c r="H69" s="561"/>
      <c r="I69" s="335"/>
      <c r="J69" s="295"/>
      <c r="K69" s="296">
        <f t="shared" si="2"/>
        <v>0</v>
      </c>
      <c r="L69" s="377"/>
      <c r="M69"/>
      <c r="N69"/>
      <c r="O69"/>
      <c r="P69"/>
      <c r="Q69"/>
      <c r="S69" s="131"/>
    </row>
    <row r="70" spans="1:19" s="93" customFormat="1">
      <c r="A70" s="325" t="s">
        <v>431</v>
      </c>
      <c r="B70" s="328"/>
      <c r="C70" s="328"/>
      <c r="D70" s="542"/>
      <c r="E70" s="330"/>
      <c r="F70" s="331"/>
      <c r="G70" s="332"/>
      <c r="H70" s="542"/>
      <c r="I70" s="335"/>
      <c r="J70" s="295"/>
      <c r="K70" s="296">
        <f t="shared" si="2"/>
        <v>0</v>
      </c>
      <c r="L70" s="377"/>
      <c r="M70"/>
      <c r="N70"/>
      <c r="O70"/>
      <c r="P70"/>
      <c r="Q70"/>
      <c r="S70" s="131"/>
    </row>
    <row r="71" spans="1:19" s="93" customFormat="1">
      <c r="A71" s="325" t="s">
        <v>431</v>
      </c>
      <c r="B71" s="328"/>
      <c r="C71" s="328"/>
      <c r="D71" s="542"/>
      <c r="E71" s="330"/>
      <c r="F71" s="331"/>
      <c r="G71" s="332"/>
      <c r="H71" s="561"/>
      <c r="I71" s="335"/>
      <c r="J71" s="295"/>
      <c r="K71" s="296">
        <f t="shared" si="2"/>
        <v>0</v>
      </c>
      <c r="L71" s="377"/>
      <c r="M71"/>
      <c r="N71"/>
      <c r="O71"/>
      <c r="P71"/>
      <c r="Q71"/>
      <c r="S71" s="131"/>
    </row>
    <row r="72" spans="1:19" s="93" customFormat="1">
      <c r="A72" s="325" t="s">
        <v>431</v>
      </c>
      <c r="B72" s="328"/>
      <c r="C72" s="328"/>
      <c r="D72" s="542"/>
      <c r="E72" s="330"/>
      <c r="F72" s="331"/>
      <c r="G72" s="332"/>
      <c r="H72" s="561"/>
      <c r="I72" s="335"/>
      <c r="J72" s="295"/>
      <c r="K72" s="296">
        <f t="shared" si="2"/>
        <v>0</v>
      </c>
      <c r="L72" s="377"/>
      <c r="M72"/>
      <c r="N72"/>
      <c r="O72"/>
      <c r="P72"/>
      <c r="Q72"/>
      <c r="S72" s="131"/>
    </row>
    <row r="73" spans="1:19" s="93" customFormat="1">
      <c r="A73" s="325" t="s">
        <v>431</v>
      </c>
      <c r="B73" s="328"/>
      <c r="C73" s="328"/>
      <c r="D73" s="542"/>
      <c r="E73" s="330"/>
      <c r="F73" s="331"/>
      <c r="G73" s="332"/>
      <c r="H73" s="561"/>
      <c r="I73" s="335"/>
      <c r="J73" s="295"/>
      <c r="K73" s="296">
        <f t="shared" si="2"/>
        <v>0</v>
      </c>
      <c r="L73" s="377"/>
      <c r="M73"/>
      <c r="N73"/>
      <c r="O73"/>
      <c r="P73"/>
      <c r="Q73"/>
      <c r="S73" s="131"/>
    </row>
    <row r="74" spans="1:19" s="93" customFormat="1">
      <c r="A74" s="325" t="s">
        <v>431</v>
      </c>
      <c r="B74" s="328"/>
      <c r="C74" s="328"/>
      <c r="D74" s="542"/>
      <c r="E74" s="330"/>
      <c r="F74" s="331"/>
      <c r="G74" s="332"/>
      <c r="H74" s="561"/>
      <c r="I74" s="335"/>
      <c r="J74" s="295"/>
      <c r="K74" s="296">
        <f t="shared" si="2"/>
        <v>0</v>
      </c>
      <c r="L74" s="377"/>
      <c r="M74"/>
      <c r="N74"/>
      <c r="O74"/>
      <c r="P74"/>
      <c r="Q74"/>
      <c r="S74" s="131"/>
    </row>
    <row r="75" spans="1:19" s="93" customFormat="1">
      <c r="A75" s="325" t="s">
        <v>431</v>
      </c>
      <c r="B75" s="328"/>
      <c r="C75" s="328"/>
      <c r="D75" s="542"/>
      <c r="E75" s="330"/>
      <c r="F75" s="331"/>
      <c r="G75" s="332"/>
      <c r="H75" s="561"/>
      <c r="I75" s="335"/>
      <c r="J75" s="295"/>
      <c r="K75" s="296">
        <f t="shared" si="2"/>
        <v>0</v>
      </c>
      <c r="L75" s="377"/>
      <c r="M75"/>
      <c r="N75"/>
      <c r="O75"/>
      <c r="P75"/>
      <c r="Q75"/>
      <c r="S75" s="131"/>
    </row>
    <row r="76" spans="1:19" s="93" customFormat="1">
      <c r="A76" s="325" t="s">
        <v>431</v>
      </c>
      <c r="B76" s="328"/>
      <c r="C76" s="328"/>
      <c r="D76" s="542"/>
      <c r="E76" s="330"/>
      <c r="F76" s="331"/>
      <c r="G76" s="332"/>
      <c r="H76" s="561"/>
      <c r="I76" s="335"/>
      <c r="J76" s="295"/>
      <c r="K76" s="296">
        <f t="shared" si="2"/>
        <v>0</v>
      </c>
      <c r="L76" s="377"/>
      <c r="M76"/>
      <c r="N76"/>
      <c r="O76"/>
      <c r="P76"/>
      <c r="Q76"/>
      <c r="S76" s="131"/>
    </row>
    <row r="77" spans="1:19" s="93" customFormat="1">
      <c r="A77" s="325" t="s">
        <v>431</v>
      </c>
      <c r="B77" s="328"/>
      <c r="C77" s="328"/>
      <c r="D77" s="542"/>
      <c r="E77" s="330"/>
      <c r="F77" s="331"/>
      <c r="G77" s="332"/>
      <c r="H77" s="561"/>
      <c r="I77" s="335"/>
      <c r="J77" s="295"/>
      <c r="K77" s="296">
        <f t="shared" si="2"/>
        <v>0</v>
      </c>
      <c r="L77" s="377"/>
      <c r="M77"/>
      <c r="N77"/>
      <c r="O77"/>
      <c r="P77"/>
      <c r="Q77"/>
      <c r="S77" s="131"/>
    </row>
    <row r="78" spans="1:19" s="93" customFormat="1">
      <c r="A78" s="325" t="s">
        <v>431</v>
      </c>
      <c r="B78" s="328"/>
      <c r="C78" s="328"/>
      <c r="D78" s="542"/>
      <c r="E78" s="330"/>
      <c r="F78" s="331"/>
      <c r="G78" s="332"/>
      <c r="H78" s="561"/>
      <c r="I78" s="335"/>
      <c r="J78" s="295"/>
      <c r="K78" s="296">
        <f t="shared" si="2"/>
        <v>0</v>
      </c>
      <c r="L78" s="377"/>
      <c r="M78"/>
      <c r="N78"/>
      <c r="O78"/>
      <c r="P78"/>
      <c r="Q78"/>
      <c r="S78" s="131"/>
    </row>
    <row r="79" spans="1:19" s="93" customFormat="1">
      <c r="A79" s="325" t="s">
        <v>431</v>
      </c>
      <c r="B79" s="328"/>
      <c r="C79" s="328"/>
      <c r="D79" s="542"/>
      <c r="E79" s="330"/>
      <c r="F79" s="331"/>
      <c r="G79" s="332"/>
      <c r="H79" s="561"/>
      <c r="I79" s="335"/>
      <c r="J79" s="295"/>
      <c r="K79" s="296">
        <f t="shared" si="2"/>
        <v>0</v>
      </c>
      <c r="L79" s="377"/>
      <c r="M79"/>
      <c r="N79"/>
      <c r="O79"/>
      <c r="P79"/>
      <c r="Q79"/>
      <c r="S79" s="131"/>
    </row>
    <row r="80" spans="1:19" s="93" customFormat="1">
      <c r="A80" s="325" t="s">
        <v>431</v>
      </c>
      <c r="B80" s="328"/>
      <c r="C80" s="328"/>
      <c r="D80" s="542"/>
      <c r="E80" s="330"/>
      <c r="F80" s="331"/>
      <c r="G80" s="332"/>
      <c r="H80" s="561"/>
      <c r="I80" s="335"/>
      <c r="J80" s="295"/>
      <c r="K80" s="296">
        <f t="shared" si="2"/>
        <v>0</v>
      </c>
      <c r="L80" s="377"/>
      <c r="M80"/>
      <c r="N80"/>
      <c r="O80"/>
      <c r="P80"/>
      <c r="Q80"/>
      <c r="S80" s="131"/>
    </row>
    <row r="81" spans="1:19" s="93" customFormat="1">
      <c r="A81" s="325" t="s">
        <v>431</v>
      </c>
      <c r="B81" s="328"/>
      <c r="C81" s="328"/>
      <c r="D81" s="542"/>
      <c r="E81" s="330"/>
      <c r="F81" s="331"/>
      <c r="G81" s="332"/>
      <c r="H81" s="561"/>
      <c r="I81" s="335"/>
      <c r="J81" s="295"/>
      <c r="K81" s="296">
        <f t="shared" si="2"/>
        <v>0</v>
      </c>
      <c r="L81" s="377"/>
      <c r="M81"/>
      <c r="N81"/>
      <c r="O81"/>
      <c r="P81"/>
      <c r="Q81"/>
      <c r="S81" s="131"/>
    </row>
    <row r="82" spans="1:19" s="93" customFormat="1">
      <c r="A82" s="325" t="s">
        <v>431</v>
      </c>
      <c r="B82" s="328"/>
      <c r="C82" s="328"/>
      <c r="D82" s="542"/>
      <c r="E82" s="330"/>
      <c r="F82" s="331"/>
      <c r="G82" s="332"/>
      <c r="H82" s="561"/>
      <c r="I82" s="335"/>
      <c r="J82" s="295"/>
      <c r="K82" s="296">
        <f t="shared" si="2"/>
        <v>0</v>
      </c>
      <c r="L82" s="377"/>
      <c r="M82"/>
      <c r="N82"/>
      <c r="O82"/>
      <c r="P82"/>
      <c r="Q82"/>
      <c r="S82" s="131"/>
    </row>
    <row r="83" spans="1:19" s="93" customFormat="1">
      <c r="A83" s="325" t="s">
        <v>431</v>
      </c>
      <c r="B83" s="328"/>
      <c r="C83" s="328"/>
      <c r="D83" s="542"/>
      <c r="E83" s="330"/>
      <c r="F83" s="331"/>
      <c r="G83" s="332"/>
      <c r="H83" s="561"/>
      <c r="I83" s="335"/>
      <c r="J83" s="295"/>
      <c r="K83" s="296">
        <f t="shared" si="2"/>
        <v>0</v>
      </c>
      <c r="L83" s="377"/>
      <c r="M83"/>
      <c r="N83"/>
      <c r="O83"/>
      <c r="P83"/>
      <c r="Q83"/>
      <c r="S83" s="131"/>
    </row>
    <row r="84" spans="1:19" s="93" customFormat="1">
      <c r="A84" s="325" t="s">
        <v>431</v>
      </c>
      <c r="B84" s="328"/>
      <c r="C84" s="328"/>
      <c r="D84" s="542"/>
      <c r="E84" s="330"/>
      <c r="F84" s="331"/>
      <c r="G84" s="332"/>
      <c r="H84" s="561"/>
      <c r="I84" s="335"/>
      <c r="J84" s="295"/>
      <c r="K84" s="296">
        <f t="shared" si="2"/>
        <v>0</v>
      </c>
      <c r="L84" s="377"/>
      <c r="M84"/>
      <c r="N84"/>
      <c r="O84"/>
      <c r="P84"/>
      <c r="Q84"/>
      <c r="S84" s="131"/>
    </row>
    <row r="85" spans="1:19" s="93" customFormat="1">
      <c r="A85" s="325" t="s">
        <v>431</v>
      </c>
      <c r="B85" s="328"/>
      <c r="C85" s="328"/>
      <c r="D85" s="542"/>
      <c r="E85" s="330"/>
      <c r="F85" s="331"/>
      <c r="G85" s="332"/>
      <c r="H85" s="561"/>
      <c r="I85" s="335"/>
      <c r="J85" s="295"/>
      <c r="K85" s="296">
        <f t="shared" ref="K85:K148" si="3">IF(LEFT(A85,2)="TU",(J85-I85)*E85/100*100000*2,(J85-I85)*E85/100*100000)</f>
        <v>0</v>
      </c>
      <c r="L85" s="377"/>
      <c r="M85"/>
      <c r="N85"/>
      <c r="O85"/>
      <c r="P85"/>
      <c r="Q85"/>
      <c r="S85" s="131"/>
    </row>
    <row r="86" spans="1:19" s="93" customFormat="1">
      <c r="A86" s="325" t="s">
        <v>431</v>
      </c>
      <c r="B86" s="328"/>
      <c r="C86" s="328"/>
      <c r="D86" s="542"/>
      <c r="E86" s="330"/>
      <c r="F86" s="331"/>
      <c r="G86" s="332"/>
      <c r="H86" s="561"/>
      <c r="I86" s="335"/>
      <c r="J86" s="295"/>
      <c r="K86" s="296">
        <f t="shared" si="3"/>
        <v>0</v>
      </c>
      <c r="L86" s="377"/>
      <c r="M86"/>
      <c r="N86"/>
      <c r="O86"/>
      <c r="P86"/>
      <c r="Q86"/>
      <c r="S86" s="131"/>
    </row>
    <row r="87" spans="1:19" s="93" customFormat="1">
      <c r="A87" s="325" t="s">
        <v>431</v>
      </c>
      <c r="B87" s="328"/>
      <c r="C87" s="328"/>
      <c r="D87" s="542"/>
      <c r="E87" s="330"/>
      <c r="F87" s="331"/>
      <c r="G87" s="332"/>
      <c r="H87" s="561"/>
      <c r="I87" s="335"/>
      <c r="J87" s="295"/>
      <c r="K87" s="296">
        <f t="shared" si="3"/>
        <v>0</v>
      </c>
      <c r="L87" s="377"/>
      <c r="M87"/>
      <c r="N87"/>
      <c r="O87"/>
      <c r="P87"/>
      <c r="Q87"/>
      <c r="S87" s="131"/>
    </row>
    <row r="88" spans="1:19" s="93" customFormat="1">
      <c r="A88" s="325" t="s">
        <v>431</v>
      </c>
      <c r="B88" s="328"/>
      <c r="C88" s="328"/>
      <c r="D88" s="542"/>
      <c r="E88" s="330"/>
      <c r="F88" s="331"/>
      <c r="G88" s="332"/>
      <c r="H88" s="561"/>
      <c r="I88" s="335"/>
      <c r="J88" s="295"/>
      <c r="K88" s="296">
        <f t="shared" si="3"/>
        <v>0</v>
      </c>
      <c r="L88" s="377"/>
      <c r="M88"/>
      <c r="N88"/>
      <c r="O88"/>
      <c r="P88"/>
      <c r="Q88"/>
      <c r="S88" s="131"/>
    </row>
    <row r="89" spans="1:19" s="93" customFormat="1">
      <c r="A89" s="325" t="s">
        <v>431</v>
      </c>
      <c r="B89" s="328"/>
      <c r="C89" s="328"/>
      <c r="D89" s="542"/>
      <c r="E89" s="330"/>
      <c r="F89" s="331"/>
      <c r="G89" s="332"/>
      <c r="H89" s="561"/>
      <c r="I89" s="335"/>
      <c r="J89" s="295"/>
      <c r="K89" s="296">
        <f t="shared" si="3"/>
        <v>0</v>
      </c>
      <c r="L89" s="377"/>
      <c r="M89"/>
      <c r="N89"/>
      <c r="O89"/>
      <c r="P89"/>
      <c r="Q89"/>
      <c r="S89" s="131"/>
    </row>
    <row r="90" spans="1:19" s="93" customFormat="1">
      <c r="A90" s="325" t="s">
        <v>431</v>
      </c>
      <c r="B90" s="328"/>
      <c r="C90" s="328"/>
      <c r="D90" s="542"/>
      <c r="E90" s="330"/>
      <c r="F90" s="331"/>
      <c r="G90" s="332"/>
      <c r="H90" s="561"/>
      <c r="I90" s="335"/>
      <c r="J90" s="295"/>
      <c r="K90" s="296">
        <f t="shared" si="3"/>
        <v>0</v>
      </c>
      <c r="L90" s="377"/>
      <c r="M90"/>
      <c r="N90"/>
      <c r="O90"/>
      <c r="P90"/>
      <c r="Q90"/>
      <c r="S90" s="131"/>
    </row>
    <row r="91" spans="1:19" s="93" customFormat="1">
      <c r="A91" s="325" t="s">
        <v>431</v>
      </c>
      <c r="B91" s="328"/>
      <c r="C91" s="328"/>
      <c r="D91" s="542"/>
      <c r="E91" s="330"/>
      <c r="F91" s="331"/>
      <c r="G91" s="332"/>
      <c r="H91" s="561"/>
      <c r="I91" s="335"/>
      <c r="J91" s="295"/>
      <c r="K91" s="296">
        <f t="shared" si="3"/>
        <v>0</v>
      </c>
      <c r="L91" s="377"/>
      <c r="M91"/>
      <c r="N91"/>
      <c r="O91"/>
      <c r="P91"/>
      <c r="Q91"/>
      <c r="S91" s="131"/>
    </row>
    <row r="92" spans="1:19" s="93" customFormat="1">
      <c r="A92" s="325" t="s">
        <v>431</v>
      </c>
      <c r="B92" s="328"/>
      <c r="C92" s="328"/>
      <c r="D92" s="542"/>
      <c r="E92" s="330"/>
      <c r="F92" s="331"/>
      <c r="G92" s="332"/>
      <c r="H92" s="561"/>
      <c r="I92" s="335"/>
      <c r="J92" s="295"/>
      <c r="K92" s="296">
        <f t="shared" si="3"/>
        <v>0</v>
      </c>
      <c r="L92" s="377"/>
      <c r="M92"/>
      <c r="N92"/>
      <c r="O92"/>
      <c r="P92"/>
      <c r="Q92"/>
      <c r="S92" s="131"/>
    </row>
    <row r="93" spans="1:19" s="93" customFormat="1">
      <c r="A93" s="325" t="s">
        <v>431</v>
      </c>
      <c r="B93" s="328"/>
      <c r="C93" s="328"/>
      <c r="D93" s="542"/>
      <c r="E93" s="330"/>
      <c r="F93" s="331"/>
      <c r="G93" s="332"/>
      <c r="H93" s="561"/>
      <c r="I93" s="335"/>
      <c r="J93" s="295"/>
      <c r="K93" s="296">
        <f t="shared" si="3"/>
        <v>0</v>
      </c>
      <c r="L93" s="377"/>
      <c r="M93"/>
      <c r="N93"/>
      <c r="O93"/>
      <c r="P93"/>
      <c r="Q93"/>
      <c r="S93" s="131"/>
    </row>
    <row r="94" spans="1:19" s="93" customFormat="1">
      <c r="A94" s="325" t="s">
        <v>431</v>
      </c>
      <c r="B94" s="328"/>
      <c r="C94" s="328"/>
      <c r="D94" s="542"/>
      <c r="E94" s="330"/>
      <c r="F94" s="331"/>
      <c r="G94" s="332"/>
      <c r="H94" s="561"/>
      <c r="I94" s="335"/>
      <c r="J94" s="295"/>
      <c r="K94" s="296">
        <f t="shared" si="3"/>
        <v>0</v>
      </c>
      <c r="L94" s="377"/>
      <c r="M94"/>
      <c r="N94"/>
      <c r="O94"/>
      <c r="P94"/>
      <c r="Q94"/>
      <c r="S94" s="131"/>
    </row>
    <row r="95" spans="1:19" s="93" customFormat="1">
      <c r="A95" s="325" t="s">
        <v>431</v>
      </c>
      <c r="B95" s="328"/>
      <c r="C95" s="328"/>
      <c r="D95" s="542"/>
      <c r="E95" s="330"/>
      <c r="F95" s="331"/>
      <c r="G95" s="332"/>
      <c r="H95" s="561"/>
      <c r="I95" s="335"/>
      <c r="J95" s="295"/>
      <c r="K95" s="296">
        <f t="shared" si="3"/>
        <v>0</v>
      </c>
      <c r="L95" s="377"/>
      <c r="M95"/>
      <c r="N95"/>
      <c r="O95"/>
      <c r="P95"/>
      <c r="Q95"/>
      <c r="S95" s="131"/>
    </row>
    <row r="96" spans="1:19" s="93" customFormat="1">
      <c r="A96" s="325" t="s">
        <v>431</v>
      </c>
      <c r="B96" s="328"/>
      <c r="C96" s="328"/>
      <c r="D96" s="542"/>
      <c r="E96" s="330"/>
      <c r="F96" s="331"/>
      <c r="G96" s="332"/>
      <c r="H96" s="561"/>
      <c r="I96" s="335"/>
      <c r="J96" s="295"/>
      <c r="K96" s="296">
        <f t="shared" si="3"/>
        <v>0</v>
      </c>
      <c r="L96" s="377"/>
      <c r="M96"/>
      <c r="N96"/>
      <c r="O96"/>
      <c r="P96"/>
      <c r="Q96"/>
      <c r="S96" s="131"/>
    </row>
    <row r="97" spans="1:19" s="93" customFormat="1">
      <c r="A97" s="325" t="s">
        <v>431</v>
      </c>
      <c r="B97" s="328"/>
      <c r="C97" s="328"/>
      <c r="D97" s="542"/>
      <c r="E97" s="330"/>
      <c r="F97" s="331"/>
      <c r="G97" s="332"/>
      <c r="H97" s="561"/>
      <c r="I97" s="335"/>
      <c r="J97" s="295"/>
      <c r="K97" s="296">
        <f t="shared" si="3"/>
        <v>0</v>
      </c>
      <c r="L97" s="377"/>
      <c r="M97"/>
      <c r="N97"/>
      <c r="O97"/>
      <c r="P97"/>
      <c r="Q97"/>
      <c r="S97" s="131"/>
    </row>
    <row r="98" spans="1:19" s="93" customFormat="1">
      <c r="A98" s="325" t="s">
        <v>431</v>
      </c>
      <c r="B98" s="328"/>
      <c r="C98" s="328"/>
      <c r="D98" s="542"/>
      <c r="E98" s="330"/>
      <c r="F98" s="331"/>
      <c r="G98" s="332"/>
      <c r="H98" s="561"/>
      <c r="I98" s="335"/>
      <c r="J98" s="335"/>
      <c r="K98" s="296">
        <f t="shared" si="3"/>
        <v>0</v>
      </c>
      <c r="L98" s="377"/>
      <c r="M98"/>
      <c r="N98"/>
      <c r="O98"/>
      <c r="P98"/>
      <c r="Q98"/>
      <c r="S98" s="131"/>
    </row>
    <row r="99" spans="1:19" s="93" customFormat="1">
      <c r="A99" s="325" t="s">
        <v>431</v>
      </c>
      <c r="B99" s="328"/>
      <c r="C99" s="328"/>
      <c r="D99" s="542"/>
      <c r="E99" s="330"/>
      <c r="F99" s="331"/>
      <c r="G99" s="332"/>
      <c r="H99" s="561"/>
      <c r="I99" s="335"/>
      <c r="J99" s="335"/>
      <c r="K99" s="296">
        <f t="shared" si="3"/>
        <v>0</v>
      </c>
      <c r="L99" s="377"/>
      <c r="M99"/>
      <c r="N99"/>
      <c r="O99"/>
      <c r="P99"/>
      <c r="Q99"/>
      <c r="S99" s="131"/>
    </row>
    <row r="100" spans="1:19" s="93" customFormat="1">
      <c r="A100" s="325" t="s">
        <v>431</v>
      </c>
      <c r="B100" s="328"/>
      <c r="C100" s="328"/>
      <c r="D100" s="542"/>
      <c r="E100" s="330"/>
      <c r="F100" s="331"/>
      <c r="G100" s="332"/>
      <c r="H100" s="561"/>
      <c r="I100" s="335"/>
      <c r="J100" s="335"/>
      <c r="K100" s="296">
        <f t="shared" si="3"/>
        <v>0</v>
      </c>
      <c r="L100" s="377"/>
      <c r="M100"/>
      <c r="N100"/>
      <c r="O100"/>
      <c r="P100"/>
      <c r="Q100"/>
      <c r="S100" s="131"/>
    </row>
    <row r="101" spans="1:19" s="93" customFormat="1">
      <c r="A101" s="325" t="s">
        <v>431</v>
      </c>
      <c r="B101" s="328"/>
      <c r="C101" s="328"/>
      <c r="D101" s="542"/>
      <c r="E101" s="330"/>
      <c r="F101" s="331"/>
      <c r="G101" s="332"/>
      <c r="H101" s="561"/>
      <c r="I101" s="335"/>
      <c r="J101" s="335"/>
      <c r="K101" s="296">
        <f t="shared" si="3"/>
        <v>0</v>
      </c>
      <c r="L101" s="377"/>
      <c r="M101"/>
      <c r="N101"/>
      <c r="O101"/>
      <c r="P101"/>
      <c r="Q101"/>
      <c r="S101" s="131"/>
    </row>
    <row r="102" spans="1:19" s="93" customFormat="1">
      <c r="A102" s="325" t="s">
        <v>431</v>
      </c>
      <c r="B102" s="328"/>
      <c r="C102" s="328"/>
      <c r="D102" s="542"/>
      <c r="E102" s="330"/>
      <c r="F102" s="331"/>
      <c r="G102" s="332"/>
      <c r="H102" s="561"/>
      <c r="I102" s="335"/>
      <c r="J102" s="295"/>
      <c r="K102" s="296">
        <f t="shared" si="3"/>
        <v>0</v>
      </c>
      <c r="L102" s="377"/>
      <c r="M102"/>
      <c r="N102"/>
      <c r="O102"/>
      <c r="P102"/>
      <c r="Q102"/>
      <c r="S102" s="131"/>
    </row>
    <row r="103" spans="1:19" s="93" customFormat="1">
      <c r="A103" s="325" t="s">
        <v>431</v>
      </c>
      <c r="B103" s="328"/>
      <c r="C103" s="328"/>
      <c r="D103" s="542"/>
      <c r="E103" s="330"/>
      <c r="F103" s="331"/>
      <c r="G103" s="332"/>
      <c r="H103" s="561"/>
      <c r="I103" s="335"/>
      <c r="J103" s="295"/>
      <c r="K103" s="296">
        <f t="shared" si="3"/>
        <v>0</v>
      </c>
      <c r="L103" s="377"/>
      <c r="M103"/>
      <c r="N103"/>
      <c r="O103"/>
      <c r="P103"/>
      <c r="Q103"/>
      <c r="S103" s="131"/>
    </row>
    <row r="104" spans="1:19" s="93" customFormat="1">
      <c r="A104" s="325" t="s">
        <v>431</v>
      </c>
      <c r="B104" s="328"/>
      <c r="C104" s="328"/>
      <c r="D104" s="542"/>
      <c r="E104" s="330"/>
      <c r="F104" s="331"/>
      <c r="G104" s="332"/>
      <c r="H104" s="561"/>
      <c r="I104" s="335"/>
      <c r="J104" s="295"/>
      <c r="K104" s="296">
        <f t="shared" si="3"/>
        <v>0</v>
      </c>
      <c r="L104" s="377"/>
      <c r="M104"/>
      <c r="N104"/>
      <c r="O104"/>
      <c r="P104"/>
      <c r="Q104"/>
      <c r="S104" s="131"/>
    </row>
    <row r="105" spans="1:19" s="93" customFormat="1">
      <c r="A105" s="325" t="s">
        <v>431</v>
      </c>
      <c r="B105" s="328"/>
      <c r="C105" s="328"/>
      <c r="D105" s="542"/>
      <c r="E105" s="330"/>
      <c r="F105" s="331"/>
      <c r="G105" s="332"/>
      <c r="H105" s="561"/>
      <c r="I105" s="335"/>
      <c r="J105" s="295"/>
      <c r="K105" s="296">
        <f t="shared" si="3"/>
        <v>0</v>
      </c>
      <c r="L105" s="377"/>
      <c r="M105"/>
      <c r="N105"/>
      <c r="O105"/>
      <c r="P105"/>
      <c r="Q105"/>
      <c r="S105" s="131"/>
    </row>
    <row r="106" spans="1:19" s="93" customFormat="1">
      <c r="A106" s="325" t="s">
        <v>431</v>
      </c>
      <c r="B106" s="328"/>
      <c r="C106" s="328"/>
      <c r="D106" s="542"/>
      <c r="E106" s="330"/>
      <c r="F106" s="331"/>
      <c r="G106" s="332"/>
      <c r="H106" s="561"/>
      <c r="I106" s="335"/>
      <c r="J106" s="295"/>
      <c r="K106" s="296">
        <f t="shared" si="3"/>
        <v>0</v>
      </c>
      <c r="L106" s="377"/>
      <c r="M106"/>
      <c r="N106"/>
      <c r="O106"/>
      <c r="P106"/>
      <c r="Q106"/>
      <c r="S106" s="131"/>
    </row>
    <row r="107" spans="1:19" s="93" customFormat="1">
      <c r="A107" s="325" t="s">
        <v>431</v>
      </c>
      <c r="B107" s="328"/>
      <c r="C107" s="328"/>
      <c r="D107" s="542"/>
      <c r="E107" s="330"/>
      <c r="F107" s="331"/>
      <c r="G107" s="332"/>
      <c r="H107" s="561"/>
      <c r="I107" s="335"/>
      <c r="J107" s="295"/>
      <c r="K107" s="296">
        <f t="shared" si="3"/>
        <v>0</v>
      </c>
      <c r="L107" s="377"/>
      <c r="M107"/>
      <c r="N107"/>
      <c r="O107"/>
      <c r="P107"/>
      <c r="Q107"/>
      <c r="S107" s="131"/>
    </row>
    <row r="108" spans="1:19" s="93" customFormat="1">
      <c r="A108" s="325" t="s">
        <v>431</v>
      </c>
      <c r="B108" s="328"/>
      <c r="C108" s="328"/>
      <c r="D108" s="542"/>
      <c r="E108" s="330"/>
      <c r="F108" s="331"/>
      <c r="G108" s="332"/>
      <c r="H108" s="542"/>
      <c r="I108" s="335"/>
      <c r="J108" s="295"/>
      <c r="K108" s="296">
        <f t="shared" si="3"/>
        <v>0</v>
      </c>
      <c r="L108" s="377"/>
      <c r="M108"/>
      <c r="N108"/>
      <c r="O108"/>
      <c r="P108"/>
      <c r="Q108"/>
      <c r="S108" s="131"/>
    </row>
    <row r="109" spans="1:19" s="93" customFormat="1">
      <c r="A109" s="325" t="s">
        <v>431</v>
      </c>
      <c r="B109" s="328"/>
      <c r="C109" s="328"/>
      <c r="D109" s="542"/>
      <c r="E109" s="330"/>
      <c r="F109" s="331"/>
      <c r="G109" s="332"/>
      <c r="H109" s="542"/>
      <c r="I109" s="335"/>
      <c r="J109" s="295"/>
      <c r="K109" s="296">
        <f t="shared" si="3"/>
        <v>0</v>
      </c>
      <c r="L109" s="377"/>
      <c r="M109"/>
      <c r="N109"/>
      <c r="O109"/>
      <c r="P109"/>
      <c r="Q109"/>
      <c r="S109" s="131"/>
    </row>
    <row r="110" spans="1:19" s="93" customFormat="1">
      <c r="A110" s="325" t="s">
        <v>431</v>
      </c>
      <c r="B110" s="328"/>
      <c r="C110" s="328"/>
      <c r="D110" s="542"/>
      <c r="E110" s="330"/>
      <c r="F110" s="331"/>
      <c r="G110" s="332"/>
      <c r="H110" s="542"/>
      <c r="I110" s="335"/>
      <c r="J110" s="295"/>
      <c r="K110" s="296">
        <f t="shared" si="3"/>
        <v>0</v>
      </c>
      <c r="L110" s="377"/>
      <c r="M110"/>
      <c r="N110"/>
      <c r="O110"/>
      <c r="P110"/>
      <c r="Q110"/>
      <c r="S110" s="131"/>
    </row>
    <row r="111" spans="1:19" s="93" customFormat="1">
      <c r="A111" s="325" t="s">
        <v>431</v>
      </c>
      <c r="B111" s="328"/>
      <c r="C111" s="328"/>
      <c r="D111" s="542"/>
      <c r="E111" s="330"/>
      <c r="F111" s="331"/>
      <c r="G111" s="332"/>
      <c r="H111" s="542"/>
      <c r="I111" s="335"/>
      <c r="J111" s="295"/>
      <c r="K111" s="296">
        <f t="shared" si="3"/>
        <v>0</v>
      </c>
      <c r="L111" s="377"/>
      <c r="M111"/>
      <c r="N111"/>
      <c r="O111"/>
      <c r="P111"/>
      <c r="Q111"/>
      <c r="S111" s="131"/>
    </row>
    <row r="112" spans="1:19" s="93" customFormat="1">
      <c r="A112" s="325" t="s">
        <v>431</v>
      </c>
      <c r="B112" s="328"/>
      <c r="C112" s="328"/>
      <c r="D112" s="542"/>
      <c r="E112" s="330"/>
      <c r="F112" s="331"/>
      <c r="G112" s="332"/>
      <c r="H112" s="542"/>
      <c r="I112" s="335"/>
      <c r="J112" s="295"/>
      <c r="K112" s="296">
        <f t="shared" si="3"/>
        <v>0</v>
      </c>
      <c r="L112" s="377"/>
      <c r="M112"/>
      <c r="N112"/>
      <c r="O112"/>
      <c r="P112"/>
      <c r="Q112"/>
      <c r="S112" s="131"/>
    </row>
    <row r="113" spans="1:19" s="93" customFormat="1">
      <c r="A113" s="325" t="s">
        <v>431</v>
      </c>
      <c r="B113" s="328"/>
      <c r="C113" s="328"/>
      <c r="D113" s="542"/>
      <c r="E113" s="330"/>
      <c r="F113" s="331"/>
      <c r="G113" s="332"/>
      <c r="H113" s="542"/>
      <c r="I113" s="335"/>
      <c r="J113" s="295"/>
      <c r="K113" s="296">
        <f t="shared" si="3"/>
        <v>0</v>
      </c>
      <c r="L113" s="377"/>
      <c r="M113"/>
      <c r="N113"/>
      <c r="O113"/>
      <c r="P113"/>
      <c r="Q113"/>
      <c r="S113" s="131"/>
    </row>
    <row r="114" spans="1:19" s="93" customFormat="1">
      <c r="A114" s="325" t="s">
        <v>431</v>
      </c>
      <c r="B114" s="328"/>
      <c r="C114" s="328"/>
      <c r="D114" s="542"/>
      <c r="E114" s="330"/>
      <c r="F114" s="331"/>
      <c r="G114" s="332"/>
      <c r="H114" s="542"/>
      <c r="I114" s="335"/>
      <c r="J114" s="295"/>
      <c r="K114" s="296">
        <f t="shared" si="3"/>
        <v>0</v>
      </c>
      <c r="L114" s="377"/>
      <c r="M114"/>
      <c r="N114"/>
      <c r="O114"/>
      <c r="P114"/>
      <c r="Q114"/>
      <c r="S114" s="131"/>
    </row>
    <row r="115" spans="1:19">
      <c r="A115" s="325" t="s">
        <v>431</v>
      </c>
      <c r="B115" s="328"/>
      <c r="C115" s="328"/>
      <c r="D115" s="542"/>
      <c r="E115" s="330"/>
      <c r="F115" s="331"/>
      <c r="G115" s="332"/>
      <c r="H115" s="542"/>
      <c r="I115" s="335"/>
      <c r="J115" s="295"/>
      <c r="K115" s="296">
        <f t="shared" si="3"/>
        <v>0</v>
      </c>
    </row>
    <row r="116" spans="1:19">
      <c r="A116" s="325" t="s">
        <v>431</v>
      </c>
      <c r="B116" s="328"/>
      <c r="C116" s="328"/>
      <c r="D116" s="542"/>
      <c r="E116" s="330"/>
      <c r="F116" s="331"/>
      <c r="G116" s="332"/>
      <c r="H116" s="542"/>
      <c r="I116" s="335"/>
      <c r="J116" s="295"/>
      <c r="K116" s="296">
        <f t="shared" si="3"/>
        <v>0</v>
      </c>
    </row>
    <row r="117" spans="1:19">
      <c r="A117" s="325" t="s">
        <v>431</v>
      </c>
      <c r="B117" s="328"/>
      <c r="C117" s="328"/>
      <c r="D117" s="542"/>
      <c r="E117" s="330"/>
      <c r="F117" s="331"/>
      <c r="G117" s="332"/>
      <c r="H117" s="542"/>
      <c r="I117" s="335"/>
      <c r="J117" s="295"/>
      <c r="K117" s="296">
        <f t="shared" si="3"/>
        <v>0</v>
      </c>
    </row>
    <row r="118" spans="1:19">
      <c r="A118" s="325" t="s">
        <v>431</v>
      </c>
      <c r="B118" s="328"/>
      <c r="C118" s="328"/>
      <c r="D118" s="542"/>
      <c r="E118" s="330"/>
      <c r="F118" s="331"/>
      <c r="G118" s="332"/>
      <c r="H118" s="542"/>
      <c r="I118" s="335"/>
      <c r="J118" s="295"/>
      <c r="K118" s="296">
        <f t="shared" si="3"/>
        <v>0</v>
      </c>
    </row>
    <row r="119" spans="1:19">
      <c r="A119" s="325" t="s">
        <v>431</v>
      </c>
      <c r="B119" s="328"/>
      <c r="C119" s="328"/>
      <c r="D119" s="542"/>
      <c r="E119" s="330"/>
      <c r="F119" s="331"/>
      <c r="G119" s="332"/>
      <c r="H119" s="542"/>
      <c r="I119" s="335"/>
      <c r="J119" s="295"/>
      <c r="K119" s="296">
        <f t="shared" si="3"/>
        <v>0</v>
      </c>
    </row>
    <row r="120" spans="1:19">
      <c r="A120" s="325" t="s">
        <v>431</v>
      </c>
      <c r="B120" s="328"/>
      <c r="C120" s="328"/>
      <c r="D120" s="542"/>
      <c r="E120" s="330"/>
      <c r="F120" s="331"/>
      <c r="G120" s="332"/>
      <c r="H120" s="542"/>
      <c r="I120" s="335"/>
      <c r="J120" s="295"/>
      <c r="K120" s="296">
        <f t="shared" si="3"/>
        <v>0</v>
      </c>
    </row>
    <row r="121" spans="1:19">
      <c r="A121" s="325" t="s">
        <v>431</v>
      </c>
      <c r="B121" s="328"/>
      <c r="C121" s="328"/>
      <c r="D121" s="542"/>
      <c r="E121" s="330"/>
      <c r="F121" s="331"/>
      <c r="G121" s="332"/>
      <c r="H121" s="542"/>
      <c r="I121" s="335"/>
      <c r="J121" s="295"/>
      <c r="K121" s="296">
        <f t="shared" si="3"/>
        <v>0</v>
      </c>
    </row>
    <row r="122" spans="1:19">
      <c r="A122" s="325" t="s">
        <v>431</v>
      </c>
      <c r="B122" s="328"/>
      <c r="C122" s="328"/>
      <c r="D122" s="542"/>
      <c r="E122" s="330"/>
      <c r="F122" s="331"/>
      <c r="G122" s="332"/>
      <c r="H122" s="542"/>
      <c r="I122" s="335"/>
      <c r="J122" s="295"/>
      <c r="K122" s="296">
        <f t="shared" si="3"/>
        <v>0</v>
      </c>
    </row>
    <row r="123" spans="1:19">
      <c r="A123" s="325" t="s">
        <v>431</v>
      </c>
      <c r="B123" s="328"/>
      <c r="C123" s="328"/>
      <c r="D123" s="542"/>
      <c r="E123" s="330"/>
      <c r="F123" s="331"/>
      <c r="G123" s="332"/>
      <c r="H123" s="542"/>
      <c r="I123" s="335"/>
      <c r="J123" s="295"/>
      <c r="K123" s="296">
        <f t="shared" si="3"/>
        <v>0</v>
      </c>
    </row>
    <row r="124" spans="1:19">
      <c r="A124" s="325" t="s">
        <v>431</v>
      </c>
      <c r="B124" s="328"/>
      <c r="C124" s="328"/>
      <c r="D124" s="542"/>
      <c r="E124" s="330"/>
      <c r="F124" s="331"/>
      <c r="G124" s="332"/>
      <c r="H124" s="542"/>
      <c r="I124" s="335"/>
      <c r="J124" s="295"/>
      <c r="K124" s="296">
        <f t="shared" si="3"/>
        <v>0</v>
      </c>
    </row>
    <row r="125" spans="1:19">
      <c r="A125" s="325" t="s">
        <v>431</v>
      </c>
      <c r="B125" s="328"/>
      <c r="C125" s="328"/>
      <c r="D125" s="542"/>
      <c r="E125" s="330"/>
      <c r="F125" s="331"/>
      <c r="G125" s="332"/>
      <c r="H125" s="542"/>
      <c r="I125" s="335"/>
      <c r="J125" s="295"/>
      <c r="K125" s="296">
        <f t="shared" si="3"/>
        <v>0</v>
      </c>
    </row>
    <row r="126" spans="1:19">
      <c r="A126" s="325" t="s">
        <v>431</v>
      </c>
      <c r="B126" s="328"/>
      <c r="C126" s="328"/>
      <c r="D126" s="542"/>
      <c r="E126" s="330"/>
      <c r="F126" s="331"/>
      <c r="G126" s="332"/>
      <c r="H126" s="542"/>
      <c r="I126" s="335"/>
      <c r="J126" s="295"/>
      <c r="K126" s="296">
        <f t="shared" si="3"/>
        <v>0</v>
      </c>
    </row>
    <row r="127" spans="1:19">
      <c r="A127" s="325" t="s">
        <v>431</v>
      </c>
      <c r="B127" s="328"/>
      <c r="C127" s="328"/>
      <c r="D127" s="542"/>
      <c r="E127" s="330"/>
      <c r="F127" s="331"/>
      <c r="G127" s="332"/>
      <c r="H127" s="542"/>
      <c r="I127" s="335"/>
      <c r="J127" s="295"/>
      <c r="K127" s="296">
        <f t="shared" si="3"/>
        <v>0</v>
      </c>
    </row>
    <row r="128" spans="1:19">
      <c r="A128" s="325" t="s">
        <v>431</v>
      </c>
      <c r="B128" s="328"/>
      <c r="C128" s="328"/>
      <c r="D128" s="542"/>
      <c r="E128" s="330"/>
      <c r="F128" s="331"/>
      <c r="G128" s="332"/>
      <c r="H128" s="542"/>
      <c r="I128" s="335"/>
      <c r="J128" s="295"/>
      <c r="K128" s="296">
        <f t="shared" si="3"/>
        <v>0</v>
      </c>
    </row>
    <row r="129" spans="1:11">
      <c r="A129" s="325" t="s">
        <v>431</v>
      </c>
      <c r="B129" s="328"/>
      <c r="C129" s="328"/>
      <c r="D129" s="542"/>
      <c r="E129" s="330"/>
      <c r="F129" s="331"/>
      <c r="G129" s="332"/>
      <c r="H129" s="542"/>
      <c r="I129" s="335"/>
      <c r="J129" s="295"/>
      <c r="K129" s="296">
        <f t="shared" si="3"/>
        <v>0</v>
      </c>
    </row>
    <row r="130" spans="1:11">
      <c r="A130" s="325" t="s">
        <v>431</v>
      </c>
      <c r="B130" s="328"/>
      <c r="C130" s="328"/>
      <c r="D130" s="542"/>
      <c r="E130" s="330"/>
      <c r="F130" s="331"/>
      <c r="G130" s="332"/>
      <c r="H130" s="542"/>
      <c r="I130" s="335"/>
      <c r="J130" s="295"/>
      <c r="K130" s="296">
        <f t="shared" si="3"/>
        <v>0</v>
      </c>
    </row>
    <row r="131" spans="1:11">
      <c r="A131" s="325" t="s">
        <v>431</v>
      </c>
      <c r="B131" s="328"/>
      <c r="C131" s="328"/>
      <c r="D131" s="542"/>
      <c r="E131" s="330"/>
      <c r="F131" s="331"/>
      <c r="G131" s="332"/>
      <c r="H131" s="542"/>
      <c r="I131" s="335"/>
      <c r="J131" s="295"/>
      <c r="K131" s="296">
        <f t="shared" si="3"/>
        <v>0</v>
      </c>
    </row>
    <row r="132" spans="1:11">
      <c r="A132" s="325" t="s">
        <v>431</v>
      </c>
      <c r="B132" s="328"/>
      <c r="C132" s="328"/>
      <c r="D132" s="542"/>
      <c r="E132" s="330"/>
      <c r="F132" s="331"/>
      <c r="G132" s="332"/>
      <c r="H132" s="542"/>
      <c r="I132" s="335"/>
      <c r="J132" s="295"/>
      <c r="K132" s="296">
        <f t="shared" si="3"/>
        <v>0</v>
      </c>
    </row>
    <row r="133" spans="1:11">
      <c r="A133" s="325" t="s">
        <v>431</v>
      </c>
      <c r="B133" s="328"/>
      <c r="C133" s="328"/>
      <c r="D133" s="542"/>
      <c r="E133" s="330"/>
      <c r="F133" s="331"/>
      <c r="G133" s="332"/>
      <c r="H133" s="542"/>
      <c r="I133" s="335"/>
      <c r="J133" s="295"/>
      <c r="K133" s="296">
        <f t="shared" si="3"/>
        <v>0</v>
      </c>
    </row>
    <row r="134" spans="1:11">
      <c r="A134" s="325" t="s">
        <v>431</v>
      </c>
      <c r="B134" s="328"/>
      <c r="C134" s="328"/>
      <c r="D134" s="542"/>
      <c r="E134" s="330"/>
      <c r="F134" s="331"/>
      <c r="G134" s="332"/>
      <c r="H134" s="542"/>
      <c r="I134" s="335"/>
      <c r="J134" s="295"/>
      <c r="K134" s="296">
        <f t="shared" si="3"/>
        <v>0</v>
      </c>
    </row>
    <row r="135" spans="1:11">
      <c r="A135" s="325" t="s">
        <v>431</v>
      </c>
      <c r="B135" s="328"/>
      <c r="C135" s="328"/>
      <c r="D135" s="542"/>
      <c r="E135" s="330"/>
      <c r="F135" s="331"/>
      <c r="G135" s="332"/>
      <c r="H135" s="542"/>
      <c r="I135" s="335"/>
      <c r="J135" s="295"/>
      <c r="K135" s="296">
        <f t="shared" si="3"/>
        <v>0</v>
      </c>
    </row>
    <row r="136" spans="1:11">
      <c r="A136" s="325" t="s">
        <v>431</v>
      </c>
      <c r="B136" s="328"/>
      <c r="C136" s="328"/>
      <c r="D136" s="542"/>
      <c r="E136" s="330"/>
      <c r="F136" s="331"/>
      <c r="G136" s="332"/>
      <c r="H136" s="542"/>
      <c r="I136" s="335"/>
      <c r="J136" s="295"/>
      <c r="K136" s="296">
        <f t="shared" si="3"/>
        <v>0</v>
      </c>
    </row>
    <row r="137" spans="1:11">
      <c r="A137" s="325" t="s">
        <v>431</v>
      </c>
      <c r="B137" s="328"/>
      <c r="C137" s="328"/>
      <c r="D137" s="542"/>
      <c r="E137" s="330"/>
      <c r="F137" s="331"/>
      <c r="G137" s="332"/>
      <c r="H137" s="542"/>
      <c r="I137" s="335"/>
      <c r="J137" s="295"/>
      <c r="K137" s="296">
        <f t="shared" si="3"/>
        <v>0</v>
      </c>
    </row>
    <row r="138" spans="1:11">
      <c r="A138" s="325" t="s">
        <v>431</v>
      </c>
      <c r="B138" s="328"/>
      <c r="C138" s="328"/>
      <c r="D138" s="542"/>
      <c r="E138" s="330"/>
      <c r="F138" s="331"/>
      <c r="G138" s="332"/>
      <c r="H138" s="542"/>
      <c r="I138" s="335"/>
      <c r="J138" s="295"/>
      <c r="K138" s="296">
        <f t="shared" si="3"/>
        <v>0</v>
      </c>
    </row>
    <row r="139" spans="1:11">
      <c r="A139" s="325" t="s">
        <v>431</v>
      </c>
      <c r="B139" s="328"/>
      <c r="C139" s="328"/>
      <c r="D139" s="542"/>
      <c r="E139" s="330"/>
      <c r="F139" s="331"/>
      <c r="G139" s="332"/>
      <c r="H139" s="542"/>
      <c r="I139" s="335"/>
      <c r="J139" s="295"/>
      <c r="K139" s="296">
        <f t="shared" si="3"/>
        <v>0</v>
      </c>
    </row>
    <row r="140" spans="1:11">
      <c r="A140" s="325" t="s">
        <v>431</v>
      </c>
      <c r="B140" s="328"/>
      <c r="C140" s="328"/>
      <c r="D140" s="542"/>
      <c r="E140" s="330"/>
      <c r="F140" s="331"/>
      <c r="G140" s="332"/>
      <c r="H140" s="542"/>
      <c r="I140" s="335"/>
      <c r="J140" s="295"/>
      <c r="K140" s="296">
        <f t="shared" si="3"/>
        <v>0</v>
      </c>
    </row>
    <row r="141" spans="1:11">
      <c r="A141" s="325" t="s">
        <v>431</v>
      </c>
      <c r="B141" s="328"/>
      <c r="C141" s="328"/>
      <c r="D141" s="542"/>
      <c r="E141" s="330"/>
      <c r="F141" s="331"/>
      <c r="G141" s="332"/>
      <c r="H141" s="542"/>
      <c r="I141" s="335"/>
      <c r="J141" s="295"/>
      <c r="K141" s="296">
        <f t="shared" si="3"/>
        <v>0</v>
      </c>
    </row>
    <row r="142" spans="1:11">
      <c r="A142" s="325" t="s">
        <v>431</v>
      </c>
      <c r="B142" s="328"/>
      <c r="C142" s="328"/>
      <c r="D142" s="542"/>
      <c r="E142" s="330"/>
      <c r="F142" s="331"/>
      <c r="G142" s="332"/>
      <c r="H142" s="542"/>
      <c r="I142" s="335"/>
      <c r="J142" s="295"/>
      <c r="K142" s="296">
        <f t="shared" si="3"/>
        <v>0</v>
      </c>
    </row>
    <row r="143" spans="1:11">
      <c r="A143" s="325" t="s">
        <v>431</v>
      </c>
      <c r="B143" s="328"/>
      <c r="C143" s="328"/>
      <c r="D143" s="542"/>
      <c r="E143" s="330"/>
      <c r="F143" s="331"/>
      <c r="G143" s="332"/>
      <c r="H143" s="542"/>
      <c r="I143" s="335"/>
      <c r="J143" s="295"/>
      <c r="K143" s="296">
        <f t="shared" si="3"/>
        <v>0</v>
      </c>
    </row>
    <row r="144" spans="1:11">
      <c r="A144" s="325" t="s">
        <v>431</v>
      </c>
      <c r="B144" s="328"/>
      <c r="C144" s="328"/>
      <c r="D144" s="542"/>
      <c r="E144" s="330"/>
      <c r="F144" s="331"/>
      <c r="G144" s="332"/>
      <c r="H144" s="542"/>
      <c r="I144" s="335"/>
      <c r="J144" s="295"/>
      <c r="K144" s="296">
        <f t="shared" si="3"/>
        <v>0</v>
      </c>
    </row>
    <row r="145" spans="1:11">
      <c r="A145" s="325" t="s">
        <v>431</v>
      </c>
      <c r="B145" s="328"/>
      <c r="C145" s="328"/>
      <c r="D145" s="542"/>
      <c r="E145" s="330"/>
      <c r="F145" s="331"/>
      <c r="G145" s="332"/>
      <c r="H145" s="542"/>
      <c r="I145" s="335"/>
      <c r="J145" s="295"/>
      <c r="K145" s="296">
        <f t="shared" si="3"/>
        <v>0</v>
      </c>
    </row>
    <row r="146" spans="1:11">
      <c r="A146" s="325" t="s">
        <v>431</v>
      </c>
      <c r="B146" s="328"/>
      <c r="C146" s="328"/>
      <c r="D146" s="542"/>
      <c r="E146" s="330"/>
      <c r="F146" s="331"/>
      <c r="G146" s="332"/>
      <c r="H146" s="542"/>
      <c r="I146" s="335"/>
      <c r="J146" s="295"/>
      <c r="K146" s="296">
        <f t="shared" si="3"/>
        <v>0</v>
      </c>
    </row>
    <row r="147" spans="1:11">
      <c r="A147" s="325" t="s">
        <v>431</v>
      </c>
      <c r="B147" s="328"/>
      <c r="C147" s="328"/>
      <c r="D147" s="542"/>
      <c r="E147" s="330"/>
      <c r="F147" s="331"/>
      <c r="G147" s="332"/>
      <c r="H147" s="542"/>
      <c r="I147" s="335"/>
      <c r="J147" s="295"/>
      <c r="K147" s="296">
        <f t="shared" si="3"/>
        <v>0</v>
      </c>
    </row>
    <row r="148" spans="1:11">
      <c r="A148" s="325" t="s">
        <v>431</v>
      </c>
      <c r="B148" s="328"/>
      <c r="C148" s="328"/>
      <c r="D148" s="542"/>
      <c r="E148" s="330"/>
      <c r="F148" s="331"/>
      <c r="G148" s="332"/>
      <c r="H148" s="542"/>
      <c r="I148" s="335"/>
      <c r="J148" s="295"/>
      <c r="K148" s="296">
        <f t="shared" si="3"/>
        <v>0</v>
      </c>
    </row>
    <row r="149" spans="1:11">
      <c r="A149" s="325" t="s">
        <v>431</v>
      </c>
      <c r="B149" s="328"/>
      <c r="C149" s="328"/>
      <c r="D149" s="542"/>
      <c r="E149" s="330"/>
      <c r="F149" s="331"/>
      <c r="G149" s="332"/>
      <c r="H149" s="542"/>
      <c r="I149" s="335"/>
      <c r="J149" s="295"/>
      <c r="K149" s="296">
        <f t="shared" ref="K149:K212" si="4">IF(LEFT(A149,2)="TU",(J149-I149)*E149/100*100000*2,(J149-I149)*E149/100*100000)</f>
        <v>0</v>
      </c>
    </row>
    <row r="150" spans="1:11">
      <c r="A150" s="325" t="s">
        <v>431</v>
      </c>
      <c r="B150" s="328"/>
      <c r="C150" s="328"/>
      <c r="D150" s="542"/>
      <c r="E150" s="330"/>
      <c r="F150" s="331"/>
      <c r="G150" s="332"/>
      <c r="H150" s="542"/>
      <c r="I150" s="335"/>
      <c r="J150" s="295"/>
      <c r="K150" s="296">
        <f t="shared" si="4"/>
        <v>0</v>
      </c>
    </row>
    <row r="151" spans="1:11">
      <c r="A151" s="325" t="s">
        <v>431</v>
      </c>
      <c r="B151" s="328"/>
      <c r="C151" s="328"/>
      <c r="D151" s="542"/>
      <c r="E151" s="330"/>
      <c r="F151" s="331"/>
      <c r="G151" s="332"/>
      <c r="H151" s="542"/>
      <c r="I151" s="335"/>
      <c r="J151" s="295"/>
      <c r="K151" s="296">
        <f t="shared" si="4"/>
        <v>0</v>
      </c>
    </row>
    <row r="152" spans="1:11">
      <c r="A152" s="325" t="s">
        <v>431</v>
      </c>
      <c r="B152" s="328"/>
      <c r="C152" s="328"/>
      <c r="D152" s="542"/>
      <c r="E152" s="330"/>
      <c r="F152" s="331"/>
      <c r="G152" s="332"/>
      <c r="H152" s="542"/>
      <c r="I152" s="335"/>
      <c r="J152" s="295"/>
      <c r="K152" s="296">
        <f t="shared" si="4"/>
        <v>0</v>
      </c>
    </row>
    <row r="153" spans="1:11">
      <c r="A153" s="325" t="s">
        <v>431</v>
      </c>
      <c r="B153" s="328"/>
      <c r="C153" s="328"/>
      <c r="D153" s="542"/>
      <c r="E153" s="330"/>
      <c r="F153" s="331"/>
      <c r="G153" s="332"/>
      <c r="H153" s="542"/>
      <c r="I153" s="335"/>
      <c r="J153" s="295"/>
      <c r="K153" s="296">
        <f t="shared" si="4"/>
        <v>0</v>
      </c>
    </row>
    <row r="154" spans="1:11">
      <c r="A154" s="325" t="s">
        <v>497</v>
      </c>
      <c r="B154" s="328"/>
      <c r="C154" s="328"/>
      <c r="D154" s="542"/>
      <c r="E154" s="330"/>
      <c r="F154" s="331"/>
      <c r="G154" s="332"/>
      <c r="H154" s="542"/>
      <c r="I154" s="335"/>
      <c r="J154" s="295"/>
      <c r="K154" s="296">
        <f t="shared" si="4"/>
        <v>0</v>
      </c>
    </row>
    <row r="155" spans="1:11">
      <c r="A155" s="325" t="s">
        <v>497</v>
      </c>
      <c r="B155" s="328"/>
      <c r="C155" s="328"/>
      <c r="D155" s="542"/>
      <c r="E155" s="330"/>
      <c r="F155" s="331"/>
      <c r="G155" s="332"/>
      <c r="H155" s="542"/>
      <c r="I155" s="335"/>
      <c r="J155" s="295"/>
      <c r="K155" s="296">
        <f t="shared" si="4"/>
        <v>0</v>
      </c>
    </row>
    <row r="156" spans="1:11">
      <c r="A156" s="325" t="s">
        <v>497</v>
      </c>
      <c r="B156" s="328"/>
      <c r="C156" s="328"/>
      <c r="D156" s="542"/>
      <c r="E156" s="330"/>
      <c r="F156" s="331"/>
      <c r="G156" s="332"/>
      <c r="H156" s="542"/>
      <c r="I156" s="335"/>
      <c r="J156" s="295"/>
      <c r="K156" s="296">
        <f t="shared" si="4"/>
        <v>0</v>
      </c>
    </row>
    <row r="157" spans="1:11">
      <c r="A157" s="325" t="s">
        <v>497</v>
      </c>
      <c r="B157" s="328"/>
      <c r="C157" s="328"/>
      <c r="D157" s="542"/>
      <c r="E157" s="330"/>
      <c r="F157" s="331"/>
      <c r="G157" s="332"/>
      <c r="H157" s="542"/>
      <c r="I157" s="335"/>
      <c r="J157" s="295"/>
      <c r="K157" s="296">
        <f t="shared" si="4"/>
        <v>0</v>
      </c>
    </row>
    <row r="158" spans="1:11">
      <c r="A158" s="325" t="s">
        <v>497</v>
      </c>
      <c r="B158" s="328"/>
      <c r="C158" s="328"/>
      <c r="D158" s="542"/>
      <c r="E158" s="330"/>
      <c r="F158" s="331"/>
      <c r="G158" s="332"/>
      <c r="H158" s="542"/>
      <c r="I158" s="335"/>
      <c r="J158" s="295"/>
      <c r="K158" s="296">
        <f t="shared" si="4"/>
        <v>0</v>
      </c>
    </row>
    <row r="159" spans="1:11">
      <c r="A159" s="325" t="s">
        <v>497</v>
      </c>
      <c r="B159" s="328"/>
      <c r="C159" s="328"/>
      <c r="D159" s="542"/>
      <c r="E159" s="330"/>
      <c r="F159" s="331"/>
      <c r="G159" s="332"/>
      <c r="H159" s="542"/>
      <c r="I159" s="335"/>
      <c r="J159" s="295"/>
      <c r="K159" s="296">
        <f t="shared" si="4"/>
        <v>0</v>
      </c>
    </row>
    <row r="160" spans="1:11">
      <c r="A160" s="325" t="s">
        <v>497</v>
      </c>
      <c r="B160" s="328"/>
      <c r="C160" s="328"/>
      <c r="D160" s="542"/>
      <c r="E160" s="330"/>
      <c r="F160" s="331"/>
      <c r="G160" s="332"/>
      <c r="H160" s="561"/>
      <c r="I160" s="335"/>
      <c r="J160" s="295"/>
      <c r="K160" s="296">
        <f t="shared" si="4"/>
        <v>0</v>
      </c>
    </row>
    <row r="161" spans="1:11">
      <c r="A161" s="325" t="s">
        <v>497</v>
      </c>
      <c r="B161" s="328"/>
      <c r="C161" s="328"/>
      <c r="D161" s="542"/>
      <c r="E161" s="330"/>
      <c r="F161" s="331"/>
      <c r="G161" s="332"/>
      <c r="H161" s="542"/>
      <c r="I161" s="335"/>
      <c r="J161" s="295"/>
      <c r="K161" s="296">
        <f t="shared" si="4"/>
        <v>0</v>
      </c>
    </row>
    <row r="162" spans="1:11">
      <c r="A162" s="325" t="s">
        <v>497</v>
      </c>
      <c r="B162" s="328"/>
      <c r="C162" s="328"/>
      <c r="D162" s="542"/>
      <c r="E162" s="330"/>
      <c r="F162" s="331"/>
      <c r="G162" s="332"/>
      <c r="H162" s="542"/>
      <c r="I162" s="335"/>
      <c r="J162" s="295"/>
      <c r="K162" s="296">
        <f t="shared" si="4"/>
        <v>0</v>
      </c>
    </row>
    <row r="163" spans="1:11">
      <c r="A163" s="325" t="s">
        <v>497</v>
      </c>
      <c r="B163" s="328"/>
      <c r="C163" s="328"/>
      <c r="D163" s="542"/>
      <c r="E163" s="330"/>
      <c r="F163" s="331"/>
      <c r="G163" s="332"/>
      <c r="H163" s="542"/>
      <c r="I163" s="335"/>
      <c r="J163" s="295"/>
      <c r="K163" s="296">
        <f t="shared" si="4"/>
        <v>0</v>
      </c>
    </row>
    <row r="164" spans="1:11">
      <c r="A164" s="325" t="s">
        <v>497</v>
      </c>
      <c r="B164" s="328"/>
      <c r="C164" s="328"/>
      <c r="D164" s="542"/>
      <c r="E164" s="330"/>
      <c r="F164" s="331"/>
      <c r="G164" s="332"/>
      <c r="H164" s="542"/>
      <c r="I164" s="335"/>
      <c r="J164" s="295"/>
      <c r="K164" s="296">
        <f t="shared" si="4"/>
        <v>0</v>
      </c>
    </row>
    <row r="165" spans="1:11">
      <c r="A165" s="325" t="s">
        <v>497</v>
      </c>
      <c r="B165" s="328"/>
      <c r="C165" s="328"/>
      <c r="D165" s="542"/>
      <c r="E165" s="330"/>
      <c r="F165" s="331"/>
      <c r="G165" s="332"/>
      <c r="H165" s="542"/>
      <c r="I165" s="335"/>
      <c r="J165" s="295"/>
      <c r="K165" s="296">
        <f t="shared" si="4"/>
        <v>0</v>
      </c>
    </row>
    <row r="166" spans="1:11">
      <c r="A166" s="325" t="s">
        <v>497</v>
      </c>
      <c r="B166" s="328"/>
      <c r="C166" s="328"/>
      <c r="D166" s="542"/>
      <c r="E166" s="330"/>
      <c r="F166" s="331"/>
      <c r="G166" s="332"/>
      <c r="H166" s="542"/>
      <c r="I166" s="335"/>
      <c r="J166" s="295"/>
      <c r="K166" s="296">
        <f t="shared" si="4"/>
        <v>0</v>
      </c>
    </row>
    <row r="167" spans="1:11">
      <c r="A167" s="325" t="s">
        <v>497</v>
      </c>
      <c r="B167" s="328"/>
      <c r="C167" s="328"/>
      <c r="D167" s="542"/>
      <c r="E167" s="330"/>
      <c r="F167" s="331"/>
      <c r="G167" s="332"/>
      <c r="H167" s="542"/>
      <c r="I167" s="335"/>
      <c r="J167" s="295"/>
      <c r="K167" s="296">
        <f t="shared" si="4"/>
        <v>0</v>
      </c>
    </row>
    <row r="168" spans="1:11">
      <c r="A168" s="325" t="s">
        <v>497</v>
      </c>
      <c r="B168" s="328"/>
      <c r="C168" s="328"/>
      <c r="D168" s="542"/>
      <c r="E168" s="330"/>
      <c r="F168" s="331"/>
      <c r="G168" s="332"/>
      <c r="H168" s="542"/>
      <c r="I168" s="335"/>
      <c r="J168" s="295"/>
      <c r="K168" s="296">
        <f t="shared" si="4"/>
        <v>0</v>
      </c>
    </row>
    <row r="169" spans="1:11">
      <c r="A169" s="325" t="s">
        <v>497</v>
      </c>
      <c r="B169" s="328"/>
      <c r="C169" s="328"/>
      <c r="D169" s="542"/>
      <c r="E169" s="330"/>
      <c r="F169" s="331"/>
      <c r="G169" s="332"/>
      <c r="H169" s="542"/>
      <c r="I169" s="335"/>
      <c r="J169" s="295"/>
      <c r="K169" s="296">
        <f t="shared" si="4"/>
        <v>0</v>
      </c>
    </row>
    <row r="170" spans="1:11">
      <c r="A170" s="325" t="s">
        <v>497</v>
      </c>
      <c r="B170" s="328"/>
      <c r="C170" s="328"/>
      <c r="D170" s="542"/>
      <c r="E170" s="330"/>
      <c r="F170" s="331"/>
      <c r="G170" s="332"/>
      <c r="H170" s="542"/>
      <c r="I170" s="335"/>
      <c r="J170" s="295"/>
      <c r="K170" s="296">
        <f t="shared" si="4"/>
        <v>0</v>
      </c>
    </row>
    <row r="171" spans="1:11">
      <c r="A171" s="325" t="s">
        <v>497</v>
      </c>
      <c r="B171" s="328"/>
      <c r="C171" s="328"/>
      <c r="D171" s="542"/>
      <c r="E171" s="330"/>
      <c r="F171" s="331"/>
      <c r="G171" s="332"/>
      <c r="H171" s="542"/>
      <c r="I171" s="335"/>
      <c r="J171" s="295"/>
      <c r="K171" s="296">
        <f t="shared" si="4"/>
        <v>0</v>
      </c>
    </row>
    <row r="172" spans="1:11">
      <c r="A172" s="325" t="s">
        <v>497</v>
      </c>
      <c r="B172" s="328"/>
      <c r="C172" s="328"/>
      <c r="D172" s="542"/>
      <c r="E172" s="330"/>
      <c r="F172" s="331"/>
      <c r="G172" s="332"/>
      <c r="H172" s="542"/>
      <c r="I172" s="335"/>
      <c r="J172" s="295"/>
      <c r="K172" s="296">
        <f t="shared" si="4"/>
        <v>0</v>
      </c>
    </row>
    <row r="173" spans="1:11">
      <c r="A173" s="325" t="s">
        <v>497</v>
      </c>
      <c r="B173" s="328"/>
      <c r="C173" s="328"/>
      <c r="D173" s="542"/>
      <c r="E173" s="330"/>
      <c r="F173" s="331"/>
      <c r="G173" s="332"/>
      <c r="H173" s="542"/>
      <c r="I173" s="335"/>
      <c r="J173" s="295"/>
      <c r="K173" s="296">
        <f t="shared" si="4"/>
        <v>0</v>
      </c>
    </row>
    <row r="174" spans="1:11">
      <c r="A174" s="325" t="s">
        <v>497</v>
      </c>
      <c r="B174" s="328"/>
      <c r="C174" s="328"/>
      <c r="D174" s="542"/>
      <c r="E174" s="330"/>
      <c r="F174" s="331"/>
      <c r="G174" s="332"/>
      <c r="H174" s="542"/>
      <c r="I174" s="335"/>
      <c r="J174" s="295"/>
      <c r="K174" s="296">
        <f t="shared" si="4"/>
        <v>0</v>
      </c>
    </row>
    <row r="175" spans="1:11">
      <c r="A175" s="325" t="s">
        <v>497</v>
      </c>
      <c r="B175" s="328"/>
      <c r="C175" s="328"/>
      <c r="D175" s="542"/>
      <c r="E175" s="330"/>
      <c r="F175" s="331"/>
      <c r="G175" s="332"/>
      <c r="H175" s="542"/>
      <c r="I175" s="335"/>
      <c r="J175" s="295"/>
      <c r="K175" s="296">
        <f t="shared" si="4"/>
        <v>0</v>
      </c>
    </row>
    <row r="176" spans="1:11">
      <c r="A176" s="325" t="s">
        <v>497</v>
      </c>
      <c r="B176" s="328"/>
      <c r="C176" s="328"/>
      <c r="D176" s="542"/>
      <c r="E176" s="330"/>
      <c r="F176" s="331"/>
      <c r="G176" s="332"/>
      <c r="H176" s="542"/>
      <c r="I176" s="335"/>
      <c r="J176" s="295"/>
      <c r="K176" s="296">
        <f t="shared" si="4"/>
        <v>0</v>
      </c>
    </row>
    <row r="177" spans="1:11">
      <c r="A177" s="325" t="s">
        <v>497</v>
      </c>
      <c r="B177" s="328"/>
      <c r="C177" s="328"/>
      <c r="D177" s="542"/>
      <c r="E177" s="330"/>
      <c r="F177" s="331"/>
      <c r="G177" s="332"/>
      <c r="H177" s="542"/>
      <c r="I177" s="335"/>
      <c r="J177" s="295"/>
      <c r="K177" s="296">
        <f t="shared" si="4"/>
        <v>0</v>
      </c>
    </row>
    <row r="178" spans="1:11">
      <c r="A178" s="325" t="s">
        <v>497</v>
      </c>
      <c r="B178" s="328"/>
      <c r="C178" s="328"/>
      <c r="D178" s="542"/>
      <c r="E178" s="330"/>
      <c r="F178" s="331"/>
      <c r="G178" s="332"/>
      <c r="H178" s="542"/>
      <c r="I178" s="335"/>
      <c r="J178" s="295"/>
      <c r="K178" s="296">
        <f t="shared" si="4"/>
        <v>0</v>
      </c>
    </row>
    <row r="179" spans="1:11">
      <c r="A179" s="325" t="s">
        <v>497</v>
      </c>
      <c r="B179" s="328"/>
      <c r="C179" s="328"/>
      <c r="D179" s="542"/>
      <c r="E179" s="330"/>
      <c r="F179" s="331"/>
      <c r="G179" s="332"/>
      <c r="H179" s="542"/>
      <c r="I179" s="335"/>
      <c r="J179" s="295"/>
      <c r="K179" s="296">
        <f t="shared" si="4"/>
        <v>0</v>
      </c>
    </row>
    <row r="180" spans="1:11">
      <c r="A180" s="325" t="s">
        <v>497</v>
      </c>
      <c r="B180" s="328"/>
      <c r="C180" s="328"/>
      <c r="D180" s="542"/>
      <c r="E180" s="330"/>
      <c r="F180" s="331"/>
      <c r="G180" s="332"/>
      <c r="H180" s="542"/>
      <c r="I180" s="335"/>
      <c r="J180" s="295"/>
      <c r="K180" s="296">
        <f t="shared" si="4"/>
        <v>0</v>
      </c>
    </row>
    <row r="181" spans="1:11">
      <c r="A181" s="325" t="s">
        <v>497</v>
      </c>
      <c r="B181" s="328"/>
      <c r="C181" s="328"/>
      <c r="D181" s="542"/>
      <c r="E181" s="330"/>
      <c r="F181" s="331"/>
      <c r="G181" s="332"/>
      <c r="H181" s="542"/>
      <c r="I181" s="335"/>
      <c r="J181" s="295"/>
      <c r="K181" s="296">
        <f t="shared" si="4"/>
        <v>0</v>
      </c>
    </row>
    <row r="182" spans="1:11">
      <c r="A182" s="325" t="s">
        <v>497</v>
      </c>
      <c r="B182" s="328"/>
      <c r="C182" s="328"/>
      <c r="D182" s="542"/>
      <c r="E182" s="330"/>
      <c r="F182" s="331"/>
      <c r="G182" s="332"/>
      <c r="H182" s="542"/>
      <c r="I182" s="335"/>
      <c r="J182" s="295"/>
      <c r="K182" s="296">
        <f t="shared" si="4"/>
        <v>0</v>
      </c>
    </row>
    <row r="183" spans="1:11">
      <c r="A183" s="325" t="s">
        <v>497</v>
      </c>
      <c r="B183" s="328"/>
      <c r="C183" s="328"/>
      <c r="D183" s="542"/>
      <c r="E183" s="330"/>
      <c r="F183" s="331"/>
      <c r="G183" s="332"/>
      <c r="H183" s="542"/>
      <c r="I183" s="335"/>
      <c r="J183" s="295"/>
      <c r="K183" s="296">
        <f t="shared" si="4"/>
        <v>0</v>
      </c>
    </row>
    <row r="184" spans="1:11">
      <c r="A184" s="325" t="s">
        <v>497</v>
      </c>
      <c r="B184" s="328"/>
      <c r="C184" s="328"/>
      <c r="D184" s="542"/>
      <c r="E184" s="330"/>
      <c r="F184" s="331"/>
      <c r="G184" s="332"/>
      <c r="H184" s="542"/>
      <c r="I184" s="335"/>
      <c r="J184" s="295"/>
      <c r="K184" s="296">
        <f t="shared" si="4"/>
        <v>0</v>
      </c>
    </row>
    <row r="185" spans="1:11">
      <c r="A185" s="325" t="s">
        <v>497</v>
      </c>
      <c r="B185" s="328"/>
      <c r="C185" s="328"/>
      <c r="D185" s="542"/>
      <c r="E185" s="330"/>
      <c r="F185" s="331"/>
      <c r="G185" s="332"/>
      <c r="H185" s="542"/>
      <c r="I185" s="335"/>
      <c r="J185" s="295"/>
      <c r="K185" s="296">
        <f t="shared" si="4"/>
        <v>0</v>
      </c>
    </row>
    <row r="186" spans="1:11">
      <c r="A186" s="325" t="s">
        <v>497</v>
      </c>
      <c r="B186" s="328"/>
      <c r="C186" s="328"/>
      <c r="D186" s="542"/>
      <c r="E186" s="330"/>
      <c r="F186" s="331"/>
      <c r="G186" s="332"/>
      <c r="H186" s="542"/>
      <c r="I186" s="335"/>
      <c r="J186" s="295"/>
      <c r="K186" s="296">
        <f t="shared" si="4"/>
        <v>0</v>
      </c>
    </row>
    <row r="187" spans="1:11">
      <c r="A187" s="325" t="s">
        <v>497</v>
      </c>
      <c r="B187" s="328"/>
      <c r="C187" s="328"/>
      <c r="D187" s="542"/>
      <c r="E187" s="330"/>
      <c r="F187" s="331"/>
      <c r="G187" s="332"/>
      <c r="H187" s="542"/>
      <c r="I187" s="335"/>
      <c r="J187" s="295"/>
      <c r="K187" s="296">
        <f t="shared" si="4"/>
        <v>0</v>
      </c>
    </row>
    <row r="188" spans="1:11">
      <c r="A188" s="325" t="s">
        <v>497</v>
      </c>
      <c r="B188" s="328"/>
      <c r="C188" s="328"/>
      <c r="D188" s="542"/>
      <c r="E188" s="330"/>
      <c r="F188" s="331"/>
      <c r="G188" s="332"/>
      <c r="H188" s="542"/>
      <c r="I188" s="335"/>
      <c r="J188" s="295"/>
      <c r="K188" s="296">
        <f t="shared" si="4"/>
        <v>0</v>
      </c>
    </row>
    <row r="189" spans="1:11">
      <c r="A189" s="325" t="s">
        <v>497</v>
      </c>
      <c r="B189" s="328"/>
      <c r="C189" s="328"/>
      <c r="D189" s="542"/>
      <c r="E189" s="330"/>
      <c r="F189" s="331"/>
      <c r="G189" s="332"/>
      <c r="H189" s="542"/>
      <c r="I189" s="335"/>
      <c r="J189" s="295"/>
      <c r="K189" s="296">
        <f t="shared" si="4"/>
        <v>0</v>
      </c>
    </row>
    <row r="190" spans="1:11">
      <c r="A190" s="325" t="s">
        <v>497</v>
      </c>
      <c r="B190" s="328"/>
      <c r="C190" s="328"/>
      <c r="D190" s="542"/>
      <c r="E190" s="330"/>
      <c r="F190" s="331"/>
      <c r="G190" s="332"/>
      <c r="H190" s="542"/>
      <c r="I190" s="335"/>
      <c r="J190" s="295"/>
      <c r="K190" s="296">
        <f t="shared" si="4"/>
        <v>0</v>
      </c>
    </row>
    <row r="191" spans="1:11">
      <c r="A191" s="325" t="s">
        <v>497</v>
      </c>
      <c r="B191" s="328"/>
      <c r="C191" s="328"/>
      <c r="D191" s="542"/>
      <c r="E191" s="330"/>
      <c r="F191" s="331"/>
      <c r="G191" s="332"/>
      <c r="H191" s="542"/>
      <c r="I191" s="335"/>
      <c r="J191" s="295"/>
      <c r="K191" s="296">
        <f t="shared" si="4"/>
        <v>0</v>
      </c>
    </row>
    <row r="192" spans="1:11">
      <c r="A192" s="325" t="s">
        <v>497</v>
      </c>
      <c r="B192" s="328"/>
      <c r="C192" s="328"/>
      <c r="D192" s="542"/>
      <c r="E192" s="330"/>
      <c r="F192" s="331"/>
      <c r="G192" s="332"/>
      <c r="H192" s="542"/>
      <c r="I192" s="335"/>
      <c r="J192" s="295"/>
      <c r="K192" s="296">
        <f t="shared" si="4"/>
        <v>0</v>
      </c>
    </row>
    <row r="193" spans="1:11">
      <c r="A193" s="325" t="s">
        <v>497</v>
      </c>
      <c r="B193" s="328"/>
      <c r="C193" s="328"/>
      <c r="D193" s="542"/>
      <c r="E193" s="330"/>
      <c r="F193" s="331"/>
      <c r="G193" s="332"/>
      <c r="H193" s="542"/>
      <c r="I193" s="335"/>
      <c r="J193" s="295"/>
      <c r="K193" s="296">
        <f t="shared" si="4"/>
        <v>0</v>
      </c>
    </row>
    <row r="194" spans="1:11">
      <c r="A194" s="325" t="s">
        <v>497</v>
      </c>
      <c r="B194" s="328"/>
      <c r="C194" s="328"/>
      <c r="D194" s="542"/>
      <c r="E194" s="330"/>
      <c r="F194" s="331"/>
      <c r="G194" s="332"/>
      <c r="H194" s="542"/>
      <c r="I194" s="335"/>
      <c r="J194" s="295"/>
      <c r="K194" s="296">
        <f t="shared" si="4"/>
        <v>0</v>
      </c>
    </row>
    <row r="195" spans="1:11">
      <c r="A195" s="325" t="s">
        <v>497</v>
      </c>
      <c r="B195" s="328"/>
      <c r="C195" s="328"/>
      <c r="D195" s="542"/>
      <c r="E195" s="330"/>
      <c r="F195" s="331"/>
      <c r="G195" s="332"/>
      <c r="H195" s="542"/>
      <c r="I195" s="335"/>
      <c r="J195" s="295"/>
      <c r="K195" s="296">
        <f t="shared" si="4"/>
        <v>0</v>
      </c>
    </row>
    <row r="196" spans="1:11">
      <c r="A196" s="325" t="s">
        <v>497</v>
      </c>
      <c r="B196" s="328"/>
      <c r="C196" s="328"/>
      <c r="D196" s="542"/>
      <c r="E196" s="330"/>
      <c r="F196" s="331"/>
      <c r="G196" s="332"/>
      <c r="H196" s="542"/>
      <c r="I196" s="335"/>
      <c r="J196" s="295"/>
      <c r="K196" s="296">
        <f t="shared" si="4"/>
        <v>0</v>
      </c>
    </row>
    <row r="197" spans="1:11">
      <c r="A197" s="325" t="s">
        <v>497</v>
      </c>
      <c r="B197" s="328"/>
      <c r="C197" s="328"/>
      <c r="D197" s="542"/>
      <c r="E197" s="330"/>
      <c r="F197" s="331"/>
      <c r="G197" s="332"/>
      <c r="H197" s="542"/>
      <c r="I197" s="335"/>
      <c r="J197" s="295"/>
      <c r="K197" s="296">
        <f t="shared" si="4"/>
        <v>0</v>
      </c>
    </row>
    <row r="198" spans="1:11">
      <c r="A198" s="325" t="s">
        <v>497</v>
      </c>
      <c r="B198" s="328"/>
      <c r="C198" s="328"/>
      <c r="D198" s="542"/>
      <c r="E198" s="330"/>
      <c r="F198" s="331"/>
      <c r="G198" s="332"/>
      <c r="H198" s="542"/>
      <c r="I198" s="335"/>
      <c r="J198" s="295"/>
      <c r="K198" s="296">
        <f t="shared" si="4"/>
        <v>0</v>
      </c>
    </row>
    <row r="199" spans="1:11">
      <c r="A199" s="325" t="s">
        <v>497</v>
      </c>
      <c r="B199" s="328"/>
      <c r="C199" s="328"/>
      <c r="D199" s="542"/>
      <c r="E199" s="330"/>
      <c r="F199" s="331"/>
      <c r="G199" s="332"/>
      <c r="H199" s="542"/>
      <c r="I199" s="335"/>
      <c r="J199" s="295"/>
      <c r="K199" s="296">
        <f t="shared" si="4"/>
        <v>0</v>
      </c>
    </row>
    <row r="200" spans="1:11">
      <c r="A200" s="325" t="s">
        <v>497</v>
      </c>
      <c r="B200" s="328"/>
      <c r="C200" s="328"/>
      <c r="D200" s="542"/>
      <c r="E200" s="330"/>
      <c r="F200" s="331"/>
      <c r="G200" s="332"/>
      <c r="H200" s="542"/>
      <c r="I200" s="335"/>
      <c r="J200" s="295"/>
      <c r="K200" s="296">
        <f t="shared" si="4"/>
        <v>0</v>
      </c>
    </row>
    <row r="201" spans="1:11">
      <c r="A201" s="325" t="s">
        <v>497</v>
      </c>
      <c r="B201" s="328"/>
      <c r="C201" s="328"/>
      <c r="D201" s="542"/>
      <c r="E201" s="330"/>
      <c r="F201" s="331"/>
      <c r="G201" s="332"/>
      <c r="H201" s="542"/>
      <c r="I201" s="335"/>
      <c r="J201" s="295"/>
      <c r="K201" s="296">
        <f t="shared" si="4"/>
        <v>0</v>
      </c>
    </row>
    <row r="202" spans="1:11">
      <c r="A202" s="325" t="s">
        <v>497</v>
      </c>
      <c r="B202" s="328"/>
      <c r="C202" s="328"/>
      <c r="D202" s="542"/>
      <c r="E202" s="330"/>
      <c r="F202" s="331"/>
      <c r="G202" s="332"/>
      <c r="H202" s="542"/>
      <c r="I202" s="335"/>
      <c r="J202" s="295"/>
      <c r="K202" s="296">
        <f t="shared" si="4"/>
        <v>0</v>
      </c>
    </row>
    <row r="203" spans="1:11">
      <c r="A203" s="325" t="s">
        <v>497</v>
      </c>
      <c r="B203" s="328"/>
      <c r="C203" s="328"/>
      <c r="D203" s="542"/>
      <c r="E203" s="330"/>
      <c r="F203" s="331"/>
      <c r="G203" s="332"/>
      <c r="H203" s="542"/>
      <c r="I203" s="335"/>
      <c r="J203" s="295"/>
      <c r="K203" s="296">
        <f t="shared" si="4"/>
        <v>0</v>
      </c>
    </row>
    <row r="204" spans="1:11">
      <c r="A204" s="325" t="s">
        <v>497</v>
      </c>
      <c r="B204" s="328"/>
      <c r="C204" s="328"/>
      <c r="D204" s="542"/>
      <c r="E204" s="330"/>
      <c r="F204" s="331"/>
      <c r="G204" s="332"/>
      <c r="H204" s="542"/>
      <c r="I204" s="335"/>
      <c r="J204" s="295"/>
      <c r="K204" s="296">
        <f t="shared" si="4"/>
        <v>0</v>
      </c>
    </row>
    <row r="205" spans="1:11">
      <c r="A205" s="325" t="s">
        <v>497</v>
      </c>
      <c r="B205" s="328"/>
      <c r="C205" s="328"/>
      <c r="D205" s="542"/>
      <c r="E205" s="330"/>
      <c r="F205" s="331"/>
      <c r="G205" s="332"/>
      <c r="H205" s="542"/>
      <c r="I205" s="335"/>
      <c r="J205" s="295"/>
      <c r="K205" s="296">
        <f t="shared" si="4"/>
        <v>0</v>
      </c>
    </row>
    <row r="206" spans="1:11">
      <c r="A206" s="325" t="s">
        <v>497</v>
      </c>
      <c r="B206" s="328"/>
      <c r="C206" s="328"/>
      <c r="D206" s="542"/>
      <c r="E206" s="330"/>
      <c r="F206" s="331"/>
      <c r="G206" s="332"/>
      <c r="H206" s="542"/>
      <c r="I206" s="335"/>
      <c r="J206" s="295"/>
      <c r="K206" s="296">
        <f t="shared" si="4"/>
        <v>0</v>
      </c>
    </row>
    <row r="207" spans="1:11">
      <c r="A207" s="325" t="s">
        <v>497</v>
      </c>
      <c r="B207" s="328"/>
      <c r="C207" s="328"/>
      <c r="D207" s="542"/>
      <c r="E207" s="330"/>
      <c r="F207" s="331"/>
      <c r="G207" s="332"/>
      <c r="H207" s="542"/>
      <c r="I207" s="335"/>
      <c r="J207" s="295"/>
      <c r="K207" s="296">
        <f t="shared" si="4"/>
        <v>0</v>
      </c>
    </row>
    <row r="208" spans="1:11">
      <c r="A208" s="325" t="s">
        <v>497</v>
      </c>
      <c r="B208" s="328"/>
      <c r="C208" s="328"/>
      <c r="D208" s="542"/>
      <c r="E208" s="330"/>
      <c r="F208" s="331"/>
      <c r="G208" s="332"/>
      <c r="H208" s="542"/>
      <c r="I208" s="335"/>
      <c r="J208" s="295"/>
      <c r="K208" s="296">
        <f t="shared" si="4"/>
        <v>0</v>
      </c>
    </row>
    <row r="209" spans="1:11">
      <c r="A209" s="325" t="s">
        <v>497</v>
      </c>
      <c r="B209" s="328"/>
      <c r="C209" s="328"/>
      <c r="D209" s="542"/>
      <c r="E209" s="330"/>
      <c r="F209" s="331"/>
      <c r="G209" s="332"/>
      <c r="H209" s="542"/>
      <c r="I209" s="335"/>
      <c r="J209" s="295"/>
      <c r="K209" s="296">
        <f t="shared" si="4"/>
        <v>0</v>
      </c>
    </row>
    <row r="210" spans="1:11">
      <c r="A210" s="325" t="s">
        <v>497</v>
      </c>
      <c r="B210" s="328"/>
      <c r="C210" s="328"/>
      <c r="D210" s="542"/>
      <c r="E210" s="330"/>
      <c r="F210" s="331"/>
      <c r="G210" s="332"/>
      <c r="H210" s="542"/>
      <c r="I210" s="335"/>
      <c r="J210" s="295"/>
      <c r="K210" s="296">
        <f t="shared" si="4"/>
        <v>0</v>
      </c>
    </row>
    <row r="211" spans="1:11">
      <c r="A211" s="325" t="s">
        <v>511</v>
      </c>
      <c r="B211" s="328"/>
      <c r="C211" s="328"/>
      <c r="D211" s="542"/>
      <c r="E211" s="330"/>
      <c r="F211" s="331"/>
      <c r="G211" s="332"/>
      <c r="H211" s="542"/>
      <c r="I211" s="335"/>
      <c r="J211" s="295"/>
      <c r="K211" s="296">
        <f t="shared" si="4"/>
        <v>0</v>
      </c>
    </row>
    <row r="212" spans="1:11">
      <c r="A212" s="325" t="s">
        <v>511</v>
      </c>
      <c r="B212" s="328"/>
      <c r="C212" s="328"/>
      <c r="D212" s="542"/>
      <c r="E212" s="330"/>
      <c r="F212" s="331"/>
      <c r="G212" s="332"/>
      <c r="H212" s="542"/>
      <c r="I212" s="335"/>
      <c r="J212" s="295"/>
      <c r="K212" s="296">
        <f t="shared" si="4"/>
        <v>0</v>
      </c>
    </row>
    <row r="213" spans="1:11">
      <c r="A213" s="325" t="s">
        <v>511</v>
      </c>
      <c r="B213" s="328"/>
      <c r="C213" s="328"/>
      <c r="D213" s="542"/>
      <c r="E213" s="330"/>
      <c r="F213" s="331"/>
      <c r="G213" s="332"/>
      <c r="H213" s="542"/>
      <c r="I213" s="335"/>
      <c r="J213" s="295"/>
      <c r="K213" s="296">
        <f t="shared" ref="K213:K276" si="5">IF(LEFT(A213,2)="TU",(J213-I213)*E213/100*100000*2,(J213-I213)*E213/100*100000)</f>
        <v>0</v>
      </c>
    </row>
    <row r="214" spans="1:11">
      <c r="A214" s="325" t="s">
        <v>511</v>
      </c>
      <c r="B214" s="328"/>
      <c r="C214" s="328"/>
      <c r="D214" s="542"/>
      <c r="E214" s="330"/>
      <c r="F214" s="331"/>
      <c r="G214" s="332"/>
      <c r="H214" s="542"/>
      <c r="I214" s="335"/>
      <c r="J214" s="295"/>
      <c r="K214" s="296">
        <f t="shared" si="5"/>
        <v>0</v>
      </c>
    </row>
    <row r="215" spans="1:11">
      <c r="A215" s="325" t="s">
        <v>511</v>
      </c>
      <c r="B215" s="328"/>
      <c r="C215" s="328"/>
      <c r="D215" s="542"/>
      <c r="E215" s="330"/>
      <c r="F215" s="331"/>
      <c r="G215" s="332"/>
      <c r="H215" s="542"/>
      <c r="I215" s="335"/>
      <c r="J215" s="295"/>
      <c r="K215" s="296">
        <f t="shared" si="5"/>
        <v>0</v>
      </c>
    </row>
    <row r="216" spans="1:11">
      <c r="A216" s="325" t="s">
        <v>511</v>
      </c>
      <c r="B216" s="328"/>
      <c r="C216" s="328"/>
      <c r="D216" s="542"/>
      <c r="E216" s="330"/>
      <c r="F216" s="331"/>
      <c r="G216" s="332"/>
      <c r="H216" s="542"/>
      <c r="I216" s="335"/>
      <c r="J216" s="295"/>
      <c r="K216" s="296">
        <f t="shared" si="5"/>
        <v>0</v>
      </c>
    </row>
    <row r="217" spans="1:11">
      <c r="A217" s="325" t="s">
        <v>511</v>
      </c>
      <c r="B217" s="328"/>
      <c r="C217" s="328"/>
      <c r="D217" s="542"/>
      <c r="E217" s="330"/>
      <c r="F217" s="331"/>
      <c r="G217" s="332"/>
      <c r="H217" s="542"/>
      <c r="I217" s="335"/>
      <c r="J217" s="295"/>
      <c r="K217" s="296">
        <f t="shared" si="5"/>
        <v>0</v>
      </c>
    </row>
    <row r="218" spans="1:11">
      <c r="A218" s="325" t="s">
        <v>511</v>
      </c>
      <c r="B218" s="328"/>
      <c r="C218" s="328"/>
      <c r="D218" s="542"/>
      <c r="E218" s="330"/>
      <c r="F218" s="331"/>
      <c r="G218" s="332"/>
      <c r="H218" s="542"/>
      <c r="I218" s="335"/>
      <c r="J218" s="295"/>
      <c r="K218" s="296">
        <f t="shared" si="5"/>
        <v>0</v>
      </c>
    </row>
    <row r="219" spans="1:11">
      <c r="A219" s="325" t="s">
        <v>511</v>
      </c>
      <c r="B219" s="328"/>
      <c r="C219" s="328"/>
      <c r="D219" s="542"/>
      <c r="E219" s="330"/>
      <c r="F219" s="331"/>
      <c r="G219" s="332"/>
      <c r="H219" s="542"/>
      <c r="I219" s="335"/>
      <c r="J219" s="295"/>
      <c r="K219" s="296">
        <f t="shared" si="5"/>
        <v>0</v>
      </c>
    </row>
    <row r="220" spans="1:11">
      <c r="A220" s="325" t="s">
        <v>511</v>
      </c>
      <c r="B220" s="328"/>
      <c r="C220" s="328"/>
      <c r="D220" s="542"/>
      <c r="E220" s="330"/>
      <c r="F220" s="331"/>
      <c r="G220" s="332"/>
      <c r="H220" s="542"/>
      <c r="I220" s="335"/>
      <c r="J220" s="295"/>
      <c r="K220" s="296">
        <f t="shared" si="5"/>
        <v>0</v>
      </c>
    </row>
    <row r="221" spans="1:11">
      <c r="A221" s="325" t="s">
        <v>511</v>
      </c>
      <c r="B221" s="328"/>
      <c r="C221" s="328"/>
      <c r="D221" s="542"/>
      <c r="E221" s="330"/>
      <c r="F221" s="331"/>
      <c r="G221" s="332"/>
      <c r="H221" s="542"/>
      <c r="I221" s="335"/>
      <c r="J221" s="295"/>
      <c r="K221" s="296">
        <f t="shared" si="5"/>
        <v>0</v>
      </c>
    </row>
    <row r="222" spans="1:11">
      <c r="A222" s="325" t="s">
        <v>511</v>
      </c>
      <c r="B222" s="328"/>
      <c r="C222" s="328"/>
      <c r="D222" s="542"/>
      <c r="E222" s="330"/>
      <c r="F222" s="331"/>
      <c r="G222" s="332"/>
      <c r="H222" s="542"/>
      <c r="I222" s="335"/>
      <c r="J222" s="295"/>
      <c r="K222" s="296">
        <f t="shared" si="5"/>
        <v>0</v>
      </c>
    </row>
    <row r="223" spans="1:11">
      <c r="A223" s="325" t="s">
        <v>511</v>
      </c>
      <c r="B223" s="328"/>
      <c r="C223" s="328"/>
      <c r="D223" s="542"/>
      <c r="E223" s="330"/>
      <c r="F223" s="331"/>
      <c r="G223" s="332"/>
      <c r="H223" s="542"/>
      <c r="I223" s="335"/>
      <c r="J223" s="295"/>
      <c r="K223" s="296">
        <f t="shared" si="5"/>
        <v>0</v>
      </c>
    </row>
    <row r="224" spans="1:11">
      <c r="A224" s="325" t="s">
        <v>511</v>
      </c>
      <c r="B224" s="328"/>
      <c r="C224" s="328"/>
      <c r="D224" s="542"/>
      <c r="E224" s="330"/>
      <c r="F224" s="331"/>
      <c r="G224" s="332"/>
      <c r="H224" s="542"/>
      <c r="I224" s="335"/>
      <c r="J224" s="295"/>
      <c r="K224" s="296">
        <f t="shared" si="5"/>
        <v>0</v>
      </c>
    </row>
    <row r="225" spans="1:11">
      <c r="A225" s="325" t="s">
        <v>511</v>
      </c>
      <c r="B225" s="328"/>
      <c r="C225" s="328"/>
      <c r="D225" s="542"/>
      <c r="E225" s="330"/>
      <c r="F225" s="331"/>
      <c r="G225" s="332"/>
      <c r="H225" s="542"/>
      <c r="I225" s="335"/>
      <c r="J225" s="295"/>
      <c r="K225" s="296">
        <f t="shared" si="5"/>
        <v>0</v>
      </c>
    </row>
    <row r="226" spans="1:11">
      <c r="A226" s="325" t="s">
        <v>511</v>
      </c>
      <c r="B226" s="328"/>
      <c r="C226" s="328"/>
      <c r="D226" s="542"/>
      <c r="E226" s="330"/>
      <c r="F226" s="331"/>
      <c r="G226" s="332"/>
      <c r="H226" s="542"/>
      <c r="I226" s="335"/>
      <c r="J226" s="295"/>
      <c r="K226" s="296">
        <f t="shared" si="5"/>
        <v>0</v>
      </c>
    </row>
    <row r="227" spans="1:11">
      <c r="A227" s="325" t="s">
        <v>511</v>
      </c>
      <c r="B227" s="328"/>
      <c r="C227" s="328"/>
      <c r="D227" s="542"/>
      <c r="E227" s="330"/>
      <c r="F227" s="331"/>
      <c r="G227" s="332"/>
      <c r="H227" s="542"/>
      <c r="I227" s="335"/>
      <c r="J227" s="295"/>
      <c r="K227" s="296">
        <f t="shared" si="5"/>
        <v>0</v>
      </c>
    </row>
    <row r="228" spans="1:11">
      <c r="A228" s="325" t="s">
        <v>511</v>
      </c>
      <c r="B228" s="328"/>
      <c r="C228" s="328"/>
      <c r="D228" s="542"/>
      <c r="E228" s="330"/>
      <c r="F228" s="331"/>
      <c r="G228" s="332"/>
      <c r="H228" s="542"/>
      <c r="I228" s="335"/>
      <c r="J228" s="295"/>
      <c r="K228" s="296">
        <f t="shared" si="5"/>
        <v>0</v>
      </c>
    </row>
    <row r="229" spans="1:11">
      <c r="A229" s="325" t="s">
        <v>511</v>
      </c>
      <c r="B229" s="328"/>
      <c r="C229" s="328"/>
      <c r="D229" s="542"/>
      <c r="E229" s="330"/>
      <c r="F229" s="331"/>
      <c r="G229" s="332"/>
      <c r="H229" s="542"/>
      <c r="I229" s="335"/>
      <c r="J229" s="295"/>
      <c r="K229" s="296">
        <f t="shared" si="5"/>
        <v>0</v>
      </c>
    </row>
    <row r="230" spans="1:11">
      <c r="A230" s="325" t="s">
        <v>511</v>
      </c>
      <c r="B230" s="328"/>
      <c r="C230" s="328"/>
      <c r="D230" s="542"/>
      <c r="E230" s="330"/>
      <c r="F230" s="331"/>
      <c r="G230" s="332"/>
      <c r="H230" s="542"/>
      <c r="I230" s="335"/>
      <c r="J230" s="295"/>
      <c r="K230" s="296">
        <f t="shared" si="5"/>
        <v>0</v>
      </c>
    </row>
    <row r="231" spans="1:11">
      <c r="A231" s="325" t="s">
        <v>511</v>
      </c>
      <c r="B231" s="328"/>
      <c r="C231" s="328"/>
      <c r="D231" s="542"/>
      <c r="E231" s="330"/>
      <c r="F231" s="331"/>
      <c r="G231" s="332"/>
      <c r="H231" s="542"/>
      <c r="I231" s="335"/>
      <c r="J231" s="295"/>
      <c r="K231" s="296">
        <f t="shared" si="5"/>
        <v>0</v>
      </c>
    </row>
    <row r="232" spans="1:11">
      <c r="A232" s="325" t="s">
        <v>511</v>
      </c>
      <c r="B232" s="328"/>
      <c r="C232" s="328"/>
      <c r="D232" s="542"/>
      <c r="E232" s="330"/>
      <c r="F232" s="331"/>
      <c r="G232" s="332"/>
      <c r="H232" s="542"/>
      <c r="I232" s="335"/>
      <c r="J232" s="295"/>
      <c r="K232" s="296">
        <f t="shared" si="5"/>
        <v>0</v>
      </c>
    </row>
    <row r="233" spans="1:11">
      <c r="A233" s="325" t="s">
        <v>511</v>
      </c>
      <c r="B233" s="328"/>
      <c r="C233" s="328"/>
      <c r="D233" s="542"/>
      <c r="E233" s="330"/>
      <c r="F233" s="331"/>
      <c r="G233" s="332"/>
      <c r="H233" s="542"/>
      <c r="I233" s="335"/>
      <c r="J233" s="295"/>
      <c r="K233" s="296">
        <f t="shared" si="5"/>
        <v>0</v>
      </c>
    </row>
    <row r="234" spans="1:11">
      <c r="A234" s="325" t="s">
        <v>511</v>
      </c>
      <c r="B234" s="328"/>
      <c r="C234" s="328"/>
      <c r="D234" s="542"/>
      <c r="E234" s="330"/>
      <c r="F234" s="331"/>
      <c r="G234" s="332"/>
      <c r="H234" s="542"/>
      <c r="I234" s="335"/>
      <c r="J234" s="295"/>
      <c r="K234" s="296">
        <f t="shared" si="5"/>
        <v>0</v>
      </c>
    </row>
    <row r="235" spans="1:11">
      <c r="A235" s="325" t="s">
        <v>511</v>
      </c>
      <c r="B235" s="328"/>
      <c r="C235" s="328"/>
      <c r="D235" s="542"/>
      <c r="E235" s="330"/>
      <c r="F235" s="331"/>
      <c r="G235" s="332"/>
      <c r="H235" s="542"/>
      <c r="I235" s="335"/>
      <c r="J235" s="295"/>
      <c r="K235" s="296">
        <f t="shared" si="5"/>
        <v>0</v>
      </c>
    </row>
    <row r="236" spans="1:11">
      <c r="A236" s="325" t="s">
        <v>511</v>
      </c>
      <c r="B236" s="328"/>
      <c r="C236" s="328"/>
      <c r="D236" s="542"/>
      <c r="E236" s="330"/>
      <c r="F236" s="331"/>
      <c r="G236" s="332"/>
      <c r="H236" s="542"/>
      <c r="I236" s="335"/>
      <c r="J236" s="295"/>
      <c r="K236" s="296">
        <f t="shared" si="5"/>
        <v>0</v>
      </c>
    </row>
    <row r="237" spans="1:11">
      <c r="A237" s="325" t="s">
        <v>511</v>
      </c>
      <c r="B237" s="328"/>
      <c r="C237" s="328"/>
      <c r="D237" s="542"/>
      <c r="E237" s="330"/>
      <c r="F237" s="331"/>
      <c r="G237" s="332"/>
      <c r="H237" s="542"/>
      <c r="I237" s="335"/>
      <c r="J237" s="295"/>
      <c r="K237" s="296">
        <f t="shared" si="5"/>
        <v>0</v>
      </c>
    </row>
    <row r="238" spans="1:11">
      <c r="A238" s="325" t="s">
        <v>511</v>
      </c>
      <c r="B238" s="328"/>
      <c r="C238" s="328"/>
      <c r="D238" s="542"/>
      <c r="E238" s="330"/>
      <c r="F238" s="331"/>
      <c r="G238" s="332"/>
      <c r="H238" s="542"/>
      <c r="I238" s="335"/>
      <c r="J238" s="295"/>
      <c r="K238" s="296">
        <f t="shared" si="5"/>
        <v>0</v>
      </c>
    </row>
    <row r="239" spans="1:11">
      <c r="A239" s="325" t="s">
        <v>511</v>
      </c>
      <c r="B239" s="328"/>
      <c r="C239" s="328"/>
      <c r="D239" s="542"/>
      <c r="E239" s="330"/>
      <c r="F239" s="331"/>
      <c r="G239" s="332"/>
      <c r="H239" s="542"/>
      <c r="I239" s="335"/>
      <c r="J239" s="295"/>
      <c r="K239" s="296">
        <f t="shared" si="5"/>
        <v>0</v>
      </c>
    </row>
    <row r="240" spans="1:11">
      <c r="A240" s="325" t="s">
        <v>511</v>
      </c>
      <c r="B240" s="328"/>
      <c r="C240" s="328"/>
      <c r="D240" s="542"/>
      <c r="E240" s="330"/>
      <c r="F240" s="331"/>
      <c r="G240" s="332"/>
      <c r="H240" s="542"/>
      <c r="I240" s="335"/>
      <c r="J240" s="295"/>
      <c r="K240" s="296">
        <f t="shared" si="5"/>
        <v>0</v>
      </c>
    </row>
    <row r="241" spans="1:11">
      <c r="A241" s="325" t="s">
        <v>511</v>
      </c>
      <c r="B241" s="328"/>
      <c r="C241" s="328"/>
      <c r="D241" s="542"/>
      <c r="E241" s="330"/>
      <c r="F241" s="331"/>
      <c r="G241" s="332"/>
      <c r="H241" s="542"/>
      <c r="I241" s="335"/>
      <c r="J241" s="295"/>
      <c r="K241" s="296">
        <f t="shared" si="5"/>
        <v>0</v>
      </c>
    </row>
    <row r="242" spans="1:11">
      <c r="A242" s="325" t="s">
        <v>511</v>
      </c>
      <c r="B242" s="328"/>
      <c r="C242" s="328"/>
      <c r="D242" s="542"/>
      <c r="E242" s="330"/>
      <c r="F242" s="331"/>
      <c r="G242" s="332"/>
      <c r="H242" s="542"/>
      <c r="I242" s="335"/>
      <c r="J242" s="295"/>
      <c r="K242" s="296">
        <f t="shared" si="5"/>
        <v>0</v>
      </c>
    </row>
    <row r="243" spans="1:11">
      <c r="A243" s="325" t="s">
        <v>511</v>
      </c>
      <c r="B243" s="328"/>
      <c r="C243" s="328"/>
      <c r="D243" s="542"/>
      <c r="E243" s="330"/>
      <c r="F243" s="331"/>
      <c r="G243" s="332"/>
      <c r="H243" s="542"/>
      <c r="I243" s="335"/>
      <c r="J243" s="295"/>
      <c r="K243" s="296">
        <f t="shared" si="5"/>
        <v>0</v>
      </c>
    </row>
    <row r="244" spans="1:11">
      <c r="A244" s="325" t="s">
        <v>511</v>
      </c>
      <c r="B244" s="328"/>
      <c r="C244" s="328"/>
      <c r="D244" s="542"/>
      <c r="E244" s="330"/>
      <c r="F244" s="331"/>
      <c r="G244" s="332"/>
      <c r="H244" s="542"/>
      <c r="I244" s="335"/>
      <c r="J244" s="295"/>
      <c r="K244" s="296">
        <f t="shared" si="5"/>
        <v>0</v>
      </c>
    </row>
    <row r="245" spans="1:11">
      <c r="A245" s="325" t="s">
        <v>511</v>
      </c>
      <c r="B245" s="328"/>
      <c r="C245" s="328"/>
      <c r="D245" s="542"/>
      <c r="E245" s="330"/>
      <c r="F245" s="331"/>
      <c r="G245" s="332"/>
      <c r="H245" s="542"/>
      <c r="I245" s="335"/>
      <c r="J245" s="335"/>
      <c r="K245" s="296">
        <f t="shared" si="5"/>
        <v>0</v>
      </c>
    </row>
    <row r="246" spans="1:11">
      <c r="A246" s="325" t="s">
        <v>511</v>
      </c>
      <c r="B246" s="328"/>
      <c r="C246" s="328"/>
      <c r="D246" s="542"/>
      <c r="E246" s="330"/>
      <c r="F246" s="331"/>
      <c r="G246" s="332"/>
      <c r="H246" s="542"/>
      <c r="I246" s="335"/>
      <c r="J246" s="335"/>
      <c r="K246" s="296">
        <f t="shared" si="5"/>
        <v>0</v>
      </c>
    </row>
    <row r="247" spans="1:11">
      <c r="A247" s="325" t="s">
        <v>511</v>
      </c>
      <c r="B247" s="328"/>
      <c r="C247" s="328"/>
      <c r="D247" s="542"/>
      <c r="E247" s="330"/>
      <c r="F247" s="331"/>
      <c r="G247" s="332"/>
      <c r="H247" s="542"/>
      <c r="I247" s="335"/>
      <c r="J247" s="335"/>
      <c r="K247" s="296">
        <f t="shared" si="5"/>
        <v>0</v>
      </c>
    </row>
    <row r="248" spans="1:11">
      <c r="A248" s="325" t="s">
        <v>511</v>
      </c>
      <c r="B248" s="328"/>
      <c r="C248" s="328"/>
      <c r="D248" s="542"/>
      <c r="E248" s="330"/>
      <c r="F248" s="331"/>
      <c r="G248" s="332"/>
      <c r="H248" s="542"/>
      <c r="I248" s="335"/>
      <c r="J248" s="335"/>
      <c r="K248" s="296">
        <f t="shared" si="5"/>
        <v>0</v>
      </c>
    </row>
    <row r="249" spans="1:11">
      <c r="A249" s="325" t="s">
        <v>511</v>
      </c>
      <c r="B249" s="328"/>
      <c r="C249" s="328"/>
      <c r="D249" s="542"/>
      <c r="E249" s="330"/>
      <c r="F249" s="331"/>
      <c r="G249" s="332"/>
      <c r="H249" s="542"/>
      <c r="I249" s="335"/>
      <c r="J249" s="335"/>
      <c r="K249" s="296">
        <f t="shared" si="5"/>
        <v>0</v>
      </c>
    </row>
    <row r="250" spans="1:11">
      <c r="A250" s="325" t="s">
        <v>511</v>
      </c>
      <c r="B250" s="328"/>
      <c r="C250" s="328"/>
      <c r="D250" s="542"/>
      <c r="E250" s="330"/>
      <c r="F250" s="331"/>
      <c r="G250" s="332"/>
      <c r="H250" s="542"/>
      <c r="I250" s="335"/>
      <c r="J250" s="335"/>
      <c r="K250" s="296">
        <f t="shared" si="5"/>
        <v>0</v>
      </c>
    </row>
    <row r="251" spans="1:11">
      <c r="A251" s="325" t="s">
        <v>511</v>
      </c>
      <c r="B251" s="328"/>
      <c r="C251" s="328"/>
      <c r="D251" s="542"/>
      <c r="E251" s="330"/>
      <c r="F251" s="331"/>
      <c r="G251" s="332"/>
      <c r="H251" s="542"/>
      <c r="I251" s="335"/>
      <c r="J251" s="335"/>
      <c r="K251" s="296">
        <f t="shared" si="5"/>
        <v>0</v>
      </c>
    </row>
    <row r="252" spans="1:11">
      <c r="A252" s="325" t="s">
        <v>511</v>
      </c>
      <c r="B252" s="328"/>
      <c r="C252" s="328"/>
      <c r="D252" s="542"/>
      <c r="E252" s="330"/>
      <c r="F252" s="331"/>
      <c r="G252" s="332"/>
      <c r="H252" s="542"/>
      <c r="I252" s="335"/>
      <c r="J252" s="335"/>
      <c r="K252" s="296">
        <f t="shared" si="5"/>
        <v>0</v>
      </c>
    </row>
    <row r="253" spans="1:11">
      <c r="A253" s="325" t="s">
        <v>511</v>
      </c>
      <c r="B253" s="328"/>
      <c r="C253" s="328"/>
      <c r="D253" s="542"/>
      <c r="E253" s="330"/>
      <c r="F253" s="331"/>
      <c r="G253" s="332"/>
      <c r="H253" s="542"/>
      <c r="I253" s="335"/>
      <c r="J253" s="335"/>
      <c r="K253" s="296">
        <f t="shared" si="5"/>
        <v>0</v>
      </c>
    </row>
    <row r="254" spans="1:11">
      <c r="A254" s="325" t="s">
        <v>511</v>
      </c>
      <c r="B254" s="328"/>
      <c r="C254" s="328"/>
      <c r="D254" s="542"/>
      <c r="E254" s="330"/>
      <c r="F254" s="331"/>
      <c r="G254" s="332"/>
      <c r="H254" s="542"/>
      <c r="I254" s="335"/>
      <c r="J254" s="335"/>
      <c r="K254" s="296">
        <f t="shared" si="5"/>
        <v>0</v>
      </c>
    </row>
    <row r="255" spans="1:11">
      <c r="A255" s="325" t="s">
        <v>511</v>
      </c>
      <c r="B255" s="328"/>
      <c r="C255" s="328"/>
      <c r="D255" s="542"/>
      <c r="E255" s="330"/>
      <c r="F255" s="331"/>
      <c r="G255" s="332"/>
      <c r="H255" s="542"/>
      <c r="I255" s="335"/>
      <c r="J255" s="335"/>
      <c r="K255" s="296">
        <f t="shared" si="5"/>
        <v>0</v>
      </c>
    </row>
    <row r="256" spans="1:11">
      <c r="A256" s="325" t="s">
        <v>511</v>
      </c>
      <c r="B256" s="328"/>
      <c r="C256" s="328"/>
      <c r="D256" s="542"/>
      <c r="E256" s="330"/>
      <c r="F256" s="331"/>
      <c r="G256" s="332"/>
      <c r="H256" s="542"/>
      <c r="I256" s="335"/>
      <c r="J256" s="335"/>
      <c r="K256" s="296">
        <f t="shared" si="5"/>
        <v>0</v>
      </c>
    </row>
    <row r="257" spans="1:11">
      <c r="A257" s="325" t="s">
        <v>511</v>
      </c>
      <c r="B257" s="328"/>
      <c r="C257" s="328"/>
      <c r="D257" s="542"/>
      <c r="E257" s="330"/>
      <c r="F257" s="331"/>
      <c r="G257" s="332"/>
      <c r="H257" s="542"/>
      <c r="I257" s="335"/>
      <c r="J257" s="335"/>
      <c r="K257" s="296">
        <f t="shared" si="5"/>
        <v>0</v>
      </c>
    </row>
    <row r="258" spans="1:11">
      <c r="A258" s="325" t="s">
        <v>511</v>
      </c>
      <c r="B258" s="328"/>
      <c r="C258" s="328"/>
      <c r="D258" s="542"/>
      <c r="E258" s="330"/>
      <c r="F258" s="331"/>
      <c r="G258" s="332"/>
      <c r="H258" s="542"/>
      <c r="I258" s="335"/>
      <c r="J258" s="335"/>
      <c r="K258" s="296">
        <f t="shared" si="5"/>
        <v>0</v>
      </c>
    </row>
    <row r="259" spans="1:11">
      <c r="A259" s="325" t="s">
        <v>511</v>
      </c>
      <c r="B259" s="328"/>
      <c r="C259" s="328"/>
      <c r="D259" s="542"/>
      <c r="E259" s="330"/>
      <c r="F259" s="331"/>
      <c r="G259" s="332"/>
      <c r="H259" s="542"/>
      <c r="I259" s="335"/>
      <c r="J259" s="335"/>
      <c r="K259" s="296">
        <f t="shared" si="5"/>
        <v>0</v>
      </c>
    </row>
    <row r="260" spans="1:11">
      <c r="A260" s="325" t="s">
        <v>511</v>
      </c>
      <c r="B260" s="328"/>
      <c r="C260" s="328"/>
      <c r="D260" s="542"/>
      <c r="E260" s="330"/>
      <c r="F260" s="331"/>
      <c r="G260" s="332"/>
      <c r="H260" s="542"/>
      <c r="I260" s="335"/>
      <c r="J260" s="335"/>
      <c r="K260" s="296">
        <f t="shared" si="5"/>
        <v>0</v>
      </c>
    </row>
    <row r="261" spans="1:11">
      <c r="A261" s="325" t="s">
        <v>511</v>
      </c>
      <c r="B261" s="328"/>
      <c r="C261" s="328"/>
      <c r="D261" s="542"/>
      <c r="E261" s="330"/>
      <c r="F261" s="331"/>
      <c r="G261" s="332"/>
      <c r="H261" s="542"/>
      <c r="I261" s="335"/>
      <c r="J261" s="335"/>
      <c r="K261" s="296">
        <f t="shared" si="5"/>
        <v>0</v>
      </c>
    </row>
    <row r="262" spans="1:11">
      <c r="A262" s="325" t="s">
        <v>511</v>
      </c>
      <c r="B262" s="328"/>
      <c r="C262" s="328"/>
      <c r="D262" s="542"/>
      <c r="E262" s="330"/>
      <c r="F262" s="331"/>
      <c r="G262" s="332"/>
      <c r="H262" s="542"/>
      <c r="I262" s="335"/>
      <c r="J262" s="335"/>
      <c r="K262" s="296">
        <f t="shared" si="5"/>
        <v>0</v>
      </c>
    </row>
    <row r="263" spans="1:11">
      <c r="A263" s="325" t="s">
        <v>511</v>
      </c>
      <c r="B263" s="328"/>
      <c r="C263" s="328"/>
      <c r="D263" s="542"/>
      <c r="E263" s="330"/>
      <c r="F263" s="331"/>
      <c r="G263" s="332"/>
      <c r="H263" s="542"/>
      <c r="I263" s="335"/>
      <c r="J263" s="335"/>
      <c r="K263" s="296">
        <f t="shared" si="5"/>
        <v>0</v>
      </c>
    </row>
    <row r="264" spans="1:11">
      <c r="A264" s="325" t="s">
        <v>511</v>
      </c>
      <c r="B264" s="328"/>
      <c r="C264" s="328"/>
      <c r="D264" s="542"/>
      <c r="E264" s="330"/>
      <c r="F264" s="331"/>
      <c r="G264" s="332"/>
      <c r="H264" s="542"/>
      <c r="I264" s="335"/>
      <c r="J264" s="335"/>
      <c r="K264" s="296">
        <f t="shared" si="5"/>
        <v>0</v>
      </c>
    </row>
    <row r="265" spans="1:11">
      <c r="A265" s="325" t="s">
        <v>511</v>
      </c>
      <c r="B265" s="328"/>
      <c r="C265" s="328"/>
      <c r="D265" s="542"/>
      <c r="E265" s="330"/>
      <c r="F265" s="331"/>
      <c r="G265" s="332"/>
      <c r="H265" s="542"/>
      <c r="I265" s="335"/>
      <c r="J265" s="335"/>
      <c r="K265" s="296">
        <f t="shared" si="5"/>
        <v>0</v>
      </c>
    </row>
    <row r="266" spans="1:11">
      <c r="A266" s="325" t="s">
        <v>511</v>
      </c>
      <c r="B266" s="328"/>
      <c r="C266" s="328"/>
      <c r="D266" s="542"/>
      <c r="E266" s="330"/>
      <c r="F266" s="331"/>
      <c r="G266" s="332"/>
      <c r="H266" s="542"/>
      <c r="I266" s="335"/>
      <c r="J266" s="335"/>
      <c r="K266" s="296">
        <f t="shared" si="5"/>
        <v>0</v>
      </c>
    </row>
    <row r="267" spans="1:11">
      <c r="A267" s="325" t="s">
        <v>511</v>
      </c>
      <c r="B267" s="328"/>
      <c r="C267" s="328"/>
      <c r="D267" s="542"/>
      <c r="E267" s="330"/>
      <c r="F267" s="331"/>
      <c r="G267" s="332"/>
      <c r="H267" s="542"/>
      <c r="I267" s="335"/>
      <c r="J267" s="335"/>
      <c r="K267" s="296">
        <f t="shared" si="5"/>
        <v>0</v>
      </c>
    </row>
    <row r="268" spans="1:11">
      <c r="A268" s="325" t="s">
        <v>511</v>
      </c>
      <c r="B268" s="328"/>
      <c r="C268" s="328"/>
      <c r="D268" s="542"/>
      <c r="E268" s="330"/>
      <c r="F268" s="331"/>
      <c r="G268" s="332"/>
      <c r="H268" s="542"/>
      <c r="I268" s="335"/>
      <c r="J268" s="335"/>
      <c r="K268" s="296">
        <f t="shared" si="5"/>
        <v>0</v>
      </c>
    </row>
    <row r="269" spans="1:11">
      <c r="A269" s="325" t="s">
        <v>511</v>
      </c>
      <c r="B269" s="328"/>
      <c r="C269" s="328"/>
      <c r="D269" s="542"/>
      <c r="E269" s="330"/>
      <c r="F269" s="331"/>
      <c r="G269" s="332"/>
      <c r="H269" s="542"/>
      <c r="I269" s="335"/>
      <c r="J269" s="335"/>
      <c r="K269" s="296">
        <f t="shared" si="5"/>
        <v>0</v>
      </c>
    </row>
    <row r="270" spans="1:11">
      <c r="A270" s="325" t="s">
        <v>511</v>
      </c>
      <c r="B270" s="328"/>
      <c r="C270" s="328"/>
      <c r="D270" s="542"/>
      <c r="E270" s="330"/>
      <c r="F270" s="331"/>
      <c r="G270" s="332"/>
      <c r="H270" s="542"/>
      <c r="I270" s="335"/>
      <c r="J270" s="335"/>
      <c r="K270" s="296">
        <f t="shared" si="5"/>
        <v>0</v>
      </c>
    </row>
    <row r="271" spans="1:11">
      <c r="A271" s="325" t="s">
        <v>511</v>
      </c>
      <c r="B271" s="328"/>
      <c r="C271" s="328"/>
      <c r="D271" s="542"/>
      <c r="E271" s="330"/>
      <c r="F271" s="331"/>
      <c r="G271" s="332"/>
      <c r="H271" s="542"/>
      <c r="I271" s="335"/>
      <c r="J271" s="335"/>
      <c r="K271" s="296">
        <f t="shared" si="5"/>
        <v>0</v>
      </c>
    </row>
    <row r="272" spans="1:11">
      <c r="A272" s="325" t="s">
        <v>511</v>
      </c>
      <c r="B272" s="328"/>
      <c r="C272" s="328"/>
      <c r="D272" s="542"/>
      <c r="E272" s="330"/>
      <c r="F272" s="331"/>
      <c r="G272" s="332"/>
      <c r="H272" s="542"/>
      <c r="I272" s="335"/>
      <c r="J272" s="335"/>
      <c r="K272" s="296">
        <f t="shared" si="5"/>
        <v>0</v>
      </c>
    </row>
    <row r="273" spans="1:11">
      <c r="A273" s="325" t="s">
        <v>511</v>
      </c>
      <c r="B273" s="328"/>
      <c r="C273" s="328"/>
      <c r="D273" s="542"/>
      <c r="E273" s="330"/>
      <c r="F273" s="331"/>
      <c r="G273" s="332"/>
      <c r="H273" s="542"/>
      <c r="I273" s="335"/>
      <c r="J273" s="335"/>
      <c r="K273" s="296">
        <f t="shared" si="5"/>
        <v>0</v>
      </c>
    </row>
    <row r="274" spans="1:11">
      <c r="A274" s="325" t="s">
        <v>511</v>
      </c>
      <c r="B274" s="328"/>
      <c r="C274" s="328"/>
      <c r="D274" s="542"/>
      <c r="E274" s="330"/>
      <c r="F274" s="331"/>
      <c r="G274" s="332"/>
      <c r="H274" s="542"/>
      <c r="I274" s="335"/>
      <c r="J274" s="335"/>
      <c r="K274" s="296">
        <f t="shared" si="5"/>
        <v>0</v>
      </c>
    </row>
    <row r="275" spans="1:11">
      <c r="A275" s="325" t="s">
        <v>511</v>
      </c>
      <c r="B275" s="328"/>
      <c r="C275" s="328"/>
      <c r="D275" s="542"/>
      <c r="E275" s="330"/>
      <c r="F275" s="331"/>
      <c r="G275" s="332"/>
      <c r="H275" s="542"/>
      <c r="I275" s="335"/>
      <c r="J275" s="335"/>
      <c r="K275" s="296">
        <f t="shared" si="5"/>
        <v>0</v>
      </c>
    </row>
    <row r="276" spans="1:11">
      <c r="A276" s="325" t="s">
        <v>511</v>
      </c>
      <c r="B276" s="328"/>
      <c r="C276" s="328"/>
      <c r="D276" s="542"/>
      <c r="E276" s="330"/>
      <c r="F276" s="331"/>
      <c r="G276" s="332"/>
      <c r="H276" s="542"/>
      <c r="I276" s="335"/>
      <c r="J276" s="335"/>
      <c r="K276" s="296">
        <f t="shared" si="5"/>
        <v>0</v>
      </c>
    </row>
    <row r="277" spans="1:11">
      <c r="A277" s="325" t="s">
        <v>511</v>
      </c>
      <c r="B277" s="328"/>
      <c r="C277" s="328"/>
      <c r="D277" s="542"/>
      <c r="E277" s="330"/>
      <c r="F277" s="331"/>
      <c r="G277" s="332"/>
      <c r="H277" s="542"/>
      <c r="I277" s="335"/>
      <c r="J277" s="335"/>
      <c r="K277" s="296">
        <f t="shared" ref="K277:K327" si="6">IF(LEFT(A277,2)="TU",(J277-I277)*E277/100*100000*2,(J277-I277)*E277/100*100000)</f>
        <v>0</v>
      </c>
    </row>
    <row r="278" spans="1:11">
      <c r="A278" s="325" t="s">
        <v>511</v>
      </c>
      <c r="B278" s="328"/>
      <c r="C278" s="328"/>
      <c r="D278" s="542"/>
      <c r="E278" s="330"/>
      <c r="F278" s="331"/>
      <c r="G278" s="332"/>
      <c r="H278" s="542"/>
      <c r="I278" s="335"/>
      <c r="J278" s="335"/>
      <c r="K278" s="296">
        <f t="shared" si="6"/>
        <v>0</v>
      </c>
    </row>
    <row r="279" spans="1:11">
      <c r="A279" s="325" t="s">
        <v>511</v>
      </c>
      <c r="B279" s="328"/>
      <c r="C279" s="328"/>
      <c r="D279" s="542"/>
      <c r="E279" s="330"/>
      <c r="F279" s="331"/>
      <c r="G279" s="332"/>
      <c r="H279" s="542"/>
      <c r="I279" s="335"/>
      <c r="J279" s="335"/>
      <c r="K279" s="296">
        <f t="shared" si="6"/>
        <v>0</v>
      </c>
    </row>
    <row r="280" spans="1:11">
      <c r="A280" s="325" t="s">
        <v>511</v>
      </c>
      <c r="B280" s="328"/>
      <c r="C280" s="328"/>
      <c r="D280" s="542"/>
      <c r="E280" s="330"/>
      <c r="F280" s="331"/>
      <c r="G280" s="332"/>
      <c r="H280" s="542"/>
      <c r="I280" s="335"/>
      <c r="J280" s="335"/>
      <c r="K280" s="296">
        <f t="shared" si="6"/>
        <v>0</v>
      </c>
    </row>
    <row r="281" spans="1:11">
      <c r="A281" s="325" t="s">
        <v>511</v>
      </c>
      <c r="B281" s="328"/>
      <c r="C281" s="328"/>
      <c r="D281" s="542"/>
      <c r="E281" s="330"/>
      <c r="F281" s="331"/>
      <c r="G281" s="332"/>
      <c r="H281" s="542"/>
      <c r="I281" s="335"/>
      <c r="J281" s="335"/>
      <c r="K281" s="296">
        <f t="shared" si="6"/>
        <v>0</v>
      </c>
    </row>
    <row r="282" spans="1:11">
      <c r="A282" s="325" t="s">
        <v>511</v>
      </c>
      <c r="B282" s="328"/>
      <c r="C282" s="328"/>
      <c r="D282" s="542"/>
      <c r="E282" s="330"/>
      <c r="F282" s="331"/>
      <c r="G282" s="332"/>
      <c r="H282" s="542"/>
      <c r="I282" s="335"/>
      <c r="J282" s="335"/>
      <c r="K282" s="296">
        <f t="shared" si="6"/>
        <v>0</v>
      </c>
    </row>
    <row r="283" spans="1:11">
      <c r="A283" s="325" t="s">
        <v>511</v>
      </c>
      <c r="B283" s="328"/>
      <c r="C283" s="328"/>
      <c r="D283" s="542"/>
      <c r="E283" s="330"/>
      <c r="F283" s="331"/>
      <c r="G283" s="332"/>
      <c r="H283" s="542"/>
      <c r="I283" s="335"/>
      <c r="J283" s="335"/>
      <c r="K283" s="296">
        <f t="shared" si="6"/>
        <v>0</v>
      </c>
    </row>
    <row r="284" spans="1:11">
      <c r="A284" s="325" t="s">
        <v>511</v>
      </c>
      <c r="B284" s="328"/>
      <c r="C284" s="328"/>
      <c r="D284" s="542"/>
      <c r="E284" s="330"/>
      <c r="F284" s="331"/>
      <c r="G284" s="332"/>
      <c r="H284" s="542"/>
      <c r="I284" s="335"/>
      <c r="J284" s="335"/>
      <c r="K284" s="296">
        <f t="shared" si="6"/>
        <v>0</v>
      </c>
    </row>
    <row r="285" spans="1:11">
      <c r="A285" s="325" t="s">
        <v>511</v>
      </c>
      <c r="B285" s="328"/>
      <c r="C285" s="328"/>
      <c r="D285" s="542"/>
      <c r="E285" s="330"/>
      <c r="F285" s="331"/>
      <c r="G285" s="332"/>
      <c r="H285" s="542"/>
      <c r="I285" s="335"/>
      <c r="J285" s="335"/>
      <c r="K285" s="296">
        <f t="shared" si="6"/>
        <v>0</v>
      </c>
    </row>
    <row r="286" spans="1:11">
      <c r="A286" s="325" t="s">
        <v>511</v>
      </c>
      <c r="B286" s="328"/>
      <c r="C286" s="328"/>
      <c r="D286" s="542"/>
      <c r="E286" s="330"/>
      <c r="F286" s="331"/>
      <c r="G286" s="332"/>
      <c r="H286" s="542"/>
      <c r="I286" s="335"/>
      <c r="J286" s="335"/>
      <c r="K286" s="296">
        <f t="shared" si="6"/>
        <v>0</v>
      </c>
    </row>
    <row r="287" spans="1:11">
      <c r="A287" s="325" t="s">
        <v>511</v>
      </c>
      <c r="B287" s="328"/>
      <c r="C287" s="328"/>
      <c r="D287" s="542"/>
      <c r="E287" s="330"/>
      <c r="F287" s="331"/>
      <c r="G287" s="332"/>
      <c r="H287" s="542"/>
      <c r="I287" s="335"/>
      <c r="J287" s="335"/>
      <c r="K287" s="296">
        <f t="shared" si="6"/>
        <v>0</v>
      </c>
    </row>
    <row r="288" spans="1:11">
      <c r="A288" s="325" t="s">
        <v>526</v>
      </c>
      <c r="B288" s="328"/>
      <c r="C288" s="328"/>
      <c r="D288" s="542"/>
      <c r="E288" s="330"/>
      <c r="F288" s="331"/>
      <c r="G288" s="332"/>
      <c r="H288" s="542"/>
      <c r="I288" s="335"/>
      <c r="J288" s="335"/>
      <c r="K288" s="296">
        <f t="shared" si="6"/>
        <v>0</v>
      </c>
    </row>
    <row r="289" spans="1:11">
      <c r="A289" s="325" t="s">
        <v>526</v>
      </c>
      <c r="B289" s="328"/>
      <c r="C289" s="328"/>
      <c r="D289" s="542"/>
      <c r="E289" s="330"/>
      <c r="F289" s="331"/>
      <c r="G289" s="332"/>
      <c r="H289" s="542"/>
      <c r="I289" s="335"/>
      <c r="J289" s="335"/>
      <c r="K289" s="296">
        <f t="shared" si="6"/>
        <v>0</v>
      </c>
    </row>
    <row r="290" spans="1:11">
      <c r="A290" s="325" t="s">
        <v>526</v>
      </c>
      <c r="B290" s="328"/>
      <c r="C290" s="328"/>
      <c r="D290" s="542"/>
      <c r="E290" s="330"/>
      <c r="F290" s="331"/>
      <c r="G290" s="332"/>
      <c r="H290" s="542"/>
      <c r="I290" s="335"/>
      <c r="J290" s="335"/>
      <c r="K290" s="296">
        <f t="shared" si="6"/>
        <v>0</v>
      </c>
    </row>
    <row r="291" spans="1:11">
      <c r="A291" s="325" t="s">
        <v>526</v>
      </c>
      <c r="B291" s="328"/>
      <c r="C291" s="328"/>
      <c r="D291" s="542"/>
      <c r="E291" s="330"/>
      <c r="F291" s="331"/>
      <c r="G291" s="332"/>
      <c r="H291" s="542"/>
      <c r="I291" s="335"/>
      <c r="J291" s="335"/>
      <c r="K291" s="296">
        <f t="shared" si="6"/>
        <v>0</v>
      </c>
    </row>
    <row r="292" spans="1:11">
      <c r="A292" s="325" t="s">
        <v>526</v>
      </c>
      <c r="B292" s="328"/>
      <c r="C292" s="328"/>
      <c r="D292" s="542"/>
      <c r="E292" s="330"/>
      <c r="F292" s="331"/>
      <c r="G292" s="332"/>
      <c r="H292" s="542"/>
      <c r="I292" s="335"/>
      <c r="J292" s="335"/>
      <c r="K292" s="296">
        <f t="shared" si="6"/>
        <v>0</v>
      </c>
    </row>
    <row r="293" spans="1:11">
      <c r="A293" s="325" t="s">
        <v>526</v>
      </c>
      <c r="B293" s="328"/>
      <c r="C293" s="328"/>
      <c r="D293" s="542"/>
      <c r="E293" s="330"/>
      <c r="F293" s="331"/>
      <c r="G293" s="332"/>
      <c r="H293" s="542"/>
      <c r="I293" s="335"/>
      <c r="J293" s="335"/>
      <c r="K293" s="296">
        <f t="shared" si="6"/>
        <v>0</v>
      </c>
    </row>
    <row r="294" spans="1:11">
      <c r="A294" s="325" t="s">
        <v>526</v>
      </c>
      <c r="B294" s="328"/>
      <c r="C294" s="328"/>
      <c r="D294" s="542"/>
      <c r="E294" s="330"/>
      <c r="F294" s="331"/>
      <c r="G294" s="332"/>
      <c r="H294" s="542"/>
      <c r="I294" s="335"/>
      <c r="J294" s="335"/>
      <c r="K294" s="296">
        <f t="shared" si="6"/>
        <v>0</v>
      </c>
    </row>
    <row r="295" spans="1:11">
      <c r="A295" s="325" t="s">
        <v>526</v>
      </c>
      <c r="B295" s="328"/>
      <c r="C295" s="328"/>
      <c r="D295" s="542"/>
      <c r="E295" s="330"/>
      <c r="F295" s="331"/>
      <c r="G295" s="332"/>
      <c r="H295" s="542"/>
      <c r="I295" s="335"/>
      <c r="J295" s="335"/>
      <c r="K295" s="296">
        <f t="shared" si="6"/>
        <v>0</v>
      </c>
    </row>
    <row r="296" spans="1:11">
      <c r="A296" s="325" t="s">
        <v>526</v>
      </c>
      <c r="B296" s="328"/>
      <c r="C296" s="328"/>
      <c r="D296" s="542"/>
      <c r="E296" s="330"/>
      <c r="F296" s="331"/>
      <c r="G296" s="332"/>
      <c r="H296" s="542"/>
      <c r="I296" s="335"/>
      <c r="J296" s="335"/>
      <c r="K296" s="296">
        <f t="shared" si="6"/>
        <v>0</v>
      </c>
    </row>
    <row r="297" spans="1:11">
      <c r="A297" s="325" t="s">
        <v>526</v>
      </c>
      <c r="B297" s="328"/>
      <c r="C297" s="328"/>
      <c r="D297" s="542"/>
      <c r="E297" s="330"/>
      <c r="F297" s="331"/>
      <c r="G297" s="332"/>
      <c r="H297" s="542"/>
      <c r="I297" s="335"/>
      <c r="J297" s="335"/>
      <c r="K297" s="296">
        <f t="shared" si="6"/>
        <v>0</v>
      </c>
    </row>
    <row r="298" spans="1:11">
      <c r="A298" s="325" t="s">
        <v>526</v>
      </c>
      <c r="B298" s="328"/>
      <c r="C298" s="328"/>
      <c r="D298" s="542"/>
      <c r="E298" s="330"/>
      <c r="F298" s="331"/>
      <c r="G298" s="332"/>
      <c r="H298" s="542"/>
      <c r="I298" s="335"/>
      <c r="J298" s="335"/>
      <c r="K298" s="296">
        <f t="shared" si="6"/>
        <v>0</v>
      </c>
    </row>
    <row r="299" spans="1:11">
      <c r="A299" s="325" t="s">
        <v>526</v>
      </c>
      <c r="B299" s="328"/>
      <c r="C299" s="328"/>
      <c r="D299" s="542"/>
      <c r="E299" s="330"/>
      <c r="F299" s="331"/>
      <c r="G299" s="332"/>
      <c r="H299" s="542"/>
      <c r="I299" s="335"/>
      <c r="J299" s="335"/>
      <c r="K299" s="296">
        <f t="shared" si="6"/>
        <v>0</v>
      </c>
    </row>
    <row r="300" spans="1:11">
      <c r="A300" s="325" t="s">
        <v>526</v>
      </c>
      <c r="B300" s="328"/>
      <c r="C300" s="328"/>
      <c r="D300" s="542"/>
      <c r="E300" s="330"/>
      <c r="F300" s="331"/>
      <c r="G300" s="332"/>
      <c r="H300" s="542"/>
      <c r="I300" s="335"/>
      <c r="J300" s="335"/>
      <c r="K300" s="296">
        <f t="shared" si="6"/>
        <v>0</v>
      </c>
    </row>
    <row r="301" spans="1:11">
      <c r="A301" s="325" t="s">
        <v>526</v>
      </c>
      <c r="B301" s="328"/>
      <c r="C301" s="328"/>
      <c r="D301" s="542"/>
      <c r="E301" s="330"/>
      <c r="F301" s="331"/>
      <c r="G301" s="332"/>
      <c r="H301" s="542"/>
      <c r="I301" s="335"/>
      <c r="J301" s="335"/>
      <c r="K301" s="296">
        <f t="shared" si="6"/>
        <v>0</v>
      </c>
    </row>
    <row r="302" spans="1:11">
      <c r="A302" s="325" t="s">
        <v>526</v>
      </c>
      <c r="B302" s="328"/>
      <c r="C302" s="328"/>
      <c r="D302" s="542"/>
      <c r="E302" s="330"/>
      <c r="F302" s="331"/>
      <c r="G302" s="332"/>
      <c r="H302" s="542"/>
      <c r="I302" s="335"/>
      <c r="J302" s="335"/>
      <c r="K302" s="296">
        <f t="shared" si="6"/>
        <v>0</v>
      </c>
    </row>
    <row r="303" spans="1:11">
      <c r="A303" s="325" t="s">
        <v>526</v>
      </c>
      <c r="B303" s="328"/>
      <c r="C303" s="328"/>
      <c r="D303" s="542"/>
      <c r="E303" s="330"/>
      <c r="F303" s="331"/>
      <c r="G303" s="332"/>
      <c r="H303" s="542"/>
      <c r="I303" s="335"/>
      <c r="J303" s="335"/>
      <c r="K303" s="296">
        <f t="shared" si="6"/>
        <v>0</v>
      </c>
    </row>
    <row r="304" spans="1:11">
      <c r="A304" s="325" t="s">
        <v>526</v>
      </c>
      <c r="B304" s="328"/>
      <c r="C304" s="328"/>
      <c r="D304" s="542"/>
      <c r="E304" s="330"/>
      <c r="F304" s="331"/>
      <c r="G304" s="332"/>
      <c r="H304" s="542"/>
      <c r="I304" s="335"/>
      <c r="J304" s="335"/>
      <c r="K304" s="296">
        <f t="shared" si="6"/>
        <v>0</v>
      </c>
    </row>
    <row r="305" spans="1:11">
      <c r="A305" s="325" t="s">
        <v>526</v>
      </c>
      <c r="B305" s="328"/>
      <c r="C305" s="328"/>
      <c r="D305" s="542"/>
      <c r="E305" s="330"/>
      <c r="F305" s="331"/>
      <c r="G305" s="332"/>
      <c r="H305" s="542"/>
      <c r="I305" s="335"/>
      <c r="J305" s="335"/>
      <c r="K305" s="296">
        <f t="shared" si="6"/>
        <v>0</v>
      </c>
    </row>
    <row r="306" spans="1:11">
      <c r="A306" s="325" t="s">
        <v>526</v>
      </c>
      <c r="B306" s="328"/>
      <c r="C306" s="328"/>
      <c r="D306" s="542"/>
      <c r="E306" s="330"/>
      <c r="F306" s="331"/>
      <c r="G306" s="332"/>
      <c r="H306" s="542"/>
      <c r="I306" s="335"/>
      <c r="J306" s="335"/>
      <c r="K306" s="296">
        <f t="shared" si="6"/>
        <v>0</v>
      </c>
    </row>
    <row r="307" spans="1:11">
      <c r="A307" s="325"/>
      <c r="B307" s="328"/>
      <c r="C307" s="328"/>
      <c r="D307" s="542"/>
      <c r="E307" s="330"/>
      <c r="F307" s="331"/>
      <c r="G307" s="332"/>
      <c r="H307" s="542"/>
      <c r="I307" s="335"/>
      <c r="J307" s="335"/>
      <c r="K307" s="296">
        <f t="shared" si="6"/>
        <v>0</v>
      </c>
    </row>
    <row r="308" spans="1:11">
      <c r="A308" s="325"/>
      <c r="B308" s="328"/>
      <c r="C308" s="328"/>
      <c r="D308" s="542"/>
      <c r="E308" s="330"/>
      <c r="F308" s="331"/>
      <c r="G308" s="332"/>
      <c r="H308" s="542"/>
      <c r="I308" s="335"/>
      <c r="J308" s="335"/>
      <c r="K308" s="296">
        <f t="shared" si="6"/>
        <v>0</v>
      </c>
    </row>
    <row r="309" spans="1:11">
      <c r="A309" s="325"/>
      <c r="B309" s="328"/>
      <c r="C309" s="328"/>
      <c r="D309" s="542"/>
      <c r="E309" s="330"/>
      <c r="F309" s="331"/>
      <c r="G309" s="332"/>
      <c r="H309" s="542"/>
      <c r="I309" s="335"/>
      <c r="J309" s="335"/>
      <c r="K309" s="296">
        <f t="shared" si="6"/>
        <v>0</v>
      </c>
    </row>
    <row r="310" spans="1:11">
      <c r="A310" s="325"/>
      <c r="B310" s="328"/>
      <c r="C310" s="328"/>
      <c r="D310" s="542"/>
      <c r="E310" s="330"/>
      <c r="F310" s="331"/>
      <c r="G310" s="332"/>
      <c r="H310" s="542"/>
      <c r="I310" s="335"/>
      <c r="J310" s="335"/>
      <c r="K310" s="296">
        <f t="shared" si="6"/>
        <v>0</v>
      </c>
    </row>
    <row r="311" spans="1:11">
      <c r="A311" s="325"/>
      <c r="B311" s="328"/>
      <c r="C311" s="328"/>
      <c r="D311" s="542"/>
      <c r="E311" s="330"/>
      <c r="F311" s="331"/>
      <c r="G311" s="332"/>
      <c r="H311" s="542"/>
      <c r="I311" s="335"/>
      <c r="J311" s="335"/>
      <c r="K311" s="296">
        <f t="shared" si="6"/>
        <v>0</v>
      </c>
    </row>
    <row r="312" spans="1:11">
      <c r="A312" s="325"/>
      <c r="B312" s="328"/>
      <c r="C312" s="328"/>
      <c r="D312" s="542"/>
      <c r="E312" s="330"/>
      <c r="F312" s="331"/>
      <c r="G312" s="332"/>
      <c r="H312" s="542"/>
      <c r="I312" s="335"/>
      <c r="J312" s="335"/>
      <c r="K312" s="296">
        <f t="shared" si="6"/>
        <v>0</v>
      </c>
    </row>
    <row r="313" spans="1:11">
      <c r="A313" s="325"/>
      <c r="B313" s="328"/>
      <c r="C313" s="328"/>
      <c r="D313" s="542"/>
      <c r="E313" s="330"/>
      <c r="F313" s="331"/>
      <c r="G313" s="332"/>
      <c r="H313" s="542"/>
      <c r="I313" s="335"/>
      <c r="J313" s="335"/>
      <c r="K313" s="296">
        <f t="shared" si="6"/>
        <v>0</v>
      </c>
    </row>
    <row r="314" spans="1:11">
      <c r="A314" s="325"/>
      <c r="B314" s="328"/>
      <c r="C314" s="328"/>
      <c r="D314" s="542"/>
      <c r="E314" s="330"/>
      <c r="F314" s="331"/>
      <c r="G314" s="332"/>
      <c r="H314" s="542"/>
      <c r="I314" s="335"/>
      <c r="J314" s="335"/>
      <c r="K314" s="296">
        <f t="shared" si="6"/>
        <v>0</v>
      </c>
    </row>
    <row r="315" spans="1:11">
      <c r="A315" s="325"/>
      <c r="B315" s="328"/>
      <c r="C315" s="328"/>
      <c r="D315" s="542"/>
      <c r="E315" s="330"/>
      <c r="F315" s="331"/>
      <c r="G315" s="332"/>
      <c r="H315" s="542"/>
      <c r="I315" s="335"/>
      <c r="J315" s="335"/>
      <c r="K315" s="296">
        <f t="shared" si="6"/>
        <v>0</v>
      </c>
    </row>
    <row r="316" spans="1:11">
      <c r="A316" s="325"/>
      <c r="B316" s="328"/>
      <c r="C316" s="328"/>
      <c r="D316" s="542"/>
      <c r="E316" s="330"/>
      <c r="F316" s="331"/>
      <c r="G316" s="332"/>
      <c r="H316" s="542"/>
      <c r="I316" s="335"/>
      <c r="J316" s="335"/>
      <c r="K316" s="296">
        <f t="shared" si="6"/>
        <v>0</v>
      </c>
    </row>
    <row r="317" spans="1:11">
      <c r="A317" s="325"/>
      <c r="B317" s="328"/>
      <c r="C317" s="328"/>
      <c r="D317" s="542"/>
      <c r="E317" s="330"/>
      <c r="F317" s="331"/>
      <c r="G317" s="332"/>
      <c r="H317" s="542"/>
      <c r="I317" s="335"/>
      <c r="J317" s="335"/>
      <c r="K317" s="296">
        <f t="shared" si="6"/>
        <v>0</v>
      </c>
    </row>
    <row r="318" spans="1:11">
      <c r="A318" s="325"/>
      <c r="B318" s="328"/>
      <c r="C318" s="328"/>
      <c r="D318" s="542"/>
      <c r="E318" s="330"/>
      <c r="F318" s="331"/>
      <c r="G318" s="332"/>
      <c r="H318" s="542"/>
      <c r="I318" s="335"/>
      <c r="J318" s="335"/>
      <c r="K318" s="296">
        <f t="shared" si="6"/>
        <v>0</v>
      </c>
    </row>
    <row r="319" spans="1:11">
      <c r="A319" s="325"/>
      <c r="B319" s="328"/>
      <c r="C319" s="328"/>
      <c r="D319" s="542"/>
      <c r="E319" s="330"/>
      <c r="F319" s="331"/>
      <c r="G319" s="332"/>
      <c r="H319" s="542"/>
      <c r="I319" s="335"/>
      <c r="J319" s="335"/>
      <c r="K319" s="296">
        <f t="shared" si="6"/>
        <v>0</v>
      </c>
    </row>
    <row r="320" spans="1:11">
      <c r="A320" s="325"/>
      <c r="B320" s="328"/>
      <c r="C320" s="328"/>
      <c r="D320" s="542"/>
      <c r="E320" s="330"/>
      <c r="F320" s="331"/>
      <c r="G320" s="332"/>
      <c r="H320" s="542"/>
      <c r="I320" s="335"/>
      <c r="J320" s="335"/>
      <c r="K320" s="296">
        <f t="shared" si="6"/>
        <v>0</v>
      </c>
    </row>
    <row r="321" spans="1:12">
      <c r="A321" s="325"/>
      <c r="B321" s="328"/>
      <c r="C321" s="328"/>
      <c r="D321" s="542"/>
      <c r="E321" s="330"/>
      <c r="F321" s="331"/>
      <c r="G321" s="332"/>
      <c r="H321" s="542"/>
      <c r="I321" s="335"/>
      <c r="J321" s="335"/>
      <c r="K321" s="296">
        <f t="shared" si="6"/>
        <v>0</v>
      </c>
    </row>
    <row r="322" spans="1:12">
      <c r="A322" s="325"/>
      <c r="B322" s="328"/>
      <c r="C322" s="328"/>
      <c r="D322" s="542"/>
      <c r="E322" s="330"/>
      <c r="F322" s="331"/>
      <c r="G322" s="332"/>
      <c r="H322" s="542"/>
      <c r="I322" s="335"/>
      <c r="J322" s="335"/>
      <c r="K322" s="296">
        <f t="shared" si="6"/>
        <v>0</v>
      </c>
    </row>
    <row r="323" spans="1:12">
      <c r="A323" s="325"/>
      <c r="B323" s="328"/>
      <c r="C323" s="328"/>
      <c r="D323" s="542"/>
      <c r="E323" s="330"/>
      <c r="F323" s="331"/>
      <c r="G323" s="332"/>
      <c r="H323" s="542"/>
      <c r="I323" s="335"/>
      <c r="J323" s="335"/>
      <c r="K323" s="296">
        <f t="shared" si="6"/>
        <v>0</v>
      </c>
    </row>
    <row r="324" spans="1:12">
      <c r="A324" s="325"/>
      <c r="B324" s="328"/>
      <c r="C324" s="328"/>
      <c r="D324" s="542"/>
      <c r="E324" s="330"/>
      <c r="F324" s="331"/>
      <c r="G324" s="332"/>
      <c r="H324" s="542"/>
      <c r="I324" s="335"/>
      <c r="J324" s="335"/>
      <c r="K324" s="296">
        <f t="shared" si="6"/>
        <v>0</v>
      </c>
    </row>
    <row r="325" spans="1:12">
      <c r="A325" s="325"/>
      <c r="B325" s="328"/>
      <c r="C325" s="328"/>
      <c r="D325" s="542"/>
      <c r="E325" s="330"/>
      <c r="F325" s="331"/>
      <c r="G325" s="332"/>
      <c r="H325" s="542"/>
      <c r="I325" s="335"/>
      <c r="J325" s="335"/>
      <c r="K325" s="296">
        <f t="shared" si="6"/>
        <v>0</v>
      </c>
    </row>
    <row r="326" spans="1:12">
      <c r="A326" s="325"/>
      <c r="B326" s="328"/>
      <c r="C326" s="328"/>
      <c r="D326" s="542"/>
      <c r="E326" s="330"/>
      <c r="F326" s="331"/>
      <c r="G326" s="332"/>
      <c r="H326" s="542"/>
      <c r="I326" s="335"/>
      <c r="J326" s="335"/>
      <c r="K326" s="296">
        <f t="shared" si="6"/>
        <v>0</v>
      </c>
    </row>
    <row r="327" spans="1:12">
      <c r="A327" s="325"/>
      <c r="B327" s="328"/>
      <c r="C327" s="328"/>
      <c r="D327" s="542"/>
      <c r="E327" s="330"/>
      <c r="F327" s="331"/>
      <c r="G327" s="332"/>
      <c r="H327" s="542"/>
      <c r="I327" s="335"/>
      <c r="J327" s="295"/>
      <c r="K327" s="296">
        <f t="shared" si="6"/>
        <v>0</v>
      </c>
      <c r="L327" s="377" t="s">
        <v>350</v>
      </c>
    </row>
    <row r="328" spans="1:12">
      <c r="A328" s="349" t="s">
        <v>166</v>
      </c>
      <c r="B328" s="350"/>
      <c r="C328" s="351"/>
      <c r="D328" s="545"/>
      <c r="E328" s="352">
        <f>SUM(E21:E115)</f>
        <v>0</v>
      </c>
      <c r="F328" s="353"/>
      <c r="G328" s="352">
        <f>SUM(G21:G115)</f>
        <v>0</v>
      </c>
      <c r="H328" s="563"/>
      <c r="I328" s="356"/>
      <c r="J328" s="357"/>
      <c r="K328" s="358">
        <f>SUM(K21:K327)+L328</f>
        <v>0</v>
      </c>
    </row>
    <row r="329" spans="1:12">
      <c r="A329" s="359" t="s">
        <v>169</v>
      </c>
      <c r="B329" s="113"/>
      <c r="C329" s="274"/>
      <c r="D329" s="538"/>
      <c r="E329" s="114"/>
      <c r="F329" s="192"/>
      <c r="G329" s="118"/>
      <c r="H329" s="557"/>
      <c r="I329" s="125"/>
      <c r="J329" s="360"/>
      <c r="K329" s="261"/>
    </row>
    <row r="330" spans="1:12">
      <c r="A330" s="206" t="s">
        <v>99</v>
      </c>
      <c r="B330" s="207" t="s">
        <v>7</v>
      </c>
      <c r="C330" s="207" t="s">
        <v>171</v>
      </c>
      <c r="D330" s="535" t="s">
        <v>170</v>
      </c>
      <c r="E330" s="208" t="s">
        <v>11</v>
      </c>
      <c r="F330" s="207" t="s">
        <v>2</v>
      </c>
      <c r="G330" s="209" t="s">
        <v>12</v>
      </c>
      <c r="H330" s="556" t="s">
        <v>18</v>
      </c>
      <c r="I330" s="209" t="s">
        <v>10</v>
      </c>
      <c r="J330" s="207" t="s">
        <v>216</v>
      </c>
      <c r="K330" s="260" t="s">
        <v>212</v>
      </c>
    </row>
    <row r="331" spans="1:12">
      <c r="A331" s="325" t="s">
        <v>523</v>
      </c>
      <c r="B331" s="328"/>
      <c r="C331" s="328"/>
      <c r="D331" s="542"/>
      <c r="E331" s="330"/>
      <c r="F331" s="331"/>
      <c r="G331" s="332"/>
      <c r="H331" s="561"/>
      <c r="I331" s="335"/>
      <c r="J331" s="335"/>
      <c r="K331" s="336">
        <f>(J331-I331)*E331/100*(90/360)*1000000</f>
        <v>0</v>
      </c>
    </row>
    <row r="332" spans="1:12">
      <c r="A332" s="325" t="s">
        <v>523</v>
      </c>
      <c r="B332" s="328"/>
      <c r="C332" s="328"/>
      <c r="D332" s="542"/>
      <c r="E332" s="330"/>
      <c r="F332" s="331"/>
      <c r="G332" s="332"/>
      <c r="H332" s="561"/>
      <c r="I332" s="335"/>
      <c r="J332" s="335"/>
      <c r="K332" s="336">
        <f>(J332-I332)*E332/100*(90/360)*1000000</f>
        <v>0</v>
      </c>
    </row>
    <row r="333" spans="1:12">
      <c r="A333" s="337" t="s">
        <v>523</v>
      </c>
      <c r="B333" s="340"/>
      <c r="C333" s="341"/>
      <c r="D333" s="543"/>
      <c r="E333" s="342"/>
      <c r="F333" s="343"/>
      <c r="G333" s="344"/>
      <c r="H333" s="562"/>
      <c r="I333" s="347"/>
      <c r="J333" s="347"/>
      <c r="K333" s="336">
        <f>(J333-I333)*E333/100*(90/360)*1000000</f>
        <v>0</v>
      </c>
    </row>
    <row r="334" spans="1:12">
      <c r="A334" s="337" t="s">
        <v>523</v>
      </c>
      <c r="B334" s="340"/>
      <c r="C334" s="341"/>
      <c r="D334" s="543"/>
      <c r="E334" s="342"/>
      <c r="F334" s="343"/>
      <c r="G334" s="344"/>
      <c r="H334" s="562"/>
      <c r="I334" s="347"/>
      <c r="J334" s="347"/>
      <c r="K334" s="336">
        <f>(J334-I334)*E334/100*(90/360)*1000000</f>
        <v>0</v>
      </c>
    </row>
    <row r="335" spans="1:12">
      <c r="A335" s="285" t="s">
        <v>168</v>
      </c>
      <c r="B335" s="288"/>
      <c r="C335" s="289"/>
      <c r="D335" s="544"/>
      <c r="E335" s="290"/>
      <c r="F335" s="291"/>
      <c r="G335" s="292"/>
      <c r="H335" s="554"/>
      <c r="I335" s="295"/>
      <c r="J335" s="295"/>
      <c r="K335" s="296">
        <f>(J335-I335)*E335/100</f>
        <v>0</v>
      </c>
    </row>
    <row r="336" spans="1:12">
      <c r="A336" s="285" t="s">
        <v>168</v>
      </c>
      <c r="B336" s="288"/>
      <c r="C336" s="289"/>
      <c r="D336" s="544"/>
      <c r="E336" s="290"/>
      <c r="F336" s="291"/>
      <c r="G336" s="292"/>
      <c r="H336" s="554"/>
      <c r="I336" s="295"/>
      <c r="J336" s="295"/>
      <c r="K336" s="296">
        <f>(J336-I336)*E336/100</f>
        <v>0</v>
      </c>
    </row>
    <row r="337" spans="1:11">
      <c r="A337" s="349" t="s">
        <v>166</v>
      </c>
      <c r="B337" s="350"/>
      <c r="C337" s="351"/>
      <c r="D337" s="545"/>
      <c r="E337" s="352">
        <f>SUM(E331:E336)</f>
        <v>0</v>
      </c>
      <c r="F337" s="353"/>
      <c r="G337" s="354">
        <f>SUM(G331:G336)</f>
        <v>0</v>
      </c>
      <c r="H337" s="563"/>
      <c r="I337" s="356"/>
      <c r="J337" s="357"/>
      <c r="K337" s="358">
        <f>SUM(K331:K336)</f>
        <v>0</v>
      </c>
    </row>
    <row r="338" spans="1:11">
      <c r="A338" s="716" t="s">
        <v>326</v>
      </c>
      <c r="B338" s="108"/>
      <c r="C338" s="275"/>
      <c r="D338" s="546"/>
      <c r="E338" s="70"/>
      <c r="F338" s="203"/>
      <c r="G338" s="105"/>
      <c r="H338" s="487"/>
      <c r="I338" s="204"/>
      <c r="J338" s="205"/>
      <c r="K338" s="106"/>
    </row>
    <row r="339" spans="1:11">
      <c r="A339" s="206" t="s">
        <v>99</v>
      </c>
      <c r="B339" s="207" t="s">
        <v>7</v>
      </c>
      <c r="C339" s="207" t="s">
        <v>171</v>
      </c>
      <c r="D339" s="535" t="s">
        <v>170</v>
      </c>
      <c r="E339" s="208" t="s">
        <v>11</v>
      </c>
      <c r="F339" s="207" t="s">
        <v>2</v>
      </c>
      <c r="G339" s="209" t="s">
        <v>12</v>
      </c>
      <c r="H339" s="482" t="s">
        <v>18</v>
      </c>
      <c r="I339" s="209" t="s">
        <v>10</v>
      </c>
      <c r="J339" s="207" t="s">
        <v>216</v>
      </c>
      <c r="K339" s="260" t="s">
        <v>212</v>
      </c>
    </row>
    <row r="340" spans="1:11">
      <c r="A340" s="325" t="s">
        <v>514</v>
      </c>
      <c r="B340" s="328"/>
      <c r="C340" s="329"/>
      <c r="D340" s="542"/>
      <c r="E340" s="330"/>
      <c r="F340" s="331"/>
      <c r="G340" s="332"/>
      <c r="H340" s="483"/>
      <c r="I340" s="335"/>
      <c r="J340" s="335"/>
      <c r="K340" s="336">
        <f t="shared" ref="K340:K345" si="7">(J340-I340)*E340/100</f>
        <v>0</v>
      </c>
    </row>
    <row r="341" spans="1:11">
      <c r="A341" s="690" t="s">
        <v>363</v>
      </c>
      <c r="B341" s="691"/>
      <c r="C341" s="691"/>
      <c r="D341" s="692"/>
      <c r="E341" s="693"/>
      <c r="F341" s="693"/>
      <c r="G341" s="694"/>
      <c r="H341" s="695"/>
      <c r="I341" s="696"/>
      <c r="J341" s="697"/>
      <c r="K341" s="698">
        <f t="shared" si="7"/>
        <v>0</v>
      </c>
    </row>
    <row r="342" spans="1:11">
      <c r="A342" s="337" t="s">
        <v>368</v>
      </c>
      <c r="B342" s="340"/>
      <c r="C342" s="341"/>
      <c r="D342" s="543"/>
      <c r="E342" s="342"/>
      <c r="F342" s="343"/>
      <c r="G342" s="344"/>
      <c r="H342" s="484"/>
      <c r="I342" s="347"/>
      <c r="J342" s="347"/>
      <c r="K342" s="348">
        <f t="shared" si="7"/>
        <v>0</v>
      </c>
    </row>
    <row r="343" spans="1:11">
      <c r="A343" s="337" t="s">
        <v>402</v>
      </c>
      <c r="B343" s="340"/>
      <c r="C343" s="341"/>
      <c r="D343" s="543"/>
      <c r="E343" s="342"/>
      <c r="F343" s="343"/>
      <c r="G343" s="344"/>
      <c r="H343" s="484"/>
      <c r="I343" s="347"/>
      <c r="J343" s="347"/>
      <c r="K343" s="348">
        <f t="shared" si="7"/>
        <v>0</v>
      </c>
    </row>
    <row r="344" spans="1:11">
      <c r="A344" s="285" t="s">
        <v>415</v>
      </c>
      <c r="B344" s="288"/>
      <c r="C344" s="289"/>
      <c r="D344" s="544"/>
      <c r="E344" s="290"/>
      <c r="F344" s="291"/>
      <c r="G344" s="292"/>
      <c r="H344" s="485"/>
      <c r="I344" s="295"/>
      <c r="J344" s="295"/>
      <c r="K344" s="296">
        <f t="shared" si="7"/>
        <v>0</v>
      </c>
    </row>
    <row r="345" spans="1:11">
      <c r="A345" s="285" t="s">
        <v>415</v>
      </c>
      <c r="B345" s="288"/>
      <c r="C345" s="289"/>
      <c r="D345" s="544"/>
      <c r="E345" s="290"/>
      <c r="F345" s="291"/>
      <c r="G345" s="292"/>
      <c r="H345" s="485"/>
      <c r="I345" s="295"/>
      <c r="J345" s="295"/>
      <c r="K345" s="296">
        <f t="shared" si="7"/>
        <v>0</v>
      </c>
    </row>
    <row r="346" spans="1:11">
      <c r="A346" s="285" t="s">
        <v>507</v>
      </c>
      <c r="B346" s="288"/>
      <c r="C346" s="289"/>
      <c r="D346" s="544"/>
      <c r="E346" s="290"/>
      <c r="F346" s="291"/>
      <c r="G346" s="292"/>
      <c r="H346" s="485"/>
      <c r="I346" s="295"/>
      <c r="J346" s="295"/>
      <c r="K346" s="296">
        <f t="shared" ref="K346:K351" si="8">(J346-I346)*E346/100</f>
        <v>0</v>
      </c>
    </row>
    <row r="347" spans="1:11">
      <c r="A347" s="285" t="s">
        <v>507</v>
      </c>
      <c r="B347" s="288"/>
      <c r="C347" s="289"/>
      <c r="D347" s="544"/>
      <c r="E347" s="290"/>
      <c r="F347" s="291"/>
      <c r="G347" s="292"/>
      <c r="H347" s="485"/>
      <c r="I347" s="295"/>
      <c r="J347" s="295"/>
      <c r="K347" s="296">
        <f t="shared" si="8"/>
        <v>0</v>
      </c>
    </row>
    <row r="348" spans="1:11">
      <c r="A348" s="285" t="s">
        <v>507</v>
      </c>
      <c r="B348" s="288"/>
      <c r="C348" s="289"/>
      <c r="D348" s="544"/>
      <c r="E348" s="290"/>
      <c r="F348" s="291"/>
      <c r="G348" s="292"/>
      <c r="H348" s="485"/>
      <c r="I348" s="295"/>
      <c r="J348" s="295"/>
      <c r="K348" s="296">
        <f t="shared" si="8"/>
        <v>0</v>
      </c>
    </row>
    <row r="349" spans="1:11">
      <c r="A349" s="285" t="s">
        <v>507</v>
      </c>
      <c r="B349" s="288"/>
      <c r="C349" s="288"/>
      <c r="D349" s="544"/>
      <c r="E349" s="290"/>
      <c r="F349" s="291"/>
      <c r="G349" s="292"/>
      <c r="H349" s="485"/>
      <c r="I349" s="295"/>
      <c r="J349" s="295"/>
      <c r="K349" s="296">
        <f t="shared" si="8"/>
        <v>0</v>
      </c>
    </row>
    <row r="350" spans="1:11">
      <c r="A350" s="285" t="s">
        <v>507</v>
      </c>
      <c r="B350" s="288"/>
      <c r="C350" s="288"/>
      <c r="D350" s="544"/>
      <c r="E350" s="290"/>
      <c r="F350" s="291"/>
      <c r="G350" s="292"/>
      <c r="H350" s="485"/>
      <c r="I350" s="295"/>
      <c r="J350" s="295"/>
      <c r="K350" s="296">
        <f t="shared" si="8"/>
        <v>0</v>
      </c>
    </row>
    <row r="351" spans="1:11">
      <c r="A351" s="285"/>
      <c r="B351" s="288"/>
      <c r="C351" s="289"/>
      <c r="D351" s="544"/>
      <c r="E351" s="290"/>
      <c r="F351" s="291"/>
      <c r="G351" s="292"/>
      <c r="H351" s="485"/>
      <c r="I351" s="295"/>
      <c r="J351" s="295"/>
      <c r="K351" s="296">
        <f t="shared" si="8"/>
        <v>0</v>
      </c>
    </row>
    <row r="352" spans="1:11">
      <c r="A352" s="349" t="s">
        <v>166</v>
      </c>
      <c r="B352" s="350"/>
      <c r="C352" s="351"/>
      <c r="D352" s="545"/>
      <c r="E352" s="352">
        <f>SUM(E340:E351)</f>
        <v>0</v>
      </c>
      <c r="F352" s="353"/>
      <c r="G352" s="354">
        <f>SUM(G340:G351)</f>
        <v>0</v>
      </c>
      <c r="H352" s="486"/>
      <c r="I352" s="356"/>
      <c r="J352" s="357"/>
      <c r="K352" s="358">
        <f>SUM(K340:K351)</f>
        <v>0</v>
      </c>
    </row>
    <row r="354" spans="7:8">
      <c r="G354" s="14"/>
      <c r="H354" s="565"/>
    </row>
    <row r="355" spans="7:8">
      <c r="G355" s="14"/>
      <c r="H355" s="565"/>
    </row>
    <row r="356" spans="7:8">
      <c r="G356" s="14"/>
      <c r="H356" s="565"/>
    </row>
    <row r="357" spans="7:8">
      <c r="G357" s="14"/>
      <c r="H357" s="565"/>
    </row>
    <row r="358" spans="7:8">
      <c r="G358" s="14"/>
      <c r="H358" s="565"/>
    </row>
    <row r="359" spans="7:8">
      <c r="G359" s="14"/>
      <c r="H359" s="565"/>
    </row>
    <row r="360" spans="7:8">
      <c r="G360" s="14"/>
      <c r="H360" s="565"/>
    </row>
    <row r="361" spans="7:8">
      <c r="G361" s="14"/>
      <c r="H361" s="565"/>
    </row>
    <row r="362" spans="7:8">
      <c r="G362" s="14"/>
      <c r="H362" s="565"/>
    </row>
    <row r="363" spans="7:8">
      <c r="G363" s="14"/>
      <c r="H363" s="565"/>
    </row>
    <row r="364" spans="7:8">
      <c r="G364" s="14"/>
      <c r="H364" s="565"/>
    </row>
    <row r="365" spans="7:8">
      <c r="G365" s="14"/>
      <c r="H365" s="565"/>
    </row>
    <row r="366" spans="7:8">
      <c r="G366" s="14"/>
      <c r="H366" s="565"/>
    </row>
    <row r="367" spans="7:8">
      <c r="G367" s="14"/>
      <c r="H367" s="565"/>
    </row>
    <row r="368" spans="7:8">
      <c r="G368" s="14"/>
      <c r="H368" s="565"/>
    </row>
    <row r="369" spans="7:8">
      <c r="G369" s="14"/>
      <c r="H369" s="565"/>
    </row>
    <row r="370" spans="7:8">
      <c r="G370" s="14"/>
      <c r="H370" s="565"/>
    </row>
    <row r="371" spans="7:8">
      <c r="G371" s="14"/>
      <c r="H371" s="566"/>
    </row>
    <row r="372" spans="7:8">
      <c r="G372" s="14"/>
      <c r="H372" s="566"/>
    </row>
    <row r="373" spans="7:8">
      <c r="G373" s="14"/>
      <c r="H373" s="566"/>
    </row>
    <row r="374" spans="7:8">
      <c r="G374" s="14"/>
      <c r="H374" s="566"/>
    </row>
    <row r="375" spans="7:8">
      <c r="G375" s="14"/>
      <c r="H375" s="566"/>
    </row>
    <row r="376" spans="7:8">
      <c r="G376" s="14"/>
      <c r="H376" s="566"/>
    </row>
    <row r="377" spans="7:8">
      <c r="G377" s="14"/>
      <c r="H377" s="566"/>
    </row>
    <row r="378" spans="7:8">
      <c r="G378" s="14"/>
      <c r="H378" s="566"/>
    </row>
    <row r="379" spans="7:8">
      <c r="G379" s="14"/>
      <c r="H379" s="566"/>
    </row>
    <row r="380" spans="7:8">
      <c r="G380" s="14"/>
      <c r="H380" s="566"/>
    </row>
    <row r="381" spans="7:8">
      <c r="G381" s="14"/>
      <c r="H381" s="566"/>
    </row>
    <row r="382" spans="7:8">
      <c r="G382" s="14"/>
      <c r="H382" s="566"/>
    </row>
    <row r="383" spans="7:8">
      <c r="G383" s="14"/>
      <c r="H383" s="566"/>
    </row>
    <row r="384" spans="7:8">
      <c r="G384" s="14"/>
      <c r="H384" s="566"/>
    </row>
    <row r="385" spans="7:8">
      <c r="G385" s="14"/>
      <c r="H385" s="566"/>
    </row>
    <row r="386" spans="7:8">
      <c r="G386" s="14"/>
      <c r="H386" s="566"/>
    </row>
    <row r="387" spans="7:8">
      <c r="G387" s="14"/>
      <c r="H387" s="566"/>
    </row>
    <row r="388" spans="7:8">
      <c r="G388" s="14"/>
      <c r="H388" s="566"/>
    </row>
    <row r="389" spans="7:8">
      <c r="G389" s="14"/>
      <c r="H389" s="566"/>
    </row>
    <row r="390" spans="7:8">
      <c r="G390" s="14"/>
      <c r="H390" s="566"/>
    </row>
    <row r="391" spans="7:8">
      <c r="G391" s="14"/>
      <c r="H391" s="566"/>
    </row>
    <row r="392" spans="7:8">
      <c r="G392" s="14"/>
      <c r="H392" s="566"/>
    </row>
    <row r="393" spans="7:8">
      <c r="G393" s="14"/>
      <c r="H393" s="566"/>
    </row>
    <row r="394" spans="7:8">
      <c r="G394" s="14"/>
      <c r="H394" s="566"/>
    </row>
    <row r="395" spans="7:8">
      <c r="G395" s="14"/>
      <c r="H395" s="566"/>
    </row>
    <row r="396" spans="7:8">
      <c r="G396" s="14"/>
      <c r="H396" s="566"/>
    </row>
    <row r="397" spans="7:8">
      <c r="G397" s="14"/>
      <c r="H397" s="566"/>
    </row>
    <row r="398" spans="7:8">
      <c r="G398" s="14"/>
      <c r="H398" s="566"/>
    </row>
    <row r="399" spans="7:8">
      <c r="G399" s="14"/>
      <c r="H399" s="566"/>
    </row>
    <row r="400" spans="7:8">
      <c r="G400" s="14"/>
      <c r="H400" s="566"/>
    </row>
    <row r="401" spans="7:8">
      <c r="G401" s="14"/>
      <c r="H401" s="566"/>
    </row>
    <row r="402" spans="7:8">
      <c r="G402" s="14"/>
      <c r="H402" s="566"/>
    </row>
    <row r="403" spans="7:8">
      <c r="G403" s="14"/>
      <c r="H403" s="566"/>
    </row>
    <row r="404" spans="7:8">
      <c r="G404" s="14"/>
      <c r="H404" s="566"/>
    </row>
    <row r="405" spans="7:8">
      <c r="G405" s="14"/>
      <c r="H405" s="566"/>
    </row>
    <row r="406" spans="7:8">
      <c r="G406" s="14"/>
      <c r="H406" s="566"/>
    </row>
    <row r="407" spans="7:8">
      <c r="G407" s="14"/>
      <c r="H407" s="566"/>
    </row>
    <row r="408" spans="7:8">
      <c r="G408" s="14"/>
      <c r="H408" s="566"/>
    </row>
    <row r="409" spans="7:8">
      <c r="G409" s="14"/>
      <c r="H409" s="566"/>
    </row>
    <row r="410" spans="7:8">
      <c r="G410" s="14"/>
      <c r="H410" s="566"/>
    </row>
    <row r="411" spans="7:8">
      <c r="G411" s="14"/>
      <c r="H411" s="566"/>
    </row>
    <row r="412" spans="7:8">
      <c r="G412" s="14"/>
      <c r="H412" s="566"/>
    </row>
    <row r="413" spans="7:8">
      <c r="G413" s="14"/>
      <c r="H413" s="566"/>
    </row>
    <row r="414" spans="7:8">
      <c r="G414" s="14"/>
      <c r="H414" s="566"/>
    </row>
    <row r="415" spans="7:8">
      <c r="G415" s="14"/>
      <c r="H415" s="566"/>
    </row>
    <row r="416" spans="7:8">
      <c r="G416" s="14"/>
      <c r="H416" s="566"/>
    </row>
    <row r="417" spans="7:8">
      <c r="G417" s="14"/>
      <c r="H417" s="566"/>
    </row>
    <row r="418" spans="7:8">
      <c r="G418" s="14"/>
      <c r="H418" s="566"/>
    </row>
    <row r="419" spans="7:8">
      <c r="G419" s="14"/>
      <c r="H419" s="566"/>
    </row>
    <row r="420" spans="7:8">
      <c r="G420" s="14"/>
      <c r="H420" s="566"/>
    </row>
    <row r="421" spans="7:8">
      <c r="G421" s="14"/>
      <c r="H421" s="566"/>
    </row>
    <row r="422" spans="7:8">
      <c r="G422" s="14"/>
      <c r="H422" s="566"/>
    </row>
    <row r="423" spans="7:8">
      <c r="G423" s="14"/>
      <c r="H423" s="566"/>
    </row>
    <row r="424" spans="7:8">
      <c r="G424" s="14"/>
      <c r="H424" s="566"/>
    </row>
    <row r="425" spans="7:8">
      <c r="G425" s="14"/>
      <c r="H425" s="566"/>
    </row>
    <row r="426" spans="7:8">
      <c r="G426" s="14"/>
      <c r="H426" s="566"/>
    </row>
    <row r="427" spans="7:8">
      <c r="G427" s="14"/>
      <c r="H427" s="566"/>
    </row>
    <row r="428" spans="7:8">
      <c r="G428" s="14"/>
      <c r="H428" s="566"/>
    </row>
    <row r="429" spans="7:8">
      <c r="G429" s="14"/>
      <c r="H429" s="566"/>
    </row>
    <row r="430" spans="7:8">
      <c r="G430" s="14"/>
      <c r="H430" s="566"/>
    </row>
    <row r="431" spans="7:8">
      <c r="G431" s="14"/>
      <c r="H431" s="566"/>
    </row>
    <row r="432" spans="7:8">
      <c r="G432" s="14"/>
      <c r="H432" s="566"/>
    </row>
    <row r="433" spans="7:8">
      <c r="G433" s="14"/>
      <c r="H433" s="566"/>
    </row>
    <row r="434" spans="7:8">
      <c r="G434" s="14"/>
      <c r="H434" s="566"/>
    </row>
    <row r="435" spans="7:8">
      <c r="G435" s="14"/>
      <c r="H435" s="566"/>
    </row>
    <row r="436" spans="7:8">
      <c r="G436" s="14"/>
      <c r="H436" s="566"/>
    </row>
    <row r="437" spans="7:8">
      <c r="G437" s="14"/>
      <c r="H437" s="566"/>
    </row>
    <row r="438" spans="7:8">
      <c r="G438" s="14"/>
      <c r="H438" s="566"/>
    </row>
    <row r="439" spans="7:8">
      <c r="G439" s="14"/>
      <c r="H439" s="566"/>
    </row>
    <row r="440" spans="7:8">
      <c r="G440" s="14"/>
      <c r="H440" s="566"/>
    </row>
    <row r="441" spans="7:8">
      <c r="G441" s="14"/>
      <c r="H441" s="566"/>
    </row>
    <row r="442" spans="7:8">
      <c r="G442" s="14"/>
      <c r="H442" s="566"/>
    </row>
    <row r="443" spans="7:8">
      <c r="G443" s="14"/>
      <c r="H443" s="566"/>
    </row>
    <row r="444" spans="7:8">
      <c r="G444" s="14"/>
      <c r="H444" s="566"/>
    </row>
    <row r="445" spans="7:8">
      <c r="G445" s="14"/>
      <c r="H445" s="566"/>
    </row>
    <row r="446" spans="7:8">
      <c r="G446" s="14"/>
      <c r="H446" s="566"/>
    </row>
    <row r="447" spans="7:8">
      <c r="G447" s="14"/>
      <c r="H447" s="566"/>
    </row>
    <row r="448" spans="7:8">
      <c r="G448" s="14"/>
      <c r="H448" s="566"/>
    </row>
    <row r="449" spans="7:8">
      <c r="G449" s="14"/>
      <c r="H449" s="566"/>
    </row>
    <row r="450" spans="7:8">
      <c r="G450" s="14"/>
      <c r="H450" s="566"/>
    </row>
    <row r="451" spans="7:8">
      <c r="G451" s="14"/>
      <c r="H451" s="566"/>
    </row>
    <row r="452" spans="7:8">
      <c r="G452" s="14"/>
      <c r="H452" s="566"/>
    </row>
    <row r="453" spans="7:8">
      <c r="G453" s="14"/>
      <c r="H453" s="566"/>
    </row>
    <row r="454" spans="7:8">
      <c r="G454" s="14"/>
      <c r="H454" s="566"/>
    </row>
    <row r="455" spans="7:8">
      <c r="G455" s="14"/>
      <c r="H455" s="566"/>
    </row>
    <row r="456" spans="7:8">
      <c r="G456" s="14"/>
      <c r="H456" s="566"/>
    </row>
    <row r="457" spans="7:8">
      <c r="G457" s="14"/>
      <c r="H457" s="566"/>
    </row>
    <row r="458" spans="7:8">
      <c r="G458" s="14"/>
      <c r="H458" s="566"/>
    </row>
    <row r="459" spans="7:8">
      <c r="G459" s="14"/>
      <c r="H459" s="566"/>
    </row>
    <row r="460" spans="7:8">
      <c r="G460" s="14"/>
      <c r="H460" s="566"/>
    </row>
    <row r="461" spans="7:8">
      <c r="G461" s="14"/>
      <c r="H461" s="566"/>
    </row>
    <row r="462" spans="7:8">
      <c r="G462" s="14"/>
      <c r="H462" s="566"/>
    </row>
    <row r="463" spans="7:8">
      <c r="G463" s="14"/>
      <c r="H463" s="566"/>
    </row>
    <row r="464" spans="7:8">
      <c r="G464" s="14"/>
      <c r="H464" s="566"/>
    </row>
    <row r="465" spans="7:8">
      <c r="G465" s="14"/>
      <c r="H465" s="566"/>
    </row>
    <row r="466" spans="7:8">
      <c r="G466" s="14"/>
      <c r="H466" s="566"/>
    </row>
    <row r="467" spans="7:8">
      <c r="G467" s="14"/>
      <c r="H467" s="566"/>
    </row>
    <row r="468" spans="7:8">
      <c r="G468" s="14"/>
      <c r="H468" s="566"/>
    </row>
    <row r="469" spans="7:8">
      <c r="G469" s="14"/>
      <c r="H469" s="566"/>
    </row>
    <row r="470" spans="7:8">
      <c r="G470" s="14"/>
      <c r="H470" s="566"/>
    </row>
    <row r="471" spans="7:8">
      <c r="G471" s="14"/>
      <c r="H471" s="566"/>
    </row>
    <row r="472" spans="7:8">
      <c r="G472" s="14"/>
      <c r="H472" s="566"/>
    </row>
    <row r="473" spans="7:8">
      <c r="G473" s="14"/>
      <c r="H473" s="566"/>
    </row>
    <row r="474" spans="7:8">
      <c r="G474" s="14"/>
      <c r="H474" s="566"/>
    </row>
    <row r="475" spans="7:8">
      <c r="G475" s="14"/>
      <c r="H475" s="566"/>
    </row>
    <row r="476" spans="7:8">
      <c r="G476" s="14"/>
      <c r="H476" s="566"/>
    </row>
    <row r="477" spans="7:8">
      <c r="G477" s="14"/>
      <c r="H477" s="566"/>
    </row>
    <row r="478" spans="7:8">
      <c r="G478" s="14"/>
      <c r="H478" s="566"/>
    </row>
    <row r="479" spans="7:8">
      <c r="G479" s="14"/>
      <c r="H479" s="566"/>
    </row>
    <row r="480" spans="7:8">
      <c r="G480" s="14"/>
      <c r="H480" s="566"/>
    </row>
    <row r="481" spans="7:8">
      <c r="G481" s="14"/>
      <c r="H481" s="566"/>
    </row>
    <row r="482" spans="7:8">
      <c r="G482" s="14"/>
      <c r="H482" s="566"/>
    </row>
    <row r="483" spans="7:8">
      <c r="G483" s="14"/>
      <c r="H483" s="566"/>
    </row>
    <row r="484" spans="7:8">
      <c r="G484" s="14"/>
      <c r="H484" s="566"/>
    </row>
    <row r="485" spans="7:8">
      <c r="G485" s="14"/>
      <c r="H485" s="566"/>
    </row>
    <row r="486" spans="7:8">
      <c r="G486" s="14"/>
      <c r="H486" s="566"/>
    </row>
    <row r="487" spans="7:8">
      <c r="G487" s="14"/>
      <c r="H487" s="566"/>
    </row>
    <row r="488" spans="7:8">
      <c r="G488" s="14"/>
      <c r="H488" s="566"/>
    </row>
    <row r="489" spans="7:8">
      <c r="G489" s="14"/>
      <c r="H489" s="566"/>
    </row>
    <row r="490" spans="7:8">
      <c r="G490" s="14"/>
      <c r="H490" s="566"/>
    </row>
    <row r="491" spans="7:8">
      <c r="G491" s="14"/>
      <c r="H491" s="566"/>
    </row>
    <row r="492" spans="7:8">
      <c r="G492" s="14"/>
      <c r="H492" s="566"/>
    </row>
    <row r="493" spans="7:8">
      <c r="G493" s="14"/>
      <c r="H493" s="566"/>
    </row>
    <row r="494" spans="7:8">
      <c r="G494" s="14"/>
      <c r="H494" s="566"/>
    </row>
    <row r="495" spans="7:8">
      <c r="G495" s="14"/>
      <c r="H495" s="566"/>
    </row>
    <row r="496" spans="7:8">
      <c r="G496" s="14"/>
      <c r="H496" s="566"/>
    </row>
    <row r="497" spans="7:8">
      <c r="G497" s="14"/>
      <c r="H497" s="566"/>
    </row>
    <row r="498" spans="7:8">
      <c r="G498" s="14"/>
      <c r="H498" s="566"/>
    </row>
    <row r="499" spans="7:8">
      <c r="G499" s="14"/>
      <c r="H499" s="566"/>
    </row>
    <row r="500" spans="7:8">
      <c r="G500" s="14"/>
      <c r="H500" s="566"/>
    </row>
    <row r="501" spans="7:8">
      <c r="G501" s="14"/>
      <c r="H501" s="566"/>
    </row>
    <row r="502" spans="7:8">
      <c r="G502" s="14"/>
      <c r="H502" s="566"/>
    </row>
    <row r="503" spans="7:8">
      <c r="G503" s="14"/>
      <c r="H503" s="566"/>
    </row>
    <row r="504" spans="7:8">
      <c r="G504" s="14"/>
      <c r="H504" s="566"/>
    </row>
    <row r="505" spans="7:8">
      <c r="G505" s="14"/>
      <c r="H505" s="566"/>
    </row>
    <row r="506" spans="7:8">
      <c r="G506" s="14"/>
      <c r="H506" s="566"/>
    </row>
    <row r="507" spans="7:8">
      <c r="G507" s="14"/>
      <c r="H507" s="566"/>
    </row>
    <row r="508" spans="7:8">
      <c r="G508" s="14"/>
      <c r="H508" s="566"/>
    </row>
    <row r="509" spans="7:8">
      <c r="G509" s="14"/>
      <c r="H509" s="566"/>
    </row>
    <row r="510" spans="7:8">
      <c r="G510" s="14"/>
      <c r="H510" s="566"/>
    </row>
    <row r="511" spans="7:8">
      <c r="G511" s="14"/>
      <c r="H511" s="566"/>
    </row>
    <row r="512" spans="7:8">
      <c r="G512" s="14"/>
      <c r="H512" s="566"/>
    </row>
    <row r="513" spans="7:8">
      <c r="G513" s="14"/>
      <c r="H513" s="566"/>
    </row>
    <row r="514" spans="7:8">
      <c r="G514" s="14"/>
      <c r="H514" s="566"/>
    </row>
    <row r="515" spans="7:8">
      <c r="G515" s="14"/>
      <c r="H515" s="566"/>
    </row>
    <row r="516" spans="7:8">
      <c r="G516" s="14"/>
      <c r="H516" s="566"/>
    </row>
    <row r="517" spans="7:8">
      <c r="G517" s="14"/>
      <c r="H517" s="566"/>
    </row>
    <row r="518" spans="7:8">
      <c r="G518" s="14"/>
      <c r="H518" s="566"/>
    </row>
    <row r="519" spans="7:8">
      <c r="G519" s="14"/>
      <c r="H519" s="566"/>
    </row>
    <row r="520" spans="7:8">
      <c r="G520" s="14"/>
      <c r="H520" s="566"/>
    </row>
    <row r="521" spans="7:8">
      <c r="G521" s="14"/>
      <c r="H521" s="566"/>
    </row>
    <row r="522" spans="7:8">
      <c r="G522" s="14"/>
      <c r="H522" s="566"/>
    </row>
    <row r="523" spans="7:8">
      <c r="G523" s="14"/>
      <c r="H523" s="566"/>
    </row>
    <row r="524" spans="7:8">
      <c r="G524" s="14"/>
      <c r="H524" s="566"/>
    </row>
    <row r="525" spans="7:8">
      <c r="G525" s="14"/>
      <c r="H525" s="566"/>
    </row>
    <row r="526" spans="7:8">
      <c r="G526" s="14"/>
      <c r="H526" s="566"/>
    </row>
    <row r="527" spans="7:8">
      <c r="G527" s="14"/>
      <c r="H527" s="566"/>
    </row>
    <row r="528" spans="7:8">
      <c r="G528" s="14"/>
      <c r="H528" s="566"/>
    </row>
    <row r="529" spans="7:8">
      <c r="G529" s="14"/>
      <c r="H529" s="566"/>
    </row>
    <row r="530" spans="7:8">
      <c r="G530" s="14"/>
      <c r="H530" s="566"/>
    </row>
    <row r="531" spans="7:8">
      <c r="G531" s="14"/>
      <c r="H531" s="566"/>
    </row>
    <row r="532" spans="7:8">
      <c r="G532" s="14"/>
      <c r="H532" s="566"/>
    </row>
    <row r="533" spans="7:8">
      <c r="G533" s="14"/>
      <c r="H533" s="566"/>
    </row>
    <row r="534" spans="7:8">
      <c r="G534" s="14"/>
      <c r="H534" s="566"/>
    </row>
    <row r="535" spans="7:8">
      <c r="G535" s="14"/>
      <c r="H535" s="566"/>
    </row>
    <row r="536" spans="7:8">
      <c r="G536" s="14"/>
      <c r="H536" s="566"/>
    </row>
    <row r="537" spans="7:8">
      <c r="G537" s="14"/>
      <c r="H537" s="566"/>
    </row>
    <row r="538" spans="7:8">
      <c r="G538" s="14"/>
      <c r="H538" s="566"/>
    </row>
    <row r="539" spans="7:8">
      <c r="G539" s="14"/>
      <c r="H539" s="566"/>
    </row>
    <row r="540" spans="7:8">
      <c r="G540" s="14"/>
      <c r="H540" s="566"/>
    </row>
    <row r="541" spans="7:8">
      <c r="G541" s="14"/>
      <c r="H541" s="566"/>
    </row>
    <row r="542" spans="7:8">
      <c r="G542" s="14"/>
      <c r="H542" s="566"/>
    </row>
    <row r="543" spans="7:8">
      <c r="G543" s="14"/>
      <c r="H543" s="566"/>
    </row>
    <row r="544" spans="7:8">
      <c r="G544" s="14"/>
      <c r="H544" s="566"/>
    </row>
    <row r="545" spans="7:8">
      <c r="G545" s="14"/>
      <c r="H545" s="566"/>
    </row>
    <row r="546" spans="7:8">
      <c r="G546" s="14"/>
      <c r="H546" s="566"/>
    </row>
    <row r="547" spans="7:8">
      <c r="G547" s="14"/>
      <c r="H547" s="566"/>
    </row>
    <row r="548" spans="7:8">
      <c r="G548" s="14"/>
      <c r="H548" s="566"/>
    </row>
    <row r="549" spans="7:8">
      <c r="G549" s="14"/>
      <c r="H549" s="566"/>
    </row>
    <row r="550" spans="7:8">
      <c r="G550" s="14"/>
      <c r="H550" s="566"/>
    </row>
    <row r="551" spans="7:8">
      <c r="G551" s="14"/>
      <c r="H551" s="566"/>
    </row>
    <row r="552" spans="7:8">
      <c r="G552" s="14"/>
      <c r="H552" s="566"/>
    </row>
    <row r="553" spans="7:8">
      <c r="G553" s="14"/>
      <c r="H553" s="566"/>
    </row>
    <row r="554" spans="7:8">
      <c r="G554" s="14"/>
      <c r="H554" s="566"/>
    </row>
    <row r="555" spans="7:8">
      <c r="G555" s="14"/>
      <c r="H555" s="566"/>
    </row>
    <row r="556" spans="7:8">
      <c r="G556" s="14"/>
      <c r="H556" s="566"/>
    </row>
    <row r="557" spans="7:8">
      <c r="G557" s="14"/>
      <c r="H557" s="566"/>
    </row>
    <row r="558" spans="7:8">
      <c r="G558" s="14"/>
      <c r="H558" s="566"/>
    </row>
    <row r="559" spans="7:8">
      <c r="G559" s="14"/>
      <c r="H559" s="566"/>
    </row>
    <row r="560" spans="7:8">
      <c r="G560" s="14"/>
      <c r="H560" s="566"/>
    </row>
    <row r="561" spans="7:8">
      <c r="G561" s="14"/>
      <c r="H561" s="566"/>
    </row>
    <row r="562" spans="7:8">
      <c r="G562" s="14"/>
      <c r="H562" s="566"/>
    </row>
    <row r="563" spans="7:8">
      <c r="G563" s="14"/>
      <c r="H563" s="566"/>
    </row>
    <row r="564" spans="7:8">
      <c r="G564" s="14"/>
      <c r="H564" s="566"/>
    </row>
    <row r="565" spans="7:8">
      <c r="G565" s="14"/>
      <c r="H565" s="566"/>
    </row>
    <row r="566" spans="7:8">
      <c r="G566" s="14"/>
      <c r="H566" s="566"/>
    </row>
    <row r="567" spans="7:8">
      <c r="G567" s="14"/>
      <c r="H567" s="566"/>
    </row>
    <row r="568" spans="7:8">
      <c r="G568" s="14"/>
      <c r="H568" s="566"/>
    </row>
    <row r="569" spans="7:8">
      <c r="G569" s="14"/>
      <c r="H569" s="566"/>
    </row>
    <row r="570" spans="7:8">
      <c r="G570" s="14"/>
      <c r="H570" s="566"/>
    </row>
    <row r="571" spans="7:8">
      <c r="G571" s="14"/>
      <c r="H571" s="566"/>
    </row>
    <row r="572" spans="7:8">
      <c r="G572" s="14"/>
      <c r="H572" s="566"/>
    </row>
    <row r="573" spans="7:8">
      <c r="G573" s="14"/>
      <c r="H573" s="566"/>
    </row>
    <row r="574" spans="7:8">
      <c r="G574" s="14"/>
      <c r="H574" s="566"/>
    </row>
    <row r="575" spans="7:8">
      <c r="G575" s="14"/>
      <c r="H575" s="566"/>
    </row>
    <row r="576" spans="7:8">
      <c r="G576" s="14"/>
      <c r="H576" s="566"/>
    </row>
    <row r="577" spans="7:8">
      <c r="G577" s="14"/>
      <c r="H577" s="566"/>
    </row>
    <row r="578" spans="7:8">
      <c r="G578" s="14"/>
      <c r="H578" s="566"/>
    </row>
    <row r="579" spans="7:8">
      <c r="G579" s="14"/>
      <c r="H579" s="566"/>
    </row>
    <row r="580" spans="7:8">
      <c r="G580" s="14"/>
      <c r="H580" s="566"/>
    </row>
    <row r="581" spans="7:8">
      <c r="G581" s="14"/>
      <c r="H581" s="566"/>
    </row>
    <row r="582" spans="7:8">
      <c r="G582" s="14"/>
      <c r="H582" s="566"/>
    </row>
    <row r="583" spans="7:8">
      <c r="G583" s="14"/>
      <c r="H583" s="566"/>
    </row>
    <row r="584" spans="7:8">
      <c r="G584" s="14"/>
      <c r="H584" s="566"/>
    </row>
    <row r="585" spans="7:8">
      <c r="G585" s="14"/>
      <c r="H585" s="566"/>
    </row>
    <row r="586" spans="7:8">
      <c r="G586" s="14"/>
      <c r="H586" s="566"/>
    </row>
    <row r="587" spans="7:8">
      <c r="G587" s="14"/>
      <c r="H587" s="566"/>
    </row>
    <row r="588" spans="7:8">
      <c r="G588" s="14"/>
      <c r="H588" s="566"/>
    </row>
    <row r="589" spans="7:8">
      <c r="G589" s="14"/>
      <c r="H589" s="566"/>
    </row>
    <row r="590" spans="7:8">
      <c r="G590" s="14"/>
      <c r="H590" s="566"/>
    </row>
    <row r="591" spans="7:8">
      <c r="G591" s="14"/>
      <c r="H591" s="566"/>
    </row>
    <row r="592" spans="7:8">
      <c r="G592" s="14"/>
      <c r="H592" s="566"/>
    </row>
    <row r="593" spans="7:8">
      <c r="G593" s="14"/>
      <c r="H593" s="566"/>
    </row>
    <row r="594" spans="7:8">
      <c r="G594" s="14"/>
      <c r="H594" s="566"/>
    </row>
    <row r="595" spans="7:8">
      <c r="G595" s="14"/>
      <c r="H595" s="566"/>
    </row>
    <row r="596" spans="7:8">
      <c r="G596" s="14"/>
      <c r="H596" s="566"/>
    </row>
    <row r="597" spans="7:8">
      <c r="G597" s="14"/>
      <c r="H597" s="566"/>
    </row>
    <row r="598" spans="7:8">
      <c r="G598" s="14"/>
      <c r="H598" s="566"/>
    </row>
    <row r="599" spans="7:8">
      <c r="G599" s="14"/>
      <c r="H599" s="566"/>
    </row>
    <row r="600" spans="7:8">
      <c r="G600" s="14"/>
      <c r="H600" s="566"/>
    </row>
    <row r="601" spans="7:8">
      <c r="G601" s="14"/>
      <c r="H601" s="566"/>
    </row>
    <row r="602" spans="7:8">
      <c r="G602" s="14"/>
      <c r="H602" s="566"/>
    </row>
    <row r="603" spans="7:8">
      <c r="G603" s="14"/>
      <c r="H603" s="566"/>
    </row>
    <row r="604" spans="7:8">
      <c r="G604" s="14"/>
      <c r="H604" s="566"/>
    </row>
    <row r="605" spans="7:8">
      <c r="G605" s="14"/>
      <c r="H605" s="566"/>
    </row>
    <row r="606" spans="7:8">
      <c r="G606" s="14"/>
      <c r="H606" s="566"/>
    </row>
    <row r="607" spans="7:8">
      <c r="G607" s="14"/>
      <c r="H607" s="566"/>
    </row>
    <row r="608" spans="7:8">
      <c r="G608" s="14"/>
      <c r="H608" s="566"/>
    </row>
    <row r="609" spans="7:8">
      <c r="G609" s="14"/>
      <c r="H609" s="566"/>
    </row>
    <row r="610" spans="7:8">
      <c r="G610" s="14"/>
      <c r="H610" s="566"/>
    </row>
    <row r="611" spans="7:8">
      <c r="G611" s="14"/>
      <c r="H611" s="566"/>
    </row>
    <row r="612" spans="7:8">
      <c r="G612" s="14"/>
      <c r="H612" s="566"/>
    </row>
    <row r="613" spans="7:8">
      <c r="G613" s="14"/>
      <c r="H613" s="566"/>
    </row>
    <row r="614" spans="7:8">
      <c r="G614" s="14"/>
      <c r="H614" s="566"/>
    </row>
    <row r="615" spans="7:8">
      <c r="G615" s="14"/>
      <c r="H615" s="566"/>
    </row>
    <row r="616" spans="7:8">
      <c r="G616" s="14"/>
      <c r="H616" s="566"/>
    </row>
    <row r="617" spans="7:8">
      <c r="G617" s="14"/>
      <c r="H617" s="566"/>
    </row>
    <row r="618" spans="7:8">
      <c r="G618" s="14"/>
      <c r="H618" s="566"/>
    </row>
    <row r="619" spans="7:8">
      <c r="G619" s="14"/>
      <c r="H619" s="566"/>
    </row>
    <row r="620" spans="7:8">
      <c r="G620" s="14"/>
      <c r="H620" s="566"/>
    </row>
    <row r="621" spans="7:8">
      <c r="G621" s="14"/>
      <c r="H621" s="566"/>
    </row>
    <row r="622" spans="7:8">
      <c r="G622" s="14"/>
      <c r="H622" s="566"/>
    </row>
    <row r="623" spans="7:8">
      <c r="G623" s="14"/>
      <c r="H623" s="566"/>
    </row>
    <row r="624" spans="7:8">
      <c r="G624" s="14"/>
      <c r="H624" s="566"/>
    </row>
    <row r="625" spans="7:8">
      <c r="G625" s="14"/>
      <c r="H625" s="566"/>
    </row>
    <row r="626" spans="7:8">
      <c r="G626" s="14"/>
      <c r="H626" s="566"/>
    </row>
    <row r="627" spans="7:8">
      <c r="G627" s="14"/>
      <c r="H627" s="566"/>
    </row>
    <row r="628" spans="7:8">
      <c r="G628" s="14"/>
      <c r="H628" s="566"/>
    </row>
    <row r="629" spans="7:8">
      <c r="G629" s="14"/>
      <c r="H629" s="566"/>
    </row>
    <row r="630" spans="7:8">
      <c r="G630" s="14"/>
      <c r="H630" s="566"/>
    </row>
    <row r="631" spans="7:8">
      <c r="G631" s="14"/>
      <c r="H631" s="566"/>
    </row>
    <row r="632" spans="7:8">
      <c r="G632" s="14"/>
      <c r="H632" s="566"/>
    </row>
    <row r="633" spans="7:8">
      <c r="G633" s="14"/>
      <c r="H633" s="566"/>
    </row>
    <row r="634" spans="7:8">
      <c r="G634" s="14"/>
      <c r="H634" s="566"/>
    </row>
    <row r="635" spans="7:8">
      <c r="G635" s="14"/>
      <c r="H635" s="566"/>
    </row>
    <row r="636" spans="7:8">
      <c r="G636" s="14"/>
      <c r="H636" s="566"/>
    </row>
    <row r="637" spans="7:8">
      <c r="G637" s="14"/>
      <c r="H637" s="566"/>
    </row>
    <row r="638" spans="7:8">
      <c r="G638" s="14"/>
      <c r="H638" s="566"/>
    </row>
    <row r="639" spans="7:8">
      <c r="G639" s="14"/>
      <c r="H639" s="566"/>
    </row>
    <row r="640" spans="7:8">
      <c r="G640" s="14"/>
      <c r="H640" s="566"/>
    </row>
    <row r="641" spans="7:8">
      <c r="G641" s="14"/>
      <c r="H641" s="566"/>
    </row>
    <row r="642" spans="7:8">
      <c r="G642" s="14"/>
      <c r="H642" s="566"/>
    </row>
    <row r="643" spans="7:8">
      <c r="G643" s="14"/>
      <c r="H643" s="566"/>
    </row>
    <row r="644" spans="7:8">
      <c r="G644" s="14"/>
      <c r="H644" s="566"/>
    </row>
    <row r="645" spans="7:8">
      <c r="G645" s="14"/>
      <c r="H645" s="566"/>
    </row>
    <row r="646" spans="7:8">
      <c r="G646" s="14"/>
      <c r="H646" s="566"/>
    </row>
    <row r="647" spans="7:8">
      <c r="G647" s="14"/>
      <c r="H647" s="566"/>
    </row>
    <row r="648" spans="7:8">
      <c r="G648" s="14"/>
      <c r="H648" s="566"/>
    </row>
    <row r="649" spans="7:8">
      <c r="G649" s="14"/>
      <c r="H649" s="566"/>
    </row>
    <row r="650" spans="7:8">
      <c r="G650" s="14"/>
      <c r="H650" s="566"/>
    </row>
    <row r="651" spans="7:8">
      <c r="G651" s="14"/>
      <c r="H651" s="566"/>
    </row>
    <row r="652" spans="7:8">
      <c r="G652" s="14"/>
      <c r="H652" s="566"/>
    </row>
    <row r="653" spans="7:8">
      <c r="G653" s="14"/>
      <c r="H653" s="566"/>
    </row>
    <row r="654" spans="7:8">
      <c r="G654" s="14"/>
      <c r="H654" s="566"/>
    </row>
    <row r="655" spans="7:8">
      <c r="G655" s="14"/>
      <c r="H655" s="566"/>
    </row>
    <row r="656" spans="7:8">
      <c r="G656" s="14"/>
      <c r="H656" s="566"/>
    </row>
    <row r="657" spans="7:8">
      <c r="G657" s="14"/>
      <c r="H657" s="566"/>
    </row>
    <row r="658" spans="7:8">
      <c r="G658" s="14"/>
      <c r="H658" s="566"/>
    </row>
    <row r="659" spans="7:8">
      <c r="G659" s="14"/>
      <c r="H659" s="566"/>
    </row>
    <row r="660" spans="7:8">
      <c r="G660" s="14"/>
      <c r="H660" s="566"/>
    </row>
    <row r="661" spans="7:8">
      <c r="G661" s="14"/>
      <c r="H661" s="566"/>
    </row>
    <row r="662" spans="7:8">
      <c r="G662" s="14"/>
      <c r="H662" s="566"/>
    </row>
    <row r="663" spans="7:8">
      <c r="G663" s="14"/>
      <c r="H663" s="566"/>
    </row>
    <row r="664" spans="7:8">
      <c r="G664" s="14"/>
      <c r="H664" s="566"/>
    </row>
    <row r="665" spans="7:8">
      <c r="G665" s="14"/>
      <c r="H665" s="566"/>
    </row>
    <row r="666" spans="7:8">
      <c r="G666" s="14"/>
      <c r="H666" s="566"/>
    </row>
    <row r="667" spans="7:8">
      <c r="G667" s="14"/>
      <c r="H667" s="566"/>
    </row>
    <row r="668" spans="7:8">
      <c r="G668" s="14"/>
      <c r="H668" s="566"/>
    </row>
    <row r="669" spans="7:8">
      <c r="G669" s="14"/>
      <c r="H669" s="566"/>
    </row>
    <row r="670" spans="7:8">
      <c r="G670" s="14"/>
      <c r="H670" s="566"/>
    </row>
    <row r="671" spans="7:8">
      <c r="G671" s="14"/>
      <c r="H671" s="566"/>
    </row>
    <row r="672" spans="7:8">
      <c r="G672" s="14"/>
      <c r="H672" s="566"/>
    </row>
    <row r="673" spans="7:8">
      <c r="G673" s="14"/>
      <c r="H673" s="566"/>
    </row>
    <row r="674" spans="7:8">
      <c r="G674" s="14"/>
      <c r="H674" s="566"/>
    </row>
    <row r="675" spans="7:8">
      <c r="G675" s="14"/>
      <c r="H675" s="566"/>
    </row>
    <row r="676" spans="7:8">
      <c r="G676" s="14"/>
      <c r="H676" s="566"/>
    </row>
    <row r="677" spans="7:8">
      <c r="G677" s="14"/>
      <c r="H677" s="566"/>
    </row>
    <row r="678" spans="7:8">
      <c r="G678" s="14"/>
      <c r="H678" s="566"/>
    </row>
    <row r="679" spans="7:8">
      <c r="G679" s="14"/>
      <c r="H679" s="566"/>
    </row>
    <row r="680" spans="7:8">
      <c r="G680" s="14"/>
      <c r="H680" s="566"/>
    </row>
    <row r="681" spans="7:8">
      <c r="G681" s="14"/>
      <c r="H681" s="566"/>
    </row>
    <row r="682" spans="7:8">
      <c r="G682" s="14"/>
      <c r="H682" s="566"/>
    </row>
    <row r="683" spans="7:8">
      <c r="G683" s="14"/>
      <c r="H683" s="566"/>
    </row>
    <row r="684" spans="7:8">
      <c r="G684" s="14"/>
      <c r="H684" s="566"/>
    </row>
    <row r="685" spans="7:8">
      <c r="G685" s="14"/>
      <c r="H685" s="566"/>
    </row>
    <row r="686" spans="7:8">
      <c r="G686" s="14"/>
      <c r="H686" s="566"/>
    </row>
    <row r="687" spans="7:8">
      <c r="G687" s="14"/>
      <c r="H687" s="566"/>
    </row>
    <row r="688" spans="7:8">
      <c r="G688" s="14"/>
      <c r="H688" s="566"/>
    </row>
    <row r="689" spans="7:8">
      <c r="G689" s="14"/>
      <c r="H689" s="566"/>
    </row>
    <row r="690" spans="7:8">
      <c r="G690" s="14"/>
      <c r="H690" s="566"/>
    </row>
    <row r="691" spans="7:8">
      <c r="G691" s="14"/>
      <c r="H691" s="566"/>
    </row>
    <row r="692" spans="7:8">
      <c r="G692" s="14"/>
      <c r="H692" s="566"/>
    </row>
    <row r="693" spans="7:8">
      <c r="G693" s="14"/>
      <c r="H693" s="566"/>
    </row>
    <row r="694" spans="7:8">
      <c r="G694" s="14"/>
      <c r="H694" s="566"/>
    </row>
    <row r="695" spans="7:8">
      <c r="G695" s="14"/>
      <c r="H695" s="566"/>
    </row>
    <row r="696" spans="7:8">
      <c r="G696" s="14"/>
      <c r="H696" s="566"/>
    </row>
    <row r="697" spans="7:8">
      <c r="G697" s="14"/>
      <c r="H697" s="566"/>
    </row>
    <row r="698" spans="7:8">
      <c r="G698" s="14"/>
      <c r="H698" s="566"/>
    </row>
    <row r="699" spans="7:8">
      <c r="G699" s="14"/>
      <c r="H699" s="566"/>
    </row>
    <row r="700" spans="7:8">
      <c r="G700" s="14"/>
      <c r="H700" s="566"/>
    </row>
    <row r="701" spans="7:8">
      <c r="G701" s="14"/>
      <c r="H701" s="566"/>
    </row>
    <row r="702" spans="7:8">
      <c r="G702" s="14"/>
      <c r="H702" s="566"/>
    </row>
    <row r="703" spans="7:8">
      <c r="G703" s="14"/>
      <c r="H703" s="566"/>
    </row>
    <row r="704" spans="7:8">
      <c r="G704" s="14"/>
    </row>
    <row r="705" spans="7:7">
      <c r="G705" s="14"/>
    </row>
    <row r="706" spans="7:7">
      <c r="G706" s="14"/>
    </row>
    <row r="707" spans="7:7">
      <c r="G707" s="14"/>
    </row>
    <row r="708" spans="7:7">
      <c r="G708" s="14"/>
    </row>
    <row r="709" spans="7:7">
      <c r="G709" s="14"/>
    </row>
    <row r="710" spans="7:7">
      <c r="G710" s="14"/>
    </row>
    <row r="711" spans="7:7">
      <c r="G711" s="14"/>
    </row>
    <row r="712" spans="7:7">
      <c r="G712" s="14"/>
    </row>
    <row r="713" spans="7:7">
      <c r="G713" s="14"/>
    </row>
    <row r="714" spans="7:7">
      <c r="G714" s="14"/>
    </row>
    <row r="715" spans="7:7">
      <c r="G715" s="14"/>
    </row>
    <row r="716" spans="7:7">
      <c r="G716" s="14"/>
    </row>
    <row r="717" spans="7:7">
      <c r="G717" s="14"/>
    </row>
    <row r="718" spans="7:7">
      <c r="G718" s="14"/>
    </row>
    <row r="719" spans="7:7">
      <c r="G719" s="14"/>
    </row>
    <row r="720" spans="7:7">
      <c r="G720" s="14"/>
    </row>
    <row r="721" spans="7:7">
      <c r="G721" s="14"/>
    </row>
    <row r="722" spans="7:7">
      <c r="G722" s="14"/>
    </row>
    <row r="723" spans="7:7">
      <c r="G723" s="14"/>
    </row>
    <row r="724" spans="7:7">
      <c r="G724" s="14"/>
    </row>
    <row r="725" spans="7:7">
      <c r="G725" s="14"/>
    </row>
    <row r="726" spans="7:7">
      <c r="G726" s="14"/>
    </row>
    <row r="727" spans="7:7">
      <c r="G727" s="14"/>
    </row>
    <row r="728" spans="7:7">
      <c r="G728" s="14"/>
    </row>
    <row r="729" spans="7:7">
      <c r="G729" s="14"/>
    </row>
    <row r="730" spans="7:7">
      <c r="G730" s="14"/>
    </row>
    <row r="731" spans="7:7">
      <c r="G731" s="14"/>
    </row>
    <row r="732" spans="7:7">
      <c r="G732" s="14"/>
    </row>
    <row r="733" spans="7:7">
      <c r="G733" s="14"/>
    </row>
    <row r="734" spans="7:7">
      <c r="G734" s="14"/>
    </row>
    <row r="735" spans="7:7">
      <c r="G735" s="14"/>
    </row>
    <row r="736" spans="7:7">
      <c r="G736" s="14"/>
    </row>
    <row r="737" spans="7:7">
      <c r="G737" s="14"/>
    </row>
    <row r="738" spans="7:7">
      <c r="G738" s="14"/>
    </row>
    <row r="739" spans="7:7">
      <c r="G739" s="14"/>
    </row>
    <row r="740" spans="7:7">
      <c r="G740" s="14"/>
    </row>
    <row r="741" spans="7:7">
      <c r="G741" s="14"/>
    </row>
    <row r="742" spans="7:7">
      <c r="G742" s="14"/>
    </row>
    <row r="743" spans="7:7">
      <c r="G743" s="14"/>
    </row>
    <row r="744" spans="7:7">
      <c r="G744" s="14"/>
    </row>
    <row r="745" spans="7:7">
      <c r="G745" s="14"/>
    </row>
    <row r="746" spans="7:7">
      <c r="G746" s="14"/>
    </row>
    <row r="747" spans="7:7">
      <c r="G747" s="14"/>
    </row>
    <row r="748" spans="7:7">
      <c r="G748" s="14"/>
    </row>
    <row r="749" spans="7:7">
      <c r="G749" s="14"/>
    </row>
    <row r="750" spans="7:7">
      <c r="G750" s="14"/>
    </row>
    <row r="751" spans="7:7">
      <c r="G751" s="14"/>
    </row>
    <row r="752" spans="7:7">
      <c r="G752" s="14"/>
    </row>
    <row r="753" spans="7:7">
      <c r="G753" s="14"/>
    </row>
    <row r="754" spans="7:7">
      <c r="G754" s="14"/>
    </row>
    <row r="755" spans="7:7">
      <c r="G755" s="14"/>
    </row>
    <row r="756" spans="7:7">
      <c r="G756" s="14"/>
    </row>
    <row r="757" spans="7:7">
      <c r="G757" s="14"/>
    </row>
    <row r="758" spans="7:7">
      <c r="G758" s="14"/>
    </row>
    <row r="759" spans="7:7">
      <c r="G759" s="14"/>
    </row>
    <row r="760" spans="7:7">
      <c r="G760" s="14"/>
    </row>
    <row r="761" spans="7:7">
      <c r="G761" s="14"/>
    </row>
    <row r="762" spans="7:7">
      <c r="G762" s="14"/>
    </row>
    <row r="763" spans="7:7">
      <c r="G763" s="14"/>
    </row>
    <row r="764" spans="7:7">
      <c r="G764" s="14"/>
    </row>
    <row r="765" spans="7:7">
      <c r="G765" s="14"/>
    </row>
    <row r="766" spans="7:7">
      <c r="G766" s="14"/>
    </row>
    <row r="767" spans="7:7">
      <c r="G767" s="14"/>
    </row>
    <row r="768" spans="7:7">
      <c r="G768" s="14"/>
    </row>
    <row r="769" spans="7:7">
      <c r="G769" s="14"/>
    </row>
    <row r="770" spans="7:7">
      <c r="G770" s="14"/>
    </row>
    <row r="771" spans="7:7">
      <c r="G771" s="14"/>
    </row>
    <row r="772" spans="7:7">
      <c r="G772" s="14"/>
    </row>
    <row r="773" spans="7:7">
      <c r="G773" s="14"/>
    </row>
    <row r="774" spans="7:7">
      <c r="G774" s="14"/>
    </row>
    <row r="775" spans="7:7">
      <c r="G775" s="14"/>
    </row>
    <row r="776" spans="7:7">
      <c r="G776" s="14"/>
    </row>
    <row r="777" spans="7:7">
      <c r="G777" s="14"/>
    </row>
    <row r="778" spans="7:7">
      <c r="G778" s="14"/>
    </row>
    <row r="779" spans="7:7">
      <c r="G779" s="14"/>
    </row>
    <row r="780" spans="7:7">
      <c r="G780" s="14"/>
    </row>
    <row r="781" spans="7:7">
      <c r="G781" s="14"/>
    </row>
    <row r="782" spans="7:7">
      <c r="G782" s="14"/>
    </row>
    <row r="783" spans="7:7">
      <c r="G783" s="14"/>
    </row>
    <row r="784" spans="7:7">
      <c r="G784" s="14"/>
    </row>
    <row r="785" spans="7:7">
      <c r="G785" s="14"/>
    </row>
    <row r="786" spans="7:7">
      <c r="G786" s="14"/>
    </row>
    <row r="787" spans="7:7">
      <c r="G787" s="14"/>
    </row>
    <row r="788" spans="7:7">
      <c r="G788" s="14"/>
    </row>
    <row r="789" spans="7:7">
      <c r="G789" s="14"/>
    </row>
    <row r="790" spans="7:7">
      <c r="G790" s="14"/>
    </row>
    <row r="791" spans="7:7">
      <c r="G791" s="14"/>
    </row>
    <row r="792" spans="7:7">
      <c r="G792" s="14"/>
    </row>
    <row r="793" spans="7:7">
      <c r="G793" s="14"/>
    </row>
    <row r="794" spans="7:7">
      <c r="G794" s="14"/>
    </row>
    <row r="795" spans="7:7">
      <c r="G795" s="14"/>
    </row>
    <row r="796" spans="7:7">
      <c r="G796" s="14"/>
    </row>
    <row r="797" spans="7:7">
      <c r="G797" s="14"/>
    </row>
    <row r="798" spans="7:7">
      <c r="G798" s="14"/>
    </row>
    <row r="799" spans="7:7">
      <c r="G799" s="14"/>
    </row>
    <row r="800" spans="7:7">
      <c r="G800" s="14"/>
    </row>
    <row r="801" spans="7:7">
      <c r="G801" s="14"/>
    </row>
    <row r="802" spans="7:7">
      <c r="G802" s="14"/>
    </row>
    <row r="803" spans="7:7">
      <c r="G803" s="14"/>
    </row>
    <row r="804" spans="7:7">
      <c r="G804" s="14"/>
    </row>
    <row r="805" spans="7:7">
      <c r="G805" s="14"/>
    </row>
    <row r="806" spans="7:7">
      <c r="G806" s="14"/>
    </row>
    <row r="807" spans="7:7">
      <c r="G807" s="14"/>
    </row>
    <row r="808" spans="7:7">
      <c r="G808" s="14"/>
    </row>
    <row r="809" spans="7:7">
      <c r="G809" s="14"/>
    </row>
    <row r="810" spans="7:7">
      <c r="G810" s="14"/>
    </row>
    <row r="811" spans="7:7">
      <c r="G811" s="14"/>
    </row>
    <row r="812" spans="7:7">
      <c r="G812" s="14"/>
    </row>
    <row r="813" spans="7:7">
      <c r="G813" s="14"/>
    </row>
    <row r="814" spans="7:7">
      <c r="G814" s="14"/>
    </row>
    <row r="815" spans="7:7">
      <c r="G815" s="14"/>
    </row>
    <row r="816" spans="7:7">
      <c r="G816" s="14"/>
    </row>
    <row r="817" spans="7:7">
      <c r="G817" s="14"/>
    </row>
    <row r="818" spans="7:7">
      <c r="G818" s="14"/>
    </row>
    <row r="819" spans="7:7">
      <c r="G819" s="14"/>
    </row>
    <row r="820" spans="7:7">
      <c r="G820" s="14"/>
    </row>
    <row r="821" spans="7:7">
      <c r="G821" s="14"/>
    </row>
    <row r="822" spans="7:7">
      <c r="G822" s="14"/>
    </row>
    <row r="823" spans="7:7">
      <c r="G823" s="14"/>
    </row>
    <row r="824" spans="7:7">
      <c r="G824" s="14"/>
    </row>
    <row r="825" spans="7:7">
      <c r="G825" s="14"/>
    </row>
    <row r="826" spans="7:7">
      <c r="G826" s="14"/>
    </row>
    <row r="827" spans="7:7">
      <c r="G827" s="14"/>
    </row>
    <row r="828" spans="7:7">
      <c r="G828" s="14"/>
    </row>
    <row r="829" spans="7:7">
      <c r="G829" s="14"/>
    </row>
    <row r="830" spans="7:7">
      <c r="G830" s="14"/>
    </row>
    <row r="831" spans="7:7">
      <c r="G831" s="14"/>
    </row>
    <row r="832" spans="7:7">
      <c r="G832" s="14"/>
    </row>
    <row r="833" spans="7:7">
      <c r="G833" s="14"/>
    </row>
    <row r="834" spans="7:7">
      <c r="G834" s="14"/>
    </row>
    <row r="835" spans="7:7">
      <c r="G835" s="14"/>
    </row>
    <row r="836" spans="7:7">
      <c r="G836" s="14"/>
    </row>
    <row r="837" spans="7:7">
      <c r="G837" s="14"/>
    </row>
    <row r="838" spans="7:7">
      <c r="G838" s="14"/>
    </row>
    <row r="839" spans="7:7">
      <c r="G839" s="14"/>
    </row>
    <row r="840" spans="7:7">
      <c r="G840" s="14"/>
    </row>
    <row r="841" spans="7:7">
      <c r="G841" s="14"/>
    </row>
    <row r="842" spans="7:7">
      <c r="G842" s="14"/>
    </row>
    <row r="843" spans="7:7">
      <c r="G843" s="14"/>
    </row>
    <row r="844" spans="7:7">
      <c r="G844" s="14"/>
    </row>
    <row r="845" spans="7:7">
      <c r="G845" s="14"/>
    </row>
    <row r="846" spans="7:7">
      <c r="G846" s="14"/>
    </row>
    <row r="847" spans="7:7">
      <c r="G847" s="14"/>
    </row>
    <row r="848" spans="7:7">
      <c r="G848" s="14"/>
    </row>
    <row r="849" spans="7:7">
      <c r="G849" s="14"/>
    </row>
    <row r="850" spans="7:7">
      <c r="G850" s="14"/>
    </row>
    <row r="851" spans="7:7">
      <c r="G851" s="14"/>
    </row>
    <row r="852" spans="7:7">
      <c r="G852" s="14"/>
    </row>
    <row r="853" spans="7:7">
      <c r="G853" s="14"/>
    </row>
    <row r="854" spans="7:7">
      <c r="G854" s="14"/>
    </row>
    <row r="855" spans="7:7">
      <c r="G855" s="14"/>
    </row>
    <row r="856" spans="7:7">
      <c r="G856" s="14"/>
    </row>
    <row r="857" spans="7:7">
      <c r="G857" s="14"/>
    </row>
    <row r="858" spans="7:7">
      <c r="G858" s="14"/>
    </row>
    <row r="859" spans="7:7">
      <c r="G859" s="14"/>
    </row>
    <row r="860" spans="7:7">
      <c r="G860" s="14"/>
    </row>
    <row r="861" spans="7:7">
      <c r="G861" s="14"/>
    </row>
    <row r="862" spans="7:7">
      <c r="G862" s="14"/>
    </row>
    <row r="863" spans="7:7">
      <c r="G863" s="14"/>
    </row>
    <row r="864" spans="7:7">
      <c r="G864" s="14"/>
    </row>
    <row r="865" spans="7:7">
      <c r="G865" s="14"/>
    </row>
    <row r="866" spans="7:7">
      <c r="G866" s="14"/>
    </row>
    <row r="867" spans="7:7">
      <c r="G867" s="14"/>
    </row>
    <row r="868" spans="7:7">
      <c r="G868" s="14"/>
    </row>
    <row r="869" spans="7:7">
      <c r="G869" s="14"/>
    </row>
    <row r="870" spans="7:7">
      <c r="G870" s="14"/>
    </row>
    <row r="871" spans="7:7">
      <c r="G871" s="14"/>
    </row>
    <row r="872" spans="7:7">
      <c r="G872" s="14"/>
    </row>
    <row r="873" spans="7:7">
      <c r="G873" s="14"/>
    </row>
    <row r="874" spans="7:7">
      <c r="G874" s="14"/>
    </row>
    <row r="875" spans="7:7">
      <c r="G875" s="14"/>
    </row>
    <row r="876" spans="7:7">
      <c r="G876" s="14"/>
    </row>
    <row r="877" spans="7:7">
      <c r="G877" s="14"/>
    </row>
    <row r="878" spans="7:7">
      <c r="G878" s="14"/>
    </row>
    <row r="879" spans="7:7">
      <c r="G879" s="14"/>
    </row>
    <row r="880" spans="7:7">
      <c r="G880" s="14"/>
    </row>
    <row r="881" spans="7:7">
      <c r="G881" s="14"/>
    </row>
    <row r="882" spans="7:7">
      <c r="G882" s="14"/>
    </row>
    <row r="883" spans="7:7">
      <c r="G883" s="14"/>
    </row>
    <row r="884" spans="7:7">
      <c r="G884" s="14"/>
    </row>
    <row r="885" spans="7:7">
      <c r="G885" s="14"/>
    </row>
    <row r="886" spans="7:7">
      <c r="G886" s="14"/>
    </row>
    <row r="887" spans="7:7">
      <c r="G887" s="14"/>
    </row>
    <row r="888" spans="7:7">
      <c r="G888" s="14"/>
    </row>
    <row r="889" spans="7:7">
      <c r="G889" s="14"/>
    </row>
    <row r="890" spans="7:7">
      <c r="G890" s="14"/>
    </row>
    <row r="891" spans="7:7">
      <c r="G891" s="14"/>
    </row>
    <row r="892" spans="7:7">
      <c r="G892" s="14"/>
    </row>
    <row r="893" spans="7:7">
      <c r="G893" s="14"/>
    </row>
    <row r="894" spans="7:7">
      <c r="G894" s="14"/>
    </row>
    <row r="895" spans="7:7">
      <c r="G895" s="14"/>
    </row>
    <row r="896" spans="7:7">
      <c r="G896" s="14"/>
    </row>
    <row r="897" spans="7:7">
      <c r="G897" s="14"/>
    </row>
    <row r="898" spans="7:7">
      <c r="G898" s="14"/>
    </row>
    <row r="899" spans="7:7">
      <c r="G899" s="14"/>
    </row>
    <row r="900" spans="7:7">
      <c r="G900" s="14"/>
    </row>
    <row r="901" spans="7:7">
      <c r="G901" s="14"/>
    </row>
    <row r="902" spans="7:7">
      <c r="G902" s="14"/>
    </row>
    <row r="903" spans="7:7">
      <c r="G903" s="14"/>
    </row>
    <row r="904" spans="7:7">
      <c r="G904" s="14"/>
    </row>
    <row r="905" spans="7:7">
      <c r="G905" s="14"/>
    </row>
    <row r="906" spans="7:7">
      <c r="G906" s="14"/>
    </row>
    <row r="907" spans="7:7">
      <c r="G907" s="14"/>
    </row>
    <row r="908" spans="7:7">
      <c r="G908" s="14"/>
    </row>
    <row r="909" spans="7:7">
      <c r="G909" s="14"/>
    </row>
    <row r="910" spans="7:7">
      <c r="G910" s="14"/>
    </row>
    <row r="911" spans="7:7">
      <c r="G911" s="14"/>
    </row>
    <row r="912" spans="7:7">
      <c r="G912" s="14"/>
    </row>
    <row r="913" spans="7:7">
      <c r="G913" s="14"/>
    </row>
    <row r="914" spans="7:7">
      <c r="G914" s="14"/>
    </row>
    <row r="915" spans="7:7">
      <c r="G915" s="14"/>
    </row>
    <row r="916" spans="7:7">
      <c r="G916" s="14"/>
    </row>
    <row r="917" spans="7:7">
      <c r="G917" s="14"/>
    </row>
    <row r="918" spans="7:7">
      <c r="G918" s="14"/>
    </row>
    <row r="919" spans="7:7">
      <c r="G919" s="14"/>
    </row>
    <row r="920" spans="7:7">
      <c r="G920" s="14"/>
    </row>
    <row r="921" spans="7:7">
      <c r="G921" s="14"/>
    </row>
    <row r="922" spans="7:7">
      <c r="G922" s="14"/>
    </row>
    <row r="923" spans="7:7">
      <c r="G923" s="14"/>
    </row>
    <row r="924" spans="7:7">
      <c r="G924" s="14"/>
    </row>
    <row r="925" spans="7:7">
      <c r="G925" s="14"/>
    </row>
    <row r="926" spans="7:7">
      <c r="G926" s="14"/>
    </row>
    <row r="927" spans="7:7">
      <c r="G927" s="14"/>
    </row>
    <row r="928" spans="7:7">
      <c r="G928" s="14"/>
    </row>
    <row r="929" spans="7:7">
      <c r="G929" s="14"/>
    </row>
    <row r="930" spans="7:7">
      <c r="G930" s="14"/>
    </row>
    <row r="931" spans="7:7">
      <c r="G931" s="14"/>
    </row>
    <row r="932" spans="7:7">
      <c r="G932" s="14"/>
    </row>
    <row r="933" spans="7:7">
      <c r="G933" s="14"/>
    </row>
    <row r="934" spans="7:7">
      <c r="G934" s="14"/>
    </row>
    <row r="935" spans="7:7">
      <c r="G935" s="14"/>
    </row>
    <row r="936" spans="7:7">
      <c r="G936" s="14"/>
    </row>
    <row r="937" spans="7:7">
      <c r="G937" s="14"/>
    </row>
    <row r="938" spans="7:7">
      <c r="G938" s="14"/>
    </row>
    <row r="939" spans="7:7">
      <c r="G939" s="14"/>
    </row>
    <row r="940" spans="7:7">
      <c r="G940" s="14"/>
    </row>
    <row r="941" spans="7:7">
      <c r="G941" s="14"/>
    </row>
    <row r="942" spans="7:7">
      <c r="G942" s="14"/>
    </row>
    <row r="943" spans="7:7">
      <c r="G943" s="14"/>
    </row>
    <row r="944" spans="7:7">
      <c r="G944" s="14"/>
    </row>
    <row r="945" spans="7:7">
      <c r="G945" s="14"/>
    </row>
    <row r="946" spans="7:7">
      <c r="G946" s="14"/>
    </row>
    <row r="947" spans="7:7">
      <c r="G947" s="14"/>
    </row>
    <row r="948" spans="7:7">
      <c r="G948" s="14"/>
    </row>
    <row r="949" spans="7:7">
      <c r="G949" s="14"/>
    </row>
    <row r="950" spans="7:7">
      <c r="G950" s="14"/>
    </row>
    <row r="951" spans="7:7">
      <c r="G951" s="14"/>
    </row>
  </sheetData>
  <phoneticPr fontId="3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indexed="43"/>
  </sheetPr>
  <dimension ref="A1:Z640"/>
  <sheetViews>
    <sheetView zoomScale="75" workbookViewId="0">
      <selection activeCell="A23" sqref="A23"/>
    </sheetView>
  </sheetViews>
  <sheetFormatPr defaultRowHeight="16.5"/>
  <cols>
    <col min="1" max="1" width="24.25" customWidth="1"/>
    <col min="2" max="2" width="10.5" hidden="1" customWidth="1"/>
    <col min="3" max="3" width="8.625" style="14" hidden="1" customWidth="1"/>
    <col min="4" max="4" width="17.125" style="14" bestFit="1" customWidth="1"/>
    <col min="5" max="5" width="12.25" style="14" customWidth="1"/>
    <col min="6" max="6" width="12.25" style="534" customWidth="1"/>
    <col min="7" max="7" width="15.625" style="2" customWidth="1"/>
    <col min="8" max="8" width="14.75" hidden="1" customWidth="1"/>
    <col min="9" max="9" width="12.375" style="14" customWidth="1"/>
    <col min="10" max="10" width="6.875" hidden="1" customWidth="1"/>
    <col min="11" max="11" width="11.875" hidden="1" customWidth="1"/>
    <col min="12" max="12" width="10" customWidth="1"/>
    <col min="13" max="13" width="29.75" hidden="1" customWidth="1"/>
    <col min="14" max="14" width="10" style="474" customWidth="1"/>
    <col min="15" max="15" width="10.25" style="52" hidden="1" customWidth="1"/>
    <col min="16" max="16" width="13.375" style="44" customWidth="1"/>
    <col min="17" max="17" width="15.125" style="44" customWidth="1"/>
    <col min="18" max="18" width="13.875" bestFit="1" customWidth="1"/>
    <col min="19" max="19" width="12.5" style="377" customWidth="1"/>
    <col min="20" max="20" width="15.125" customWidth="1"/>
    <col min="21" max="21" width="13.375" customWidth="1"/>
    <col min="22" max="22" width="13.75" customWidth="1"/>
    <col min="23" max="23" width="11.75" customWidth="1"/>
    <col min="24" max="24" width="15.75" customWidth="1"/>
    <col min="26" max="26" width="15" customWidth="1"/>
  </cols>
  <sheetData>
    <row r="1" spans="1:26">
      <c r="A1" t="s">
        <v>162</v>
      </c>
    </row>
    <row r="2" spans="1:26" s="93" customFormat="1">
      <c r="A2" s="206" t="s">
        <v>234</v>
      </c>
      <c r="B2" s="206" t="s">
        <v>0</v>
      </c>
      <c r="C2" s="207" t="s">
        <v>8</v>
      </c>
      <c r="D2" s="207" t="s">
        <v>176</v>
      </c>
      <c r="E2" s="207" t="s">
        <v>171</v>
      </c>
      <c r="F2" s="535" t="s">
        <v>170</v>
      </c>
      <c r="G2" s="208" t="s">
        <v>11</v>
      </c>
      <c r="H2" s="206" t="s">
        <v>1</v>
      </c>
      <c r="I2" s="207" t="s">
        <v>2</v>
      </c>
      <c r="J2" s="206" t="s">
        <v>3</v>
      </c>
      <c r="K2" s="206" t="s">
        <v>4</v>
      </c>
      <c r="L2" s="209" t="s">
        <v>12</v>
      </c>
      <c r="M2" s="207" t="s">
        <v>5</v>
      </c>
      <c r="N2" s="482" t="s">
        <v>18</v>
      </c>
      <c r="O2" s="210" t="s">
        <v>10</v>
      </c>
      <c r="P2" s="209" t="s">
        <v>210</v>
      </c>
      <c r="Q2" s="207" t="s">
        <v>211</v>
      </c>
      <c r="R2" s="260" t="s">
        <v>212</v>
      </c>
      <c r="S2" s="377"/>
      <c r="Z2" s="131" t="s">
        <v>21</v>
      </c>
    </row>
    <row r="3" spans="1:26" s="102" customFormat="1">
      <c r="A3" s="87" t="s">
        <v>300</v>
      </c>
      <c r="B3" s="120"/>
      <c r="C3" s="121"/>
      <c r="D3" s="122">
        <v>41711</v>
      </c>
      <c r="E3" s="122"/>
      <c r="F3" s="536"/>
      <c r="G3" s="88">
        <f t="shared" ref="G3:G8" si="0">1000000*0</f>
        <v>0</v>
      </c>
      <c r="H3" s="87"/>
      <c r="I3" s="122">
        <v>45337</v>
      </c>
      <c r="J3" s="123">
        <v>8.1579999999999995</v>
      </c>
      <c r="K3" s="123">
        <v>4.1036999999999999</v>
      </c>
      <c r="L3" s="550">
        <f>-LOOKUP(A3,'market px'!K$2:K$497,'market px'!M$2:M$497)*G3/1000000</f>
        <v>0</v>
      </c>
      <c r="M3" s="123"/>
      <c r="N3" s="475" t="s">
        <v>23</v>
      </c>
      <c r="O3" s="87"/>
      <c r="P3" s="396">
        <v>99.859375</v>
      </c>
      <c r="Q3" s="396">
        <f>LOOKUP(A3,'market px'!K$2:K$497,'market px'!P$2:$P$497)</f>
        <v>98.219200000000001</v>
      </c>
      <c r="R3" s="104">
        <f t="shared" ref="R3:R8" si="1">(Q3-P3)*G3/100</f>
        <v>0</v>
      </c>
      <c r="S3" s="382"/>
      <c r="T3" s="93"/>
      <c r="U3" s="93"/>
      <c r="V3" s="93"/>
      <c r="W3" s="93"/>
      <c r="X3" s="93"/>
      <c r="Z3" s="103"/>
    </row>
    <row r="4" spans="1:26" s="102" customFormat="1">
      <c r="A4" s="87" t="s">
        <v>300</v>
      </c>
      <c r="B4" s="120"/>
      <c r="C4" s="121"/>
      <c r="D4" s="122">
        <v>38853</v>
      </c>
      <c r="E4" s="122"/>
      <c r="F4" s="536"/>
      <c r="G4" s="88">
        <f t="shared" si="0"/>
        <v>0</v>
      </c>
      <c r="H4" s="87"/>
      <c r="I4" s="122">
        <v>42505</v>
      </c>
      <c r="J4" s="123">
        <v>8.1579999999999995</v>
      </c>
      <c r="K4" s="123">
        <v>4.1036999999999999</v>
      </c>
      <c r="L4" s="550">
        <f>-LOOKUP(A4,'market px'!K$2:K$497,'market px'!M$2:M$497)*G4/1000000</f>
        <v>0</v>
      </c>
      <c r="M4" s="123"/>
      <c r="N4" s="475" t="s">
        <v>23</v>
      </c>
      <c r="O4" s="87"/>
      <c r="P4" s="129">
        <v>95.90234375</v>
      </c>
      <c r="Q4" s="129">
        <f>LOOKUP(A4,'market px'!K$2:K$497,'market px'!P$2:$P$497)</f>
        <v>98.219200000000001</v>
      </c>
      <c r="R4" s="104">
        <f t="shared" si="1"/>
        <v>0</v>
      </c>
      <c r="S4" s="382"/>
      <c r="T4" s="93"/>
      <c r="U4" s="93"/>
      <c r="V4" s="93"/>
      <c r="W4" s="93"/>
      <c r="X4" s="93"/>
      <c r="Z4" s="103"/>
    </row>
    <row r="5" spans="1:26" s="102" customFormat="1">
      <c r="A5" s="262" t="s">
        <v>300</v>
      </c>
      <c r="B5" s="271" t="s">
        <v>137</v>
      </c>
      <c r="C5" s="264"/>
      <c r="D5" s="265">
        <v>38839</v>
      </c>
      <c r="E5" s="265"/>
      <c r="F5" s="537"/>
      <c r="G5" s="266">
        <f t="shared" si="0"/>
        <v>0</v>
      </c>
      <c r="H5" s="262"/>
      <c r="I5" s="265">
        <v>39568</v>
      </c>
      <c r="J5" s="267">
        <v>8.1579999999999995</v>
      </c>
      <c r="K5" s="267">
        <v>4.1036999999999999</v>
      </c>
      <c r="L5" s="551">
        <f>-LOOKUP(A5,'market px'!K$2:K$497,'market px'!M$2:M$497)*G5/1000000</f>
        <v>0</v>
      </c>
      <c r="M5" s="267"/>
      <c r="N5" s="476"/>
      <c r="O5" s="262"/>
      <c r="P5" s="268">
        <v>99.875</v>
      </c>
      <c r="Q5" s="268">
        <f>LOOKUP(A5,'market px'!K$2:K$497,'market px'!P$2:$P$497)</f>
        <v>98.219200000000001</v>
      </c>
      <c r="R5" s="269">
        <f t="shared" si="1"/>
        <v>0</v>
      </c>
      <c r="S5" s="382"/>
      <c r="T5" s="93"/>
      <c r="U5" s="93"/>
      <c r="V5" s="93"/>
      <c r="W5" s="93"/>
      <c r="X5" s="93"/>
      <c r="Z5" s="103"/>
    </row>
    <row r="6" spans="1:26" s="102" customFormat="1">
      <c r="A6" s="262" t="s">
        <v>300</v>
      </c>
      <c r="B6" s="263"/>
      <c r="C6" s="264"/>
      <c r="D6" s="265">
        <v>38839</v>
      </c>
      <c r="E6" s="265"/>
      <c r="F6" s="537"/>
      <c r="G6" s="266">
        <f t="shared" si="0"/>
        <v>0</v>
      </c>
      <c r="H6" s="262"/>
      <c r="I6" s="265">
        <v>39568</v>
      </c>
      <c r="J6" s="267">
        <v>8.1579999999999995</v>
      </c>
      <c r="K6" s="267">
        <v>4.1036999999999999</v>
      </c>
      <c r="L6" s="551">
        <f>-LOOKUP(A6,'market px'!K$2:K$497,'market px'!M$2:M$497)*G6/1000000</f>
        <v>0</v>
      </c>
      <c r="M6" s="267"/>
      <c r="N6" s="476" t="s">
        <v>21</v>
      </c>
      <c r="O6" s="262"/>
      <c r="P6" s="268">
        <v>99.875</v>
      </c>
      <c r="Q6" s="268">
        <f>LOOKUP(A6,'market px'!K$2:K$497,'market px'!P$2:$P$497)</f>
        <v>98.219200000000001</v>
      </c>
      <c r="R6" s="269">
        <f t="shared" si="1"/>
        <v>0</v>
      </c>
      <c r="S6" s="382"/>
      <c r="T6" s="93"/>
      <c r="U6" s="93"/>
      <c r="V6" s="93"/>
      <c r="W6" s="93"/>
      <c r="X6" s="93"/>
      <c r="Z6" s="103"/>
    </row>
    <row r="7" spans="1:26" s="116" customFormat="1">
      <c r="A7" s="110" t="s">
        <v>300</v>
      </c>
      <c r="B7" s="111"/>
      <c r="C7" s="112"/>
      <c r="D7" s="113">
        <v>38839</v>
      </c>
      <c r="E7" s="113"/>
      <c r="F7" s="538"/>
      <c r="G7" s="114">
        <f t="shared" si="0"/>
        <v>0</v>
      </c>
      <c r="H7" s="110"/>
      <c r="I7" s="113">
        <v>39568</v>
      </c>
      <c r="J7" s="115">
        <v>8.1579999999999995</v>
      </c>
      <c r="K7" s="115">
        <v>4.1036999999999999</v>
      </c>
      <c r="L7" s="552">
        <f>-LOOKUP(A7,'market px'!K$2:K$497,'market px'!M$2:M$497)*G7/1000000</f>
        <v>0</v>
      </c>
      <c r="M7" s="115"/>
      <c r="N7" s="477" t="s">
        <v>23</v>
      </c>
      <c r="O7" s="110"/>
      <c r="P7" s="319">
        <v>99.875</v>
      </c>
      <c r="Q7" s="319">
        <f>LOOKUP(A7,'market px'!K$2:K$497,'market px'!P$2:$P$497)</f>
        <v>98.219200000000001</v>
      </c>
      <c r="R7" s="261">
        <f t="shared" si="1"/>
        <v>0</v>
      </c>
      <c r="S7" s="382"/>
      <c r="Z7" s="320"/>
    </row>
    <row r="8" spans="1:26" s="116" customFormat="1">
      <c r="A8" s="110" t="s">
        <v>300</v>
      </c>
      <c r="B8" s="111" t="s">
        <v>161</v>
      </c>
      <c r="C8" s="112"/>
      <c r="D8" s="113">
        <v>38839</v>
      </c>
      <c r="E8" s="113"/>
      <c r="F8" s="538"/>
      <c r="G8" s="114">
        <f t="shared" si="0"/>
        <v>0</v>
      </c>
      <c r="H8" s="110"/>
      <c r="I8" s="113">
        <v>42019</v>
      </c>
      <c r="J8" s="110">
        <v>7.95</v>
      </c>
      <c r="K8" s="110">
        <v>4.5</v>
      </c>
      <c r="L8" s="552">
        <f>-LOOKUP(A8,'market px'!K$2:K$497,'market px'!M$2:M$497)*G8/1000000</f>
        <v>0</v>
      </c>
      <c r="M8" s="115"/>
      <c r="N8" s="478" t="s">
        <v>23</v>
      </c>
      <c r="O8" s="101">
        <v>99.917000000000002</v>
      </c>
      <c r="P8" s="319">
        <v>99.875</v>
      </c>
      <c r="Q8" s="319">
        <f>LOOKUP(A8,'market px'!K$2:K$497,'market px'!P$2:$P$497)</f>
        <v>98.219200000000001</v>
      </c>
      <c r="R8" s="261">
        <f t="shared" si="1"/>
        <v>0</v>
      </c>
      <c r="S8" s="382"/>
      <c r="Z8" s="117"/>
    </row>
    <row r="9" spans="1:26" s="116" customFormat="1">
      <c r="A9" s="111" t="s">
        <v>166</v>
      </c>
      <c r="B9" s="111"/>
      <c r="C9" s="112"/>
      <c r="D9" s="313"/>
      <c r="E9" s="313"/>
      <c r="F9" s="539"/>
      <c r="G9" s="314">
        <f>SUM(G3:G8)</f>
        <v>0</v>
      </c>
      <c r="H9" s="315"/>
      <c r="I9" s="313"/>
      <c r="J9" s="111"/>
      <c r="K9" s="111"/>
      <c r="L9" s="316">
        <f>SUM(L3:L8)</f>
        <v>0</v>
      </c>
      <c r="M9" s="317"/>
      <c r="N9" s="479"/>
      <c r="O9" s="318"/>
      <c r="P9" s="323"/>
      <c r="Q9" s="318"/>
      <c r="R9" s="316">
        <f>SUM(R3:R8)</f>
        <v>0</v>
      </c>
      <c r="S9" s="383"/>
      <c r="Z9" s="117"/>
    </row>
    <row r="10" spans="1:26" s="93" customFormat="1">
      <c r="A10" s="93" t="s">
        <v>163</v>
      </c>
      <c r="C10" s="97"/>
      <c r="D10" s="97"/>
      <c r="E10" s="97"/>
      <c r="F10" s="540"/>
      <c r="G10" s="100"/>
      <c r="I10" s="97"/>
      <c r="N10" s="480"/>
      <c r="O10" s="98"/>
      <c r="P10" s="99"/>
      <c r="Q10" s="99"/>
      <c r="S10" s="377"/>
    </row>
    <row r="11" spans="1:26" s="93" customFormat="1">
      <c r="A11" s="206" t="s">
        <v>234</v>
      </c>
      <c r="B11" s="206" t="s">
        <v>0</v>
      </c>
      <c r="C11" s="207" t="s">
        <v>8</v>
      </c>
      <c r="D11" s="207" t="s">
        <v>7</v>
      </c>
      <c r="E11" s="207" t="s">
        <v>171</v>
      </c>
      <c r="F11" s="535" t="s">
        <v>170</v>
      </c>
      <c r="G11" s="208" t="s">
        <v>11</v>
      </c>
      <c r="H11" s="206" t="s">
        <v>1</v>
      </c>
      <c r="I11" s="207" t="s">
        <v>2</v>
      </c>
      <c r="J11" s="206" t="s">
        <v>3</v>
      </c>
      <c r="K11" s="206" t="s">
        <v>4</v>
      </c>
      <c r="L11" s="209" t="s">
        <v>12</v>
      </c>
      <c r="M11" s="207" t="s">
        <v>5</v>
      </c>
      <c r="N11" s="482" t="s">
        <v>18</v>
      </c>
      <c r="O11" s="210" t="s">
        <v>10</v>
      </c>
      <c r="P11" s="209" t="s">
        <v>213</v>
      </c>
      <c r="Q11" s="207" t="s">
        <v>214</v>
      </c>
      <c r="R11" s="260" t="s">
        <v>215</v>
      </c>
      <c r="S11" s="377"/>
      <c r="Z11" s="131" t="s">
        <v>21</v>
      </c>
    </row>
    <row r="12" spans="1:26" s="102" customFormat="1">
      <c r="A12" s="87" t="s">
        <v>300</v>
      </c>
      <c r="B12" s="120"/>
      <c r="C12" s="121"/>
      <c r="D12" s="122">
        <v>38898</v>
      </c>
      <c r="E12" s="122"/>
      <c r="F12" s="536"/>
      <c r="G12" s="88">
        <f t="shared" ref="G12:G17" si="2">1000000*0</f>
        <v>0</v>
      </c>
      <c r="H12" s="87"/>
      <c r="I12" s="122">
        <v>42505</v>
      </c>
      <c r="J12" s="123">
        <v>8.1579999999999995</v>
      </c>
      <c r="K12" s="123">
        <v>4.1036999999999999</v>
      </c>
      <c r="L12" s="550">
        <f>-LOOKUP(A12,'market px'!K$2:K$497,'market px'!M$2:M$497)*G12/1000000</f>
        <v>0</v>
      </c>
      <c r="M12" s="123"/>
      <c r="N12" s="475" t="s">
        <v>23</v>
      </c>
      <c r="O12" s="87"/>
      <c r="P12" s="129">
        <v>99.46875</v>
      </c>
      <c r="Q12" s="396">
        <f>LOOKUP(A12,'market px'!K$2:K$497,'market px'!P$2:$P$497)</f>
        <v>98.219200000000001</v>
      </c>
      <c r="R12" s="104">
        <f t="shared" ref="R12:R17" si="3">(Q12-P12)*G12/100</f>
        <v>0</v>
      </c>
      <c r="S12" s="378"/>
      <c r="T12" s="93"/>
      <c r="U12" s="93"/>
      <c r="V12" s="93"/>
      <c r="W12" s="93"/>
      <c r="X12" s="93"/>
      <c r="Z12" s="103"/>
    </row>
    <row r="13" spans="1:26" s="102" customFormat="1">
      <c r="A13" s="87" t="s">
        <v>300</v>
      </c>
      <c r="B13" s="120"/>
      <c r="C13" s="121"/>
      <c r="D13" s="122">
        <v>38853</v>
      </c>
      <c r="E13" s="122"/>
      <c r="F13" s="536"/>
      <c r="G13" s="88">
        <f t="shared" si="2"/>
        <v>0</v>
      </c>
      <c r="H13" s="87"/>
      <c r="I13" s="122">
        <v>42505</v>
      </c>
      <c r="J13" s="123">
        <v>8.1579999999999995</v>
      </c>
      <c r="K13" s="123">
        <v>4.1036999999999999</v>
      </c>
      <c r="L13" s="550">
        <f>-LOOKUP(A13,'market px'!K$2:K$497,'market px'!M$2:M$497)*G13/1000000</f>
        <v>0</v>
      </c>
      <c r="M13" s="123"/>
      <c r="N13" s="475" t="s">
        <v>23</v>
      </c>
      <c r="O13" s="87"/>
      <c r="P13" s="129">
        <v>95.90234375</v>
      </c>
      <c r="Q13" s="129">
        <f>LOOKUP(A13,'market px'!K$2:K$497,'market px'!P$2:$P$497)</f>
        <v>98.219200000000001</v>
      </c>
      <c r="R13" s="104">
        <f t="shared" si="3"/>
        <v>0</v>
      </c>
      <c r="S13" s="378"/>
      <c r="T13" s="93"/>
      <c r="U13" s="93"/>
      <c r="V13" s="93"/>
      <c r="W13" s="93"/>
      <c r="X13" s="93"/>
      <c r="Z13" s="103"/>
    </row>
    <row r="14" spans="1:26" s="102" customFormat="1">
      <c r="A14" s="262" t="s">
        <v>300</v>
      </c>
      <c r="B14" s="271" t="s">
        <v>137</v>
      </c>
      <c r="C14" s="264"/>
      <c r="D14" s="265">
        <v>38839</v>
      </c>
      <c r="E14" s="265"/>
      <c r="F14" s="537"/>
      <c r="G14" s="266">
        <f t="shared" si="2"/>
        <v>0</v>
      </c>
      <c r="H14" s="262"/>
      <c r="I14" s="265">
        <v>39568</v>
      </c>
      <c r="J14" s="267">
        <v>8.1579999999999995</v>
      </c>
      <c r="K14" s="267">
        <v>4.1036999999999999</v>
      </c>
      <c r="L14" s="551">
        <f>-LOOKUP(A14,'market px'!K$2:K$497,'market px'!M$2:M$497)*G14/1000000</f>
        <v>0</v>
      </c>
      <c r="M14" s="267"/>
      <c r="N14" s="476"/>
      <c r="O14" s="262"/>
      <c r="P14" s="268">
        <v>99.875</v>
      </c>
      <c r="Q14" s="268">
        <f>LOOKUP(A14,'market px'!K$2:K$497,'market px'!P$2:$P$497)</f>
        <v>98.219200000000001</v>
      </c>
      <c r="R14" s="269">
        <f t="shared" si="3"/>
        <v>0</v>
      </c>
      <c r="S14" s="378"/>
      <c r="T14" s="93"/>
      <c r="U14" s="93"/>
      <c r="V14" s="93"/>
      <c r="W14" s="93"/>
      <c r="X14" s="93"/>
      <c r="Z14" s="103"/>
    </row>
    <row r="15" spans="1:26" s="102" customFormat="1">
      <c r="A15" s="262" t="s">
        <v>300</v>
      </c>
      <c r="B15" s="263"/>
      <c r="C15" s="264"/>
      <c r="D15" s="265">
        <v>38839</v>
      </c>
      <c r="E15" s="265"/>
      <c r="F15" s="537"/>
      <c r="G15" s="266">
        <f t="shared" si="2"/>
        <v>0</v>
      </c>
      <c r="H15" s="262"/>
      <c r="I15" s="265">
        <v>39568</v>
      </c>
      <c r="J15" s="267">
        <v>8.1579999999999995</v>
      </c>
      <c r="K15" s="267">
        <v>4.1036999999999999</v>
      </c>
      <c r="L15" s="551">
        <f>-LOOKUP(A15,'market px'!K$2:K$497,'market px'!M$2:M$497)*G15/1000000</f>
        <v>0</v>
      </c>
      <c r="M15" s="267"/>
      <c r="N15" s="476" t="s">
        <v>21</v>
      </c>
      <c r="O15" s="262"/>
      <c r="P15" s="268">
        <v>99.875</v>
      </c>
      <c r="Q15" s="268">
        <f>LOOKUP(A15,'market px'!K$2:K$497,'market px'!P$2:$P$497)</f>
        <v>98.219200000000001</v>
      </c>
      <c r="R15" s="269">
        <f t="shared" si="3"/>
        <v>0</v>
      </c>
      <c r="S15" s="378"/>
      <c r="T15" s="93"/>
      <c r="U15" s="93"/>
      <c r="V15" s="93"/>
      <c r="W15" s="93"/>
      <c r="X15" s="93"/>
      <c r="Z15" s="103"/>
    </row>
    <row r="16" spans="1:26" s="116" customFormat="1">
      <c r="A16" s="110" t="s">
        <v>300</v>
      </c>
      <c r="B16" s="111"/>
      <c r="C16" s="112"/>
      <c r="D16" s="113">
        <v>38839</v>
      </c>
      <c r="E16" s="113"/>
      <c r="F16" s="538"/>
      <c r="G16" s="114">
        <f t="shared" si="2"/>
        <v>0</v>
      </c>
      <c r="H16" s="110"/>
      <c r="I16" s="113">
        <v>39568</v>
      </c>
      <c r="J16" s="115">
        <v>8.1579999999999995</v>
      </c>
      <c r="K16" s="115">
        <v>4.1036999999999999</v>
      </c>
      <c r="L16" s="552">
        <f>-LOOKUP(A16,'market px'!K$2:K$497,'market px'!M$2:M$497)*G16/1000000</f>
        <v>0</v>
      </c>
      <c r="M16" s="115"/>
      <c r="N16" s="477" t="s">
        <v>23</v>
      </c>
      <c r="O16" s="110"/>
      <c r="P16" s="319">
        <v>99.875</v>
      </c>
      <c r="Q16" s="319">
        <f>LOOKUP(A16,'market px'!K$2:K$497,'market px'!P$2:$P$497)</f>
        <v>98.219200000000001</v>
      </c>
      <c r="R16" s="261">
        <f t="shared" si="3"/>
        <v>0</v>
      </c>
      <c r="S16" s="379"/>
      <c r="Z16" s="320"/>
    </row>
    <row r="17" spans="1:26" s="116" customFormat="1">
      <c r="A17" s="110" t="s">
        <v>300</v>
      </c>
      <c r="B17" s="111" t="s">
        <v>161</v>
      </c>
      <c r="C17" s="112"/>
      <c r="D17" s="113">
        <v>38839</v>
      </c>
      <c r="E17" s="113"/>
      <c r="F17" s="538"/>
      <c r="G17" s="114">
        <f t="shared" si="2"/>
        <v>0</v>
      </c>
      <c r="H17" s="110"/>
      <c r="I17" s="113">
        <v>42019</v>
      </c>
      <c r="J17" s="110">
        <v>7.95</v>
      </c>
      <c r="K17" s="110">
        <v>4.5</v>
      </c>
      <c r="L17" s="552">
        <f>-LOOKUP(A17,'market px'!K$2:K$497,'market px'!M$2:M$497)*G17/1000000</f>
        <v>0</v>
      </c>
      <c r="M17" s="115"/>
      <c r="N17" s="478" t="s">
        <v>23</v>
      </c>
      <c r="O17" s="101">
        <v>99.917000000000002</v>
      </c>
      <c r="P17" s="319">
        <v>99.875</v>
      </c>
      <c r="Q17" s="319">
        <f>LOOKUP(A17,'market px'!K$2:K$497,'market px'!P$2:$P$497)</f>
        <v>98.219200000000001</v>
      </c>
      <c r="R17" s="261">
        <f t="shared" si="3"/>
        <v>0</v>
      </c>
      <c r="S17" s="380"/>
      <c r="Z17" s="117"/>
    </row>
    <row r="18" spans="1:26" s="532" customFormat="1" ht="17.25" thickBot="1">
      <c r="A18" s="361" t="s">
        <v>166</v>
      </c>
      <c r="B18" s="361"/>
      <c r="C18" s="362"/>
      <c r="D18" s="363"/>
      <c r="E18" s="363"/>
      <c r="F18" s="541"/>
      <c r="G18" s="364">
        <f>SUM(G12:G17)</f>
        <v>0</v>
      </c>
      <c r="H18" s="361"/>
      <c r="I18" s="363"/>
      <c r="J18" s="361"/>
      <c r="K18" s="361"/>
      <c r="L18" s="365">
        <f>SUM(L12:L17)</f>
        <v>0</v>
      </c>
      <c r="M18" s="362"/>
      <c r="N18" s="481"/>
      <c r="O18" s="366"/>
      <c r="P18" s="367"/>
      <c r="Q18" s="366"/>
      <c r="R18" s="365">
        <f>SUM(R12:R17)</f>
        <v>0</v>
      </c>
      <c r="S18" s="531"/>
      <c r="Z18" s="533"/>
    </row>
    <row r="19" spans="1:26" s="116" customFormat="1" ht="17.25" thickTop="1">
      <c r="A19" s="324" t="s">
        <v>164</v>
      </c>
      <c r="B19" s="111"/>
      <c r="C19" s="112"/>
      <c r="D19" s="313"/>
      <c r="E19" s="313"/>
      <c r="F19" s="539"/>
      <c r="G19" s="314"/>
      <c r="H19" s="315"/>
      <c r="I19" s="313"/>
      <c r="J19" s="111"/>
      <c r="K19" s="111"/>
      <c r="L19" s="316"/>
      <c r="M19" s="317"/>
      <c r="N19" s="479"/>
      <c r="O19" s="318"/>
      <c r="P19" s="323"/>
      <c r="Q19" s="318"/>
      <c r="R19" s="316"/>
      <c r="S19" s="380"/>
      <c r="Z19" s="117"/>
    </row>
    <row r="20" spans="1:26" s="93" customFormat="1">
      <c r="A20" s="206" t="s">
        <v>99</v>
      </c>
      <c r="B20" s="206" t="s">
        <v>0</v>
      </c>
      <c r="C20" s="207" t="s">
        <v>8</v>
      </c>
      <c r="D20" s="207" t="s">
        <v>7</v>
      </c>
      <c r="E20" s="207" t="s">
        <v>171</v>
      </c>
      <c r="F20" s="535" t="s">
        <v>170</v>
      </c>
      <c r="G20" s="208" t="s">
        <v>11</v>
      </c>
      <c r="H20" s="206" t="s">
        <v>1</v>
      </c>
      <c r="I20" s="207" t="s">
        <v>2</v>
      </c>
      <c r="J20" s="206" t="s">
        <v>3</v>
      </c>
      <c r="K20" s="206" t="s">
        <v>4</v>
      </c>
      <c r="L20" s="209" t="s">
        <v>12</v>
      </c>
      <c r="M20" s="207" t="s">
        <v>5</v>
      </c>
      <c r="N20" s="482" t="s">
        <v>18</v>
      </c>
      <c r="O20" s="210" t="s">
        <v>10</v>
      </c>
      <c r="P20" s="209" t="s">
        <v>213</v>
      </c>
      <c r="Q20" s="207" t="s">
        <v>214</v>
      </c>
      <c r="R20" s="260" t="s">
        <v>215</v>
      </c>
      <c r="S20" s="377"/>
      <c r="T20"/>
      <c r="U20"/>
      <c r="V20"/>
      <c r="W20"/>
      <c r="X20"/>
      <c r="Z20" s="131" t="s">
        <v>21</v>
      </c>
    </row>
    <row r="21" spans="1:26" s="270" customFormat="1">
      <c r="A21" s="325" t="s">
        <v>605</v>
      </c>
      <c r="B21" s="286"/>
      <c r="C21" s="287"/>
      <c r="D21" s="288">
        <v>40842</v>
      </c>
      <c r="E21" s="288"/>
      <c r="F21" s="544"/>
      <c r="G21" s="290">
        <f>100000*0</f>
        <v>0</v>
      </c>
      <c r="H21" s="285"/>
      <c r="I21" s="291" t="s">
        <v>135</v>
      </c>
      <c r="J21" s="285"/>
      <c r="K21" s="285"/>
      <c r="L21" s="292" t="e">
        <f>-VLOOKUP(A21,'market px'!B$2:C$20,2,FALSE)*G21/1000000</f>
        <v>#N/A</v>
      </c>
      <c r="M21" s="293"/>
      <c r="N21" s="485"/>
      <c r="O21" s="294"/>
      <c r="P21" s="295">
        <v>129</v>
      </c>
      <c r="Q21" s="295" t="e">
        <f>VLOOKUP(A21,'market px'!$B$2:$F$20,5,FALSE)</f>
        <v>#N/A</v>
      </c>
      <c r="R21" s="296" t="e">
        <f>(Q21-P21)*G21/100</f>
        <v>#N/A</v>
      </c>
      <c r="S21" s="381"/>
    </row>
    <row r="22" spans="1:26" s="270" customFormat="1">
      <c r="A22" s="325" t="s">
        <v>605</v>
      </c>
      <c r="B22" s="286"/>
      <c r="C22" s="287"/>
      <c r="D22" s="288">
        <v>40820</v>
      </c>
      <c r="E22" s="288"/>
      <c r="F22" s="544"/>
      <c r="G22" s="290">
        <f>100000*0</f>
        <v>0</v>
      </c>
      <c r="H22" s="290">
        <f>100000*0</f>
        <v>0</v>
      </c>
      <c r="I22" s="291" t="s">
        <v>144</v>
      </c>
      <c r="J22" s="285"/>
      <c r="K22" s="285"/>
      <c r="L22" s="292" t="e">
        <f>-VLOOKUP(A22,'market px'!B$2:C$20,2,FALSE)*G22/1000000</f>
        <v>#N/A</v>
      </c>
      <c r="M22" s="293"/>
      <c r="N22" s="485"/>
      <c r="O22" s="294"/>
      <c r="P22" s="295">
        <v>130.625</v>
      </c>
      <c r="Q22" s="295" t="e">
        <f>VLOOKUP(A22,'market px'!$B$2:$F$20,5,FALSE)</f>
        <v>#N/A</v>
      </c>
      <c r="R22" s="296" t="e">
        <f>(Q22-P22)*G22/100</f>
        <v>#N/A</v>
      </c>
      <c r="S22" s="381"/>
    </row>
    <row r="23" spans="1:26" s="270" customFormat="1">
      <c r="A23" s="349" t="s">
        <v>166</v>
      </c>
      <c r="B23" s="321"/>
      <c r="C23" s="322"/>
      <c r="D23" s="350"/>
      <c r="E23" s="351"/>
      <c r="F23" s="545"/>
      <c r="G23" s="352">
        <f>SUM(G21:G22)</f>
        <v>0</v>
      </c>
      <c r="H23" s="349"/>
      <c r="I23" s="353"/>
      <c r="J23" s="349"/>
      <c r="K23" s="349"/>
      <c r="L23" s="354" t="e">
        <f>SUM(L21:L22)</f>
        <v>#N/A</v>
      </c>
      <c r="M23" s="355"/>
      <c r="N23" s="486"/>
      <c r="O23" s="284"/>
      <c r="P23" s="356"/>
      <c r="Q23" s="357"/>
      <c r="R23" s="358" t="e">
        <f>SUM(R21:R22)</f>
        <v>#N/A</v>
      </c>
      <c r="S23" s="381"/>
    </row>
    <row r="24" spans="1:26" s="270" customFormat="1">
      <c r="A24" s="359" t="s">
        <v>169</v>
      </c>
      <c r="B24" s="111"/>
      <c r="C24" s="112"/>
      <c r="D24" s="113"/>
      <c r="E24" s="274"/>
      <c r="F24" s="538"/>
      <c r="G24" s="114"/>
      <c r="H24" s="110"/>
      <c r="I24" s="192"/>
      <c r="J24" s="110"/>
      <c r="K24" s="110"/>
      <c r="L24" s="118"/>
      <c r="M24" s="115"/>
      <c r="N24" s="478"/>
      <c r="O24" s="101"/>
      <c r="P24" s="125"/>
      <c r="Q24" s="360"/>
      <c r="R24" s="261"/>
      <c r="S24" s="381"/>
    </row>
    <row r="25" spans="1:26" s="93" customFormat="1">
      <c r="A25" s="206" t="s">
        <v>99</v>
      </c>
      <c r="B25" s="206" t="s">
        <v>0</v>
      </c>
      <c r="C25" s="207" t="s">
        <v>8</v>
      </c>
      <c r="D25" s="207" t="s">
        <v>7</v>
      </c>
      <c r="E25" s="207" t="s">
        <v>171</v>
      </c>
      <c r="F25" s="535" t="s">
        <v>170</v>
      </c>
      <c r="G25" s="208" t="s">
        <v>11</v>
      </c>
      <c r="H25" s="206" t="s">
        <v>1</v>
      </c>
      <c r="I25" s="207" t="s">
        <v>2</v>
      </c>
      <c r="J25" s="206" t="s">
        <v>3</v>
      </c>
      <c r="K25" s="206" t="s">
        <v>4</v>
      </c>
      <c r="L25" s="209" t="s">
        <v>12</v>
      </c>
      <c r="M25" s="207" t="s">
        <v>5</v>
      </c>
      <c r="N25" s="482" t="s">
        <v>18</v>
      </c>
      <c r="O25" s="210" t="s">
        <v>10</v>
      </c>
      <c r="P25" s="209" t="s">
        <v>213</v>
      </c>
      <c r="Q25" s="207" t="s">
        <v>214</v>
      </c>
      <c r="R25" s="260" t="s">
        <v>215</v>
      </c>
      <c r="S25" s="377"/>
      <c r="Z25" s="131" t="s">
        <v>21</v>
      </c>
    </row>
    <row r="26" spans="1:26" s="93" customFormat="1">
      <c r="A26" s="325" t="s">
        <v>317</v>
      </c>
      <c r="B26" s="326"/>
      <c r="C26" s="327"/>
      <c r="D26" s="328">
        <v>40830</v>
      </c>
      <c r="E26" s="329"/>
      <c r="F26" s="542"/>
      <c r="G26" s="330">
        <f>100000*0</f>
        <v>0</v>
      </c>
      <c r="H26" s="325"/>
      <c r="I26" s="331" t="s">
        <v>135</v>
      </c>
      <c r="J26" s="325"/>
      <c r="K26" s="325"/>
      <c r="L26" s="332">
        <f>-VLOOKUP(A26,'market px'!G$2:H$20,2,FALSE)*G26/1000000</f>
        <v>0</v>
      </c>
      <c r="M26" s="333"/>
      <c r="N26" s="483"/>
      <c r="O26" s="334"/>
      <c r="P26" s="335">
        <v>134.1</v>
      </c>
      <c r="Q26" s="335">
        <f>VLOOKUP(A26,'market px'!$G$2:$I$20,3,FALSE)</f>
        <v>160.49</v>
      </c>
      <c r="R26" s="336">
        <f t="shared" ref="R26:R31" si="4">(Q26-P26)*G26/100</f>
        <v>0</v>
      </c>
      <c r="S26" s="377"/>
    </row>
    <row r="27" spans="1:26" s="93" customFormat="1">
      <c r="A27" s="325" t="s">
        <v>317</v>
      </c>
      <c r="B27" s="326"/>
      <c r="C27" s="327"/>
      <c r="D27" s="328">
        <v>40835</v>
      </c>
      <c r="E27" s="329"/>
      <c r="F27" s="542"/>
      <c r="G27" s="330">
        <f>100000*0</f>
        <v>0</v>
      </c>
      <c r="H27" s="325"/>
      <c r="I27" s="331" t="s">
        <v>135</v>
      </c>
      <c r="J27" s="325"/>
      <c r="K27" s="325"/>
      <c r="L27" s="332">
        <f>-VLOOKUP(A27,'market px'!G$2:H$20,2,FALSE)*G27/1000000</f>
        <v>0</v>
      </c>
      <c r="M27" s="333"/>
      <c r="N27" s="483"/>
      <c r="O27" s="334"/>
      <c r="P27" s="335">
        <v>135.12</v>
      </c>
      <c r="Q27" s="335">
        <f>VLOOKUP(A27,'market px'!$G$2:$I$20,3,FALSE)</f>
        <v>160.49</v>
      </c>
      <c r="R27" s="336">
        <f t="shared" si="4"/>
        <v>0</v>
      </c>
      <c r="S27" s="377"/>
    </row>
    <row r="28" spans="1:26" s="93" customFormat="1">
      <c r="A28" s="337" t="s">
        <v>285</v>
      </c>
      <c r="B28" s="338"/>
      <c r="C28" s="339"/>
      <c r="D28" s="340">
        <v>39090</v>
      </c>
      <c r="E28" s="341"/>
      <c r="F28" s="543"/>
      <c r="G28" s="342">
        <f>-100000*0</f>
        <v>0</v>
      </c>
      <c r="H28" s="337"/>
      <c r="I28" s="343" t="s">
        <v>135</v>
      </c>
      <c r="J28" s="337"/>
      <c r="K28" s="337"/>
      <c r="L28" s="344">
        <f>-VLOOKUP(A28,'market px'!G$2:H$20,2,FALSE)*G28/1000000</f>
        <v>0</v>
      </c>
      <c r="M28" s="345"/>
      <c r="N28" s="484" t="s">
        <v>21</v>
      </c>
      <c r="O28" s="346"/>
      <c r="P28" s="347">
        <v>108.77</v>
      </c>
      <c r="Q28" s="347">
        <f>VLOOKUP(A28,'market px'!$G$2:$I$20,3,FALSE)</f>
        <v>117.91</v>
      </c>
      <c r="R28" s="348">
        <f t="shared" si="4"/>
        <v>0</v>
      </c>
      <c r="S28" s="377"/>
    </row>
    <row r="29" spans="1:26" s="270" customFormat="1">
      <c r="A29" s="337" t="s">
        <v>285</v>
      </c>
      <c r="B29" s="338"/>
      <c r="C29" s="339"/>
      <c r="D29" s="340">
        <v>38954</v>
      </c>
      <c r="E29" s="341"/>
      <c r="F29" s="543"/>
      <c r="G29" s="342">
        <f>-100000*0</f>
        <v>0</v>
      </c>
      <c r="H29" s="337"/>
      <c r="I29" s="343" t="s">
        <v>135</v>
      </c>
      <c r="J29" s="337"/>
      <c r="K29" s="337"/>
      <c r="L29" s="344">
        <f>-VLOOKUP(A29,'market px'!G$2:H$20,2,FALSE)*G29/1000000</f>
        <v>0</v>
      </c>
      <c r="M29" s="345"/>
      <c r="N29" s="484"/>
      <c r="O29" s="346"/>
      <c r="P29" s="347">
        <v>109.88</v>
      </c>
      <c r="Q29" s="347">
        <f>VLOOKUP(A29,'market px'!$G$2:$I$20,3,FALSE)</f>
        <v>117.91</v>
      </c>
      <c r="R29" s="348">
        <f t="shared" si="4"/>
        <v>0</v>
      </c>
      <c r="S29" s="381"/>
    </row>
    <row r="30" spans="1:26" s="270" customFormat="1">
      <c r="A30" s="285" t="s">
        <v>286</v>
      </c>
      <c r="B30" s="286"/>
      <c r="C30" s="287"/>
      <c r="D30" s="288">
        <v>39220</v>
      </c>
      <c r="E30" s="289" t="s">
        <v>21</v>
      </c>
      <c r="F30" s="544"/>
      <c r="G30" s="290">
        <f>100000*0</f>
        <v>0</v>
      </c>
      <c r="H30" s="285"/>
      <c r="I30" s="291" t="s">
        <v>135</v>
      </c>
      <c r="J30" s="285"/>
      <c r="K30" s="285"/>
      <c r="L30" s="292">
        <f>-VLOOKUP(A30,'market px'!G$2:H$20,2,FALSE)*G30/1000000</f>
        <v>0</v>
      </c>
      <c r="M30" s="293"/>
      <c r="N30" s="485" t="s">
        <v>23</v>
      </c>
      <c r="O30" s="294"/>
      <c r="P30" s="295">
        <v>102.55500000000001</v>
      </c>
      <c r="Q30" s="295">
        <f>VLOOKUP(A30,'market px'!$G$2:$I$20,3,FALSE)</f>
        <v>108.84</v>
      </c>
      <c r="R30" s="296">
        <f t="shared" si="4"/>
        <v>0</v>
      </c>
      <c r="S30" s="381"/>
    </row>
    <row r="31" spans="1:26" s="270" customFormat="1">
      <c r="A31" s="285" t="s">
        <v>286</v>
      </c>
      <c r="B31" s="286"/>
      <c r="C31" s="287"/>
      <c r="D31" s="288">
        <v>39224</v>
      </c>
      <c r="E31" s="289" t="s">
        <v>21</v>
      </c>
      <c r="F31" s="544"/>
      <c r="G31" s="290">
        <f>100000*0</f>
        <v>0</v>
      </c>
      <c r="H31" s="285"/>
      <c r="I31" s="291" t="s">
        <v>135</v>
      </c>
      <c r="J31" s="285"/>
      <c r="K31" s="285"/>
      <c r="L31" s="292">
        <f>-VLOOKUP(A31,'market px'!G$2:H$20,2,FALSE)*G31/1000000</f>
        <v>0</v>
      </c>
      <c r="M31" s="293"/>
      <c r="N31" s="485"/>
      <c r="O31" s="294"/>
      <c r="P31" s="295">
        <v>102.89</v>
      </c>
      <c r="Q31" s="295">
        <f>VLOOKUP(A31,'market px'!$G$2:$I$20,3,FALSE)</f>
        <v>108.84</v>
      </c>
      <c r="R31" s="296">
        <f t="shared" si="4"/>
        <v>0</v>
      </c>
      <c r="S31" s="381"/>
    </row>
    <row r="32" spans="1:26" s="270" customFormat="1">
      <c r="A32" s="349" t="s">
        <v>166</v>
      </c>
      <c r="B32" s="321"/>
      <c r="C32" s="322"/>
      <c r="D32" s="350"/>
      <c r="E32" s="351"/>
      <c r="F32" s="545"/>
      <c r="G32" s="352">
        <f>SUM(G26:G31)</f>
        <v>0</v>
      </c>
      <c r="H32" s="349"/>
      <c r="I32" s="353"/>
      <c r="J32" s="349"/>
      <c r="K32" s="349"/>
      <c r="L32" s="354">
        <f>SUM(L26:L31)</f>
        <v>0</v>
      </c>
      <c r="M32" s="355"/>
      <c r="N32" s="486"/>
      <c r="O32" s="284"/>
      <c r="P32" s="356"/>
      <c r="Q32" s="357"/>
      <c r="R32" s="358">
        <f>SUM(R26:R31)</f>
        <v>0</v>
      </c>
      <c r="S32" s="381"/>
    </row>
    <row r="33" spans="1:24" s="93" customFormat="1">
      <c r="A33" s="65"/>
      <c r="B33" s="65"/>
      <c r="C33" s="66"/>
      <c r="D33" s="108"/>
      <c r="E33" s="275"/>
      <c r="F33" s="546"/>
      <c r="G33" s="70"/>
      <c r="H33" s="65"/>
      <c r="I33" s="203"/>
      <c r="J33" s="65"/>
      <c r="K33" s="65"/>
      <c r="L33" s="105"/>
      <c r="M33" s="66"/>
      <c r="N33" s="487"/>
      <c r="O33" s="107"/>
      <c r="P33" s="204"/>
      <c r="Q33" s="205"/>
      <c r="R33" s="106"/>
      <c r="S33" s="377"/>
      <c r="T33"/>
      <c r="U33"/>
      <c r="V33"/>
      <c r="W33"/>
      <c r="X33"/>
    </row>
    <row r="34" spans="1:24">
      <c r="L34" s="14"/>
      <c r="M34" s="14"/>
      <c r="N34" s="488"/>
      <c r="O34" s="72"/>
    </row>
    <row r="35" spans="1:24">
      <c r="L35" s="14"/>
      <c r="M35" s="14"/>
      <c r="N35" s="488"/>
      <c r="O35" s="72"/>
    </row>
    <row r="36" spans="1:24">
      <c r="L36" s="14"/>
      <c r="M36" s="14"/>
      <c r="N36" s="488"/>
      <c r="O36" s="72"/>
    </row>
    <row r="37" spans="1:24">
      <c r="L37" s="14"/>
      <c r="M37" s="14"/>
      <c r="N37" s="488"/>
      <c r="O37" s="72"/>
    </row>
    <row r="38" spans="1:24">
      <c r="L38" s="14"/>
      <c r="M38" s="14"/>
      <c r="N38" s="488"/>
      <c r="O38" s="72"/>
    </row>
    <row r="39" spans="1:24">
      <c r="L39" s="14"/>
      <c r="M39" s="14"/>
      <c r="N39" s="488"/>
      <c r="O39" s="72"/>
    </row>
    <row r="40" spans="1:24">
      <c r="L40" s="14"/>
      <c r="M40" s="14"/>
      <c r="N40" s="488"/>
      <c r="O40" s="72"/>
    </row>
    <row r="41" spans="1:24">
      <c r="L41" s="14"/>
      <c r="M41" s="14"/>
      <c r="N41" s="488"/>
      <c r="O41" s="72"/>
    </row>
    <row r="42" spans="1:24">
      <c r="L42" s="14"/>
      <c r="M42" s="14"/>
      <c r="N42" s="488"/>
      <c r="O42" s="72"/>
    </row>
    <row r="43" spans="1:24">
      <c r="L43" s="14"/>
      <c r="M43" s="14"/>
      <c r="N43" s="488"/>
      <c r="O43" s="72"/>
    </row>
    <row r="44" spans="1:24">
      <c r="L44" s="14"/>
      <c r="M44" s="14"/>
      <c r="N44" s="488"/>
      <c r="O44" s="72"/>
    </row>
    <row r="45" spans="1:24">
      <c r="L45" s="14"/>
      <c r="M45" s="14"/>
      <c r="N45" s="488"/>
      <c r="O45" s="72"/>
    </row>
    <row r="46" spans="1:24">
      <c r="L46" s="14"/>
      <c r="M46" s="14"/>
      <c r="N46" s="488"/>
      <c r="O46" s="72"/>
    </row>
    <row r="47" spans="1:24">
      <c r="L47" s="14"/>
      <c r="M47" s="14"/>
      <c r="N47" s="488"/>
      <c r="O47" s="72"/>
    </row>
    <row r="48" spans="1:24">
      <c r="L48" s="14"/>
      <c r="M48" s="14"/>
      <c r="N48" s="488"/>
      <c r="O48" s="72"/>
    </row>
    <row r="49" spans="12:15">
      <c r="L49" s="14"/>
      <c r="M49" s="14"/>
      <c r="N49" s="488"/>
      <c r="O49" s="72"/>
    </row>
    <row r="50" spans="12:15">
      <c r="L50" s="14"/>
      <c r="M50" s="14"/>
      <c r="N50" s="488"/>
      <c r="O50" s="72"/>
    </row>
    <row r="51" spans="12:15">
      <c r="L51" s="14"/>
      <c r="M51" s="14"/>
      <c r="N51" s="488"/>
      <c r="O51" s="72"/>
    </row>
    <row r="52" spans="12:15">
      <c r="L52" s="14"/>
      <c r="M52" s="14"/>
      <c r="N52" s="488"/>
      <c r="O52" s="72"/>
    </row>
    <row r="53" spans="12:15">
      <c r="L53" s="14"/>
      <c r="M53" s="14"/>
      <c r="N53" s="488"/>
      <c r="O53" s="72"/>
    </row>
    <row r="54" spans="12:15">
      <c r="L54" s="14"/>
      <c r="M54" s="14"/>
      <c r="N54" s="488"/>
      <c r="O54" s="72"/>
    </row>
    <row r="55" spans="12:15">
      <c r="L55" s="14"/>
      <c r="M55" s="14"/>
      <c r="N55" s="488"/>
      <c r="O55" s="72"/>
    </row>
    <row r="56" spans="12:15">
      <c r="L56" s="14"/>
      <c r="M56" s="14"/>
      <c r="N56" s="488"/>
      <c r="O56" s="72"/>
    </row>
    <row r="57" spans="12:15">
      <c r="L57" s="14"/>
      <c r="M57" s="14"/>
      <c r="N57" s="488"/>
      <c r="O57" s="72"/>
    </row>
    <row r="58" spans="12:15">
      <c r="L58" s="14"/>
      <c r="M58" s="14"/>
      <c r="N58" s="488"/>
      <c r="O58" s="72"/>
    </row>
    <row r="59" spans="12:15">
      <c r="L59" s="14"/>
      <c r="M59" s="14"/>
      <c r="N59" s="488"/>
      <c r="O59" s="72"/>
    </row>
    <row r="60" spans="12:15">
      <c r="L60" s="14"/>
      <c r="M60" s="14"/>
      <c r="N60" s="489"/>
      <c r="O60" s="73"/>
    </row>
    <row r="61" spans="12:15">
      <c r="L61" s="14"/>
      <c r="M61" s="14"/>
      <c r="N61" s="489"/>
      <c r="O61" s="73"/>
    </row>
    <row r="62" spans="12:15">
      <c r="L62" s="14"/>
      <c r="M62" s="14"/>
      <c r="N62" s="489"/>
      <c r="O62" s="73"/>
    </row>
    <row r="63" spans="12:15">
      <c r="L63" s="14"/>
      <c r="M63" s="14"/>
      <c r="N63" s="489"/>
      <c r="O63" s="73"/>
    </row>
    <row r="64" spans="12:15">
      <c r="L64" s="14"/>
      <c r="M64" s="14"/>
      <c r="N64" s="489"/>
      <c r="O64" s="73"/>
    </row>
    <row r="65" spans="12:15">
      <c r="L65" s="14"/>
      <c r="M65" s="14"/>
      <c r="N65" s="489"/>
      <c r="O65" s="73"/>
    </row>
    <row r="66" spans="12:15">
      <c r="L66" s="14"/>
      <c r="M66" s="14"/>
      <c r="N66" s="489"/>
      <c r="O66" s="73"/>
    </row>
    <row r="67" spans="12:15">
      <c r="L67" s="14"/>
      <c r="M67" s="14"/>
      <c r="N67" s="489"/>
      <c r="O67" s="73"/>
    </row>
    <row r="68" spans="12:15">
      <c r="L68" s="14"/>
      <c r="M68" s="14"/>
      <c r="N68" s="489"/>
      <c r="O68" s="73"/>
    </row>
    <row r="69" spans="12:15">
      <c r="L69" s="14"/>
      <c r="M69" s="14"/>
      <c r="N69" s="489"/>
      <c r="O69" s="73"/>
    </row>
    <row r="70" spans="12:15">
      <c r="L70" s="14"/>
      <c r="M70" s="14"/>
      <c r="N70" s="489"/>
      <c r="O70" s="73"/>
    </row>
    <row r="71" spans="12:15">
      <c r="L71" s="14"/>
      <c r="M71" s="14"/>
      <c r="N71" s="489"/>
      <c r="O71" s="73"/>
    </row>
    <row r="72" spans="12:15">
      <c r="L72" s="14"/>
      <c r="M72" s="14"/>
      <c r="N72" s="489"/>
      <c r="O72" s="73"/>
    </row>
    <row r="73" spans="12:15">
      <c r="L73" s="14"/>
      <c r="M73" s="14"/>
      <c r="N73" s="489"/>
      <c r="O73" s="73"/>
    </row>
    <row r="74" spans="12:15">
      <c r="L74" s="14"/>
      <c r="M74" s="14"/>
      <c r="N74" s="489"/>
      <c r="O74" s="73"/>
    </row>
    <row r="75" spans="12:15">
      <c r="L75" s="14"/>
      <c r="M75" s="14"/>
      <c r="N75" s="489"/>
      <c r="O75" s="73"/>
    </row>
    <row r="76" spans="12:15">
      <c r="L76" s="14"/>
      <c r="M76" s="14"/>
      <c r="N76" s="489"/>
      <c r="O76" s="73"/>
    </row>
    <row r="77" spans="12:15">
      <c r="L77" s="14"/>
      <c r="M77" s="14"/>
      <c r="N77" s="489"/>
      <c r="O77" s="73"/>
    </row>
    <row r="78" spans="12:15">
      <c r="L78" s="14"/>
      <c r="M78" s="14"/>
      <c r="N78" s="489"/>
      <c r="O78" s="73"/>
    </row>
    <row r="79" spans="12:15">
      <c r="L79" s="14"/>
      <c r="M79" s="14"/>
      <c r="N79" s="489"/>
      <c r="O79" s="73"/>
    </row>
    <row r="80" spans="12:15">
      <c r="L80" s="14"/>
      <c r="M80" s="14"/>
      <c r="N80" s="489"/>
      <c r="O80" s="73"/>
    </row>
    <row r="81" spans="12:15">
      <c r="L81" s="14"/>
      <c r="M81" s="14"/>
      <c r="N81" s="489"/>
      <c r="O81" s="73"/>
    </row>
    <row r="82" spans="12:15">
      <c r="L82" s="14"/>
      <c r="M82" s="14"/>
      <c r="N82" s="489"/>
      <c r="O82" s="74"/>
    </row>
    <row r="83" spans="12:15">
      <c r="L83" s="14"/>
      <c r="M83" s="14"/>
      <c r="N83" s="489"/>
      <c r="O83" s="74"/>
    </row>
    <row r="84" spans="12:15">
      <c r="L84" s="14"/>
      <c r="M84" s="14"/>
      <c r="N84" s="489"/>
      <c r="O84" s="74"/>
    </row>
    <row r="85" spans="12:15">
      <c r="L85" s="14"/>
      <c r="M85" s="14"/>
      <c r="N85" s="489"/>
      <c r="O85" s="74"/>
    </row>
    <row r="86" spans="12:15">
      <c r="L86" s="14"/>
      <c r="M86" s="14"/>
      <c r="N86" s="489"/>
      <c r="O86" s="74"/>
    </row>
    <row r="87" spans="12:15">
      <c r="L87" s="14"/>
      <c r="M87" s="14"/>
      <c r="N87" s="489"/>
      <c r="O87" s="74"/>
    </row>
    <row r="88" spans="12:15">
      <c r="L88" s="14"/>
      <c r="M88" s="14"/>
      <c r="N88" s="489"/>
      <c r="O88" s="74"/>
    </row>
    <row r="89" spans="12:15">
      <c r="L89" s="14"/>
      <c r="M89" s="14"/>
      <c r="N89" s="489"/>
      <c r="O89" s="74"/>
    </row>
    <row r="90" spans="12:15">
      <c r="L90" s="14"/>
      <c r="M90" s="14"/>
      <c r="N90" s="489"/>
      <c r="O90" s="74"/>
    </row>
    <row r="91" spans="12:15">
      <c r="L91" s="14"/>
      <c r="M91" s="14"/>
      <c r="N91" s="489"/>
      <c r="O91" s="74"/>
    </row>
    <row r="92" spans="12:15">
      <c r="L92" s="14"/>
      <c r="M92" s="14"/>
      <c r="N92" s="489"/>
      <c r="O92" s="74"/>
    </row>
    <row r="93" spans="12:15">
      <c r="L93" s="14"/>
      <c r="M93" s="14"/>
      <c r="N93" s="489"/>
      <c r="O93" s="74"/>
    </row>
    <row r="94" spans="12:15">
      <c r="L94" s="14"/>
      <c r="M94" s="14"/>
      <c r="N94" s="489"/>
      <c r="O94" s="74"/>
    </row>
    <row r="95" spans="12:15">
      <c r="L95" s="14"/>
      <c r="M95" s="14"/>
      <c r="N95" s="489"/>
      <c r="O95" s="74"/>
    </row>
    <row r="96" spans="12:15">
      <c r="L96" s="14"/>
      <c r="M96" s="14"/>
      <c r="N96" s="489"/>
      <c r="O96" s="74"/>
    </row>
    <row r="97" spans="12:15">
      <c r="L97" s="14"/>
      <c r="M97" s="14"/>
      <c r="N97" s="489"/>
      <c r="O97" s="74"/>
    </row>
    <row r="98" spans="12:15">
      <c r="L98" s="14"/>
      <c r="M98" s="14"/>
      <c r="N98" s="489"/>
      <c r="O98" s="74"/>
    </row>
    <row r="99" spans="12:15">
      <c r="L99" s="14"/>
      <c r="M99" s="14"/>
      <c r="N99" s="489"/>
    </row>
    <row r="100" spans="12:15">
      <c r="L100" s="14"/>
      <c r="M100" s="14"/>
      <c r="N100" s="489"/>
    </row>
    <row r="101" spans="12:15">
      <c r="L101" s="14"/>
      <c r="M101" s="14"/>
      <c r="N101" s="489"/>
    </row>
    <row r="102" spans="12:15">
      <c r="L102" s="14"/>
      <c r="M102" s="14"/>
      <c r="N102" s="489"/>
    </row>
    <row r="103" spans="12:15">
      <c r="L103" s="14"/>
      <c r="M103" s="14"/>
      <c r="N103" s="489"/>
    </row>
    <row r="104" spans="12:15">
      <c r="L104" s="14"/>
      <c r="M104" s="14"/>
      <c r="N104" s="489"/>
    </row>
    <row r="105" spans="12:15">
      <c r="L105" s="14"/>
      <c r="M105" s="14"/>
      <c r="N105" s="489"/>
    </row>
    <row r="106" spans="12:15">
      <c r="L106" s="14"/>
      <c r="M106" s="14"/>
      <c r="N106" s="489"/>
    </row>
    <row r="107" spans="12:15">
      <c r="L107" s="14"/>
      <c r="M107" s="14"/>
      <c r="N107" s="489"/>
    </row>
    <row r="108" spans="12:15">
      <c r="L108" s="14"/>
      <c r="M108" s="14"/>
      <c r="N108" s="489"/>
    </row>
    <row r="109" spans="12:15">
      <c r="L109" s="14"/>
      <c r="M109" s="14"/>
      <c r="N109" s="489"/>
    </row>
    <row r="110" spans="12:15">
      <c r="L110" s="14"/>
      <c r="M110" s="14"/>
      <c r="N110" s="489"/>
    </row>
    <row r="111" spans="12:15">
      <c r="L111" s="14"/>
      <c r="M111" s="14"/>
      <c r="N111" s="489"/>
    </row>
    <row r="112" spans="12:15">
      <c r="L112" s="14"/>
      <c r="M112" s="14"/>
      <c r="N112" s="489"/>
    </row>
    <row r="113" spans="12:14">
      <c r="L113" s="14"/>
      <c r="M113" s="14"/>
      <c r="N113" s="489"/>
    </row>
    <row r="114" spans="12:14">
      <c r="L114" s="14"/>
      <c r="M114" s="14"/>
      <c r="N114" s="489"/>
    </row>
    <row r="115" spans="12:14">
      <c r="L115" s="14"/>
      <c r="M115" s="14"/>
      <c r="N115" s="489"/>
    </row>
    <row r="116" spans="12:14">
      <c r="L116" s="14"/>
      <c r="M116" s="14"/>
      <c r="N116" s="489"/>
    </row>
    <row r="117" spans="12:14">
      <c r="L117" s="14"/>
      <c r="M117" s="14"/>
      <c r="N117" s="489"/>
    </row>
    <row r="118" spans="12:14">
      <c r="L118" s="14"/>
      <c r="M118" s="14"/>
      <c r="N118" s="489"/>
    </row>
    <row r="119" spans="12:14">
      <c r="L119" s="14"/>
      <c r="M119" s="14"/>
      <c r="N119" s="489"/>
    </row>
    <row r="120" spans="12:14">
      <c r="L120" s="14"/>
      <c r="M120" s="14"/>
      <c r="N120" s="489"/>
    </row>
    <row r="121" spans="12:14">
      <c r="L121" s="14"/>
      <c r="M121" s="14"/>
      <c r="N121" s="489"/>
    </row>
    <row r="122" spans="12:14">
      <c r="L122" s="14"/>
      <c r="M122" s="14"/>
      <c r="N122" s="489"/>
    </row>
    <row r="123" spans="12:14">
      <c r="L123" s="14"/>
      <c r="M123" s="14"/>
      <c r="N123" s="489"/>
    </row>
    <row r="124" spans="12:14">
      <c r="L124" s="14"/>
      <c r="M124" s="14"/>
      <c r="N124" s="489"/>
    </row>
    <row r="125" spans="12:14">
      <c r="L125" s="14"/>
      <c r="M125" s="14"/>
      <c r="N125" s="489"/>
    </row>
    <row r="126" spans="12:14">
      <c r="L126" s="14"/>
      <c r="M126" s="14"/>
      <c r="N126" s="489"/>
    </row>
    <row r="127" spans="12:14">
      <c r="L127" s="14"/>
      <c r="M127" s="14"/>
      <c r="N127" s="489"/>
    </row>
    <row r="128" spans="12:14">
      <c r="L128" s="14"/>
      <c r="M128" s="14"/>
      <c r="N128" s="489"/>
    </row>
    <row r="129" spans="12:14">
      <c r="L129" s="14"/>
      <c r="M129" s="14"/>
      <c r="N129" s="489"/>
    </row>
    <row r="130" spans="12:14">
      <c r="L130" s="14"/>
      <c r="M130" s="14"/>
      <c r="N130" s="489"/>
    </row>
    <row r="131" spans="12:14">
      <c r="L131" s="14"/>
      <c r="M131" s="14"/>
      <c r="N131" s="489"/>
    </row>
    <row r="132" spans="12:14">
      <c r="L132" s="14"/>
      <c r="M132" s="14"/>
      <c r="N132" s="489"/>
    </row>
    <row r="133" spans="12:14">
      <c r="L133" s="14"/>
      <c r="M133" s="14"/>
      <c r="N133" s="489"/>
    </row>
    <row r="134" spans="12:14">
      <c r="L134" s="14"/>
      <c r="M134" s="14"/>
      <c r="N134" s="489"/>
    </row>
    <row r="135" spans="12:14">
      <c r="L135" s="14"/>
      <c r="M135" s="14"/>
      <c r="N135" s="489"/>
    </row>
    <row r="136" spans="12:14">
      <c r="L136" s="14"/>
      <c r="M136" s="14"/>
      <c r="N136" s="489"/>
    </row>
    <row r="137" spans="12:14">
      <c r="L137" s="14"/>
      <c r="M137" s="14"/>
      <c r="N137" s="489"/>
    </row>
    <row r="138" spans="12:14">
      <c r="L138" s="14"/>
      <c r="M138" s="14"/>
      <c r="N138" s="489"/>
    </row>
    <row r="139" spans="12:14">
      <c r="L139" s="14"/>
      <c r="M139" s="14"/>
      <c r="N139" s="489"/>
    </row>
    <row r="140" spans="12:14">
      <c r="L140" s="14"/>
      <c r="M140" s="14"/>
      <c r="N140" s="489"/>
    </row>
    <row r="141" spans="12:14">
      <c r="L141" s="14"/>
      <c r="M141" s="14"/>
      <c r="N141" s="489"/>
    </row>
    <row r="142" spans="12:14">
      <c r="L142" s="14"/>
      <c r="M142" s="14"/>
      <c r="N142" s="489"/>
    </row>
    <row r="143" spans="12:14">
      <c r="L143" s="14"/>
      <c r="M143" s="14"/>
      <c r="N143" s="489"/>
    </row>
    <row r="144" spans="12:14">
      <c r="L144" s="14"/>
      <c r="M144" s="14"/>
      <c r="N144" s="489"/>
    </row>
    <row r="145" spans="12:14">
      <c r="L145" s="14"/>
      <c r="M145" s="14"/>
      <c r="N145" s="489"/>
    </row>
    <row r="146" spans="12:14">
      <c r="L146" s="14"/>
      <c r="M146" s="14"/>
      <c r="N146" s="489"/>
    </row>
    <row r="147" spans="12:14">
      <c r="L147" s="14"/>
      <c r="M147" s="14"/>
      <c r="N147" s="489"/>
    </row>
    <row r="148" spans="12:14">
      <c r="L148" s="14"/>
      <c r="M148" s="14"/>
      <c r="N148" s="489"/>
    </row>
    <row r="149" spans="12:14">
      <c r="L149" s="14"/>
      <c r="M149" s="14"/>
      <c r="N149" s="489"/>
    </row>
    <row r="150" spans="12:14">
      <c r="L150" s="14"/>
      <c r="M150" s="14"/>
      <c r="N150" s="489"/>
    </row>
    <row r="151" spans="12:14">
      <c r="L151" s="14"/>
      <c r="M151" s="14"/>
      <c r="N151" s="489"/>
    </row>
    <row r="152" spans="12:14">
      <c r="L152" s="14"/>
      <c r="M152" s="14"/>
      <c r="N152" s="489"/>
    </row>
    <row r="153" spans="12:14">
      <c r="L153" s="14"/>
      <c r="M153" s="14"/>
      <c r="N153" s="489"/>
    </row>
    <row r="154" spans="12:14">
      <c r="L154" s="14"/>
      <c r="M154" s="14"/>
      <c r="N154" s="489"/>
    </row>
    <row r="155" spans="12:14">
      <c r="L155" s="14"/>
      <c r="M155" s="14"/>
      <c r="N155" s="489"/>
    </row>
    <row r="156" spans="12:14">
      <c r="L156" s="14"/>
      <c r="M156" s="14"/>
      <c r="N156" s="489"/>
    </row>
    <row r="157" spans="12:14">
      <c r="L157" s="14"/>
      <c r="M157" s="14"/>
      <c r="N157" s="489"/>
    </row>
    <row r="158" spans="12:14">
      <c r="L158" s="14"/>
      <c r="M158" s="14"/>
      <c r="N158" s="489"/>
    </row>
    <row r="159" spans="12:14">
      <c r="L159" s="14"/>
      <c r="M159" s="14"/>
      <c r="N159" s="489"/>
    </row>
    <row r="160" spans="12:14">
      <c r="L160" s="14"/>
      <c r="M160" s="14"/>
      <c r="N160" s="489"/>
    </row>
    <row r="161" spans="12:14">
      <c r="L161" s="14"/>
      <c r="M161" s="14"/>
      <c r="N161" s="489"/>
    </row>
    <row r="162" spans="12:14">
      <c r="L162" s="14"/>
      <c r="M162" s="14"/>
      <c r="N162" s="489"/>
    </row>
    <row r="163" spans="12:14">
      <c r="L163" s="14"/>
      <c r="M163" s="14"/>
      <c r="N163" s="489"/>
    </row>
    <row r="164" spans="12:14">
      <c r="L164" s="14"/>
      <c r="M164" s="14"/>
      <c r="N164" s="489"/>
    </row>
    <row r="165" spans="12:14">
      <c r="L165" s="14"/>
      <c r="M165" s="14"/>
      <c r="N165" s="489"/>
    </row>
    <row r="166" spans="12:14">
      <c r="L166" s="14"/>
      <c r="M166" s="14"/>
      <c r="N166" s="489"/>
    </row>
    <row r="167" spans="12:14">
      <c r="L167" s="14"/>
      <c r="M167" s="14"/>
      <c r="N167" s="489"/>
    </row>
    <row r="168" spans="12:14">
      <c r="L168" s="14"/>
      <c r="M168" s="14"/>
      <c r="N168" s="489"/>
    </row>
    <row r="169" spans="12:14">
      <c r="L169" s="14"/>
      <c r="M169" s="14"/>
      <c r="N169" s="489"/>
    </row>
    <row r="170" spans="12:14">
      <c r="L170" s="14"/>
      <c r="M170" s="14"/>
      <c r="N170" s="489"/>
    </row>
    <row r="171" spans="12:14">
      <c r="L171" s="14"/>
      <c r="M171" s="14"/>
      <c r="N171" s="489"/>
    </row>
    <row r="172" spans="12:14">
      <c r="L172" s="14"/>
      <c r="M172" s="14"/>
      <c r="N172" s="489"/>
    </row>
    <row r="173" spans="12:14">
      <c r="L173" s="14"/>
      <c r="M173" s="14"/>
      <c r="N173" s="489"/>
    </row>
    <row r="174" spans="12:14">
      <c r="L174" s="14"/>
      <c r="M174" s="14"/>
      <c r="N174" s="489"/>
    </row>
    <row r="175" spans="12:14">
      <c r="L175" s="14"/>
      <c r="M175" s="14"/>
      <c r="N175" s="489"/>
    </row>
    <row r="176" spans="12:14">
      <c r="L176" s="14"/>
      <c r="M176" s="14"/>
      <c r="N176" s="489"/>
    </row>
    <row r="177" spans="12:14">
      <c r="L177" s="14"/>
      <c r="M177" s="14"/>
      <c r="N177" s="489"/>
    </row>
    <row r="178" spans="12:14">
      <c r="L178" s="14"/>
      <c r="M178" s="14"/>
      <c r="N178" s="489"/>
    </row>
    <row r="179" spans="12:14">
      <c r="L179" s="14"/>
      <c r="M179" s="14"/>
      <c r="N179" s="489"/>
    </row>
    <row r="180" spans="12:14">
      <c r="L180" s="14"/>
      <c r="M180" s="14"/>
      <c r="N180" s="489"/>
    </row>
    <row r="181" spans="12:14">
      <c r="L181" s="14"/>
      <c r="M181" s="14"/>
      <c r="N181" s="489"/>
    </row>
    <row r="182" spans="12:14">
      <c r="L182" s="14"/>
      <c r="M182" s="14"/>
      <c r="N182" s="489"/>
    </row>
    <row r="183" spans="12:14">
      <c r="L183" s="14"/>
      <c r="M183" s="14"/>
      <c r="N183" s="489"/>
    </row>
    <row r="184" spans="12:14">
      <c r="L184" s="14"/>
      <c r="M184" s="14"/>
      <c r="N184" s="489"/>
    </row>
    <row r="185" spans="12:14">
      <c r="L185" s="14"/>
      <c r="M185" s="14"/>
      <c r="N185" s="489"/>
    </row>
    <row r="186" spans="12:14">
      <c r="L186" s="14"/>
      <c r="M186" s="14"/>
      <c r="N186" s="489"/>
    </row>
    <row r="187" spans="12:14">
      <c r="L187" s="14"/>
      <c r="M187" s="14"/>
      <c r="N187" s="489"/>
    </row>
    <row r="188" spans="12:14">
      <c r="L188" s="14"/>
      <c r="M188" s="14"/>
      <c r="N188" s="489"/>
    </row>
    <row r="189" spans="12:14">
      <c r="L189" s="14"/>
      <c r="M189" s="14"/>
      <c r="N189" s="489"/>
    </row>
    <row r="190" spans="12:14">
      <c r="L190" s="14"/>
      <c r="M190" s="14"/>
      <c r="N190" s="489"/>
    </row>
    <row r="191" spans="12:14">
      <c r="L191" s="14"/>
      <c r="M191" s="14"/>
      <c r="N191" s="489"/>
    </row>
    <row r="192" spans="12:14">
      <c r="L192" s="14"/>
      <c r="M192" s="14"/>
      <c r="N192" s="489"/>
    </row>
    <row r="193" spans="12:14">
      <c r="L193" s="14"/>
      <c r="M193" s="14"/>
      <c r="N193" s="489"/>
    </row>
    <row r="194" spans="12:14">
      <c r="L194" s="14"/>
      <c r="M194" s="14"/>
      <c r="N194" s="489"/>
    </row>
    <row r="195" spans="12:14">
      <c r="L195" s="14"/>
      <c r="M195" s="14"/>
      <c r="N195" s="489"/>
    </row>
    <row r="196" spans="12:14">
      <c r="L196" s="14"/>
      <c r="M196" s="14"/>
      <c r="N196" s="489"/>
    </row>
    <row r="197" spans="12:14">
      <c r="L197" s="14"/>
      <c r="M197" s="14"/>
      <c r="N197" s="489"/>
    </row>
    <row r="198" spans="12:14">
      <c r="L198" s="14"/>
      <c r="M198" s="14"/>
      <c r="N198" s="489"/>
    </row>
    <row r="199" spans="12:14">
      <c r="L199" s="14"/>
      <c r="M199" s="14"/>
      <c r="N199" s="489"/>
    </row>
    <row r="200" spans="12:14">
      <c r="L200" s="14"/>
      <c r="M200" s="14"/>
      <c r="N200" s="489"/>
    </row>
    <row r="201" spans="12:14">
      <c r="L201" s="14"/>
      <c r="M201" s="14"/>
      <c r="N201" s="489"/>
    </row>
    <row r="202" spans="12:14">
      <c r="L202" s="14"/>
      <c r="M202" s="14"/>
      <c r="N202" s="489"/>
    </row>
    <row r="203" spans="12:14">
      <c r="L203" s="14"/>
      <c r="M203" s="14"/>
      <c r="N203" s="489"/>
    </row>
    <row r="204" spans="12:14">
      <c r="L204" s="14"/>
      <c r="M204" s="14"/>
      <c r="N204" s="489"/>
    </row>
    <row r="205" spans="12:14">
      <c r="L205" s="14"/>
      <c r="M205" s="14"/>
      <c r="N205" s="489"/>
    </row>
    <row r="206" spans="12:14">
      <c r="L206" s="14"/>
      <c r="M206" s="14"/>
      <c r="N206" s="489"/>
    </row>
    <row r="207" spans="12:14">
      <c r="L207" s="14"/>
      <c r="M207" s="14"/>
      <c r="N207" s="489"/>
    </row>
    <row r="208" spans="12:14">
      <c r="L208" s="14"/>
      <c r="M208" s="14"/>
      <c r="N208" s="489"/>
    </row>
    <row r="209" spans="12:14">
      <c r="L209" s="14"/>
      <c r="M209" s="14"/>
      <c r="N209" s="489"/>
    </row>
    <row r="210" spans="12:14">
      <c r="L210" s="14"/>
      <c r="M210" s="14"/>
      <c r="N210" s="489"/>
    </row>
    <row r="211" spans="12:14">
      <c r="L211" s="14"/>
      <c r="M211" s="14"/>
      <c r="N211" s="489"/>
    </row>
    <row r="212" spans="12:14">
      <c r="L212" s="14"/>
      <c r="M212" s="14"/>
      <c r="N212" s="489"/>
    </row>
    <row r="213" spans="12:14">
      <c r="L213" s="14"/>
      <c r="M213" s="14"/>
      <c r="N213" s="489"/>
    </row>
    <row r="214" spans="12:14">
      <c r="L214" s="14"/>
      <c r="M214" s="14"/>
      <c r="N214" s="489"/>
    </row>
    <row r="215" spans="12:14">
      <c r="L215" s="14"/>
      <c r="M215" s="14"/>
      <c r="N215" s="489"/>
    </row>
    <row r="216" spans="12:14">
      <c r="L216" s="14"/>
      <c r="M216" s="14"/>
      <c r="N216" s="489"/>
    </row>
    <row r="217" spans="12:14">
      <c r="L217" s="14"/>
      <c r="M217" s="14"/>
      <c r="N217" s="489"/>
    </row>
    <row r="218" spans="12:14">
      <c r="L218" s="14"/>
      <c r="M218" s="14"/>
      <c r="N218" s="489"/>
    </row>
    <row r="219" spans="12:14">
      <c r="L219" s="14"/>
      <c r="M219" s="14"/>
      <c r="N219" s="489"/>
    </row>
    <row r="220" spans="12:14">
      <c r="L220" s="14"/>
      <c r="M220" s="14"/>
      <c r="N220" s="489"/>
    </row>
    <row r="221" spans="12:14">
      <c r="L221" s="14"/>
      <c r="M221" s="14"/>
      <c r="N221" s="489"/>
    </row>
    <row r="222" spans="12:14">
      <c r="L222" s="14"/>
      <c r="M222" s="14"/>
      <c r="N222" s="489"/>
    </row>
    <row r="223" spans="12:14">
      <c r="L223" s="14"/>
      <c r="M223" s="14"/>
      <c r="N223" s="489"/>
    </row>
    <row r="224" spans="12:14">
      <c r="L224" s="14"/>
      <c r="M224" s="14"/>
      <c r="N224" s="489"/>
    </row>
    <row r="225" spans="12:14">
      <c r="L225" s="14"/>
      <c r="M225" s="14"/>
      <c r="N225" s="489"/>
    </row>
    <row r="226" spans="12:14">
      <c r="L226" s="14"/>
      <c r="M226" s="14"/>
      <c r="N226" s="489"/>
    </row>
    <row r="227" spans="12:14">
      <c r="L227" s="14"/>
      <c r="M227" s="14"/>
      <c r="N227" s="489"/>
    </row>
    <row r="228" spans="12:14">
      <c r="L228" s="14"/>
      <c r="M228" s="14"/>
      <c r="N228" s="489"/>
    </row>
    <row r="229" spans="12:14">
      <c r="L229" s="14"/>
      <c r="M229" s="14"/>
      <c r="N229" s="489"/>
    </row>
    <row r="230" spans="12:14">
      <c r="L230" s="14"/>
      <c r="M230" s="14"/>
      <c r="N230" s="489"/>
    </row>
    <row r="231" spans="12:14">
      <c r="L231" s="14"/>
      <c r="M231" s="14"/>
      <c r="N231" s="489"/>
    </row>
    <row r="232" spans="12:14">
      <c r="L232" s="14"/>
      <c r="M232" s="14"/>
      <c r="N232" s="489"/>
    </row>
    <row r="233" spans="12:14">
      <c r="L233" s="14"/>
      <c r="M233" s="14"/>
      <c r="N233" s="489"/>
    </row>
    <row r="234" spans="12:14">
      <c r="L234" s="14"/>
      <c r="M234" s="14"/>
      <c r="N234" s="489"/>
    </row>
    <row r="235" spans="12:14">
      <c r="L235" s="14"/>
      <c r="M235" s="14"/>
      <c r="N235" s="489"/>
    </row>
    <row r="236" spans="12:14">
      <c r="L236" s="14"/>
      <c r="M236" s="14"/>
      <c r="N236" s="489"/>
    </row>
    <row r="237" spans="12:14">
      <c r="L237" s="14"/>
      <c r="M237" s="14"/>
      <c r="N237" s="489"/>
    </row>
    <row r="238" spans="12:14">
      <c r="L238" s="14"/>
      <c r="M238" s="14"/>
      <c r="N238" s="489"/>
    </row>
    <row r="239" spans="12:14">
      <c r="L239" s="14"/>
      <c r="M239" s="14"/>
      <c r="N239" s="489"/>
    </row>
    <row r="240" spans="12:14">
      <c r="L240" s="14"/>
      <c r="M240" s="14"/>
      <c r="N240" s="489"/>
    </row>
    <row r="241" spans="12:14">
      <c r="L241" s="14"/>
      <c r="M241" s="14"/>
      <c r="N241" s="489"/>
    </row>
    <row r="242" spans="12:14">
      <c r="L242" s="14"/>
      <c r="M242" s="14"/>
      <c r="N242" s="489"/>
    </row>
    <row r="243" spans="12:14">
      <c r="L243" s="14"/>
      <c r="M243" s="14"/>
      <c r="N243" s="489"/>
    </row>
    <row r="244" spans="12:14">
      <c r="L244" s="14"/>
      <c r="M244" s="14"/>
      <c r="N244" s="489"/>
    </row>
    <row r="245" spans="12:14">
      <c r="L245" s="14"/>
      <c r="M245" s="14"/>
      <c r="N245" s="489"/>
    </row>
    <row r="246" spans="12:14">
      <c r="L246" s="14"/>
      <c r="M246" s="14"/>
      <c r="N246" s="489"/>
    </row>
    <row r="247" spans="12:14">
      <c r="L247" s="14"/>
      <c r="M247" s="14"/>
      <c r="N247" s="489"/>
    </row>
    <row r="248" spans="12:14">
      <c r="L248" s="14"/>
      <c r="M248" s="14"/>
      <c r="N248" s="489"/>
    </row>
    <row r="249" spans="12:14">
      <c r="L249" s="14"/>
      <c r="M249" s="14"/>
      <c r="N249" s="489"/>
    </row>
    <row r="250" spans="12:14">
      <c r="L250" s="14"/>
      <c r="M250" s="14"/>
      <c r="N250" s="489"/>
    </row>
    <row r="251" spans="12:14">
      <c r="L251" s="14"/>
      <c r="M251" s="14"/>
      <c r="N251" s="489"/>
    </row>
    <row r="252" spans="12:14">
      <c r="L252" s="14"/>
      <c r="M252" s="14"/>
      <c r="N252" s="489"/>
    </row>
    <row r="253" spans="12:14">
      <c r="L253" s="14"/>
      <c r="M253" s="14"/>
      <c r="N253" s="489"/>
    </row>
    <row r="254" spans="12:14">
      <c r="L254" s="14"/>
      <c r="M254" s="14"/>
      <c r="N254" s="489"/>
    </row>
    <row r="255" spans="12:14">
      <c r="L255" s="14"/>
      <c r="M255" s="14"/>
      <c r="N255" s="489"/>
    </row>
    <row r="256" spans="12:14">
      <c r="L256" s="14"/>
      <c r="M256" s="14"/>
      <c r="N256" s="489"/>
    </row>
    <row r="257" spans="12:14">
      <c r="L257" s="14"/>
      <c r="M257" s="14"/>
      <c r="N257" s="489"/>
    </row>
    <row r="258" spans="12:14">
      <c r="L258" s="14"/>
      <c r="M258" s="14"/>
      <c r="N258" s="489"/>
    </row>
    <row r="259" spans="12:14">
      <c r="L259" s="14"/>
      <c r="M259" s="14"/>
      <c r="N259" s="489"/>
    </row>
    <row r="260" spans="12:14">
      <c r="L260" s="14"/>
      <c r="M260" s="14"/>
      <c r="N260" s="489"/>
    </row>
    <row r="261" spans="12:14">
      <c r="L261" s="14"/>
      <c r="M261" s="14"/>
      <c r="N261" s="489"/>
    </row>
    <row r="262" spans="12:14">
      <c r="L262" s="14"/>
      <c r="M262" s="14"/>
      <c r="N262" s="489"/>
    </row>
    <row r="263" spans="12:14">
      <c r="L263" s="14"/>
      <c r="M263" s="14"/>
      <c r="N263" s="489"/>
    </row>
    <row r="264" spans="12:14">
      <c r="L264" s="14"/>
      <c r="M264" s="14"/>
      <c r="N264" s="489"/>
    </row>
    <row r="265" spans="12:14">
      <c r="L265" s="14"/>
      <c r="M265" s="14"/>
      <c r="N265" s="489"/>
    </row>
    <row r="266" spans="12:14">
      <c r="L266" s="14"/>
      <c r="M266" s="14"/>
      <c r="N266" s="489"/>
    </row>
    <row r="267" spans="12:14">
      <c r="L267" s="14"/>
      <c r="M267" s="14"/>
      <c r="N267" s="489"/>
    </row>
    <row r="268" spans="12:14">
      <c r="L268" s="14"/>
      <c r="M268" s="14"/>
      <c r="N268" s="489"/>
    </row>
    <row r="269" spans="12:14">
      <c r="L269" s="14"/>
      <c r="M269" s="14"/>
      <c r="N269" s="489"/>
    </row>
    <row r="270" spans="12:14">
      <c r="L270" s="14"/>
      <c r="M270" s="14"/>
      <c r="N270" s="489"/>
    </row>
    <row r="271" spans="12:14">
      <c r="L271" s="14"/>
      <c r="M271" s="14"/>
      <c r="N271" s="489"/>
    </row>
    <row r="272" spans="12:14">
      <c r="L272" s="14"/>
      <c r="M272" s="14"/>
      <c r="N272" s="489"/>
    </row>
    <row r="273" spans="12:14">
      <c r="L273" s="14"/>
      <c r="M273" s="14"/>
      <c r="N273" s="489"/>
    </row>
    <row r="274" spans="12:14">
      <c r="L274" s="14"/>
      <c r="M274" s="14"/>
      <c r="N274" s="489"/>
    </row>
    <row r="275" spans="12:14">
      <c r="L275" s="14"/>
      <c r="M275" s="14"/>
      <c r="N275" s="489"/>
    </row>
    <row r="276" spans="12:14">
      <c r="L276" s="14"/>
      <c r="M276" s="14"/>
      <c r="N276" s="489"/>
    </row>
    <row r="277" spans="12:14">
      <c r="L277" s="14"/>
      <c r="M277" s="14"/>
      <c r="N277" s="489"/>
    </row>
    <row r="278" spans="12:14">
      <c r="L278" s="14"/>
      <c r="M278" s="14"/>
      <c r="N278" s="489"/>
    </row>
    <row r="279" spans="12:14">
      <c r="L279" s="14"/>
      <c r="M279" s="14"/>
      <c r="N279" s="489"/>
    </row>
    <row r="280" spans="12:14">
      <c r="L280" s="14"/>
      <c r="M280" s="14"/>
      <c r="N280" s="489"/>
    </row>
    <row r="281" spans="12:14">
      <c r="L281" s="14"/>
      <c r="M281" s="14"/>
      <c r="N281" s="489"/>
    </row>
    <row r="282" spans="12:14">
      <c r="L282" s="14"/>
      <c r="M282" s="14"/>
      <c r="N282" s="489"/>
    </row>
    <row r="283" spans="12:14">
      <c r="L283" s="14"/>
      <c r="M283" s="14"/>
      <c r="N283" s="489"/>
    </row>
    <row r="284" spans="12:14">
      <c r="L284" s="14"/>
      <c r="M284" s="14"/>
      <c r="N284" s="489"/>
    </row>
    <row r="285" spans="12:14">
      <c r="L285" s="14"/>
      <c r="M285" s="14"/>
      <c r="N285" s="489"/>
    </row>
    <row r="286" spans="12:14">
      <c r="L286" s="14"/>
      <c r="M286" s="14"/>
      <c r="N286" s="489"/>
    </row>
    <row r="287" spans="12:14">
      <c r="L287" s="14"/>
      <c r="M287" s="14"/>
      <c r="N287" s="489"/>
    </row>
    <row r="288" spans="12:14">
      <c r="L288" s="14"/>
      <c r="M288" s="14"/>
      <c r="N288" s="489"/>
    </row>
    <row r="289" spans="12:14">
      <c r="L289" s="14"/>
      <c r="M289" s="14"/>
      <c r="N289" s="489"/>
    </row>
    <row r="290" spans="12:14">
      <c r="L290" s="14"/>
      <c r="M290" s="14"/>
      <c r="N290" s="489"/>
    </row>
    <row r="291" spans="12:14">
      <c r="L291" s="14"/>
      <c r="M291" s="14"/>
      <c r="N291" s="489"/>
    </row>
    <row r="292" spans="12:14">
      <c r="L292" s="14"/>
      <c r="M292" s="14"/>
      <c r="N292" s="489"/>
    </row>
    <row r="293" spans="12:14">
      <c r="L293" s="14"/>
      <c r="M293" s="14"/>
      <c r="N293" s="489"/>
    </row>
    <row r="294" spans="12:14">
      <c r="L294" s="14"/>
      <c r="M294" s="14"/>
      <c r="N294" s="489"/>
    </row>
    <row r="295" spans="12:14">
      <c r="L295" s="14"/>
      <c r="M295" s="14"/>
      <c r="N295" s="489"/>
    </row>
    <row r="296" spans="12:14">
      <c r="L296" s="14"/>
      <c r="M296" s="14"/>
      <c r="N296" s="489"/>
    </row>
    <row r="297" spans="12:14">
      <c r="L297" s="14"/>
      <c r="M297" s="14"/>
      <c r="N297" s="489"/>
    </row>
    <row r="298" spans="12:14">
      <c r="L298" s="14"/>
      <c r="M298" s="14"/>
      <c r="N298" s="489"/>
    </row>
    <row r="299" spans="12:14">
      <c r="L299" s="14"/>
      <c r="M299" s="14"/>
      <c r="N299" s="489"/>
    </row>
    <row r="300" spans="12:14">
      <c r="L300" s="14"/>
      <c r="M300" s="14"/>
      <c r="N300" s="489"/>
    </row>
    <row r="301" spans="12:14">
      <c r="L301" s="14"/>
      <c r="M301" s="14"/>
      <c r="N301" s="489"/>
    </row>
    <row r="302" spans="12:14">
      <c r="L302" s="14"/>
      <c r="M302" s="14"/>
      <c r="N302" s="489"/>
    </row>
    <row r="303" spans="12:14">
      <c r="L303" s="14"/>
      <c r="M303" s="14"/>
      <c r="N303" s="489"/>
    </row>
    <row r="304" spans="12:14">
      <c r="L304" s="14"/>
      <c r="M304" s="14"/>
      <c r="N304" s="489"/>
    </row>
    <row r="305" spans="12:14">
      <c r="L305" s="14"/>
      <c r="M305" s="14"/>
      <c r="N305" s="489"/>
    </row>
    <row r="306" spans="12:14">
      <c r="L306" s="14"/>
      <c r="M306" s="14"/>
      <c r="N306" s="489"/>
    </row>
    <row r="307" spans="12:14">
      <c r="L307" s="14"/>
      <c r="M307" s="14"/>
      <c r="N307" s="489"/>
    </row>
    <row r="308" spans="12:14">
      <c r="L308" s="14"/>
      <c r="M308" s="14"/>
      <c r="N308" s="489"/>
    </row>
    <row r="309" spans="12:14">
      <c r="L309" s="14"/>
      <c r="M309" s="14"/>
      <c r="N309" s="489"/>
    </row>
    <row r="310" spans="12:14">
      <c r="L310" s="14"/>
      <c r="M310" s="14"/>
      <c r="N310" s="489"/>
    </row>
    <row r="311" spans="12:14">
      <c r="L311" s="14"/>
      <c r="M311" s="14"/>
      <c r="N311" s="489"/>
    </row>
    <row r="312" spans="12:14">
      <c r="L312" s="14"/>
      <c r="M312" s="14"/>
      <c r="N312" s="489"/>
    </row>
    <row r="313" spans="12:14">
      <c r="L313" s="14"/>
      <c r="M313" s="14"/>
      <c r="N313" s="489"/>
    </row>
    <row r="314" spans="12:14">
      <c r="L314" s="14"/>
      <c r="M314" s="14"/>
      <c r="N314" s="489"/>
    </row>
    <row r="315" spans="12:14">
      <c r="L315" s="14"/>
      <c r="M315" s="14"/>
      <c r="N315" s="489"/>
    </row>
    <row r="316" spans="12:14">
      <c r="L316" s="14"/>
      <c r="M316" s="14"/>
      <c r="N316" s="489"/>
    </row>
    <row r="317" spans="12:14">
      <c r="L317" s="14"/>
      <c r="M317" s="14"/>
      <c r="N317" s="489"/>
    </row>
    <row r="318" spans="12:14">
      <c r="L318" s="14"/>
      <c r="M318" s="14"/>
      <c r="N318" s="489"/>
    </row>
    <row r="319" spans="12:14">
      <c r="L319" s="14"/>
      <c r="M319" s="14"/>
      <c r="N319" s="489"/>
    </row>
    <row r="320" spans="12:14">
      <c r="L320" s="14"/>
      <c r="M320" s="14"/>
      <c r="N320" s="489"/>
    </row>
    <row r="321" spans="12:14">
      <c r="L321" s="14"/>
      <c r="M321" s="14"/>
      <c r="N321" s="489"/>
    </row>
    <row r="322" spans="12:14">
      <c r="L322" s="14"/>
      <c r="M322" s="14"/>
      <c r="N322" s="489"/>
    </row>
    <row r="323" spans="12:14">
      <c r="L323" s="14"/>
      <c r="M323" s="14"/>
      <c r="N323" s="489"/>
    </row>
    <row r="324" spans="12:14">
      <c r="L324" s="14"/>
      <c r="M324" s="14"/>
      <c r="N324" s="489"/>
    </row>
    <row r="325" spans="12:14">
      <c r="L325" s="14"/>
      <c r="M325" s="14"/>
      <c r="N325" s="489"/>
    </row>
    <row r="326" spans="12:14">
      <c r="L326" s="14"/>
      <c r="M326" s="14"/>
      <c r="N326" s="489"/>
    </row>
    <row r="327" spans="12:14">
      <c r="L327" s="14"/>
      <c r="M327" s="14"/>
      <c r="N327" s="489"/>
    </row>
    <row r="328" spans="12:14">
      <c r="L328" s="14"/>
      <c r="M328" s="14"/>
      <c r="N328" s="489"/>
    </row>
    <row r="329" spans="12:14">
      <c r="L329" s="14"/>
      <c r="M329" s="14"/>
      <c r="N329" s="489"/>
    </row>
    <row r="330" spans="12:14">
      <c r="L330" s="14"/>
      <c r="M330" s="14"/>
      <c r="N330" s="489"/>
    </row>
    <row r="331" spans="12:14">
      <c r="L331" s="14"/>
      <c r="M331" s="14"/>
      <c r="N331" s="489"/>
    </row>
    <row r="332" spans="12:14">
      <c r="L332" s="14"/>
      <c r="M332" s="14"/>
      <c r="N332" s="489"/>
    </row>
    <row r="333" spans="12:14">
      <c r="L333" s="14"/>
      <c r="M333" s="14"/>
      <c r="N333" s="489"/>
    </row>
    <row r="334" spans="12:14">
      <c r="L334" s="14"/>
      <c r="M334" s="14"/>
      <c r="N334" s="489"/>
    </row>
    <row r="335" spans="12:14">
      <c r="L335" s="14"/>
      <c r="M335" s="14"/>
      <c r="N335" s="489"/>
    </row>
    <row r="336" spans="12:14">
      <c r="L336" s="14"/>
      <c r="M336" s="14"/>
      <c r="N336" s="489"/>
    </row>
    <row r="337" spans="12:14">
      <c r="L337" s="14"/>
      <c r="M337" s="14"/>
      <c r="N337" s="489"/>
    </row>
    <row r="338" spans="12:14">
      <c r="L338" s="14"/>
      <c r="M338" s="14"/>
      <c r="N338" s="489"/>
    </row>
    <row r="339" spans="12:14">
      <c r="L339" s="14"/>
      <c r="M339" s="14"/>
      <c r="N339" s="489"/>
    </row>
    <row r="340" spans="12:14">
      <c r="L340" s="14"/>
      <c r="M340" s="14"/>
      <c r="N340" s="489"/>
    </row>
    <row r="341" spans="12:14">
      <c r="L341" s="14"/>
      <c r="M341" s="14"/>
      <c r="N341" s="489"/>
    </row>
    <row r="342" spans="12:14">
      <c r="L342" s="14"/>
      <c r="M342" s="14"/>
      <c r="N342" s="489"/>
    </row>
    <row r="343" spans="12:14">
      <c r="L343" s="14"/>
      <c r="M343" s="14"/>
      <c r="N343" s="489"/>
    </row>
    <row r="344" spans="12:14">
      <c r="L344" s="14"/>
      <c r="M344" s="14"/>
      <c r="N344" s="489"/>
    </row>
    <row r="345" spans="12:14">
      <c r="L345" s="14"/>
      <c r="M345" s="14"/>
      <c r="N345" s="489"/>
    </row>
    <row r="346" spans="12:14">
      <c r="L346" s="14"/>
      <c r="M346" s="14"/>
      <c r="N346" s="489"/>
    </row>
    <row r="347" spans="12:14">
      <c r="L347" s="14"/>
      <c r="M347" s="14"/>
      <c r="N347" s="489"/>
    </row>
    <row r="348" spans="12:14">
      <c r="L348" s="14"/>
      <c r="M348" s="14"/>
      <c r="N348" s="489"/>
    </row>
    <row r="349" spans="12:14">
      <c r="L349" s="14"/>
      <c r="M349" s="14"/>
      <c r="N349" s="489"/>
    </row>
    <row r="350" spans="12:14">
      <c r="L350" s="14"/>
      <c r="M350" s="14"/>
      <c r="N350" s="489"/>
    </row>
    <row r="351" spans="12:14">
      <c r="L351" s="14"/>
      <c r="M351" s="14"/>
      <c r="N351" s="489"/>
    </row>
    <row r="352" spans="12:14">
      <c r="L352" s="14"/>
      <c r="M352" s="14"/>
      <c r="N352" s="489"/>
    </row>
    <row r="353" spans="12:14">
      <c r="L353" s="14"/>
      <c r="M353" s="14"/>
      <c r="N353" s="489"/>
    </row>
    <row r="354" spans="12:14">
      <c r="L354" s="14"/>
      <c r="M354" s="14"/>
      <c r="N354" s="489"/>
    </row>
    <row r="355" spans="12:14">
      <c r="L355" s="14"/>
      <c r="M355" s="14"/>
      <c r="N355" s="489"/>
    </row>
    <row r="356" spans="12:14">
      <c r="L356" s="14"/>
      <c r="M356" s="14"/>
      <c r="N356" s="489"/>
    </row>
    <row r="357" spans="12:14">
      <c r="L357" s="14"/>
      <c r="M357" s="14"/>
      <c r="N357" s="489"/>
    </row>
    <row r="358" spans="12:14">
      <c r="L358" s="14"/>
      <c r="M358" s="14"/>
      <c r="N358" s="489"/>
    </row>
    <row r="359" spans="12:14">
      <c r="L359" s="14"/>
      <c r="M359" s="14"/>
      <c r="N359" s="489"/>
    </row>
    <row r="360" spans="12:14">
      <c r="L360" s="14"/>
      <c r="M360" s="14"/>
      <c r="N360" s="489"/>
    </row>
    <row r="361" spans="12:14">
      <c r="L361" s="14"/>
      <c r="M361" s="14"/>
      <c r="N361" s="489"/>
    </row>
    <row r="362" spans="12:14">
      <c r="L362" s="14"/>
      <c r="M362" s="14"/>
      <c r="N362" s="489"/>
    </row>
    <row r="363" spans="12:14">
      <c r="L363" s="14"/>
      <c r="M363" s="14"/>
      <c r="N363" s="489"/>
    </row>
    <row r="364" spans="12:14">
      <c r="L364" s="14"/>
      <c r="M364" s="14"/>
      <c r="N364" s="489"/>
    </row>
    <row r="365" spans="12:14">
      <c r="L365" s="14"/>
      <c r="M365" s="14"/>
      <c r="N365" s="489"/>
    </row>
    <row r="366" spans="12:14">
      <c r="L366" s="14"/>
      <c r="M366" s="14"/>
      <c r="N366" s="489"/>
    </row>
    <row r="367" spans="12:14">
      <c r="L367" s="14"/>
      <c r="M367" s="14"/>
      <c r="N367" s="489"/>
    </row>
    <row r="368" spans="12:14">
      <c r="L368" s="14"/>
      <c r="M368" s="14"/>
      <c r="N368" s="489"/>
    </row>
    <row r="369" spans="12:14">
      <c r="L369" s="14"/>
      <c r="M369" s="14"/>
      <c r="N369" s="489"/>
    </row>
    <row r="370" spans="12:14">
      <c r="L370" s="14"/>
      <c r="M370" s="14"/>
      <c r="N370" s="489"/>
    </row>
    <row r="371" spans="12:14">
      <c r="L371" s="14"/>
      <c r="M371" s="14"/>
      <c r="N371" s="489"/>
    </row>
    <row r="372" spans="12:14">
      <c r="L372" s="14"/>
      <c r="M372" s="14"/>
      <c r="N372" s="489"/>
    </row>
    <row r="373" spans="12:14">
      <c r="L373" s="14"/>
      <c r="M373" s="14"/>
      <c r="N373" s="489"/>
    </row>
    <row r="374" spans="12:14">
      <c r="L374" s="14"/>
      <c r="M374" s="14"/>
      <c r="N374" s="489"/>
    </row>
    <row r="375" spans="12:14">
      <c r="L375" s="14"/>
      <c r="M375" s="14"/>
      <c r="N375" s="489"/>
    </row>
    <row r="376" spans="12:14">
      <c r="L376" s="14"/>
      <c r="M376" s="14"/>
      <c r="N376" s="489"/>
    </row>
    <row r="377" spans="12:14">
      <c r="L377" s="14"/>
      <c r="M377" s="14"/>
      <c r="N377" s="489"/>
    </row>
    <row r="378" spans="12:14">
      <c r="L378" s="14"/>
      <c r="M378" s="14"/>
      <c r="N378" s="489"/>
    </row>
    <row r="379" spans="12:14">
      <c r="L379" s="14"/>
      <c r="M379" s="14"/>
      <c r="N379" s="489"/>
    </row>
    <row r="380" spans="12:14">
      <c r="L380" s="14"/>
      <c r="M380" s="14"/>
      <c r="N380" s="489"/>
    </row>
    <row r="381" spans="12:14">
      <c r="L381" s="14"/>
      <c r="M381" s="14"/>
      <c r="N381" s="489"/>
    </row>
    <row r="382" spans="12:14">
      <c r="L382" s="14"/>
      <c r="M382" s="14"/>
      <c r="N382" s="489"/>
    </row>
    <row r="383" spans="12:14">
      <c r="L383" s="14"/>
      <c r="M383" s="14"/>
      <c r="N383" s="489"/>
    </row>
    <row r="384" spans="12:14">
      <c r="L384" s="14"/>
      <c r="M384" s="14"/>
      <c r="N384" s="489"/>
    </row>
    <row r="385" spans="12:14">
      <c r="L385" s="14"/>
      <c r="M385" s="14"/>
      <c r="N385" s="489"/>
    </row>
    <row r="386" spans="12:14">
      <c r="L386" s="14"/>
      <c r="M386" s="14"/>
      <c r="N386" s="489"/>
    </row>
    <row r="387" spans="12:14">
      <c r="L387" s="14"/>
      <c r="M387" s="14"/>
      <c r="N387" s="489"/>
    </row>
    <row r="388" spans="12:14">
      <c r="L388" s="14"/>
      <c r="M388" s="14"/>
      <c r="N388" s="489"/>
    </row>
    <row r="389" spans="12:14">
      <c r="L389" s="14"/>
      <c r="M389" s="14"/>
      <c r="N389" s="489"/>
    </row>
    <row r="390" spans="12:14">
      <c r="L390" s="14"/>
      <c r="M390" s="14"/>
      <c r="N390" s="489"/>
    </row>
    <row r="391" spans="12:14">
      <c r="L391" s="14"/>
      <c r="M391" s="14"/>
      <c r="N391" s="489"/>
    </row>
    <row r="392" spans="12:14">
      <c r="L392" s="14"/>
      <c r="M392" s="14"/>
      <c r="N392" s="489"/>
    </row>
    <row r="393" spans="12:14">
      <c r="L393" s="14"/>
      <c r="M393" s="14"/>
    </row>
    <row r="394" spans="12:14">
      <c r="L394" s="14"/>
      <c r="M394" s="14"/>
    </row>
    <row r="395" spans="12:14">
      <c r="L395" s="14"/>
      <c r="M395" s="14"/>
    </row>
    <row r="396" spans="12:14">
      <c r="L396" s="14"/>
      <c r="M396" s="14"/>
    </row>
    <row r="397" spans="12:14">
      <c r="L397" s="14"/>
      <c r="M397" s="14"/>
    </row>
    <row r="398" spans="12:14">
      <c r="L398" s="14"/>
      <c r="M398" s="14"/>
    </row>
    <row r="399" spans="12:14">
      <c r="L399" s="14"/>
      <c r="M399" s="14"/>
    </row>
    <row r="400" spans="12:14">
      <c r="L400" s="14"/>
      <c r="M400" s="14"/>
    </row>
    <row r="401" spans="12:13">
      <c r="L401" s="14"/>
      <c r="M401" s="14"/>
    </row>
    <row r="402" spans="12:13">
      <c r="L402" s="14"/>
      <c r="M402" s="14"/>
    </row>
    <row r="403" spans="12:13">
      <c r="L403" s="14"/>
      <c r="M403" s="14"/>
    </row>
    <row r="404" spans="12:13">
      <c r="L404" s="14"/>
      <c r="M404" s="14"/>
    </row>
    <row r="405" spans="12:13">
      <c r="L405" s="14"/>
      <c r="M405" s="14"/>
    </row>
    <row r="406" spans="12:13">
      <c r="L406" s="14"/>
      <c r="M406" s="14"/>
    </row>
    <row r="407" spans="12:13">
      <c r="L407" s="14"/>
      <c r="M407" s="14"/>
    </row>
    <row r="408" spans="12:13">
      <c r="L408" s="14"/>
      <c r="M408" s="14"/>
    </row>
    <row r="409" spans="12:13">
      <c r="L409" s="14"/>
      <c r="M409" s="14"/>
    </row>
    <row r="410" spans="12:13">
      <c r="L410" s="14"/>
      <c r="M410" s="14"/>
    </row>
    <row r="411" spans="12:13">
      <c r="L411" s="14"/>
      <c r="M411" s="14"/>
    </row>
    <row r="412" spans="12:13">
      <c r="L412" s="14"/>
      <c r="M412" s="14"/>
    </row>
    <row r="413" spans="12:13">
      <c r="L413" s="14"/>
      <c r="M413" s="14"/>
    </row>
    <row r="414" spans="12:13">
      <c r="L414" s="14"/>
      <c r="M414" s="14"/>
    </row>
    <row r="415" spans="12:13">
      <c r="L415" s="14"/>
      <c r="M415" s="14"/>
    </row>
    <row r="416" spans="12:13">
      <c r="L416" s="14"/>
      <c r="M416" s="14"/>
    </row>
    <row r="417" spans="12:13">
      <c r="L417" s="14"/>
      <c r="M417" s="14"/>
    </row>
    <row r="418" spans="12:13">
      <c r="L418" s="14"/>
      <c r="M418" s="14"/>
    </row>
    <row r="419" spans="12:13">
      <c r="L419" s="14"/>
      <c r="M419" s="14"/>
    </row>
    <row r="420" spans="12:13">
      <c r="L420" s="14"/>
      <c r="M420" s="14"/>
    </row>
    <row r="421" spans="12:13">
      <c r="L421" s="14"/>
      <c r="M421" s="14"/>
    </row>
    <row r="422" spans="12:13">
      <c r="L422" s="14"/>
      <c r="M422" s="14"/>
    </row>
    <row r="423" spans="12:13">
      <c r="L423" s="14"/>
      <c r="M423" s="14"/>
    </row>
    <row r="424" spans="12:13">
      <c r="L424" s="14"/>
      <c r="M424" s="14"/>
    </row>
    <row r="425" spans="12:13">
      <c r="L425" s="14"/>
      <c r="M425" s="14"/>
    </row>
    <row r="426" spans="12:13">
      <c r="L426" s="14"/>
      <c r="M426" s="14"/>
    </row>
    <row r="427" spans="12:13">
      <c r="L427" s="14"/>
      <c r="M427" s="14"/>
    </row>
    <row r="428" spans="12:13">
      <c r="L428" s="14"/>
      <c r="M428" s="14"/>
    </row>
    <row r="429" spans="12:13">
      <c r="L429" s="14"/>
      <c r="M429" s="14"/>
    </row>
    <row r="430" spans="12:13">
      <c r="L430" s="14"/>
      <c r="M430" s="14"/>
    </row>
    <row r="431" spans="12:13">
      <c r="L431" s="14"/>
      <c r="M431" s="14"/>
    </row>
    <row r="432" spans="12:13">
      <c r="L432" s="14"/>
      <c r="M432" s="14"/>
    </row>
    <row r="433" spans="12:13">
      <c r="L433" s="14"/>
      <c r="M433" s="14"/>
    </row>
    <row r="434" spans="12:13">
      <c r="L434" s="14"/>
      <c r="M434" s="14"/>
    </row>
    <row r="435" spans="12:13">
      <c r="L435" s="14"/>
      <c r="M435" s="14"/>
    </row>
    <row r="436" spans="12:13">
      <c r="L436" s="14"/>
      <c r="M436" s="14"/>
    </row>
    <row r="437" spans="12:13">
      <c r="L437" s="14"/>
      <c r="M437" s="14"/>
    </row>
    <row r="438" spans="12:13">
      <c r="L438" s="14"/>
      <c r="M438" s="14"/>
    </row>
    <row r="439" spans="12:13">
      <c r="L439" s="14"/>
      <c r="M439" s="14"/>
    </row>
    <row r="440" spans="12:13">
      <c r="L440" s="14"/>
      <c r="M440" s="14"/>
    </row>
    <row r="441" spans="12:13">
      <c r="L441" s="14"/>
      <c r="M441" s="14"/>
    </row>
    <row r="442" spans="12:13">
      <c r="L442" s="14"/>
      <c r="M442" s="14"/>
    </row>
    <row r="443" spans="12:13">
      <c r="L443" s="14"/>
      <c r="M443" s="14"/>
    </row>
    <row r="444" spans="12:13">
      <c r="L444" s="14"/>
      <c r="M444" s="14"/>
    </row>
    <row r="445" spans="12:13">
      <c r="L445" s="14"/>
      <c r="M445" s="14"/>
    </row>
    <row r="446" spans="12:13">
      <c r="L446" s="14"/>
      <c r="M446" s="14"/>
    </row>
    <row r="447" spans="12:13">
      <c r="L447" s="14"/>
      <c r="M447" s="14"/>
    </row>
    <row r="448" spans="12:13">
      <c r="L448" s="14"/>
      <c r="M448" s="14"/>
    </row>
    <row r="449" spans="12:13">
      <c r="L449" s="14"/>
      <c r="M449" s="14"/>
    </row>
    <row r="450" spans="12:13">
      <c r="L450" s="14"/>
      <c r="M450" s="14"/>
    </row>
    <row r="451" spans="12:13">
      <c r="L451" s="14"/>
      <c r="M451" s="14"/>
    </row>
    <row r="452" spans="12:13">
      <c r="L452" s="14"/>
      <c r="M452" s="14"/>
    </row>
    <row r="453" spans="12:13">
      <c r="L453" s="14"/>
      <c r="M453" s="14"/>
    </row>
    <row r="454" spans="12:13">
      <c r="L454" s="14"/>
      <c r="M454" s="14"/>
    </row>
    <row r="455" spans="12:13">
      <c r="L455" s="14"/>
      <c r="M455" s="14"/>
    </row>
    <row r="456" spans="12:13">
      <c r="L456" s="14"/>
      <c r="M456" s="14"/>
    </row>
    <row r="457" spans="12:13">
      <c r="L457" s="14"/>
      <c r="M457" s="14"/>
    </row>
    <row r="458" spans="12:13">
      <c r="L458" s="14"/>
      <c r="M458" s="14"/>
    </row>
    <row r="459" spans="12:13">
      <c r="L459" s="14"/>
      <c r="M459" s="14"/>
    </row>
    <row r="460" spans="12:13">
      <c r="L460" s="14"/>
      <c r="M460" s="14"/>
    </row>
    <row r="461" spans="12:13">
      <c r="L461" s="14"/>
      <c r="M461" s="14"/>
    </row>
    <row r="462" spans="12:13">
      <c r="L462" s="14"/>
      <c r="M462" s="14"/>
    </row>
    <row r="463" spans="12:13">
      <c r="L463" s="14"/>
      <c r="M463" s="14"/>
    </row>
    <row r="464" spans="12:13">
      <c r="L464" s="14"/>
      <c r="M464" s="14"/>
    </row>
    <row r="465" spans="12:13">
      <c r="L465" s="14"/>
      <c r="M465" s="14"/>
    </row>
    <row r="466" spans="12:13">
      <c r="L466" s="14"/>
      <c r="M466" s="14"/>
    </row>
    <row r="467" spans="12:13">
      <c r="L467" s="14"/>
      <c r="M467" s="14"/>
    </row>
    <row r="468" spans="12:13">
      <c r="L468" s="14"/>
      <c r="M468" s="14"/>
    </row>
    <row r="469" spans="12:13">
      <c r="L469" s="14"/>
      <c r="M469" s="14"/>
    </row>
    <row r="470" spans="12:13">
      <c r="L470" s="14"/>
      <c r="M470" s="14"/>
    </row>
    <row r="471" spans="12:13">
      <c r="L471" s="14"/>
      <c r="M471" s="14"/>
    </row>
    <row r="472" spans="12:13">
      <c r="L472" s="14"/>
      <c r="M472" s="14"/>
    </row>
    <row r="473" spans="12:13">
      <c r="L473" s="14"/>
      <c r="M473" s="14"/>
    </row>
    <row r="474" spans="12:13">
      <c r="L474" s="14"/>
      <c r="M474" s="14"/>
    </row>
    <row r="475" spans="12:13">
      <c r="L475" s="14"/>
      <c r="M475" s="14"/>
    </row>
    <row r="476" spans="12:13">
      <c r="L476" s="14"/>
      <c r="M476" s="14"/>
    </row>
    <row r="477" spans="12:13">
      <c r="L477" s="14"/>
      <c r="M477" s="14"/>
    </row>
    <row r="478" spans="12:13">
      <c r="L478" s="14"/>
      <c r="M478" s="14"/>
    </row>
    <row r="479" spans="12:13">
      <c r="L479" s="14"/>
      <c r="M479" s="14"/>
    </row>
    <row r="480" spans="12:13">
      <c r="L480" s="14"/>
      <c r="M480" s="14"/>
    </row>
    <row r="481" spans="12:13">
      <c r="L481" s="14"/>
      <c r="M481" s="14"/>
    </row>
    <row r="482" spans="12:13">
      <c r="L482" s="14"/>
      <c r="M482" s="14"/>
    </row>
    <row r="483" spans="12:13">
      <c r="L483" s="14"/>
      <c r="M483" s="14"/>
    </row>
    <row r="484" spans="12:13">
      <c r="L484" s="14"/>
      <c r="M484" s="14"/>
    </row>
    <row r="485" spans="12:13">
      <c r="L485" s="14"/>
      <c r="M485" s="14"/>
    </row>
    <row r="486" spans="12:13">
      <c r="L486" s="14"/>
      <c r="M486" s="14"/>
    </row>
    <row r="487" spans="12:13">
      <c r="L487" s="14"/>
      <c r="M487" s="14"/>
    </row>
    <row r="488" spans="12:13">
      <c r="L488" s="14"/>
      <c r="M488" s="14"/>
    </row>
    <row r="489" spans="12:13">
      <c r="L489" s="14"/>
      <c r="M489" s="14"/>
    </row>
    <row r="490" spans="12:13">
      <c r="L490" s="14"/>
      <c r="M490" s="14"/>
    </row>
    <row r="491" spans="12:13">
      <c r="L491" s="14"/>
      <c r="M491" s="14"/>
    </row>
    <row r="492" spans="12:13">
      <c r="L492" s="14"/>
      <c r="M492" s="14"/>
    </row>
    <row r="493" spans="12:13">
      <c r="L493" s="14"/>
      <c r="M493" s="14"/>
    </row>
    <row r="494" spans="12:13">
      <c r="L494" s="14"/>
      <c r="M494" s="14"/>
    </row>
    <row r="495" spans="12:13">
      <c r="L495" s="14"/>
      <c r="M495" s="14"/>
    </row>
    <row r="496" spans="12:13">
      <c r="L496" s="14"/>
      <c r="M496" s="14"/>
    </row>
    <row r="497" spans="12:13">
      <c r="L497" s="14"/>
      <c r="M497" s="14"/>
    </row>
    <row r="498" spans="12:13">
      <c r="L498" s="14"/>
      <c r="M498" s="14"/>
    </row>
    <row r="499" spans="12:13">
      <c r="L499" s="14"/>
      <c r="M499" s="14"/>
    </row>
    <row r="500" spans="12:13">
      <c r="L500" s="14"/>
      <c r="M500" s="14"/>
    </row>
    <row r="501" spans="12:13">
      <c r="L501" s="14"/>
      <c r="M501" s="14"/>
    </row>
    <row r="502" spans="12:13">
      <c r="L502" s="14"/>
      <c r="M502" s="14"/>
    </row>
    <row r="503" spans="12:13">
      <c r="L503" s="14"/>
      <c r="M503" s="14"/>
    </row>
    <row r="504" spans="12:13">
      <c r="L504" s="14"/>
      <c r="M504" s="14"/>
    </row>
    <row r="505" spans="12:13">
      <c r="L505" s="14"/>
      <c r="M505" s="14"/>
    </row>
    <row r="506" spans="12:13">
      <c r="L506" s="14"/>
      <c r="M506" s="14"/>
    </row>
    <row r="507" spans="12:13">
      <c r="L507" s="14"/>
      <c r="M507" s="14"/>
    </row>
    <row r="508" spans="12:13">
      <c r="L508" s="14"/>
      <c r="M508" s="14"/>
    </row>
    <row r="509" spans="12:13">
      <c r="L509" s="14"/>
      <c r="M509" s="14"/>
    </row>
    <row r="510" spans="12:13">
      <c r="L510" s="14"/>
      <c r="M510" s="14"/>
    </row>
    <row r="511" spans="12:13">
      <c r="L511" s="14"/>
      <c r="M511" s="14"/>
    </row>
    <row r="512" spans="12:13">
      <c r="L512" s="14"/>
      <c r="M512" s="14"/>
    </row>
    <row r="513" spans="12:13">
      <c r="L513" s="14"/>
      <c r="M513" s="14"/>
    </row>
    <row r="514" spans="12:13">
      <c r="L514" s="14"/>
      <c r="M514" s="14"/>
    </row>
    <row r="515" spans="12:13">
      <c r="L515" s="14"/>
      <c r="M515" s="14"/>
    </row>
    <row r="516" spans="12:13">
      <c r="L516" s="14"/>
      <c r="M516" s="14"/>
    </row>
    <row r="517" spans="12:13">
      <c r="L517" s="14"/>
      <c r="M517" s="14"/>
    </row>
    <row r="518" spans="12:13">
      <c r="L518" s="14"/>
      <c r="M518" s="14"/>
    </row>
    <row r="519" spans="12:13">
      <c r="L519" s="14"/>
      <c r="M519" s="14"/>
    </row>
    <row r="520" spans="12:13">
      <c r="L520" s="14"/>
      <c r="M520" s="14"/>
    </row>
    <row r="521" spans="12:13">
      <c r="L521" s="14"/>
      <c r="M521" s="14"/>
    </row>
    <row r="522" spans="12:13">
      <c r="L522" s="14"/>
      <c r="M522" s="14"/>
    </row>
    <row r="523" spans="12:13">
      <c r="L523" s="14"/>
      <c r="M523" s="14"/>
    </row>
    <row r="524" spans="12:13">
      <c r="L524" s="14"/>
      <c r="M524" s="14"/>
    </row>
    <row r="525" spans="12:13">
      <c r="L525" s="14"/>
      <c r="M525" s="14"/>
    </row>
    <row r="526" spans="12:13">
      <c r="L526" s="14"/>
      <c r="M526" s="14"/>
    </row>
    <row r="527" spans="12:13">
      <c r="L527" s="14"/>
      <c r="M527" s="14"/>
    </row>
    <row r="528" spans="12:13">
      <c r="L528" s="14"/>
      <c r="M528" s="14"/>
    </row>
    <row r="529" spans="12:13">
      <c r="L529" s="14"/>
      <c r="M529" s="14"/>
    </row>
    <row r="530" spans="12:13">
      <c r="L530" s="14"/>
      <c r="M530" s="14"/>
    </row>
    <row r="531" spans="12:13">
      <c r="L531" s="14"/>
      <c r="M531" s="14"/>
    </row>
    <row r="532" spans="12:13">
      <c r="L532" s="14"/>
      <c r="M532" s="14"/>
    </row>
    <row r="533" spans="12:13">
      <c r="L533" s="14"/>
      <c r="M533" s="14"/>
    </row>
    <row r="534" spans="12:13">
      <c r="L534" s="14"/>
      <c r="M534" s="14"/>
    </row>
    <row r="535" spans="12:13">
      <c r="L535" s="14"/>
      <c r="M535" s="14"/>
    </row>
    <row r="536" spans="12:13">
      <c r="L536" s="14"/>
      <c r="M536" s="14"/>
    </row>
    <row r="537" spans="12:13">
      <c r="L537" s="14"/>
      <c r="M537" s="14"/>
    </row>
    <row r="538" spans="12:13">
      <c r="L538" s="14"/>
      <c r="M538" s="14"/>
    </row>
    <row r="539" spans="12:13">
      <c r="L539" s="14"/>
      <c r="M539" s="14"/>
    </row>
    <row r="540" spans="12:13">
      <c r="L540" s="14"/>
      <c r="M540" s="14"/>
    </row>
    <row r="541" spans="12:13">
      <c r="L541" s="14"/>
      <c r="M541" s="14"/>
    </row>
    <row r="542" spans="12:13">
      <c r="L542" s="14"/>
      <c r="M542" s="14"/>
    </row>
    <row r="543" spans="12:13">
      <c r="L543" s="14"/>
      <c r="M543" s="14"/>
    </row>
    <row r="544" spans="12:13">
      <c r="L544" s="14"/>
      <c r="M544" s="14"/>
    </row>
    <row r="545" spans="12:13">
      <c r="L545" s="14"/>
      <c r="M545" s="14"/>
    </row>
    <row r="546" spans="12:13">
      <c r="L546" s="14"/>
      <c r="M546" s="14"/>
    </row>
    <row r="547" spans="12:13">
      <c r="L547" s="14"/>
      <c r="M547" s="14"/>
    </row>
    <row r="548" spans="12:13">
      <c r="L548" s="14"/>
      <c r="M548" s="14"/>
    </row>
    <row r="549" spans="12:13">
      <c r="L549" s="14"/>
      <c r="M549" s="14"/>
    </row>
    <row r="550" spans="12:13">
      <c r="L550" s="14"/>
      <c r="M550" s="14"/>
    </row>
    <row r="551" spans="12:13">
      <c r="L551" s="14"/>
      <c r="M551" s="14"/>
    </row>
    <row r="552" spans="12:13">
      <c r="L552" s="14"/>
      <c r="M552" s="14"/>
    </row>
    <row r="553" spans="12:13">
      <c r="L553" s="14"/>
      <c r="M553" s="14"/>
    </row>
    <row r="554" spans="12:13">
      <c r="L554" s="14"/>
      <c r="M554" s="14"/>
    </row>
    <row r="555" spans="12:13">
      <c r="L555" s="14"/>
      <c r="M555" s="14"/>
    </row>
    <row r="556" spans="12:13">
      <c r="L556" s="14"/>
      <c r="M556" s="14"/>
    </row>
    <row r="557" spans="12:13">
      <c r="L557" s="14"/>
      <c r="M557" s="14"/>
    </row>
    <row r="558" spans="12:13">
      <c r="L558" s="14"/>
      <c r="M558" s="14"/>
    </row>
    <row r="559" spans="12:13">
      <c r="L559" s="14"/>
      <c r="M559" s="14"/>
    </row>
    <row r="560" spans="12:13">
      <c r="L560" s="14"/>
      <c r="M560" s="14"/>
    </row>
    <row r="561" spans="12:13">
      <c r="L561" s="14"/>
      <c r="M561" s="14"/>
    </row>
    <row r="562" spans="12:13">
      <c r="L562" s="14"/>
      <c r="M562" s="14"/>
    </row>
    <row r="563" spans="12:13">
      <c r="L563" s="14"/>
      <c r="M563" s="14"/>
    </row>
    <row r="564" spans="12:13">
      <c r="L564" s="14"/>
      <c r="M564" s="14"/>
    </row>
    <row r="565" spans="12:13">
      <c r="L565" s="14"/>
      <c r="M565" s="14"/>
    </row>
    <row r="566" spans="12:13">
      <c r="L566" s="14"/>
      <c r="M566" s="14"/>
    </row>
    <row r="567" spans="12:13">
      <c r="L567" s="14"/>
      <c r="M567" s="14"/>
    </row>
    <row r="568" spans="12:13">
      <c r="L568" s="14"/>
      <c r="M568" s="14"/>
    </row>
    <row r="569" spans="12:13">
      <c r="L569" s="14"/>
      <c r="M569" s="14"/>
    </row>
    <row r="570" spans="12:13">
      <c r="L570" s="14"/>
      <c r="M570" s="14"/>
    </row>
    <row r="571" spans="12:13">
      <c r="L571" s="14"/>
      <c r="M571" s="14"/>
    </row>
    <row r="572" spans="12:13">
      <c r="L572" s="14"/>
      <c r="M572" s="14"/>
    </row>
    <row r="573" spans="12:13">
      <c r="L573" s="14"/>
      <c r="M573" s="14"/>
    </row>
    <row r="574" spans="12:13">
      <c r="L574" s="14"/>
      <c r="M574" s="14"/>
    </row>
    <row r="575" spans="12:13">
      <c r="L575" s="14"/>
      <c r="M575" s="14"/>
    </row>
    <row r="576" spans="12:13">
      <c r="L576" s="14"/>
      <c r="M576" s="14"/>
    </row>
    <row r="577" spans="12:13">
      <c r="L577" s="14"/>
      <c r="M577" s="14"/>
    </row>
    <row r="578" spans="12:13">
      <c r="L578" s="14"/>
      <c r="M578" s="14"/>
    </row>
    <row r="579" spans="12:13">
      <c r="L579" s="14"/>
      <c r="M579" s="14"/>
    </row>
    <row r="580" spans="12:13">
      <c r="L580" s="14"/>
      <c r="M580" s="14"/>
    </row>
    <row r="581" spans="12:13">
      <c r="L581" s="14"/>
      <c r="M581" s="14"/>
    </row>
    <row r="582" spans="12:13">
      <c r="L582" s="14"/>
      <c r="M582" s="14"/>
    </row>
    <row r="583" spans="12:13">
      <c r="L583" s="14"/>
      <c r="M583" s="14"/>
    </row>
    <row r="584" spans="12:13">
      <c r="L584" s="14"/>
      <c r="M584" s="14"/>
    </row>
    <row r="585" spans="12:13">
      <c r="L585" s="14"/>
      <c r="M585" s="14"/>
    </row>
    <row r="586" spans="12:13">
      <c r="L586" s="14"/>
      <c r="M586" s="14"/>
    </row>
    <row r="587" spans="12:13">
      <c r="L587" s="14"/>
      <c r="M587" s="14"/>
    </row>
    <row r="588" spans="12:13">
      <c r="L588" s="14"/>
      <c r="M588" s="14"/>
    </row>
    <row r="589" spans="12:13">
      <c r="L589" s="14"/>
      <c r="M589" s="14"/>
    </row>
    <row r="590" spans="12:13">
      <c r="L590" s="14"/>
      <c r="M590" s="14"/>
    </row>
    <row r="591" spans="12:13">
      <c r="L591" s="14"/>
      <c r="M591" s="14"/>
    </row>
    <row r="592" spans="12:13">
      <c r="L592" s="14"/>
      <c r="M592" s="14"/>
    </row>
    <row r="593" spans="12:13">
      <c r="L593" s="14"/>
      <c r="M593" s="14"/>
    </row>
    <row r="594" spans="12:13">
      <c r="L594" s="14"/>
      <c r="M594" s="14"/>
    </row>
    <row r="595" spans="12:13">
      <c r="L595" s="14"/>
      <c r="M595" s="14"/>
    </row>
    <row r="596" spans="12:13">
      <c r="L596" s="14"/>
      <c r="M596" s="14"/>
    </row>
    <row r="597" spans="12:13">
      <c r="L597" s="14"/>
      <c r="M597" s="14"/>
    </row>
    <row r="598" spans="12:13">
      <c r="L598" s="14"/>
      <c r="M598" s="14"/>
    </row>
    <row r="599" spans="12:13">
      <c r="L599" s="14"/>
      <c r="M599" s="14"/>
    </row>
    <row r="600" spans="12:13">
      <c r="L600" s="14"/>
      <c r="M600" s="14"/>
    </row>
    <row r="601" spans="12:13">
      <c r="L601" s="14"/>
      <c r="M601" s="14"/>
    </row>
    <row r="602" spans="12:13">
      <c r="L602" s="14"/>
      <c r="M602" s="14"/>
    </row>
    <row r="603" spans="12:13">
      <c r="L603" s="14"/>
      <c r="M603" s="14"/>
    </row>
    <row r="604" spans="12:13">
      <c r="L604" s="14"/>
      <c r="M604" s="14"/>
    </row>
    <row r="605" spans="12:13">
      <c r="L605" s="14"/>
      <c r="M605" s="14"/>
    </row>
    <row r="606" spans="12:13">
      <c r="L606" s="14"/>
      <c r="M606" s="14"/>
    </row>
    <row r="607" spans="12:13">
      <c r="L607" s="14"/>
      <c r="M607" s="14"/>
    </row>
    <row r="608" spans="12:13">
      <c r="L608" s="14"/>
      <c r="M608" s="14"/>
    </row>
    <row r="609" spans="12:13">
      <c r="L609" s="14"/>
      <c r="M609" s="14"/>
    </row>
    <row r="610" spans="12:13">
      <c r="L610" s="14"/>
      <c r="M610" s="14"/>
    </row>
    <row r="611" spans="12:13">
      <c r="L611" s="14"/>
      <c r="M611" s="14"/>
    </row>
    <row r="612" spans="12:13">
      <c r="L612" s="14"/>
      <c r="M612" s="14"/>
    </row>
    <row r="613" spans="12:13">
      <c r="L613" s="14"/>
      <c r="M613" s="14"/>
    </row>
    <row r="614" spans="12:13">
      <c r="L614" s="14"/>
      <c r="M614" s="14"/>
    </row>
    <row r="615" spans="12:13">
      <c r="L615" s="14"/>
      <c r="M615" s="14"/>
    </row>
    <row r="616" spans="12:13">
      <c r="L616" s="14"/>
      <c r="M616" s="14"/>
    </row>
    <row r="617" spans="12:13">
      <c r="L617" s="14"/>
      <c r="M617" s="14"/>
    </row>
    <row r="618" spans="12:13">
      <c r="L618" s="14"/>
      <c r="M618" s="14"/>
    </row>
    <row r="619" spans="12:13">
      <c r="L619" s="14"/>
      <c r="M619" s="14"/>
    </row>
    <row r="620" spans="12:13">
      <c r="L620" s="14"/>
      <c r="M620" s="14"/>
    </row>
    <row r="621" spans="12:13">
      <c r="L621" s="14"/>
      <c r="M621" s="14"/>
    </row>
    <row r="622" spans="12:13">
      <c r="L622" s="14"/>
      <c r="M622" s="14"/>
    </row>
    <row r="623" spans="12:13">
      <c r="L623" s="14"/>
      <c r="M623" s="14"/>
    </row>
    <row r="624" spans="12:13">
      <c r="L624" s="14"/>
      <c r="M624" s="14"/>
    </row>
    <row r="625" spans="12:13">
      <c r="L625" s="14"/>
      <c r="M625" s="14"/>
    </row>
    <row r="626" spans="12:13">
      <c r="L626" s="14"/>
      <c r="M626" s="14"/>
    </row>
    <row r="627" spans="12:13">
      <c r="L627" s="14"/>
      <c r="M627" s="14"/>
    </row>
    <row r="628" spans="12:13">
      <c r="L628" s="14"/>
      <c r="M628" s="14"/>
    </row>
    <row r="629" spans="12:13">
      <c r="L629" s="14"/>
      <c r="M629" s="14"/>
    </row>
    <row r="630" spans="12:13">
      <c r="L630" s="14"/>
      <c r="M630" s="14"/>
    </row>
    <row r="631" spans="12:13">
      <c r="L631" s="14"/>
      <c r="M631" s="14"/>
    </row>
    <row r="632" spans="12:13">
      <c r="L632" s="14"/>
      <c r="M632" s="14"/>
    </row>
    <row r="633" spans="12:13">
      <c r="L633" s="14"/>
      <c r="M633" s="14"/>
    </row>
    <row r="634" spans="12:13">
      <c r="L634" s="14"/>
      <c r="M634" s="14"/>
    </row>
    <row r="635" spans="12:13">
      <c r="L635" s="14"/>
      <c r="M635" s="14"/>
    </row>
    <row r="636" spans="12:13">
      <c r="L636" s="14"/>
      <c r="M636" s="14"/>
    </row>
    <row r="637" spans="12:13">
      <c r="L637" s="14"/>
      <c r="M637" s="14"/>
    </row>
    <row r="638" spans="12:13">
      <c r="L638" s="14"/>
      <c r="M638" s="14"/>
    </row>
    <row r="639" spans="12:13">
      <c r="L639" s="14"/>
      <c r="M639" s="14"/>
    </row>
    <row r="640" spans="12:13">
      <c r="L640" s="14"/>
      <c r="M640" s="14"/>
    </row>
  </sheetData>
  <phoneticPr fontId="3" type="noConversion"/>
  <pageMargins left="0.75" right="0.75" top="1" bottom="1" header="0.5" footer="0.5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indexed="43"/>
  </sheetPr>
  <dimension ref="A1:Z644"/>
  <sheetViews>
    <sheetView zoomScale="75" workbookViewId="0">
      <selection activeCell="X37" sqref="X37"/>
    </sheetView>
  </sheetViews>
  <sheetFormatPr defaultRowHeight="16.5"/>
  <cols>
    <col min="1" max="1" width="24.25" customWidth="1"/>
    <col min="2" max="2" width="10.5" hidden="1" customWidth="1"/>
    <col min="3" max="3" width="8.625" style="14" hidden="1" customWidth="1"/>
    <col min="4" max="4" width="17.125" style="14" bestFit="1" customWidth="1"/>
    <col min="5" max="5" width="12.25" style="14" customWidth="1"/>
    <col min="6" max="6" width="12.25" style="534" customWidth="1"/>
    <col min="7" max="7" width="15.625" style="2" customWidth="1"/>
    <col min="8" max="8" width="14.75" hidden="1" customWidth="1"/>
    <col min="9" max="9" width="12.375" style="14" customWidth="1"/>
    <col min="10" max="10" width="6.875" hidden="1" customWidth="1"/>
    <col min="11" max="11" width="11.875" hidden="1" customWidth="1"/>
    <col min="12" max="12" width="10" customWidth="1"/>
    <col min="13" max="13" width="29.75" hidden="1" customWidth="1"/>
    <col min="14" max="14" width="10" style="474" customWidth="1"/>
    <col min="15" max="15" width="10.25" style="52" hidden="1" customWidth="1"/>
    <col min="16" max="16" width="13.375" style="44" customWidth="1"/>
    <col min="17" max="17" width="15.125" style="44" customWidth="1"/>
    <col min="18" max="18" width="13.875" bestFit="1" customWidth="1"/>
    <col min="19" max="19" width="12.5" style="377" customWidth="1"/>
    <col min="20" max="20" width="15.125" customWidth="1"/>
    <col min="21" max="21" width="13.375" customWidth="1"/>
    <col min="22" max="22" width="13.75" customWidth="1"/>
    <col min="23" max="23" width="11.75" customWidth="1"/>
    <col min="24" max="24" width="15.75" customWidth="1"/>
    <col min="26" max="26" width="15" customWidth="1"/>
  </cols>
  <sheetData>
    <row r="1" spans="1:26">
      <c r="A1" t="s">
        <v>162</v>
      </c>
    </row>
    <row r="2" spans="1:26" s="93" customFormat="1">
      <c r="A2" s="206" t="s">
        <v>234</v>
      </c>
      <c r="B2" s="206" t="s">
        <v>0</v>
      </c>
      <c r="C2" s="207" t="s">
        <v>8</v>
      </c>
      <c r="D2" s="207" t="s">
        <v>7</v>
      </c>
      <c r="E2" s="207" t="s">
        <v>171</v>
      </c>
      <c r="F2" s="535" t="s">
        <v>170</v>
      </c>
      <c r="G2" s="208" t="s">
        <v>11</v>
      </c>
      <c r="H2" s="206" t="s">
        <v>1</v>
      </c>
      <c r="I2" s="207" t="s">
        <v>2</v>
      </c>
      <c r="J2" s="206" t="s">
        <v>3</v>
      </c>
      <c r="K2" s="206" t="s">
        <v>4</v>
      </c>
      <c r="L2" s="209" t="s">
        <v>12</v>
      </c>
      <c r="M2" s="207" t="s">
        <v>5</v>
      </c>
      <c r="N2" s="482" t="s">
        <v>18</v>
      </c>
      <c r="O2" s="210" t="s">
        <v>10</v>
      </c>
      <c r="P2" s="209" t="s">
        <v>210</v>
      </c>
      <c r="Q2" s="207" t="s">
        <v>216</v>
      </c>
      <c r="R2" s="260" t="s">
        <v>212</v>
      </c>
      <c r="S2" s="377"/>
      <c r="Z2" s="131" t="s">
        <v>21</v>
      </c>
    </row>
    <row r="3" spans="1:26" s="102" customFormat="1">
      <c r="A3" s="87" t="s">
        <v>288</v>
      </c>
      <c r="B3" s="120"/>
      <c r="C3" s="121"/>
      <c r="D3" s="122">
        <v>41711</v>
      </c>
      <c r="E3" s="122"/>
      <c r="F3" s="536"/>
      <c r="G3" s="88">
        <v>0</v>
      </c>
      <c r="H3" s="87"/>
      <c r="I3" s="122">
        <v>45337</v>
      </c>
      <c r="J3" s="123">
        <v>8.1579999999999995</v>
      </c>
      <c r="K3" s="123">
        <v>4.1036999999999999</v>
      </c>
      <c r="L3" s="550">
        <v>0</v>
      </c>
      <c r="M3" s="123"/>
      <c r="N3" s="475" t="s">
        <v>289</v>
      </c>
      <c r="O3" s="87"/>
      <c r="P3" s="396">
        <v>99.859375</v>
      </c>
      <c r="Q3" s="129">
        <v>100.859375</v>
      </c>
      <c r="R3" s="104">
        <f t="shared" ref="R3:R8" si="0">(Q3-P3)*G3/100</f>
        <v>0</v>
      </c>
      <c r="S3" s="382"/>
      <c r="T3" s="93"/>
      <c r="U3" s="93"/>
      <c r="V3" s="93"/>
      <c r="W3" s="93"/>
      <c r="X3" s="93"/>
      <c r="Z3" s="103"/>
    </row>
    <row r="4" spans="1:26" s="102" customFormat="1">
      <c r="A4" s="87" t="s">
        <v>157</v>
      </c>
      <c r="B4" s="120"/>
      <c r="C4" s="121"/>
      <c r="D4" s="122">
        <v>38853</v>
      </c>
      <c r="E4" s="122"/>
      <c r="F4" s="536"/>
      <c r="G4" s="88">
        <v>0</v>
      </c>
      <c r="H4" s="87"/>
      <c r="I4" s="122">
        <v>42505</v>
      </c>
      <c r="J4" s="123">
        <v>8.1579999999999995</v>
      </c>
      <c r="K4" s="123">
        <v>4.1036999999999999</v>
      </c>
      <c r="L4" s="550">
        <v>0</v>
      </c>
      <c r="M4" s="123"/>
      <c r="N4" s="475" t="s">
        <v>23</v>
      </c>
      <c r="O4" s="87"/>
      <c r="P4" s="129">
        <v>95.90234375</v>
      </c>
      <c r="Q4" s="129">
        <v>0</v>
      </c>
      <c r="R4" s="104">
        <f t="shared" si="0"/>
        <v>0</v>
      </c>
      <c r="S4" s="382"/>
      <c r="T4" s="93"/>
      <c r="U4" s="93"/>
      <c r="V4" s="93"/>
      <c r="W4" s="93"/>
      <c r="X4" s="93"/>
      <c r="Z4" s="103"/>
    </row>
    <row r="5" spans="1:26" s="102" customFormat="1">
      <c r="A5" s="262" t="s">
        <v>158</v>
      </c>
      <c r="B5" s="271" t="s">
        <v>137</v>
      </c>
      <c r="C5" s="264"/>
      <c r="D5" s="265">
        <v>38839</v>
      </c>
      <c r="E5" s="265"/>
      <c r="F5" s="537"/>
      <c r="G5" s="266">
        <v>0</v>
      </c>
      <c r="H5" s="262"/>
      <c r="I5" s="265">
        <v>39568</v>
      </c>
      <c r="J5" s="267">
        <v>8.1579999999999995</v>
      </c>
      <c r="K5" s="267">
        <v>4.1036999999999999</v>
      </c>
      <c r="L5" s="551">
        <v>0</v>
      </c>
      <c r="M5" s="267"/>
      <c r="N5" s="476"/>
      <c r="O5" s="262"/>
      <c r="P5" s="268">
        <v>99.875</v>
      </c>
      <c r="Q5" s="268">
        <v>0</v>
      </c>
      <c r="R5" s="269">
        <f t="shared" si="0"/>
        <v>0</v>
      </c>
      <c r="S5" s="382"/>
      <c r="T5" s="93"/>
      <c r="U5" s="93"/>
      <c r="V5" s="93"/>
      <c r="W5" s="93"/>
      <c r="X5" s="93"/>
      <c r="Z5" s="103"/>
    </row>
    <row r="6" spans="1:26" s="102" customFormat="1">
      <c r="A6" s="262" t="s">
        <v>159</v>
      </c>
      <c r="B6" s="263"/>
      <c r="C6" s="264"/>
      <c r="D6" s="265">
        <v>38839</v>
      </c>
      <c r="E6" s="265"/>
      <c r="F6" s="537"/>
      <c r="G6" s="266">
        <v>0</v>
      </c>
      <c r="H6" s="262"/>
      <c r="I6" s="265">
        <v>39568</v>
      </c>
      <c r="J6" s="267">
        <v>8.1579999999999995</v>
      </c>
      <c r="K6" s="267">
        <v>4.1036999999999999</v>
      </c>
      <c r="L6" s="551">
        <v>0</v>
      </c>
      <c r="M6" s="267"/>
      <c r="N6" s="476" t="s">
        <v>21</v>
      </c>
      <c r="O6" s="262"/>
      <c r="P6" s="268">
        <v>99.875</v>
      </c>
      <c r="Q6" s="268">
        <v>0</v>
      </c>
      <c r="R6" s="269">
        <f t="shared" si="0"/>
        <v>0</v>
      </c>
      <c r="S6" s="382"/>
      <c r="T6" s="93"/>
      <c r="U6" s="93"/>
      <c r="V6" s="93"/>
      <c r="W6" s="93"/>
      <c r="X6" s="93"/>
      <c r="Z6" s="103"/>
    </row>
    <row r="7" spans="1:26" s="116" customFormat="1">
      <c r="A7" s="110" t="s">
        <v>160</v>
      </c>
      <c r="B7" s="111"/>
      <c r="C7" s="112"/>
      <c r="D7" s="113">
        <v>38839</v>
      </c>
      <c r="E7" s="113"/>
      <c r="F7" s="538"/>
      <c r="G7" s="114">
        <v>0</v>
      </c>
      <c r="H7" s="110"/>
      <c r="I7" s="113">
        <v>39568</v>
      </c>
      <c r="J7" s="115">
        <v>8.1579999999999995</v>
      </c>
      <c r="K7" s="115">
        <v>4.1036999999999999</v>
      </c>
      <c r="L7" s="552">
        <v>0</v>
      </c>
      <c r="M7" s="115"/>
      <c r="N7" s="477" t="s">
        <v>23</v>
      </c>
      <c r="O7" s="110"/>
      <c r="P7" s="319">
        <v>99.875</v>
      </c>
      <c r="Q7" s="319">
        <v>0</v>
      </c>
      <c r="R7" s="261">
        <f t="shared" si="0"/>
        <v>0</v>
      </c>
      <c r="S7" s="382"/>
      <c r="Z7" s="320"/>
    </row>
    <row r="8" spans="1:26" s="116" customFormat="1">
      <c r="A8" s="110" t="s">
        <v>160</v>
      </c>
      <c r="B8" s="111" t="s">
        <v>161</v>
      </c>
      <c r="C8" s="112"/>
      <c r="D8" s="113">
        <v>38839</v>
      </c>
      <c r="E8" s="113"/>
      <c r="F8" s="538"/>
      <c r="G8" s="114">
        <v>0</v>
      </c>
      <c r="H8" s="110"/>
      <c r="I8" s="113">
        <v>42019</v>
      </c>
      <c r="J8" s="110">
        <v>7.95</v>
      </c>
      <c r="K8" s="110">
        <v>4.5</v>
      </c>
      <c r="L8" s="552">
        <v>0</v>
      </c>
      <c r="M8" s="115"/>
      <c r="N8" s="478" t="s">
        <v>23</v>
      </c>
      <c r="O8" s="101">
        <v>99.917000000000002</v>
      </c>
      <c r="P8" s="319">
        <v>99.875</v>
      </c>
      <c r="Q8" s="319">
        <v>0</v>
      </c>
      <c r="R8" s="261">
        <f t="shared" si="0"/>
        <v>0</v>
      </c>
      <c r="S8" s="382"/>
      <c r="Z8" s="117"/>
    </row>
    <row r="9" spans="1:26" s="116" customFormat="1">
      <c r="A9" s="111" t="s">
        <v>166</v>
      </c>
      <c r="B9" s="111"/>
      <c r="C9" s="112"/>
      <c r="D9" s="313"/>
      <c r="E9" s="313"/>
      <c r="F9" s="539"/>
      <c r="G9" s="314">
        <f>SUM(G3:G8)</f>
        <v>0</v>
      </c>
      <c r="H9" s="315"/>
      <c r="I9" s="313"/>
      <c r="J9" s="111"/>
      <c r="K9" s="111"/>
      <c r="L9" s="316">
        <f>SUM(L3:L8)</f>
        <v>0</v>
      </c>
      <c r="M9" s="317"/>
      <c r="N9" s="479"/>
      <c r="O9" s="318"/>
      <c r="P9" s="323"/>
      <c r="Q9" s="318"/>
      <c r="R9" s="316">
        <f>SUM(R3:R8)</f>
        <v>0</v>
      </c>
      <c r="S9" s="383"/>
      <c r="Z9" s="117"/>
    </row>
    <row r="10" spans="1:26" s="93" customFormat="1">
      <c r="A10" s="93" t="s">
        <v>163</v>
      </c>
      <c r="C10" s="97"/>
      <c r="D10" s="97"/>
      <c r="E10" s="97"/>
      <c r="F10" s="540"/>
      <c r="G10" s="100"/>
      <c r="I10" s="97"/>
      <c r="N10" s="480"/>
      <c r="O10" s="98"/>
      <c r="P10" s="99"/>
      <c r="Q10" s="99"/>
      <c r="S10" s="377"/>
    </row>
    <row r="11" spans="1:26" s="93" customFormat="1">
      <c r="A11" s="206" t="s">
        <v>234</v>
      </c>
      <c r="B11" s="206" t="s">
        <v>0</v>
      </c>
      <c r="C11" s="207" t="s">
        <v>8</v>
      </c>
      <c r="D11" s="207" t="s">
        <v>7</v>
      </c>
      <c r="E11" s="207" t="s">
        <v>171</v>
      </c>
      <c r="F11" s="535" t="s">
        <v>170</v>
      </c>
      <c r="G11" s="208" t="s">
        <v>11</v>
      </c>
      <c r="H11" s="206" t="s">
        <v>1</v>
      </c>
      <c r="I11" s="207" t="s">
        <v>2</v>
      </c>
      <c r="J11" s="206" t="s">
        <v>3</v>
      </c>
      <c r="K11" s="206" t="s">
        <v>4</v>
      </c>
      <c r="L11" s="209" t="s">
        <v>12</v>
      </c>
      <c r="M11" s="207" t="s">
        <v>5</v>
      </c>
      <c r="N11" s="482" t="s">
        <v>18</v>
      </c>
      <c r="O11" s="210" t="s">
        <v>10</v>
      </c>
      <c r="P11" s="209" t="s">
        <v>210</v>
      </c>
      <c r="Q11" s="207" t="s">
        <v>216</v>
      </c>
      <c r="R11" s="260" t="s">
        <v>212</v>
      </c>
      <c r="S11" s="377"/>
      <c r="Z11" s="131" t="s">
        <v>21</v>
      </c>
    </row>
    <row r="12" spans="1:26" s="102" customFormat="1">
      <c r="A12" s="87" t="s">
        <v>154</v>
      </c>
      <c r="B12" s="120"/>
      <c r="C12" s="121"/>
      <c r="D12" s="122">
        <v>38898</v>
      </c>
      <c r="E12" s="122"/>
      <c r="F12" s="536"/>
      <c r="G12" s="88">
        <v>0</v>
      </c>
      <c r="H12" s="87"/>
      <c r="I12" s="122">
        <v>42505</v>
      </c>
      <c r="J12" s="123">
        <v>8.1579999999999995</v>
      </c>
      <c r="K12" s="123">
        <v>4.1036999999999999</v>
      </c>
      <c r="L12" s="124">
        <v>0</v>
      </c>
      <c r="M12" s="123"/>
      <c r="N12" s="475" t="s">
        <v>23</v>
      </c>
      <c r="O12" s="87"/>
      <c r="P12" s="129">
        <v>99.46875</v>
      </c>
      <c r="Q12" s="129">
        <v>0</v>
      </c>
      <c r="R12" s="104">
        <f t="shared" ref="R12:R17" si="1">(Q12-P12)*G12/100</f>
        <v>0</v>
      </c>
      <c r="S12" s="378"/>
      <c r="T12" s="93"/>
      <c r="U12" s="93"/>
      <c r="V12" s="93"/>
      <c r="W12" s="93"/>
      <c r="X12" s="93"/>
      <c r="Z12" s="103"/>
    </row>
    <row r="13" spans="1:26" s="102" customFormat="1">
      <c r="A13" s="87" t="s">
        <v>154</v>
      </c>
      <c r="B13" s="120"/>
      <c r="C13" s="121"/>
      <c r="D13" s="122">
        <v>38853</v>
      </c>
      <c r="E13" s="122"/>
      <c r="F13" s="536"/>
      <c r="G13" s="88">
        <v>0</v>
      </c>
      <c r="H13" s="87"/>
      <c r="I13" s="122">
        <v>42505</v>
      </c>
      <c r="J13" s="123">
        <v>8.1579999999999995</v>
      </c>
      <c r="K13" s="123">
        <v>4.1036999999999999</v>
      </c>
      <c r="L13" s="124">
        <v>0</v>
      </c>
      <c r="M13" s="123"/>
      <c r="N13" s="475" t="s">
        <v>23</v>
      </c>
      <c r="O13" s="87"/>
      <c r="P13" s="129">
        <v>95.90234375</v>
      </c>
      <c r="Q13" s="129">
        <v>0</v>
      </c>
      <c r="R13" s="104">
        <f t="shared" si="1"/>
        <v>0</v>
      </c>
      <c r="S13" s="378"/>
      <c r="T13" s="93"/>
      <c r="U13" s="93"/>
      <c r="V13" s="93"/>
      <c r="W13" s="93"/>
      <c r="X13" s="93"/>
      <c r="Z13" s="103"/>
    </row>
    <row r="14" spans="1:26" s="102" customFormat="1">
      <c r="A14" s="262" t="s">
        <v>156</v>
      </c>
      <c r="B14" s="271" t="s">
        <v>137</v>
      </c>
      <c r="C14" s="264"/>
      <c r="D14" s="265">
        <v>38839</v>
      </c>
      <c r="E14" s="265"/>
      <c r="F14" s="537"/>
      <c r="G14" s="266">
        <v>0</v>
      </c>
      <c r="H14" s="262"/>
      <c r="I14" s="265">
        <v>39568</v>
      </c>
      <c r="J14" s="267">
        <v>8.1579999999999995</v>
      </c>
      <c r="K14" s="267">
        <v>4.1036999999999999</v>
      </c>
      <c r="L14" s="151">
        <v>0</v>
      </c>
      <c r="M14" s="267"/>
      <c r="N14" s="476"/>
      <c r="O14" s="262"/>
      <c r="P14" s="268">
        <v>99.875</v>
      </c>
      <c r="Q14" s="268">
        <v>0</v>
      </c>
      <c r="R14" s="269">
        <f t="shared" si="1"/>
        <v>0</v>
      </c>
      <c r="S14" s="378"/>
      <c r="T14" s="93"/>
      <c r="U14" s="93"/>
      <c r="V14" s="93"/>
      <c r="W14" s="93"/>
      <c r="X14" s="93"/>
      <c r="Z14" s="103"/>
    </row>
    <row r="15" spans="1:26" s="102" customFormat="1">
      <c r="A15" s="262" t="s">
        <v>156</v>
      </c>
      <c r="B15" s="263"/>
      <c r="C15" s="264"/>
      <c r="D15" s="265">
        <v>38839</v>
      </c>
      <c r="E15" s="265"/>
      <c r="F15" s="537"/>
      <c r="G15" s="266">
        <v>0</v>
      </c>
      <c r="H15" s="262"/>
      <c r="I15" s="265">
        <v>39568</v>
      </c>
      <c r="J15" s="267">
        <v>8.1579999999999995</v>
      </c>
      <c r="K15" s="267">
        <v>4.1036999999999999</v>
      </c>
      <c r="L15" s="151">
        <v>0</v>
      </c>
      <c r="M15" s="267"/>
      <c r="N15" s="476" t="s">
        <v>21</v>
      </c>
      <c r="O15" s="262"/>
      <c r="P15" s="268">
        <v>99.875</v>
      </c>
      <c r="Q15" s="268">
        <v>0</v>
      </c>
      <c r="R15" s="269">
        <f t="shared" si="1"/>
        <v>0</v>
      </c>
      <c r="S15" s="378"/>
      <c r="T15" s="93"/>
      <c r="U15" s="93"/>
      <c r="V15" s="93"/>
      <c r="W15" s="93"/>
      <c r="X15" s="93"/>
      <c r="Z15" s="103"/>
    </row>
    <row r="16" spans="1:26" s="116" customFormat="1">
      <c r="A16" s="110" t="s">
        <v>155</v>
      </c>
      <c r="B16" s="111"/>
      <c r="C16" s="112"/>
      <c r="D16" s="113">
        <v>38839</v>
      </c>
      <c r="E16" s="113"/>
      <c r="F16" s="538"/>
      <c r="G16" s="114">
        <v>0</v>
      </c>
      <c r="H16" s="110"/>
      <c r="I16" s="113">
        <v>39568</v>
      </c>
      <c r="J16" s="115">
        <v>8.1579999999999995</v>
      </c>
      <c r="K16" s="115">
        <v>4.1036999999999999</v>
      </c>
      <c r="L16" s="118">
        <v>0</v>
      </c>
      <c r="M16" s="115"/>
      <c r="N16" s="477" t="s">
        <v>23</v>
      </c>
      <c r="O16" s="110"/>
      <c r="P16" s="319">
        <v>99.875</v>
      </c>
      <c r="Q16" s="319">
        <v>0</v>
      </c>
      <c r="R16" s="261">
        <f t="shared" si="1"/>
        <v>0</v>
      </c>
      <c r="S16" s="379"/>
      <c r="Z16" s="320"/>
    </row>
    <row r="17" spans="1:26" s="116" customFormat="1">
      <c r="A17" s="110" t="s">
        <v>155</v>
      </c>
      <c r="B17" s="111" t="s">
        <v>161</v>
      </c>
      <c r="C17" s="112"/>
      <c r="D17" s="113">
        <v>38839</v>
      </c>
      <c r="E17" s="113"/>
      <c r="F17" s="538"/>
      <c r="G17" s="114">
        <v>0</v>
      </c>
      <c r="H17" s="110"/>
      <c r="I17" s="113">
        <v>42019</v>
      </c>
      <c r="J17" s="110">
        <v>7.95</v>
      </c>
      <c r="K17" s="110">
        <v>4.5</v>
      </c>
      <c r="L17" s="118">
        <v>0</v>
      </c>
      <c r="M17" s="115"/>
      <c r="N17" s="478" t="s">
        <v>23</v>
      </c>
      <c r="O17" s="101">
        <v>99.917000000000002</v>
      </c>
      <c r="P17" s="319">
        <v>99.875</v>
      </c>
      <c r="Q17" s="319">
        <v>0</v>
      </c>
      <c r="R17" s="261">
        <f t="shared" si="1"/>
        <v>0</v>
      </c>
      <c r="S17" s="380"/>
      <c r="Z17" s="117"/>
    </row>
    <row r="18" spans="1:26" s="532" customFormat="1" ht="17.25" thickBot="1">
      <c r="A18" s="361" t="s">
        <v>166</v>
      </c>
      <c r="B18" s="361"/>
      <c r="C18" s="362"/>
      <c r="D18" s="363"/>
      <c r="E18" s="363"/>
      <c r="F18" s="541"/>
      <c r="G18" s="364">
        <f>SUM(G12:G17)</f>
        <v>0</v>
      </c>
      <c r="H18" s="361"/>
      <c r="I18" s="363"/>
      <c r="J18" s="361"/>
      <c r="K18" s="361"/>
      <c r="L18" s="365">
        <f>SUM(L12:L17)</f>
        <v>0</v>
      </c>
      <c r="M18" s="362"/>
      <c r="N18" s="481"/>
      <c r="O18" s="366"/>
      <c r="P18" s="367"/>
      <c r="Q18" s="366"/>
      <c r="R18" s="365">
        <f>SUM(R12:R17)</f>
        <v>0</v>
      </c>
      <c r="S18" s="531"/>
      <c r="Z18" s="533"/>
    </row>
    <row r="19" spans="1:26" s="116" customFormat="1" ht="17.25" thickTop="1">
      <c r="A19" s="324" t="s">
        <v>164</v>
      </c>
      <c r="B19" s="111"/>
      <c r="C19" s="112"/>
      <c r="D19" s="313"/>
      <c r="E19" s="313"/>
      <c r="F19" s="539"/>
      <c r="G19" s="314"/>
      <c r="H19" s="315"/>
      <c r="I19" s="313"/>
      <c r="J19" s="111"/>
      <c r="K19" s="111"/>
      <c r="L19" s="316"/>
      <c r="M19" s="317"/>
      <c r="N19" s="479"/>
      <c r="O19" s="318"/>
      <c r="P19" s="323"/>
      <c r="Q19" s="318"/>
      <c r="R19" s="316"/>
      <c r="S19" s="380"/>
      <c r="Z19" s="117"/>
    </row>
    <row r="20" spans="1:26" s="93" customFormat="1">
      <c r="A20" s="206" t="s">
        <v>99</v>
      </c>
      <c r="B20" s="206" t="s">
        <v>0</v>
      </c>
      <c r="C20" s="207" t="s">
        <v>8</v>
      </c>
      <c r="D20" s="207" t="s">
        <v>7</v>
      </c>
      <c r="E20" s="207" t="s">
        <v>171</v>
      </c>
      <c r="F20" s="535" t="s">
        <v>170</v>
      </c>
      <c r="G20" s="208" t="s">
        <v>11</v>
      </c>
      <c r="H20" s="206" t="s">
        <v>1</v>
      </c>
      <c r="I20" s="207" t="s">
        <v>2</v>
      </c>
      <c r="J20" s="206" t="s">
        <v>3</v>
      </c>
      <c r="K20" s="206" t="s">
        <v>4</v>
      </c>
      <c r="L20" s="209" t="s">
        <v>12</v>
      </c>
      <c r="M20" s="207" t="s">
        <v>5</v>
      </c>
      <c r="N20" s="482" t="s">
        <v>18</v>
      </c>
      <c r="O20" s="210" t="s">
        <v>10</v>
      </c>
      <c r="P20" s="209" t="s">
        <v>210</v>
      </c>
      <c r="Q20" s="207" t="s">
        <v>216</v>
      </c>
      <c r="R20" s="260" t="s">
        <v>212</v>
      </c>
      <c r="S20" s="377"/>
      <c r="T20"/>
      <c r="U20"/>
      <c r="V20"/>
      <c r="W20"/>
      <c r="X20"/>
      <c r="Z20" s="131" t="s">
        <v>21</v>
      </c>
    </row>
    <row r="21" spans="1:26" s="93" customFormat="1">
      <c r="A21" s="325" t="s">
        <v>259</v>
      </c>
      <c r="B21" s="326"/>
      <c r="C21" s="327"/>
      <c r="D21" s="328">
        <v>40763</v>
      </c>
      <c r="E21" s="328"/>
      <c r="F21" s="542"/>
      <c r="G21" s="330">
        <v>0</v>
      </c>
      <c r="H21" s="325"/>
      <c r="I21" s="331" t="s">
        <v>78</v>
      </c>
      <c r="J21" s="325"/>
      <c r="K21" s="325"/>
      <c r="L21" s="332">
        <v>0</v>
      </c>
      <c r="M21" s="333"/>
      <c r="N21" s="483"/>
      <c r="O21" s="334"/>
      <c r="P21" s="335">
        <v>109.34375</v>
      </c>
      <c r="Q21" s="335">
        <v>0</v>
      </c>
      <c r="R21" s="336">
        <f t="shared" ref="R21:R26" si="2">(Q21-P21)*G21/100</f>
        <v>0</v>
      </c>
      <c r="S21" s="377"/>
    </row>
    <row r="22" spans="1:26" s="93" customFormat="1">
      <c r="A22" s="325" t="s">
        <v>259</v>
      </c>
      <c r="B22" s="326"/>
      <c r="C22" s="327"/>
      <c r="D22" s="328">
        <v>40336</v>
      </c>
      <c r="E22" s="328"/>
      <c r="F22" s="542"/>
      <c r="G22" s="330">
        <v>0</v>
      </c>
      <c r="H22" s="325"/>
      <c r="I22" s="331" t="s">
        <v>78</v>
      </c>
      <c r="J22" s="325"/>
      <c r="K22" s="325"/>
      <c r="L22" s="332">
        <v>0</v>
      </c>
      <c r="M22" s="332">
        <f>-167*H22/1000000</f>
        <v>0</v>
      </c>
      <c r="N22" s="483"/>
      <c r="O22" s="334"/>
      <c r="P22" s="335">
        <v>109.109375</v>
      </c>
      <c r="Q22" s="335">
        <v>0</v>
      </c>
      <c r="R22" s="336">
        <f t="shared" si="2"/>
        <v>0</v>
      </c>
      <c r="S22" s="377"/>
    </row>
    <row r="23" spans="1:26" s="93" customFormat="1">
      <c r="A23" s="337" t="s">
        <v>165</v>
      </c>
      <c r="B23" s="338"/>
      <c r="C23" s="339"/>
      <c r="D23" s="340">
        <v>38725</v>
      </c>
      <c r="E23" s="341"/>
      <c r="F23" s="543"/>
      <c r="G23" s="342">
        <v>0</v>
      </c>
      <c r="H23" s="337"/>
      <c r="I23" s="343" t="s">
        <v>135</v>
      </c>
      <c r="J23" s="337"/>
      <c r="K23" s="337"/>
      <c r="L23" s="344">
        <v>0</v>
      </c>
      <c r="M23" s="345"/>
      <c r="N23" s="484" t="s">
        <v>23</v>
      </c>
      <c r="O23" s="346"/>
      <c r="P23" s="347">
        <v>105.234375</v>
      </c>
      <c r="Q23" s="347">
        <v>0</v>
      </c>
      <c r="R23" s="348">
        <f t="shared" si="2"/>
        <v>0</v>
      </c>
      <c r="S23" s="377"/>
    </row>
    <row r="24" spans="1:26" s="270" customFormat="1">
      <c r="A24" s="337" t="s">
        <v>165</v>
      </c>
      <c r="B24" s="338"/>
      <c r="C24" s="339"/>
      <c r="D24" s="340">
        <v>38954</v>
      </c>
      <c r="E24" s="341"/>
      <c r="F24" s="543"/>
      <c r="G24" s="342">
        <v>0</v>
      </c>
      <c r="H24" s="337"/>
      <c r="I24" s="343" t="s">
        <v>135</v>
      </c>
      <c r="J24" s="337"/>
      <c r="K24" s="337"/>
      <c r="L24" s="344">
        <v>0</v>
      </c>
      <c r="M24" s="345"/>
      <c r="N24" s="484"/>
      <c r="O24" s="346"/>
      <c r="P24" s="347">
        <v>104.875</v>
      </c>
      <c r="Q24" s="347">
        <v>0</v>
      </c>
      <c r="R24" s="348">
        <f t="shared" si="2"/>
        <v>0</v>
      </c>
      <c r="S24" s="381"/>
    </row>
    <row r="25" spans="1:26" s="270" customFormat="1">
      <c r="A25" s="285" t="s">
        <v>202</v>
      </c>
      <c r="B25" s="286"/>
      <c r="C25" s="287"/>
      <c r="D25" s="288">
        <v>40842</v>
      </c>
      <c r="E25" s="288"/>
      <c r="F25" s="544"/>
      <c r="G25" s="290">
        <v>0</v>
      </c>
      <c r="H25" s="285"/>
      <c r="I25" s="291" t="s">
        <v>135</v>
      </c>
      <c r="J25" s="285"/>
      <c r="K25" s="285"/>
      <c r="L25" s="292">
        <v>0</v>
      </c>
      <c r="M25" s="293"/>
      <c r="N25" s="485"/>
      <c r="O25" s="294"/>
      <c r="P25" s="295">
        <v>129</v>
      </c>
      <c r="Q25" s="295">
        <v>0</v>
      </c>
      <c r="R25" s="296">
        <f t="shared" si="2"/>
        <v>0</v>
      </c>
      <c r="S25" s="381"/>
    </row>
    <row r="26" spans="1:26" s="270" customFormat="1">
      <c r="A26" s="285" t="s">
        <v>200</v>
      </c>
      <c r="B26" s="286"/>
      <c r="C26" s="287"/>
      <c r="D26" s="288">
        <v>40820</v>
      </c>
      <c r="E26" s="288"/>
      <c r="F26" s="544"/>
      <c r="G26" s="290">
        <v>0</v>
      </c>
      <c r="H26" s="290">
        <f>100000*0</f>
        <v>0</v>
      </c>
      <c r="I26" s="291" t="s">
        <v>144</v>
      </c>
      <c r="J26" s="285"/>
      <c r="K26" s="285"/>
      <c r="L26" s="292">
        <v>0</v>
      </c>
      <c r="M26" s="293"/>
      <c r="N26" s="485"/>
      <c r="O26" s="294"/>
      <c r="P26" s="295">
        <v>130.625</v>
      </c>
      <c r="Q26" s="295">
        <v>0</v>
      </c>
      <c r="R26" s="296">
        <f t="shared" si="2"/>
        <v>0</v>
      </c>
      <c r="S26" s="381"/>
    </row>
    <row r="27" spans="1:26" s="270" customFormat="1">
      <c r="A27" s="349" t="s">
        <v>166</v>
      </c>
      <c r="B27" s="321"/>
      <c r="C27" s="322"/>
      <c r="D27" s="350"/>
      <c r="E27" s="351"/>
      <c r="F27" s="545"/>
      <c r="G27" s="352">
        <f>SUM(G21:G26)</f>
        <v>0</v>
      </c>
      <c r="H27" s="349"/>
      <c r="I27" s="353"/>
      <c r="J27" s="349"/>
      <c r="K27" s="349"/>
      <c r="L27" s="354">
        <f>SUM(L21:L26)</f>
        <v>0</v>
      </c>
      <c r="M27" s="355"/>
      <c r="N27" s="486"/>
      <c r="O27" s="284"/>
      <c r="P27" s="356"/>
      <c r="Q27" s="357"/>
      <c r="R27" s="358">
        <f>SUM(R21:R26)</f>
        <v>0</v>
      </c>
      <c r="S27" s="381"/>
    </row>
    <row r="28" spans="1:26" s="270" customFormat="1">
      <c r="A28" s="359" t="s">
        <v>169</v>
      </c>
      <c r="B28" s="111"/>
      <c r="C28" s="112"/>
      <c r="D28" s="113"/>
      <c r="E28" s="274"/>
      <c r="F28" s="538"/>
      <c r="G28" s="114"/>
      <c r="H28" s="110"/>
      <c r="I28" s="192"/>
      <c r="J28" s="110"/>
      <c r="K28" s="110"/>
      <c r="L28" s="118"/>
      <c r="M28" s="115"/>
      <c r="N28" s="478"/>
      <c r="O28" s="101"/>
      <c r="P28" s="125"/>
      <c r="Q28" s="360"/>
      <c r="R28" s="261"/>
      <c r="S28" s="381"/>
    </row>
    <row r="29" spans="1:26" s="93" customFormat="1">
      <c r="A29" s="206" t="s">
        <v>99</v>
      </c>
      <c r="B29" s="206" t="s">
        <v>0</v>
      </c>
      <c r="C29" s="207" t="s">
        <v>8</v>
      </c>
      <c r="D29" s="207" t="s">
        <v>7</v>
      </c>
      <c r="E29" s="207" t="s">
        <v>171</v>
      </c>
      <c r="F29" s="535" t="s">
        <v>170</v>
      </c>
      <c r="G29" s="208" t="s">
        <v>11</v>
      </c>
      <c r="H29" s="206" t="s">
        <v>1</v>
      </c>
      <c r="I29" s="207" t="s">
        <v>2</v>
      </c>
      <c r="J29" s="206" t="s">
        <v>3</v>
      </c>
      <c r="K29" s="206" t="s">
        <v>4</v>
      </c>
      <c r="L29" s="209" t="s">
        <v>12</v>
      </c>
      <c r="M29" s="207" t="s">
        <v>5</v>
      </c>
      <c r="N29" s="482" t="s">
        <v>18</v>
      </c>
      <c r="O29" s="210" t="s">
        <v>10</v>
      </c>
      <c r="P29" s="209" t="s">
        <v>210</v>
      </c>
      <c r="Q29" s="207" t="s">
        <v>216</v>
      </c>
      <c r="R29" s="260" t="s">
        <v>212</v>
      </c>
      <c r="S29" s="377"/>
      <c r="Z29" s="131" t="s">
        <v>21</v>
      </c>
    </row>
    <row r="30" spans="1:26" s="93" customFormat="1">
      <c r="A30" s="325" t="s">
        <v>201</v>
      </c>
      <c r="B30" s="326"/>
      <c r="C30" s="327"/>
      <c r="D30" s="328">
        <v>40830</v>
      </c>
      <c r="E30" s="329"/>
      <c r="F30" s="542"/>
      <c r="G30" s="330">
        <v>0</v>
      </c>
      <c r="H30" s="325"/>
      <c r="I30" s="331" t="s">
        <v>135</v>
      </c>
      <c r="J30" s="325"/>
      <c r="K30" s="325"/>
      <c r="L30" s="332">
        <v>0</v>
      </c>
      <c r="M30" s="333"/>
      <c r="N30" s="483"/>
      <c r="O30" s="334"/>
      <c r="P30" s="335">
        <v>134.1</v>
      </c>
      <c r="Q30" s="335">
        <v>0</v>
      </c>
      <c r="R30" s="336">
        <f t="shared" ref="R30:R35" si="3">(Q30-P30)*G30/100</f>
        <v>0</v>
      </c>
      <c r="S30" s="377"/>
    </row>
    <row r="31" spans="1:26" s="93" customFormat="1">
      <c r="A31" s="325" t="s">
        <v>203</v>
      </c>
      <c r="B31" s="326"/>
      <c r="C31" s="327"/>
      <c r="D31" s="328">
        <v>40835</v>
      </c>
      <c r="E31" s="329"/>
      <c r="F31" s="542"/>
      <c r="G31" s="330">
        <v>0</v>
      </c>
      <c r="H31" s="325"/>
      <c r="I31" s="331" t="s">
        <v>135</v>
      </c>
      <c r="J31" s="325"/>
      <c r="K31" s="325"/>
      <c r="L31" s="332">
        <v>0</v>
      </c>
      <c r="M31" s="333"/>
      <c r="N31" s="483"/>
      <c r="O31" s="334"/>
      <c r="P31" s="335">
        <v>135.12</v>
      </c>
      <c r="Q31" s="335">
        <v>0</v>
      </c>
      <c r="R31" s="336">
        <f t="shared" si="3"/>
        <v>0</v>
      </c>
      <c r="S31" s="377"/>
    </row>
    <row r="32" spans="1:26" s="93" customFormat="1">
      <c r="A32" s="337" t="s">
        <v>167</v>
      </c>
      <c r="B32" s="338"/>
      <c r="C32" s="339"/>
      <c r="D32" s="340">
        <v>39090</v>
      </c>
      <c r="E32" s="341"/>
      <c r="F32" s="543"/>
      <c r="G32" s="342">
        <v>0</v>
      </c>
      <c r="H32" s="337"/>
      <c r="I32" s="343" t="s">
        <v>135</v>
      </c>
      <c r="J32" s="337"/>
      <c r="K32" s="337"/>
      <c r="L32" s="344">
        <v>0</v>
      </c>
      <c r="M32" s="345"/>
      <c r="N32" s="484" t="s">
        <v>21</v>
      </c>
      <c r="O32" s="346"/>
      <c r="P32" s="347">
        <v>108.77</v>
      </c>
      <c r="Q32" s="347">
        <v>0</v>
      </c>
      <c r="R32" s="348">
        <f t="shared" si="3"/>
        <v>0</v>
      </c>
      <c r="S32" s="377"/>
    </row>
    <row r="33" spans="1:24" s="270" customFormat="1">
      <c r="A33" s="337" t="s">
        <v>167</v>
      </c>
      <c r="B33" s="338"/>
      <c r="C33" s="339"/>
      <c r="D33" s="340">
        <v>38954</v>
      </c>
      <c r="E33" s="341"/>
      <c r="F33" s="543"/>
      <c r="G33" s="342">
        <v>0</v>
      </c>
      <c r="H33" s="337"/>
      <c r="I33" s="343" t="s">
        <v>135</v>
      </c>
      <c r="J33" s="337"/>
      <c r="K33" s="337"/>
      <c r="L33" s="344">
        <v>0</v>
      </c>
      <c r="M33" s="345"/>
      <c r="N33" s="484"/>
      <c r="O33" s="346"/>
      <c r="P33" s="347">
        <v>109.88</v>
      </c>
      <c r="Q33" s="347">
        <v>0</v>
      </c>
      <c r="R33" s="348">
        <f t="shared" si="3"/>
        <v>0</v>
      </c>
      <c r="S33" s="381"/>
    </row>
    <row r="34" spans="1:24" s="270" customFormat="1">
      <c r="A34" s="285" t="s">
        <v>168</v>
      </c>
      <c r="B34" s="286"/>
      <c r="C34" s="287"/>
      <c r="D34" s="288">
        <v>39220</v>
      </c>
      <c r="E34" s="289" t="s">
        <v>21</v>
      </c>
      <c r="F34" s="544"/>
      <c r="G34" s="290">
        <v>0</v>
      </c>
      <c r="H34" s="285"/>
      <c r="I34" s="291" t="s">
        <v>135</v>
      </c>
      <c r="J34" s="285"/>
      <c r="K34" s="285"/>
      <c r="L34" s="292">
        <v>0</v>
      </c>
      <c r="M34" s="293"/>
      <c r="N34" s="485" t="s">
        <v>23</v>
      </c>
      <c r="O34" s="294"/>
      <c r="P34" s="295">
        <v>102.55500000000001</v>
      </c>
      <c r="Q34" s="295">
        <v>0</v>
      </c>
      <c r="R34" s="296">
        <f t="shared" si="3"/>
        <v>0</v>
      </c>
      <c r="S34" s="381"/>
    </row>
    <row r="35" spans="1:24" s="270" customFormat="1">
      <c r="A35" s="285" t="s">
        <v>168</v>
      </c>
      <c r="B35" s="286"/>
      <c r="C35" s="287"/>
      <c r="D35" s="288">
        <v>39224</v>
      </c>
      <c r="E35" s="289" t="s">
        <v>21</v>
      </c>
      <c r="F35" s="544"/>
      <c r="G35" s="290">
        <v>0</v>
      </c>
      <c r="H35" s="285"/>
      <c r="I35" s="291" t="s">
        <v>135</v>
      </c>
      <c r="J35" s="285"/>
      <c r="K35" s="285"/>
      <c r="L35" s="292">
        <v>0</v>
      </c>
      <c r="M35" s="293"/>
      <c r="N35" s="485"/>
      <c r="O35" s="294"/>
      <c r="P35" s="295">
        <v>102.89</v>
      </c>
      <c r="Q35" s="295">
        <v>0</v>
      </c>
      <c r="R35" s="296">
        <f t="shared" si="3"/>
        <v>0</v>
      </c>
      <c r="S35" s="381"/>
    </row>
    <row r="36" spans="1:24" s="270" customFormat="1">
      <c r="A36" s="349" t="s">
        <v>166</v>
      </c>
      <c r="B36" s="321"/>
      <c r="C36" s="322"/>
      <c r="D36" s="350"/>
      <c r="E36" s="351"/>
      <c r="F36" s="545"/>
      <c r="G36" s="352">
        <f>SUM(G30:G35)</f>
        <v>0</v>
      </c>
      <c r="H36" s="349"/>
      <c r="I36" s="353"/>
      <c r="J36" s="349"/>
      <c r="K36" s="349"/>
      <c r="L36" s="354">
        <f>SUM(L30:L35)</f>
        <v>0</v>
      </c>
      <c r="M36" s="355"/>
      <c r="N36" s="486"/>
      <c r="O36" s="284"/>
      <c r="P36" s="356"/>
      <c r="Q36" s="357"/>
      <c r="R36" s="358">
        <f>SUM(R30:R35)</f>
        <v>0</v>
      </c>
      <c r="S36" s="381"/>
    </row>
    <row r="37" spans="1:24" s="93" customFormat="1">
      <c r="A37" s="65"/>
      <c r="B37" s="65"/>
      <c r="C37" s="66"/>
      <c r="D37" s="108"/>
      <c r="E37" s="275"/>
      <c r="F37" s="546"/>
      <c r="G37" s="70"/>
      <c r="H37" s="65"/>
      <c r="I37" s="203"/>
      <c r="J37" s="65"/>
      <c r="K37" s="65"/>
      <c r="L37" s="105"/>
      <c r="M37" s="66"/>
      <c r="N37" s="487"/>
      <c r="O37" s="107"/>
      <c r="P37" s="204"/>
      <c r="Q37" s="205"/>
      <c r="R37" s="106"/>
      <c r="S37" s="377"/>
      <c r="T37"/>
      <c r="U37"/>
      <c r="V37"/>
      <c r="W37"/>
      <c r="X37"/>
    </row>
    <row r="38" spans="1:24">
      <c r="L38" s="14"/>
      <c r="M38" s="14"/>
      <c r="N38" s="488"/>
      <c r="O38" s="72"/>
    </row>
    <row r="39" spans="1:24">
      <c r="L39" s="14"/>
      <c r="M39" s="14"/>
      <c r="N39" s="488"/>
      <c r="O39" s="72"/>
    </row>
    <row r="40" spans="1:24">
      <c r="L40" s="14"/>
      <c r="M40" s="14"/>
      <c r="N40" s="488"/>
      <c r="O40" s="72"/>
    </row>
    <row r="41" spans="1:24">
      <c r="L41" s="14"/>
      <c r="M41" s="14"/>
      <c r="N41" s="488"/>
      <c r="O41" s="72"/>
    </row>
    <row r="42" spans="1:24">
      <c r="L42" s="14"/>
      <c r="M42" s="14"/>
      <c r="N42" s="488"/>
      <c r="O42" s="72"/>
    </row>
    <row r="43" spans="1:24">
      <c r="L43" s="14"/>
      <c r="M43" s="14"/>
      <c r="N43" s="488"/>
      <c r="O43" s="72"/>
    </row>
    <row r="44" spans="1:24">
      <c r="L44" s="14"/>
      <c r="M44" s="14"/>
      <c r="N44" s="488"/>
      <c r="O44" s="72"/>
    </row>
    <row r="45" spans="1:24">
      <c r="L45" s="14"/>
      <c r="M45" s="14"/>
      <c r="N45" s="488"/>
      <c r="O45" s="72"/>
    </row>
    <row r="46" spans="1:24">
      <c r="L46" s="14"/>
      <c r="M46" s="14"/>
      <c r="N46" s="488"/>
      <c r="O46" s="72"/>
    </row>
    <row r="47" spans="1:24">
      <c r="L47" s="14"/>
      <c r="M47" s="14"/>
      <c r="N47" s="488"/>
      <c r="O47" s="72"/>
    </row>
    <row r="48" spans="1:24">
      <c r="L48" s="14"/>
      <c r="M48" s="14"/>
      <c r="N48" s="488"/>
      <c r="O48" s="72"/>
    </row>
    <row r="49" spans="12:15">
      <c r="L49" s="14"/>
      <c r="M49" s="14"/>
      <c r="N49" s="488"/>
      <c r="O49" s="72"/>
    </row>
    <row r="50" spans="12:15">
      <c r="L50" s="14"/>
      <c r="M50" s="14"/>
      <c r="N50" s="488"/>
      <c r="O50" s="72"/>
    </row>
    <row r="51" spans="12:15">
      <c r="L51" s="14"/>
      <c r="M51" s="14"/>
      <c r="N51" s="488"/>
      <c r="O51" s="72"/>
    </row>
    <row r="52" spans="12:15">
      <c r="L52" s="14"/>
      <c r="M52" s="14"/>
      <c r="N52" s="488"/>
      <c r="O52" s="72"/>
    </row>
    <row r="53" spans="12:15">
      <c r="L53" s="14"/>
      <c r="M53" s="14"/>
      <c r="N53" s="488"/>
      <c r="O53" s="72"/>
    </row>
    <row r="54" spans="12:15">
      <c r="L54" s="14"/>
      <c r="M54" s="14"/>
      <c r="N54" s="488"/>
      <c r="O54" s="72"/>
    </row>
    <row r="55" spans="12:15">
      <c r="L55" s="14"/>
      <c r="M55" s="14"/>
      <c r="N55" s="488"/>
      <c r="O55" s="72"/>
    </row>
    <row r="56" spans="12:15">
      <c r="L56" s="14"/>
      <c r="M56" s="14"/>
      <c r="N56" s="488"/>
      <c r="O56" s="72"/>
    </row>
    <row r="57" spans="12:15">
      <c r="L57" s="14"/>
      <c r="M57" s="14"/>
      <c r="N57" s="488"/>
      <c r="O57" s="72"/>
    </row>
    <row r="58" spans="12:15">
      <c r="L58" s="14"/>
      <c r="M58" s="14"/>
      <c r="N58" s="488"/>
      <c r="O58" s="72"/>
    </row>
    <row r="59" spans="12:15">
      <c r="L59" s="14"/>
      <c r="M59" s="14"/>
      <c r="N59" s="488"/>
      <c r="O59" s="72"/>
    </row>
    <row r="60" spans="12:15">
      <c r="L60" s="14"/>
      <c r="M60" s="14"/>
      <c r="N60" s="488"/>
      <c r="O60" s="72"/>
    </row>
    <row r="61" spans="12:15">
      <c r="L61" s="14"/>
      <c r="M61" s="14"/>
      <c r="N61" s="488"/>
      <c r="O61" s="72"/>
    </row>
    <row r="62" spans="12:15">
      <c r="L62" s="14"/>
      <c r="M62" s="14"/>
      <c r="N62" s="488"/>
      <c r="O62" s="72"/>
    </row>
    <row r="63" spans="12:15">
      <c r="L63" s="14"/>
      <c r="M63" s="14"/>
      <c r="N63" s="488"/>
      <c r="O63" s="72"/>
    </row>
    <row r="64" spans="12:15">
      <c r="L64" s="14"/>
      <c r="M64" s="14"/>
      <c r="N64" s="489"/>
      <c r="O64" s="73"/>
    </row>
    <row r="65" spans="12:15">
      <c r="L65" s="14"/>
      <c r="M65" s="14"/>
      <c r="N65" s="489"/>
      <c r="O65" s="73"/>
    </row>
    <row r="66" spans="12:15">
      <c r="L66" s="14"/>
      <c r="M66" s="14"/>
      <c r="N66" s="489"/>
      <c r="O66" s="73"/>
    </row>
    <row r="67" spans="12:15">
      <c r="L67" s="14"/>
      <c r="M67" s="14"/>
      <c r="N67" s="489"/>
      <c r="O67" s="73"/>
    </row>
    <row r="68" spans="12:15">
      <c r="L68" s="14"/>
      <c r="M68" s="14"/>
      <c r="N68" s="489"/>
      <c r="O68" s="73"/>
    </row>
    <row r="69" spans="12:15">
      <c r="L69" s="14"/>
      <c r="M69" s="14"/>
      <c r="N69" s="489"/>
      <c r="O69" s="73"/>
    </row>
    <row r="70" spans="12:15">
      <c r="L70" s="14"/>
      <c r="M70" s="14"/>
      <c r="N70" s="489"/>
      <c r="O70" s="73"/>
    </row>
    <row r="71" spans="12:15">
      <c r="L71" s="14"/>
      <c r="M71" s="14"/>
      <c r="N71" s="489"/>
      <c r="O71" s="73"/>
    </row>
    <row r="72" spans="12:15">
      <c r="L72" s="14"/>
      <c r="M72" s="14"/>
      <c r="N72" s="489"/>
      <c r="O72" s="73"/>
    </row>
    <row r="73" spans="12:15">
      <c r="L73" s="14"/>
      <c r="M73" s="14"/>
      <c r="N73" s="489"/>
      <c r="O73" s="73"/>
    </row>
    <row r="74" spans="12:15">
      <c r="L74" s="14"/>
      <c r="M74" s="14"/>
      <c r="N74" s="489"/>
      <c r="O74" s="73"/>
    </row>
    <row r="75" spans="12:15">
      <c r="L75" s="14"/>
      <c r="M75" s="14"/>
      <c r="N75" s="489"/>
      <c r="O75" s="73"/>
    </row>
    <row r="76" spans="12:15">
      <c r="L76" s="14"/>
      <c r="M76" s="14"/>
      <c r="N76" s="489"/>
      <c r="O76" s="73"/>
    </row>
    <row r="77" spans="12:15">
      <c r="L77" s="14"/>
      <c r="M77" s="14"/>
      <c r="N77" s="489"/>
      <c r="O77" s="73"/>
    </row>
    <row r="78" spans="12:15">
      <c r="L78" s="14"/>
      <c r="M78" s="14"/>
      <c r="N78" s="489"/>
      <c r="O78" s="73"/>
    </row>
    <row r="79" spans="12:15">
      <c r="L79" s="14"/>
      <c r="M79" s="14"/>
      <c r="N79" s="489"/>
      <c r="O79" s="73"/>
    </row>
    <row r="80" spans="12:15">
      <c r="L80" s="14"/>
      <c r="M80" s="14"/>
      <c r="N80" s="489"/>
      <c r="O80" s="73"/>
    </row>
    <row r="81" spans="12:15">
      <c r="L81" s="14"/>
      <c r="M81" s="14"/>
      <c r="N81" s="489"/>
      <c r="O81" s="73"/>
    </row>
    <row r="82" spans="12:15">
      <c r="L82" s="14"/>
      <c r="M82" s="14"/>
      <c r="N82" s="489"/>
      <c r="O82" s="73"/>
    </row>
    <row r="83" spans="12:15">
      <c r="L83" s="14"/>
      <c r="M83" s="14"/>
      <c r="N83" s="489"/>
      <c r="O83" s="73"/>
    </row>
    <row r="84" spans="12:15">
      <c r="L84" s="14"/>
      <c r="M84" s="14"/>
      <c r="N84" s="489"/>
      <c r="O84" s="73"/>
    </row>
    <row r="85" spans="12:15">
      <c r="L85" s="14"/>
      <c r="M85" s="14"/>
      <c r="N85" s="489"/>
      <c r="O85" s="73"/>
    </row>
    <row r="86" spans="12:15">
      <c r="L86" s="14"/>
      <c r="M86" s="14"/>
      <c r="N86" s="489"/>
      <c r="O86" s="74"/>
    </row>
    <row r="87" spans="12:15">
      <c r="L87" s="14"/>
      <c r="M87" s="14"/>
      <c r="N87" s="489"/>
      <c r="O87" s="74"/>
    </row>
    <row r="88" spans="12:15">
      <c r="L88" s="14"/>
      <c r="M88" s="14"/>
      <c r="N88" s="489"/>
      <c r="O88" s="74"/>
    </row>
    <row r="89" spans="12:15">
      <c r="L89" s="14"/>
      <c r="M89" s="14"/>
      <c r="N89" s="489"/>
      <c r="O89" s="74"/>
    </row>
    <row r="90" spans="12:15">
      <c r="L90" s="14"/>
      <c r="M90" s="14"/>
      <c r="N90" s="489"/>
      <c r="O90" s="74"/>
    </row>
    <row r="91" spans="12:15">
      <c r="L91" s="14"/>
      <c r="M91" s="14"/>
      <c r="N91" s="489"/>
      <c r="O91" s="74"/>
    </row>
    <row r="92" spans="12:15">
      <c r="L92" s="14"/>
      <c r="M92" s="14"/>
      <c r="N92" s="489"/>
      <c r="O92" s="74"/>
    </row>
    <row r="93" spans="12:15">
      <c r="L93" s="14"/>
      <c r="M93" s="14"/>
      <c r="N93" s="489"/>
      <c r="O93" s="74"/>
    </row>
    <row r="94" spans="12:15">
      <c r="L94" s="14"/>
      <c r="M94" s="14"/>
      <c r="N94" s="489"/>
      <c r="O94" s="74"/>
    </row>
    <row r="95" spans="12:15">
      <c r="L95" s="14"/>
      <c r="M95" s="14"/>
      <c r="N95" s="489"/>
      <c r="O95" s="74"/>
    </row>
    <row r="96" spans="12:15">
      <c r="L96" s="14"/>
      <c r="M96" s="14"/>
      <c r="N96" s="489"/>
      <c r="O96" s="74"/>
    </row>
    <row r="97" spans="12:15">
      <c r="L97" s="14"/>
      <c r="M97" s="14"/>
      <c r="N97" s="489"/>
      <c r="O97" s="74"/>
    </row>
    <row r="98" spans="12:15">
      <c r="L98" s="14"/>
      <c r="M98" s="14"/>
      <c r="N98" s="489"/>
      <c r="O98" s="74"/>
    </row>
    <row r="99" spans="12:15">
      <c r="L99" s="14"/>
      <c r="M99" s="14"/>
      <c r="N99" s="489"/>
      <c r="O99" s="74"/>
    </row>
    <row r="100" spans="12:15">
      <c r="L100" s="14"/>
      <c r="M100" s="14"/>
      <c r="N100" s="489"/>
      <c r="O100" s="74"/>
    </row>
    <row r="101" spans="12:15">
      <c r="L101" s="14"/>
      <c r="M101" s="14"/>
      <c r="N101" s="489"/>
      <c r="O101" s="74"/>
    </row>
    <row r="102" spans="12:15">
      <c r="L102" s="14"/>
      <c r="M102" s="14"/>
      <c r="N102" s="489"/>
      <c r="O102" s="74"/>
    </row>
    <row r="103" spans="12:15">
      <c r="L103" s="14"/>
      <c r="M103" s="14"/>
      <c r="N103" s="489"/>
    </row>
    <row r="104" spans="12:15">
      <c r="L104" s="14"/>
      <c r="M104" s="14"/>
      <c r="N104" s="489"/>
    </row>
    <row r="105" spans="12:15">
      <c r="L105" s="14"/>
      <c r="M105" s="14"/>
      <c r="N105" s="489"/>
    </row>
    <row r="106" spans="12:15">
      <c r="L106" s="14"/>
      <c r="M106" s="14"/>
      <c r="N106" s="489"/>
    </row>
    <row r="107" spans="12:15">
      <c r="L107" s="14"/>
      <c r="M107" s="14"/>
      <c r="N107" s="489"/>
    </row>
    <row r="108" spans="12:15">
      <c r="L108" s="14"/>
      <c r="M108" s="14"/>
      <c r="N108" s="489"/>
    </row>
    <row r="109" spans="12:15">
      <c r="L109" s="14"/>
      <c r="M109" s="14"/>
      <c r="N109" s="489"/>
    </row>
    <row r="110" spans="12:15">
      <c r="L110" s="14"/>
      <c r="M110" s="14"/>
      <c r="N110" s="489"/>
    </row>
    <row r="111" spans="12:15">
      <c r="L111" s="14"/>
      <c r="M111" s="14"/>
      <c r="N111" s="489"/>
    </row>
    <row r="112" spans="12:15">
      <c r="L112" s="14"/>
      <c r="M112" s="14"/>
      <c r="N112" s="489"/>
    </row>
    <row r="113" spans="12:14">
      <c r="L113" s="14"/>
      <c r="M113" s="14"/>
      <c r="N113" s="489"/>
    </row>
    <row r="114" spans="12:14">
      <c r="L114" s="14"/>
      <c r="M114" s="14"/>
      <c r="N114" s="489"/>
    </row>
    <row r="115" spans="12:14">
      <c r="L115" s="14"/>
      <c r="M115" s="14"/>
      <c r="N115" s="489"/>
    </row>
    <row r="116" spans="12:14">
      <c r="L116" s="14"/>
      <c r="M116" s="14"/>
      <c r="N116" s="489"/>
    </row>
    <row r="117" spans="12:14">
      <c r="L117" s="14"/>
      <c r="M117" s="14"/>
      <c r="N117" s="489"/>
    </row>
    <row r="118" spans="12:14">
      <c r="L118" s="14"/>
      <c r="M118" s="14"/>
      <c r="N118" s="489"/>
    </row>
    <row r="119" spans="12:14">
      <c r="L119" s="14"/>
      <c r="M119" s="14"/>
      <c r="N119" s="489"/>
    </row>
    <row r="120" spans="12:14">
      <c r="L120" s="14"/>
      <c r="M120" s="14"/>
      <c r="N120" s="489"/>
    </row>
    <row r="121" spans="12:14">
      <c r="L121" s="14"/>
      <c r="M121" s="14"/>
      <c r="N121" s="489"/>
    </row>
    <row r="122" spans="12:14">
      <c r="L122" s="14"/>
      <c r="M122" s="14"/>
      <c r="N122" s="489"/>
    </row>
    <row r="123" spans="12:14">
      <c r="L123" s="14"/>
      <c r="M123" s="14"/>
      <c r="N123" s="489"/>
    </row>
    <row r="124" spans="12:14">
      <c r="L124" s="14"/>
      <c r="M124" s="14"/>
      <c r="N124" s="489"/>
    </row>
    <row r="125" spans="12:14">
      <c r="L125" s="14"/>
      <c r="M125" s="14"/>
      <c r="N125" s="489"/>
    </row>
    <row r="126" spans="12:14">
      <c r="L126" s="14"/>
      <c r="M126" s="14"/>
      <c r="N126" s="489"/>
    </row>
    <row r="127" spans="12:14">
      <c r="L127" s="14"/>
      <c r="M127" s="14"/>
      <c r="N127" s="489"/>
    </row>
    <row r="128" spans="12:14">
      <c r="L128" s="14"/>
      <c r="M128" s="14"/>
      <c r="N128" s="489"/>
    </row>
    <row r="129" spans="12:14">
      <c r="L129" s="14"/>
      <c r="M129" s="14"/>
      <c r="N129" s="489"/>
    </row>
    <row r="130" spans="12:14">
      <c r="L130" s="14"/>
      <c r="M130" s="14"/>
      <c r="N130" s="489"/>
    </row>
    <row r="131" spans="12:14">
      <c r="L131" s="14"/>
      <c r="M131" s="14"/>
      <c r="N131" s="489"/>
    </row>
    <row r="132" spans="12:14">
      <c r="L132" s="14"/>
      <c r="M132" s="14"/>
      <c r="N132" s="489"/>
    </row>
    <row r="133" spans="12:14">
      <c r="L133" s="14"/>
      <c r="M133" s="14"/>
      <c r="N133" s="489"/>
    </row>
    <row r="134" spans="12:14">
      <c r="L134" s="14"/>
      <c r="M134" s="14"/>
      <c r="N134" s="489"/>
    </row>
    <row r="135" spans="12:14">
      <c r="L135" s="14"/>
      <c r="M135" s="14"/>
      <c r="N135" s="489"/>
    </row>
    <row r="136" spans="12:14">
      <c r="L136" s="14"/>
      <c r="M136" s="14"/>
      <c r="N136" s="489"/>
    </row>
    <row r="137" spans="12:14">
      <c r="L137" s="14"/>
      <c r="M137" s="14"/>
      <c r="N137" s="489"/>
    </row>
    <row r="138" spans="12:14">
      <c r="L138" s="14"/>
      <c r="M138" s="14"/>
      <c r="N138" s="489"/>
    </row>
    <row r="139" spans="12:14">
      <c r="L139" s="14"/>
      <c r="M139" s="14"/>
      <c r="N139" s="489"/>
    </row>
    <row r="140" spans="12:14">
      <c r="L140" s="14"/>
      <c r="M140" s="14"/>
      <c r="N140" s="489"/>
    </row>
    <row r="141" spans="12:14">
      <c r="L141" s="14"/>
      <c r="M141" s="14"/>
      <c r="N141" s="489"/>
    </row>
    <row r="142" spans="12:14">
      <c r="L142" s="14"/>
      <c r="M142" s="14"/>
      <c r="N142" s="489"/>
    </row>
    <row r="143" spans="12:14">
      <c r="L143" s="14"/>
      <c r="M143" s="14"/>
      <c r="N143" s="489"/>
    </row>
    <row r="144" spans="12:14">
      <c r="L144" s="14"/>
      <c r="M144" s="14"/>
      <c r="N144" s="489"/>
    </row>
    <row r="145" spans="12:14">
      <c r="L145" s="14"/>
      <c r="M145" s="14"/>
      <c r="N145" s="489"/>
    </row>
    <row r="146" spans="12:14">
      <c r="L146" s="14"/>
      <c r="M146" s="14"/>
      <c r="N146" s="489"/>
    </row>
    <row r="147" spans="12:14">
      <c r="L147" s="14"/>
      <c r="M147" s="14"/>
      <c r="N147" s="489"/>
    </row>
    <row r="148" spans="12:14">
      <c r="L148" s="14"/>
      <c r="M148" s="14"/>
      <c r="N148" s="489"/>
    </row>
    <row r="149" spans="12:14">
      <c r="L149" s="14"/>
      <c r="M149" s="14"/>
      <c r="N149" s="489"/>
    </row>
    <row r="150" spans="12:14">
      <c r="L150" s="14"/>
      <c r="M150" s="14"/>
      <c r="N150" s="489"/>
    </row>
    <row r="151" spans="12:14">
      <c r="L151" s="14"/>
      <c r="M151" s="14"/>
      <c r="N151" s="489"/>
    </row>
    <row r="152" spans="12:14">
      <c r="L152" s="14"/>
      <c r="M152" s="14"/>
      <c r="N152" s="489"/>
    </row>
    <row r="153" spans="12:14">
      <c r="L153" s="14"/>
      <c r="M153" s="14"/>
      <c r="N153" s="489"/>
    </row>
    <row r="154" spans="12:14">
      <c r="L154" s="14"/>
      <c r="M154" s="14"/>
      <c r="N154" s="489"/>
    </row>
    <row r="155" spans="12:14">
      <c r="L155" s="14"/>
      <c r="M155" s="14"/>
      <c r="N155" s="489"/>
    </row>
    <row r="156" spans="12:14">
      <c r="L156" s="14"/>
      <c r="M156" s="14"/>
      <c r="N156" s="489"/>
    </row>
    <row r="157" spans="12:14">
      <c r="L157" s="14"/>
      <c r="M157" s="14"/>
      <c r="N157" s="489"/>
    </row>
    <row r="158" spans="12:14">
      <c r="L158" s="14"/>
      <c r="M158" s="14"/>
      <c r="N158" s="489"/>
    </row>
    <row r="159" spans="12:14">
      <c r="L159" s="14"/>
      <c r="M159" s="14"/>
      <c r="N159" s="489"/>
    </row>
    <row r="160" spans="12:14">
      <c r="L160" s="14"/>
      <c r="M160" s="14"/>
      <c r="N160" s="489"/>
    </row>
    <row r="161" spans="12:14">
      <c r="L161" s="14"/>
      <c r="M161" s="14"/>
      <c r="N161" s="489"/>
    </row>
    <row r="162" spans="12:14">
      <c r="L162" s="14"/>
      <c r="M162" s="14"/>
      <c r="N162" s="489"/>
    </row>
    <row r="163" spans="12:14">
      <c r="L163" s="14"/>
      <c r="M163" s="14"/>
      <c r="N163" s="489"/>
    </row>
    <row r="164" spans="12:14">
      <c r="L164" s="14"/>
      <c r="M164" s="14"/>
      <c r="N164" s="489"/>
    </row>
    <row r="165" spans="12:14">
      <c r="L165" s="14"/>
      <c r="M165" s="14"/>
      <c r="N165" s="489"/>
    </row>
    <row r="166" spans="12:14">
      <c r="L166" s="14"/>
      <c r="M166" s="14"/>
      <c r="N166" s="489"/>
    </row>
    <row r="167" spans="12:14">
      <c r="L167" s="14"/>
      <c r="M167" s="14"/>
      <c r="N167" s="489"/>
    </row>
    <row r="168" spans="12:14">
      <c r="L168" s="14"/>
      <c r="M168" s="14"/>
      <c r="N168" s="489"/>
    </row>
    <row r="169" spans="12:14">
      <c r="L169" s="14"/>
      <c r="M169" s="14"/>
      <c r="N169" s="489"/>
    </row>
    <row r="170" spans="12:14">
      <c r="L170" s="14"/>
      <c r="M170" s="14"/>
      <c r="N170" s="489"/>
    </row>
    <row r="171" spans="12:14">
      <c r="L171" s="14"/>
      <c r="M171" s="14"/>
      <c r="N171" s="489"/>
    </row>
    <row r="172" spans="12:14">
      <c r="L172" s="14"/>
      <c r="M172" s="14"/>
      <c r="N172" s="489"/>
    </row>
    <row r="173" spans="12:14">
      <c r="L173" s="14"/>
      <c r="M173" s="14"/>
      <c r="N173" s="489"/>
    </row>
    <row r="174" spans="12:14">
      <c r="L174" s="14"/>
      <c r="M174" s="14"/>
      <c r="N174" s="489"/>
    </row>
    <row r="175" spans="12:14">
      <c r="L175" s="14"/>
      <c r="M175" s="14"/>
      <c r="N175" s="489"/>
    </row>
    <row r="176" spans="12:14">
      <c r="L176" s="14"/>
      <c r="M176" s="14"/>
      <c r="N176" s="489"/>
    </row>
    <row r="177" spans="12:14">
      <c r="L177" s="14"/>
      <c r="M177" s="14"/>
      <c r="N177" s="489"/>
    </row>
    <row r="178" spans="12:14">
      <c r="L178" s="14"/>
      <c r="M178" s="14"/>
      <c r="N178" s="489"/>
    </row>
    <row r="179" spans="12:14">
      <c r="L179" s="14"/>
      <c r="M179" s="14"/>
      <c r="N179" s="489"/>
    </row>
    <row r="180" spans="12:14">
      <c r="L180" s="14"/>
      <c r="M180" s="14"/>
      <c r="N180" s="489"/>
    </row>
    <row r="181" spans="12:14">
      <c r="L181" s="14"/>
      <c r="M181" s="14"/>
      <c r="N181" s="489"/>
    </row>
    <row r="182" spans="12:14">
      <c r="L182" s="14"/>
      <c r="M182" s="14"/>
      <c r="N182" s="489"/>
    </row>
    <row r="183" spans="12:14">
      <c r="L183" s="14"/>
      <c r="M183" s="14"/>
      <c r="N183" s="489"/>
    </row>
    <row r="184" spans="12:14">
      <c r="L184" s="14"/>
      <c r="M184" s="14"/>
      <c r="N184" s="489"/>
    </row>
    <row r="185" spans="12:14">
      <c r="L185" s="14"/>
      <c r="M185" s="14"/>
      <c r="N185" s="489"/>
    </row>
    <row r="186" spans="12:14">
      <c r="L186" s="14"/>
      <c r="M186" s="14"/>
      <c r="N186" s="489"/>
    </row>
    <row r="187" spans="12:14">
      <c r="L187" s="14"/>
      <c r="M187" s="14"/>
      <c r="N187" s="489"/>
    </row>
    <row r="188" spans="12:14">
      <c r="L188" s="14"/>
      <c r="M188" s="14"/>
      <c r="N188" s="489"/>
    </row>
    <row r="189" spans="12:14">
      <c r="L189" s="14"/>
      <c r="M189" s="14"/>
      <c r="N189" s="489"/>
    </row>
    <row r="190" spans="12:14">
      <c r="L190" s="14"/>
      <c r="M190" s="14"/>
      <c r="N190" s="489"/>
    </row>
    <row r="191" spans="12:14">
      <c r="L191" s="14"/>
      <c r="M191" s="14"/>
      <c r="N191" s="489"/>
    </row>
    <row r="192" spans="12:14">
      <c r="L192" s="14"/>
      <c r="M192" s="14"/>
      <c r="N192" s="489"/>
    </row>
    <row r="193" spans="12:14">
      <c r="L193" s="14"/>
      <c r="M193" s="14"/>
      <c r="N193" s="489"/>
    </row>
    <row r="194" spans="12:14">
      <c r="L194" s="14"/>
      <c r="M194" s="14"/>
      <c r="N194" s="489"/>
    </row>
    <row r="195" spans="12:14">
      <c r="L195" s="14"/>
      <c r="M195" s="14"/>
      <c r="N195" s="489"/>
    </row>
    <row r="196" spans="12:14">
      <c r="L196" s="14"/>
      <c r="M196" s="14"/>
      <c r="N196" s="489"/>
    </row>
    <row r="197" spans="12:14">
      <c r="L197" s="14"/>
      <c r="M197" s="14"/>
      <c r="N197" s="489"/>
    </row>
    <row r="198" spans="12:14">
      <c r="L198" s="14"/>
      <c r="M198" s="14"/>
      <c r="N198" s="489"/>
    </row>
    <row r="199" spans="12:14">
      <c r="L199" s="14"/>
      <c r="M199" s="14"/>
      <c r="N199" s="489"/>
    </row>
    <row r="200" spans="12:14">
      <c r="L200" s="14"/>
      <c r="M200" s="14"/>
      <c r="N200" s="489"/>
    </row>
    <row r="201" spans="12:14">
      <c r="L201" s="14"/>
      <c r="M201" s="14"/>
      <c r="N201" s="489"/>
    </row>
    <row r="202" spans="12:14">
      <c r="L202" s="14"/>
      <c r="M202" s="14"/>
      <c r="N202" s="489"/>
    </row>
    <row r="203" spans="12:14">
      <c r="L203" s="14"/>
      <c r="M203" s="14"/>
      <c r="N203" s="489"/>
    </row>
    <row r="204" spans="12:14">
      <c r="L204" s="14"/>
      <c r="M204" s="14"/>
      <c r="N204" s="489"/>
    </row>
    <row r="205" spans="12:14">
      <c r="L205" s="14"/>
      <c r="M205" s="14"/>
      <c r="N205" s="489"/>
    </row>
    <row r="206" spans="12:14">
      <c r="L206" s="14"/>
      <c r="M206" s="14"/>
      <c r="N206" s="489"/>
    </row>
    <row r="207" spans="12:14">
      <c r="L207" s="14"/>
      <c r="M207" s="14"/>
      <c r="N207" s="489"/>
    </row>
    <row r="208" spans="12:14">
      <c r="L208" s="14"/>
      <c r="M208" s="14"/>
      <c r="N208" s="489"/>
    </row>
    <row r="209" spans="12:14">
      <c r="L209" s="14"/>
      <c r="M209" s="14"/>
      <c r="N209" s="489"/>
    </row>
    <row r="210" spans="12:14">
      <c r="L210" s="14"/>
      <c r="M210" s="14"/>
      <c r="N210" s="489"/>
    </row>
    <row r="211" spans="12:14">
      <c r="L211" s="14"/>
      <c r="M211" s="14"/>
      <c r="N211" s="489"/>
    </row>
    <row r="212" spans="12:14">
      <c r="L212" s="14"/>
      <c r="M212" s="14"/>
      <c r="N212" s="489"/>
    </row>
    <row r="213" spans="12:14">
      <c r="L213" s="14"/>
      <c r="M213" s="14"/>
      <c r="N213" s="489"/>
    </row>
    <row r="214" spans="12:14">
      <c r="L214" s="14"/>
      <c r="M214" s="14"/>
      <c r="N214" s="489"/>
    </row>
    <row r="215" spans="12:14">
      <c r="L215" s="14"/>
      <c r="M215" s="14"/>
      <c r="N215" s="489"/>
    </row>
    <row r="216" spans="12:14">
      <c r="L216" s="14"/>
      <c r="M216" s="14"/>
      <c r="N216" s="489"/>
    </row>
    <row r="217" spans="12:14">
      <c r="L217" s="14"/>
      <c r="M217" s="14"/>
      <c r="N217" s="489"/>
    </row>
    <row r="218" spans="12:14">
      <c r="L218" s="14"/>
      <c r="M218" s="14"/>
      <c r="N218" s="489"/>
    </row>
    <row r="219" spans="12:14">
      <c r="L219" s="14"/>
      <c r="M219" s="14"/>
      <c r="N219" s="489"/>
    </row>
    <row r="220" spans="12:14">
      <c r="L220" s="14"/>
      <c r="M220" s="14"/>
      <c r="N220" s="489"/>
    </row>
    <row r="221" spans="12:14">
      <c r="L221" s="14"/>
      <c r="M221" s="14"/>
      <c r="N221" s="489"/>
    </row>
    <row r="222" spans="12:14">
      <c r="L222" s="14"/>
      <c r="M222" s="14"/>
      <c r="N222" s="489"/>
    </row>
    <row r="223" spans="12:14">
      <c r="L223" s="14"/>
      <c r="M223" s="14"/>
      <c r="N223" s="489"/>
    </row>
    <row r="224" spans="12:14">
      <c r="L224" s="14"/>
      <c r="M224" s="14"/>
      <c r="N224" s="489"/>
    </row>
    <row r="225" spans="12:14">
      <c r="L225" s="14"/>
      <c r="M225" s="14"/>
      <c r="N225" s="489"/>
    </row>
    <row r="226" spans="12:14">
      <c r="L226" s="14"/>
      <c r="M226" s="14"/>
      <c r="N226" s="489"/>
    </row>
    <row r="227" spans="12:14">
      <c r="L227" s="14"/>
      <c r="M227" s="14"/>
      <c r="N227" s="489"/>
    </row>
    <row r="228" spans="12:14">
      <c r="L228" s="14"/>
      <c r="M228" s="14"/>
      <c r="N228" s="489"/>
    </row>
    <row r="229" spans="12:14">
      <c r="L229" s="14"/>
      <c r="M229" s="14"/>
      <c r="N229" s="489"/>
    </row>
    <row r="230" spans="12:14">
      <c r="L230" s="14"/>
      <c r="M230" s="14"/>
      <c r="N230" s="489"/>
    </row>
    <row r="231" spans="12:14">
      <c r="L231" s="14"/>
      <c r="M231" s="14"/>
      <c r="N231" s="489"/>
    </row>
    <row r="232" spans="12:14">
      <c r="L232" s="14"/>
      <c r="M232" s="14"/>
      <c r="N232" s="489"/>
    </row>
    <row r="233" spans="12:14">
      <c r="L233" s="14"/>
      <c r="M233" s="14"/>
      <c r="N233" s="489"/>
    </row>
    <row r="234" spans="12:14">
      <c r="L234" s="14"/>
      <c r="M234" s="14"/>
      <c r="N234" s="489"/>
    </row>
    <row r="235" spans="12:14">
      <c r="L235" s="14"/>
      <c r="M235" s="14"/>
      <c r="N235" s="489"/>
    </row>
    <row r="236" spans="12:14">
      <c r="L236" s="14"/>
      <c r="M236" s="14"/>
      <c r="N236" s="489"/>
    </row>
    <row r="237" spans="12:14">
      <c r="L237" s="14"/>
      <c r="M237" s="14"/>
      <c r="N237" s="489"/>
    </row>
    <row r="238" spans="12:14">
      <c r="L238" s="14"/>
      <c r="M238" s="14"/>
      <c r="N238" s="489"/>
    </row>
    <row r="239" spans="12:14">
      <c r="L239" s="14"/>
      <c r="M239" s="14"/>
      <c r="N239" s="489"/>
    </row>
    <row r="240" spans="12:14">
      <c r="L240" s="14"/>
      <c r="M240" s="14"/>
      <c r="N240" s="489"/>
    </row>
    <row r="241" spans="12:14">
      <c r="L241" s="14"/>
      <c r="M241" s="14"/>
      <c r="N241" s="489"/>
    </row>
    <row r="242" spans="12:14">
      <c r="L242" s="14"/>
      <c r="M242" s="14"/>
      <c r="N242" s="489"/>
    </row>
    <row r="243" spans="12:14">
      <c r="L243" s="14"/>
      <c r="M243" s="14"/>
      <c r="N243" s="489"/>
    </row>
    <row r="244" spans="12:14">
      <c r="L244" s="14"/>
      <c r="M244" s="14"/>
      <c r="N244" s="489"/>
    </row>
    <row r="245" spans="12:14">
      <c r="L245" s="14"/>
      <c r="M245" s="14"/>
      <c r="N245" s="489"/>
    </row>
    <row r="246" spans="12:14">
      <c r="L246" s="14"/>
      <c r="M246" s="14"/>
      <c r="N246" s="489"/>
    </row>
    <row r="247" spans="12:14">
      <c r="L247" s="14"/>
      <c r="M247" s="14"/>
      <c r="N247" s="489"/>
    </row>
    <row r="248" spans="12:14">
      <c r="L248" s="14"/>
      <c r="M248" s="14"/>
      <c r="N248" s="489"/>
    </row>
    <row r="249" spans="12:14">
      <c r="L249" s="14"/>
      <c r="M249" s="14"/>
      <c r="N249" s="489"/>
    </row>
    <row r="250" spans="12:14">
      <c r="L250" s="14"/>
      <c r="M250" s="14"/>
      <c r="N250" s="489"/>
    </row>
    <row r="251" spans="12:14">
      <c r="L251" s="14"/>
      <c r="M251" s="14"/>
      <c r="N251" s="489"/>
    </row>
    <row r="252" spans="12:14">
      <c r="L252" s="14"/>
      <c r="M252" s="14"/>
      <c r="N252" s="489"/>
    </row>
    <row r="253" spans="12:14">
      <c r="L253" s="14"/>
      <c r="M253" s="14"/>
      <c r="N253" s="489"/>
    </row>
    <row r="254" spans="12:14">
      <c r="L254" s="14"/>
      <c r="M254" s="14"/>
      <c r="N254" s="489"/>
    </row>
    <row r="255" spans="12:14">
      <c r="L255" s="14"/>
      <c r="M255" s="14"/>
      <c r="N255" s="489"/>
    </row>
    <row r="256" spans="12:14">
      <c r="L256" s="14"/>
      <c r="M256" s="14"/>
      <c r="N256" s="489"/>
    </row>
    <row r="257" spans="12:14">
      <c r="L257" s="14"/>
      <c r="M257" s="14"/>
      <c r="N257" s="489"/>
    </row>
    <row r="258" spans="12:14">
      <c r="L258" s="14"/>
      <c r="M258" s="14"/>
      <c r="N258" s="489"/>
    </row>
    <row r="259" spans="12:14">
      <c r="L259" s="14"/>
      <c r="M259" s="14"/>
      <c r="N259" s="489"/>
    </row>
    <row r="260" spans="12:14">
      <c r="L260" s="14"/>
      <c r="M260" s="14"/>
      <c r="N260" s="489"/>
    </row>
    <row r="261" spans="12:14">
      <c r="L261" s="14"/>
      <c r="M261" s="14"/>
      <c r="N261" s="489"/>
    </row>
    <row r="262" spans="12:14">
      <c r="L262" s="14"/>
      <c r="M262" s="14"/>
      <c r="N262" s="489"/>
    </row>
    <row r="263" spans="12:14">
      <c r="L263" s="14"/>
      <c r="M263" s="14"/>
      <c r="N263" s="489"/>
    </row>
    <row r="264" spans="12:14">
      <c r="L264" s="14"/>
      <c r="M264" s="14"/>
      <c r="N264" s="489"/>
    </row>
    <row r="265" spans="12:14">
      <c r="L265" s="14"/>
      <c r="M265" s="14"/>
      <c r="N265" s="489"/>
    </row>
    <row r="266" spans="12:14">
      <c r="L266" s="14"/>
      <c r="M266" s="14"/>
      <c r="N266" s="489"/>
    </row>
    <row r="267" spans="12:14">
      <c r="L267" s="14"/>
      <c r="M267" s="14"/>
      <c r="N267" s="489"/>
    </row>
    <row r="268" spans="12:14">
      <c r="L268" s="14"/>
      <c r="M268" s="14"/>
      <c r="N268" s="489"/>
    </row>
    <row r="269" spans="12:14">
      <c r="L269" s="14"/>
      <c r="M269" s="14"/>
      <c r="N269" s="489"/>
    </row>
    <row r="270" spans="12:14">
      <c r="L270" s="14"/>
      <c r="M270" s="14"/>
      <c r="N270" s="489"/>
    </row>
    <row r="271" spans="12:14">
      <c r="L271" s="14"/>
      <c r="M271" s="14"/>
      <c r="N271" s="489"/>
    </row>
    <row r="272" spans="12:14">
      <c r="L272" s="14"/>
      <c r="M272" s="14"/>
      <c r="N272" s="489"/>
    </row>
    <row r="273" spans="12:14">
      <c r="L273" s="14"/>
      <c r="M273" s="14"/>
      <c r="N273" s="489"/>
    </row>
    <row r="274" spans="12:14">
      <c r="L274" s="14"/>
      <c r="M274" s="14"/>
      <c r="N274" s="489"/>
    </row>
    <row r="275" spans="12:14">
      <c r="L275" s="14"/>
      <c r="M275" s="14"/>
      <c r="N275" s="489"/>
    </row>
    <row r="276" spans="12:14">
      <c r="L276" s="14"/>
      <c r="M276" s="14"/>
      <c r="N276" s="489"/>
    </row>
    <row r="277" spans="12:14">
      <c r="L277" s="14"/>
      <c r="M277" s="14"/>
      <c r="N277" s="489"/>
    </row>
    <row r="278" spans="12:14">
      <c r="L278" s="14"/>
      <c r="M278" s="14"/>
      <c r="N278" s="489"/>
    </row>
    <row r="279" spans="12:14">
      <c r="L279" s="14"/>
      <c r="M279" s="14"/>
      <c r="N279" s="489"/>
    </row>
    <row r="280" spans="12:14">
      <c r="L280" s="14"/>
      <c r="M280" s="14"/>
      <c r="N280" s="489"/>
    </row>
    <row r="281" spans="12:14">
      <c r="L281" s="14"/>
      <c r="M281" s="14"/>
      <c r="N281" s="489"/>
    </row>
    <row r="282" spans="12:14">
      <c r="L282" s="14"/>
      <c r="M282" s="14"/>
      <c r="N282" s="489"/>
    </row>
    <row r="283" spans="12:14">
      <c r="L283" s="14"/>
      <c r="M283" s="14"/>
      <c r="N283" s="489"/>
    </row>
    <row r="284" spans="12:14">
      <c r="L284" s="14"/>
      <c r="M284" s="14"/>
      <c r="N284" s="489"/>
    </row>
    <row r="285" spans="12:14">
      <c r="L285" s="14"/>
      <c r="M285" s="14"/>
      <c r="N285" s="489"/>
    </row>
    <row r="286" spans="12:14">
      <c r="L286" s="14"/>
      <c r="M286" s="14"/>
      <c r="N286" s="489"/>
    </row>
    <row r="287" spans="12:14">
      <c r="L287" s="14"/>
      <c r="M287" s="14"/>
      <c r="N287" s="489"/>
    </row>
    <row r="288" spans="12:14">
      <c r="L288" s="14"/>
      <c r="M288" s="14"/>
      <c r="N288" s="489"/>
    </row>
    <row r="289" spans="12:14">
      <c r="L289" s="14"/>
      <c r="M289" s="14"/>
      <c r="N289" s="489"/>
    </row>
    <row r="290" spans="12:14">
      <c r="L290" s="14"/>
      <c r="M290" s="14"/>
      <c r="N290" s="489"/>
    </row>
    <row r="291" spans="12:14">
      <c r="L291" s="14"/>
      <c r="M291" s="14"/>
      <c r="N291" s="489"/>
    </row>
    <row r="292" spans="12:14">
      <c r="L292" s="14"/>
      <c r="M292" s="14"/>
      <c r="N292" s="489"/>
    </row>
    <row r="293" spans="12:14">
      <c r="L293" s="14"/>
      <c r="M293" s="14"/>
      <c r="N293" s="489"/>
    </row>
    <row r="294" spans="12:14">
      <c r="L294" s="14"/>
      <c r="M294" s="14"/>
      <c r="N294" s="489"/>
    </row>
    <row r="295" spans="12:14">
      <c r="L295" s="14"/>
      <c r="M295" s="14"/>
      <c r="N295" s="489"/>
    </row>
    <row r="296" spans="12:14">
      <c r="L296" s="14"/>
      <c r="M296" s="14"/>
      <c r="N296" s="489"/>
    </row>
    <row r="297" spans="12:14">
      <c r="L297" s="14"/>
      <c r="M297" s="14"/>
      <c r="N297" s="489"/>
    </row>
    <row r="298" spans="12:14">
      <c r="L298" s="14"/>
      <c r="M298" s="14"/>
      <c r="N298" s="489"/>
    </row>
    <row r="299" spans="12:14">
      <c r="L299" s="14"/>
      <c r="M299" s="14"/>
      <c r="N299" s="489"/>
    </row>
    <row r="300" spans="12:14">
      <c r="L300" s="14"/>
      <c r="M300" s="14"/>
      <c r="N300" s="489"/>
    </row>
    <row r="301" spans="12:14">
      <c r="L301" s="14"/>
      <c r="M301" s="14"/>
      <c r="N301" s="489"/>
    </row>
    <row r="302" spans="12:14">
      <c r="L302" s="14"/>
      <c r="M302" s="14"/>
      <c r="N302" s="489"/>
    </row>
    <row r="303" spans="12:14">
      <c r="L303" s="14"/>
      <c r="M303" s="14"/>
      <c r="N303" s="489"/>
    </row>
    <row r="304" spans="12:14">
      <c r="L304" s="14"/>
      <c r="M304" s="14"/>
      <c r="N304" s="489"/>
    </row>
    <row r="305" spans="12:14">
      <c r="L305" s="14"/>
      <c r="M305" s="14"/>
      <c r="N305" s="489"/>
    </row>
    <row r="306" spans="12:14">
      <c r="L306" s="14"/>
      <c r="M306" s="14"/>
      <c r="N306" s="489"/>
    </row>
    <row r="307" spans="12:14">
      <c r="L307" s="14"/>
      <c r="M307" s="14"/>
      <c r="N307" s="489"/>
    </row>
    <row r="308" spans="12:14">
      <c r="L308" s="14"/>
      <c r="M308" s="14"/>
      <c r="N308" s="489"/>
    </row>
    <row r="309" spans="12:14">
      <c r="L309" s="14"/>
      <c r="M309" s="14"/>
      <c r="N309" s="489"/>
    </row>
    <row r="310" spans="12:14">
      <c r="L310" s="14"/>
      <c r="M310" s="14"/>
      <c r="N310" s="489"/>
    </row>
    <row r="311" spans="12:14">
      <c r="L311" s="14"/>
      <c r="M311" s="14"/>
      <c r="N311" s="489"/>
    </row>
    <row r="312" spans="12:14">
      <c r="L312" s="14"/>
      <c r="M312" s="14"/>
      <c r="N312" s="489"/>
    </row>
    <row r="313" spans="12:14">
      <c r="L313" s="14"/>
      <c r="M313" s="14"/>
      <c r="N313" s="489"/>
    </row>
    <row r="314" spans="12:14">
      <c r="L314" s="14"/>
      <c r="M314" s="14"/>
      <c r="N314" s="489"/>
    </row>
    <row r="315" spans="12:14">
      <c r="L315" s="14"/>
      <c r="M315" s="14"/>
      <c r="N315" s="489"/>
    </row>
    <row r="316" spans="12:14">
      <c r="L316" s="14"/>
      <c r="M316" s="14"/>
      <c r="N316" s="489"/>
    </row>
    <row r="317" spans="12:14">
      <c r="L317" s="14"/>
      <c r="M317" s="14"/>
      <c r="N317" s="489"/>
    </row>
    <row r="318" spans="12:14">
      <c r="L318" s="14"/>
      <c r="M318" s="14"/>
      <c r="N318" s="489"/>
    </row>
    <row r="319" spans="12:14">
      <c r="L319" s="14"/>
      <c r="M319" s="14"/>
      <c r="N319" s="489"/>
    </row>
    <row r="320" spans="12:14">
      <c r="L320" s="14"/>
      <c r="M320" s="14"/>
      <c r="N320" s="489"/>
    </row>
    <row r="321" spans="12:14">
      <c r="L321" s="14"/>
      <c r="M321" s="14"/>
      <c r="N321" s="489"/>
    </row>
    <row r="322" spans="12:14">
      <c r="L322" s="14"/>
      <c r="M322" s="14"/>
      <c r="N322" s="489"/>
    </row>
    <row r="323" spans="12:14">
      <c r="L323" s="14"/>
      <c r="M323" s="14"/>
      <c r="N323" s="489"/>
    </row>
    <row r="324" spans="12:14">
      <c r="L324" s="14"/>
      <c r="M324" s="14"/>
      <c r="N324" s="489"/>
    </row>
    <row r="325" spans="12:14">
      <c r="L325" s="14"/>
      <c r="M325" s="14"/>
      <c r="N325" s="489"/>
    </row>
    <row r="326" spans="12:14">
      <c r="L326" s="14"/>
      <c r="M326" s="14"/>
      <c r="N326" s="489"/>
    </row>
    <row r="327" spans="12:14">
      <c r="L327" s="14"/>
      <c r="M327" s="14"/>
      <c r="N327" s="489"/>
    </row>
    <row r="328" spans="12:14">
      <c r="L328" s="14"/>
      <c r="M328" s="14"/>
      <c r="N328" s="489"/>
    </row>
    <row r="329" spans="12:14">
      <c r="L329" s="14"/>
      <c r="M329" s="14"/>
      <c r="N329" s="489"/>
    </row>
    <row r="330" spans="12:14">
      <c r="L330" s="14"/>
      <c r="M330" s="14"/>
      <c r="N330" s="489"/>
    </row>
    <row r="331" spans="12:14">
      <c r="L331" s="14"/>
      <c r="M331" s="14"/>
      <c r="N331" s="489"/>
    </row>
    <row r="332" spans="12:14">
      <c r="L332" s="14"/>
      <c r="M332" s="14"/>
      <c r="N332" s="489"/>
    </row>
    <row r="333" spans="12:14">
      <c r="L333" s="14"/>
      <c r="M333" s="14"/>
      <c r="N333" s="489"/>
    </row>
    <row r="334" spans="12:14">
      <c r="L334" s="14"/>
      <c r="M334" s="14"/>
      <c r="N334" s="489"/>
    </row>
    <row r="335" spans="12:14">
      <c r="L335" s="14"/>
      <c r="M335" s="14"/>
      <c r="N335" s="489"/>
    </row>
    <row r="336" spans="12:14">
      <c r="L336" s="14"/>
      <c r="M336" s="14"/>
      <c r="N336" s="489"/>
    </row>
    <row r="337" spans="12:14">
      <c r="L337" s="14"/>
      <c r="M337" s="14"/>
      <c r="N337" s="489"/>
    </row>
    <row r="338" spans="12:14">
      <c r="L338" s="14"/>
      <c r="M338" s="14"/>
      <c r="N338" s="489"/>
    </row>
    <row r="339" spans="12:14">
      <c r="L339" s="14"/>
      <c r="M339" s="14"/>
      <c r="N339" s="489"/>
    </row>
    <row r="340" spans="12:14">
      <c r="L340" s="14"/>
      <c r="M340" s="14"/>
      <c r="N340" s="489"/>
    </row>
    <row r="341" spans="12:14">
      <c r="L341" s="14"/>
      <c r="M341" s="14"/>
      <c r="N341" s="489"/>
    </row>
    <row r="342" spans="12:14">
      <c r="L342" s="14"/>
      <c r="M342" s="14"/>
      <c r="N342" s="489"/>
    </row>
    <row r="343" spans="12:14">
      <c r="L343" s="14"/>
      <c r="M343" s="14"/>
      <c r="N343" s="489"/>
    </row>
    <row r="344" spans="12:14">
      <c r="L344" s="14"/>
      <c r="M344" s="14"/>
      <c r="N344" s="489"/>
    </row>
    <row r="345" spans="12:14">
      <c r="L345" s="14"/>
      <c r="M345" s="14"/>
      <c r="N345" s="489"/>
    </row>
    <row r="346" spans="12:14">
      <c r="L346" s="14"/>
      <c r="M346" s="14"/>
      <c r="N346" s="489"/>
    </row>
    <row r="347" spans="12:14">
      <c r="L347" s="14"/>
      <c r="M347" s="14"/>
      <c r="N347" s="489"/>
    </row>
    <row r="348" spans="12:14">
      <c r="L348" s="14"/>
      <c r="M348" s="14"/>
      <c r="N348" s="489"/>
    </row>
    <row r="349" spans="12:14">
      <c r="L349" s="14"/>
      <c r="M349" s="14"/>
      <c r="N349" s="489"/>
    </row>
    <row r="350" spans="12:14">
      <c r="L350" s="14"/>
      <c r="M350" s="14"/>
      <c r="N350" s="489"/>
    </row>
    <row r="351" spans="12:14">
      <c r="L351" s="14"/>
      <c r="M351" s="14"/>
      <c r="N351" s="489"/>
    </row>
    <row r="352" spans="12:14">
      <c r="L352" s="14"/>
      <c r="M352" s="14"/>
      <c r="N352" s="489"/>
    </row>
    <row r="353" spans="12:14">
      <c r="L353" s="14"/>
      <c r="M353" s="14"/>
      <c r="N353" s="489"/>
    </row>
    <row r="354" spans="12:14">
      <c r="L354" s="14"/>
      <c r="M354" s="14"/>
      <c r="N354" s="489"/>
    </row>
    <row r="355" spans="12:14">
      <c r="L355" s="14"/>
      <c r="M355" s="14"/>
      <c r="N355" s="489"/>
    </row>
    <row r="356" spans="12:14">
      <c r="L356" s="14"/>
      <c r="M356" s="14"/>
      <c r="N356" s="489"/>
    </row>
    <row r="357" spans="12:14">
      <c r="L357" s="14"/>
      <c r="M357" s="14"/>
      <c r="N357" s="489"/>
    </row>
    <row r="358" spans="12:14">
      <c r="L358" s="14"/>
      <c r="M358" s="14"/>
      <c r="N358" s="489"/>
    </row>
    <row r="359" spans="12:14">
      <c r="L359" s="14"/>
      <c r="M359" s="14"/>
      <c r="N359" s="489"/>
    </row>
    <row r="360" spans="12:14">
      <c r="L360" s="14"/>
      <c r="M360" s="14"/>
      <c r="N360" s="489"/>
    </row>
    <row r="361" spans="12:14">
      <c r="L361" s="14"/>
      <c r="M361" s="14"/>
      <c r="N361" s="489"/>
    </row>
    <row r="362" spans="12:14">
      <c r="L362" s="14"/>
      <c r="M362" s="14"/>
      <c r="N362" s="489"/>
    </row>
    <row r="363" spans="12:14">
      <c r="L363" s="14"/>
      <c r="M363" s="14"/>
      <c r="N363" s="489"/>
    </row>
    <row r="364" spans="12:14">
      <c r="L364" s="14"/>
      <c r="M364" s="14"/>
      <c r="N364" s="489"/>
    </row>
    <row r="365" spans="12:14">
      <c r="L365" s="14"/>
      <c r="M365" s="14"/>
      <c r="N365" s="489"/>
    </row>
    <row r="366" spans="12:14">
      <c r="L366" s="14"/>
      <c r="M366" s="14"/>
      <c r="N366" s="489"/>
    </row>
    <row r="367" spans="12:14">
      <c r="L367" s="14"/>
      <c r="M367" s="14"/>
      <c r="N367" s="489"/>
    </row>
    <row r="368" spans="12:14">
      <c r="L368" s="14"/>
      <c r="M368" s="14"/>
      <c r="N368" s="489"/>
    </row>
    <row r="369" spans="12:14">
      <c r="L369" s="14"/>
      <c r="M369" s="14"/>
      <c r="N369" s="489"/>
    </row>
    <row r="370" spans="12:14">
      <c r="L370" s="14"/>
      <c r="M370" s="14"/>
      <c r="N370" s="489"/>
    </row>
    <row r="371" spans="12:14">
      <c r="L371" s="14"/>
      <c r="M371" s="14"/>
      <c r="N371" s="489"/>
    </row>
    <row r="372" spans="12:14">
      <c r="L372" s="14"/>
      <c r="M372" s="14"/>
      <c r="N372" s="489"/>
    </row>
    <row r="373" spans="12:14">
      <c r="L373" s="14"/>
      <c r="M373" s="14"/>
      <c r="N373" s="489"/>
    </row>
    <row r="374" spans="12:14">
      <c r="L374" s="14"/>
      <c r="M374" s="14"/>
      <c r="N374" s="489"/>
    </row>
    <row r="375" spans="12:14">
      <c r="L375" s="14"/>
      <c r="M375" s="14"/>
      <c r="N375" s="489"/>
    </row>
    <row r="376" spans="12:14">
      <c r="L376" s="14"/>
      <c r="M376" s="14"/>
      <c r="N376" s="489"/>
    </row>
    <row r="377" spans="12:14">
      <c r="L377" s="14"/>
      <c r="M377" s="14"/>
      <c r="N377" s="489"/>
    </row>
    <row r="378" spans="12:14">
      <c r="L378" s="14"/>
      <c r="M378" s="14"/>
      <c r="N378" s="489"/>
    </row>
    <row r="379" spans="12:14">
      <c r="L379" s="14"/>
      <c r="M379" s="14"/>
      <c r="N379" s="489"/>
    </row>
    <row r="380" spans="12:14">
      <c r="L380" s="14"/>
      <c r="M380" s="14"/>
      <c r="N380" s="489"/>
    </row>
    <row r="381" spans="12:14">
      <c r="L381" s="14"/>
      <c r="M381" s="14"/>
      <c r="N381" s="489"/>
    </row>
    <row r="382" spans="12:14">
      <c r="L382" s="14"/>
      <c r="M382" s="14"/>
      <c r="N382" s="489"/>
    </row>
    <row r="383" spans="12:14">
      <c r="L383" s="14"/>
      <c r="M383" s="14"/>
      <c r="N383" s="489"/>
    </row>
    <row r="384" spans="12:14">
      <c r="L384" s="14"/>
      <c r="M384" s="14"/>
      <c r="N384" s="489"/>
    </row>
    <row r="385" spans="12:14">
      <c r="L385" s="14"/>
      <c r="M385" s="14"/>
      <c r="N385" s="489"/>
    </row>
    <row r="386" spans="12:14">
      <c r="L386" s="14"/>
      <c r="M386" s="14"/>
      <c r="N386" s="489"/>
    </row>
    <row r="387" spans="12:14">
      <c r="L387" s="14"/>
      <c r="M387" s="14"/>
      <c r="N387" s="489"/>
    </row>
    <row r="388" spans="12:14">
      <c r="L388" s="14"/>
      <c r="M388" s="14"/>
      <c r="N388" s="489"/>
    </row>
    <row r="389" spans="12:14">
      <c r="L389" s="14"/>
      <c r="M389" s="14"/>
      <c r="N389" s="489"/>
    </row>
    <row r="390" spans="12:14">
      <c r="L390" s="14"/>
      <c r="M390" s="14"/>
      <c r="N390" s="489"/>
    </row>
    <row r="391" spans="12:14">
      <c r="L391" s="14"/>
      <c r="M391" s="14"/>
      <c r="N391" s="489"/>
    </row>
    <row r="392" spans="12:14">
      <c r="L392" s="14"/>
      <c r="M392" s="14"/>
      <c r="N392" s="489"/>
    </row>
    <row r="393" spans="12:14">
      <c r="L393" s="14"/>
      <c r="M393" s="14"/>
      <c r="N393" s="489"/>
    </row>
    <row r="394" spans="12:14">
      <c r="L394" s="14"/>
      <c r="M394" s="14"/>
      <c r="N394" s="489"/>
    </row>
    <row r="395" spans="12:14">
      <c r="L395" s="14"/>
      <c r="M395" s="14"/>
      <c r="N395" s="489"/>
    </row>
    <row r="396" spans="12:14">
      <c r="L396" s="14"/>
      <c r="M396" s="14"/>
      <c r="N396" s="489"/>
    </row>
    <row r="397" spans="12:14">
      <c r="L397" s="14"/>
      <c r="M397" s="14"/>
    </row>
    <row r="398" spans="12:14">
      <c r="L398" s="14"/>
      <c r="M398" s="14"/>
    </row>
    <row r="399" spans="12:14">
      <c r="L399" s="14"/>
      <c r="M399" s="14"/>
    </row>
    <row r="400" spans="12:14">
      <c r="L400" s="14"/>
      <c r="M400" s="14"/>
    </row>
    <row r="401" spans="12:13">
      <c r="L401" s="14"/>
      <c r="M401" s="14"/>
    </row>
    <row r="402" spans="12:13">
      <c r="L402" s="14"/>
      <c r="M402" s="14"/>
    </row>
    <row r="403" spans="12:13">
      <c r="L403" s="14"/>
      <c r="M403" s="14"/>
    </row>
    <row r="404" spans="12:13">
      <c r="L404" s="14"/>
      <c r="M404" s="14"/>
    </row>
    <row r="405" spans="12:13">
      <c r="L405" s="14"/>
      <c r="M405" s="14"/>
    </row>
    <row r="406" spans="12:13">
      <c r="L406" s="14"/>
      <c r="M406" s="14"/>
    </row>
    <row r="407" spans="12:13">
      <c r="L407" s="14"/>
      <c r="M407" s="14"/>
    </row>
    <row r="408" spans="12:13">
      <c r="L408" s="14"/>
      <c r="M408" s="14"/>
    </row>
    <row r="409" spans="12:13">
      <c r="L409" s="14"/>
      <c r="M409" s="14"/>
    </row>
    <row r="410" spans="12:13">
      <c r="L410" s="14"/>
      <c r="M410" s="14"/>
    </row>
    <row r="411" spans="12:13">
      <c r="L411" s="14"/>
      <c r="M411" s="14"/>
    </row>
    <row r="412" spans="12:13">
      <c r="L412" s="14"/>
      <c r="M412" s="14"/>
    </row>
    <row r="413" spans="12:13">
      <c r="L413" s="14"/>
      <c r="M413" s="14"/>
    </row>
    <row r="414" spans="12:13">
      <c r="L414" s="14"/>
      <c r="M414" s="14"/>
    </row>
    <row r="415" spans="12:13">
      <c r="L415" s="14"/>
      <c r="M415" s="14"/>
    </row>
    <row r="416" spans="12:13">
      <c r="L416" s="14"/>
      <c r="M416" s="14"/>
    </row>
    <row r="417" spans="12:13">
      <c r="L417" s="14"/>
      <c r="M417" s="14"/>
    </row>
    <row r="418" spans="12:13">
      <c r="L418" s="14"/>
      <c r="M418" s="14"/>
    </row>
    <row r="419" spans="12:13">
      <c r="L419" s="14"/>
      <c r="M419" s="14"/>
    </row>
    <row r="420" spans="12:13">
      <c r="L420" s="14"/>
      <c r="M420" s="14"/>
    </row>
    <row r="421" spans="12:13">
      <c r="L421" s="14"/>
      <c r="M421" s="14"/>
    </row>
    <row r="422" spans="12:13">
      <c r="L422" s="14"/>
      <c r="M422" s="14"/>
    </row>
    <row r="423" spans="12:13">
      <c r="L423" s="14"/>
      <c r="M423" s="14"/>
    </row>
    <row r="424" spans="12:13">
      <c r="L424" s="14"/>
      <c r="M424" s="14"/>
    </row>
    <row r="425" spans="12:13">
      <c r="L425" s="14"/>
      <c r="M425" s="14"/>
    </row>
    <row r="426" spans="12:13">
      <c r="L426" s="14"/>
      <c r="M426" s="14"/>
    </row>
    <row r="427" spans="12:13">
      <c r="L427" s="14"/>
      <c r="M427" s="14"/>
    </row>
    <row r="428" spans="12:13">
      <c r="L428" s="14"/>
      <c r="M428" s="14"/>
    </row>
    <row r="429" spans="12:13">
      <c r="L429" s="14"/>
      <c r="M429" s="14"/>
    </row>
    <row r="430" spans="12:13">
      <c r="L430" s="14"/>
      <c r="M430" s="14"/>
    </row>
    <row r="431" spans="12:13">
      <c r="L431" s="14"/>
      <c r="M431" s="14"/>
    </row>
    <row r="432" spans="12:13">
      <c r="L432" s="14"/>
      <c r="M432" s="14"/>
    </row>
    <row r="433" spans="12:13">
      <c r="L433" s="14"/>
      <c r="M433" s="14"/>
    </row>
    <row r="434" spans="12:13">
      <c r="L434" s="14"/>
      <c r="M434" s="14"/>
    </row>
    <row r="435" spans="12:13">
      <c r="L435" s="14"/>
      <c r="M435" s="14"/>
    </row>
    <row r="436" spans="12:13">
      <c r="L436" s="14"/>
      <c r="M436" s="14"/>
    </row>
    <row r="437" spans="12:13">
      <c r="L437" s="14"/>
      <c r="M437" s="14"/>
    </row>
    <row r="438" spans="12:13">
      <c r="L438" s="14"/>
      <c r="M438" s="14"/>
    </row>
    <row r="439" spans="12:13">
      <c r="L439" s="14"/>
      <c r="M439" s="14"/>
    </row>
    <row r="440" spans="12:13">
      <c r="L440" s="14"/>
      <c r="M440" s="14"/>
    </row>
    <row r="441" spans="12:13">
      <c r="L441" s="14"/>
      <c r="M441" s="14"/>
    </row>
    <row r="442" spans="12:13">
      <c r="L442" s="14"/>
      <c r="M442" s="14"/>
    </row>
    <row r="443" spans="12:13">
      <c r="L443" s="14"/>
      <c r="M443" s="14"/>
    </row>
    <row r="444" spans="12:13">
      <c r="L444" s="14"/>
      <c r="M444" s="14"/>
    </row>
    <row r="445" spans="12:13">
      <c r="L445" s="14"/>
      <c r="M445" s="14"/>
    </row>
    <row r="446" spans="12:13">
      <c r="L446" s="14"/>
      <c r="M446" s="14"/>
    </row>
    <row r="447" spans="12:13">
      <c r="L447" s="14"/>
      <c r="M447" s="14"/>
    </row>
    <row r="448" spans="12:13">
      <c r="L448" s="14"/>
      <c r="M448" s="14"/>
    </row>
    <row r="449" spans="12:13">
      <c r="L449" s="14"/>
      <c r="M449" s="14"/>
    </row>
    <row r="450" spans="12:13">
      <c r="L450" s="14"/>
      <c r="M450" s="14"/>
    </row>
    <row r="451" spans="12:13">
      <c r="L451" s="14"/>
      <c r="M451" s="14"/>
    </row>
    <row r="452" spans="12:13">
      <c r="L452" s="14"/>
      <c r="M452" s="14"/>
    </row>
    <row r="453" spans="12:13">
      <c r="L453" s="14"/>
      <c r="M453" s="14"/>
    </row>
    <row r="454" spans="12:13">
      <c r="L454" s="14"/>
      <c r="M454" s="14"/>
    </row>
    <row r="455" spans="12:13">
      <c r="L455" s="14"/>
      <c r="M455" s="14"/>
    </row>
    <row r="456" spans="12:13">
      <c r="L456" s="14"/>
      <c r="M456" s="14"/>
    </row>
    <row r="457" spans="12:13">
      <c r="L457" s="14"/>
      <c r="M457" s="14"/>
    </row>
    <row r="458" spans="12:13">
      <c r="L458" s="14"/>
      <c r="M458" s="14"/>
    </row>
    <row r="459" spans="12:13">
      <c r="L459" s="14"/>
      <c r="M459" s="14"/>
    </row>
    <row r="460" spans="12:13">
      <c r="L460" s="14"/>
      <c r="M460" s="14"/>
    </row>
    <row r="461" spans="12:13">
      <c r="L461" s="14"/>
      <c r="M461" s="14"/>
    </row>
    <row r="462" spans="12:13">
      <c r="L462" s="14"/>
      <c r="M462" s="14"/>
    </row>
    <row r="463" spans="12:13">
      <c r="L463" s="14"/>
      <c r="M463" s="14"/>
    </row>
    <row r="464" spans="12:13">
      <c r="L464" s="14"/>
      <c r="M464" s="14"/>
    </row>
    <row r="465" spans="12:13">
      <c r="L465" s="14"/>
      <c r="M465" s="14"/>
    </row>
    <row r="466" spans="12:13">
      <c r="L466" s="14"/>
      <c r="M466" s="14"/>
    </row>
    <row r="467" spans="12:13">
      <c r="L467" s="14"/>
      <c r="M467" s="14"/>
    </row>
    <row r="468" spans="12:13">
      <c r="L468" s="14"/>
      <c r="M468" s="14"/>
    </row>
    <row r="469" spans="12:13">
      <c r="L469" s="14"/>
      <c r="M469" s="14"/>
    </row>
    <row r="470" spans="12:13">
      <c r="L470" s="14"/>
      <c r="M470" s="14"/>
    </row>
    <row r="471" spans="12:13">
      <c r="L471" s="14"/>
      <c r="M471" s="14"/>
    </row>
    <row r="472" spans="12:13">
      <c r="L472" s="14"/>
      <c r="M472" s="14"/>
    </row>
    <row r="473" spans="12:13">
      <c r="L473" s="14"/>
      <c r="M473" s="14"/>
    </row>
    <row r="474" spans="12:13">
      <c r="L474" s="14"/>
      <c r="M474" s="14"/>
    </row>
    <row r="475" spans="12:13">
      <c r="L475" s="14"/>
      <c r="M475" s="14"/>
    </row>
    <row r="476" spans="12:13">
      <c r="L476" s="14"/>
      <c r="M476" s="14"/>
    </row>
    <row r="477" spans="12:13">
      <c r="L477" s="14"/>
      <c r="M477" s="14"/>
    </row>
    <row r="478" spans="12:13">
      <c r="L478" s="14"/>
      <c r="M478" s="14"/>
    </row>
    <row r="479" spans="12:13">
      <c r="L479" s="14"/>
      <c r="M479" s="14"/>
    </row>
    <row r="480" spans="12:13">
      <c r="L480" s="14"/>
      <c r="M480" s="14"/>
    </row>
    <row r="481" spans="12:13">
      <c r="L481" s="14"/>
      <c r="M481" s="14"/>
    </row>
    <row r="482" spans="12:13">
      <c r="L482" s="14"/>
      <c r="M482" s="14"/>
    </row>
    <row r="483" spans="12:13">
      <c r="L483" s="14"/>
      <c r="M483" s="14"/>
    </row>
    <row r="484" spans="12:13">
      <c r="L484" s="14"/>
      <c r="M484" s="14"/>
    </row>
    <row r="485" spans="12:13">
      <c r="L485" s="14"/>
      <c r="M485" s="14"/>
    </row>
    <row r="486" spans="12:13">
      <c r="L486" s="14"/>
      <c r="M486" s="14"/>
    </row>
    <row r="487" spans="12:13">
      <c r="L487" s="14"/>
      <c r="M487" s="14"/>
    </row>
    <row r="488" spans="12:13">
      <c r="L488" s="14"/>
      <c r="M488" s="14"/>
    </row>
    <row r="489" spans="12:13">
      <c r="L489" s="14"/>
      <c r="M489" s="14"/>
    </row>
    <row r="490" spans="12:13">
      <c r="L490" s="14"/>
      <c r="M490" s="14"/>
    </row>
    <row r="491" spans="12:13">
      <c r="L491" s="14"/>
      <c r="M491" s="14"/>
    </row>
    <row r="492" spans="12:13">
      <c r="L492" s="14"/>
      <c r="M492" s="14"/>
    </row>
    <row r="493" spans="12:13">
      <c r="L493" s="14"/>
      <c r="M493" s="14"/>
    </row>
    <row r="494" spans="12:13">
      <c r="L494" s="14"/>
      <c r="M494" s="14"/>
    </row>
    <row r="495" spans="12:13">
      <c r="L495" s="14"/>
      <c r="M495" s="14"/>
    </row>
    <row r="496" spans="12:13">
      <c r="L496" s="14"/>
      <c r="M496" s="14"/>
    </row>
    <row r="497" spans="12:13">
      <c r="L497" s="14"/>
      <c r="M497" s="14"/>
    </row>
    <row r="498" spans="12:13">
      <c r="L498" s="14"/>
      <c r="M498" s="14"/>
    </row>
    <row r="499" spans="12:13">
      <c r="L499" s="14"/>
      <c r="M499" s="14"/>
    </row>
    <row r="500" spans="12:13">
      <c r="L500" s="14"/>
      <c r="M500" s="14"/>
    </row>
    <row r="501" spans="12:13">
      <c r="L501" s="14"/>
      <c r="M501" s="14"/>
    </row>
    <row r="502" spans="12:13">
      <c r="L502" s="14"/>
      <c r="M502" s="14"/>
    </row>
    <row r="503" spans="12:13">
      <c r="L503" s="14"/>
      <c r="M503" s="14"/>
    </row>
    <row r="504" spans="12:13">
      <c r="L504" s="14"/>
      <c r="M504" s="14"/>
    </row>
    <row r="505" spans="12:13">
      <c r="L505" s="14"/>
      <c r="M505" s="14"/>
    </row>
    <row r="506" spans="12:13">
      <c r="L506" s="14"/>
      <c r="M506" s="14"/>
    </row>
    <row r="507" spans="12:13">
      <c r="L507" s="14"/>
      <c r="M507" s="14"/>
    </row>
    <row r="508" spans="12:13">
      <c r="L508" s="14"/>
      <c r="M508" s="14"/>
    </row>
    <row r="509" spans="12:13">
      <c r="L509" s="14"/>
      <c r="M509" s="14"/>
    </row>
    <row r="510" spans="12:13">
      <c r="L510" s="14"/>
      <c r="M510" s="14"/>
    </row>
    <row r="511" spans="12:13">
      <c r="L511" s="14"/>
      <c r="M511" s="14"/>
    </row>
    <row r="512" spans="12:13">
      <c r="L512" s="14"/>
      <c r="M512" s="14"/>
    </row>
    <row r="513" spans="12:13">
      <c r="L513" s="14"/>
      <c r="M513" s="14"/>
    </row>
    <row r="514" spans="12:13">
      <c r="L514" s="14"/>
      <c r="M514" s="14"/>
    </row>
    <row r="515" spans="12:13">
      <c r="L515" s="14"/>
      <c r="M515" s="14"/>
    </row>
    <row r="516" spans="12:13">
      <c r="L516" s="14"/>
      <c r="M516" s="14"/>
    </row>
    <row r="517" spans="12:13">
      <c r="L517" s="14"/>
      <c r="M517" s="14"/>
    </row>
    <row r="518" spans="12:13">
      <c r="L518" s="14"/>
      <c r="M518" s="14"/>
    </row>
    <row r="519" spans="12:13">
      <c r="L519" s="14"/>
      <c r="M519" s="14"/>
    </row>
    <row r="520" spans="12:13">
      <c r="L520" s="14"/>
      <c r="M520" s="14"/>
    </row>
    <row r="521" spans="12:13">
      <c r="L521" s="14"/>
      <c r="M521" s="14"/>
    </row>
    <row r="522" spans="12:13">
      <c r="L522" s="14"/>
      <c r="M522" s="14"/>
    </row>
    <row r="523" spans="12:13">
      <c r="L523" s="14"/>
      <c r="M523" s="14"/>
    </row>
    <row r="524" spans="12:13">
      <c r="L524" s="14"/>
      <c r="M524" s="14"/>
    </row>
    <row r="525" spans="12:13">
      <c r="L525" s="14"/>
      <c r="M525" s="14"/>
    </row>
    <row r="526" spans="12:13">
      <c r="L526" s="14"/>
      <c r="M526" s="14"/>
    </row>
    <row r="527" spans="12:13">
      <c r="L527" s="14"/>
      <c r="M527" s="14"/>
    </row>
    <row r="528" spans="12:13">
      <c r="L528" s="14"/>
      <c r="M528" s="14"/>
    </row>
    <row r="529" spans="12:13">
      <c r="L529" s="14"/>
      <c r="M529" s="14"/>
    </row>
    <row r="530" spans="12:13">
      <c r="L530" s="14"/>
      <c r="M530" s="14"/>
    </row>
    <row r="531" spans="12:13">
      <c r="L531" s="14"/>
      <c r="M531" s="14"/>
    </row>
    <row r="532" spans="12:13">
      <c r="L532" s="14"/>
      <c r="M532" s="14"/>
    </row>
    <row r="533" spans="12:13">
      <c r="L533" s="14"/>
      <c r="M533" s="14"/>
    </row>
    <row r="534" spans="12:13">
      <c r="L534" s="14"/>
      <c r="M534" s="14"/>
    </row>
    <row r="535" spans="12:13">
      <c r="L535" s="14"/>
      <c r="M535" s="14"/>
    </row>
    <row r="536" spans="12:13">
      <c r="L536" s="14"/>
      <c r="M536" s="14"/>
    </row>
    <row r="537" spans="12:13">
      <c r="L537" s="14"/>
      <c r="M537" s="14"/>
    </row>
    <row r="538" spans="12:13">
      <c r="L538" s="14"/>
      <c r="M538" s="14"/>
    </row>
    <row r="539" spans="12:13">
      <c r="L539" s="14"/>
      <c r="M539" s="14"/>
    </row>
    <row r="540" spans="12:13">
      <c r="L540" s="14"/>
      <c r="M540" s="14"/>
    </row>
    <row r="541" spans="12:13">
      <c r="L541" s="14"/>
      <c r="M541" s="14"/>
    </row>
    <row r="542" spans="12:13">
      <c r="L542" s="14"/>
      <c r="M542" s="14"/>
    </row>
    <row r="543" spans="12:13">
      <c r="L543" s="14"/>
      <c r="M543" s="14"/>
    </row>
    <row r="544" spans="12:13">
      <c r="L544" s="14"/>
      <c r="M544" s="14"/>
    </row>
    <row r="545" spans="12:13">
      <c r="L545" s="14"/>
      <c r="M545" s="14"/>
    </row>
    <row r="546" spans="12:13">
      <c r="L546" s="14"/>
      <c r="M546" s="14"/>
    </row>
    <row r="547" spans="12:13">
      <c r="L547" s="14"/>
      <c r="M547" s="14"/>
    </row>
    <row r="548" spans="12:13">
      <c r="L548" s="14"/>
      <c r="M548" s="14"/>
    </row>
    <row r="549" spans="12:13">
      <c r="L549" s="14"/>
      <c r="M549" s="14"/>
    </row>
    <row r="550" spans="12:13">
      <c r="L550" s="14"/>
      <c r="M550" s="14"/>
    </row>
    <row r="551" spans="12:13">
      <c r="L551" s="14"/>
      <c r="M551" s="14"/>
    </row>
    <row r="552" spans="12:13">
      <c r="L552" s="14"/>
      <c r="M552" s="14"/>
    </row>
    <row r="553" spans="12:13">
      <c r="L553" s="14"/>
      <c r="M553" s="14"/>
    </row>
    <row r="554" spans="12:13">
      <c r="L554" s="14"/>
      <c r="M554" s="14"/>
    </row>
    <row r="555" spans="12:13">
      <c r="L555" s="14"/>
      <c r="M555" s="14"/>
    </row>
    <row r="556" spans="12:13">
      <c r="L556" s="14"/>
      <c r="M556" s="14"/>
    </row>
    <row r="557" spans="12:13">
      <c r="L557" s="14"/>
      <c r="M557" s="14"/>
    </row>
    <row r="558" spans="12:13">
      <c r="L558" s="14"/>
      <c r="M558" s="14"/>
    </row>
    <row r="559" spans="12:13">
      <c r="L559" s="14"/>
      <c r="M559" s="14"/>
    </row>
    <row r="560" spans="12:13">
      <c r="L560" s="14"/>
      <c r="M560" s="14"/>
    </row>
    <row r="561" spans="12:13">
      <c r="L561" s="14"/>
      <c r="M561" s="14"/>
    </row>
    <row r="562" spans="12:13">
      <c r="L562" s="14"/>
      <c r="M562" s="14"/>
    </row>
    <row r="563" spans="12:13">
      <c r="L563" s="14"/>
      <c r="M563" s="14"/>
    </row>
    <row r="564" spans="12:13">
      <c r="L564" s="14"/>
      <c r="M564" s="14"/>
    </row>
    <row r="565" spans="12:13">
      <c r="L565" s="14"/>
      <c r="M565" s="14"/>
    </row>
    <row r="566" spans="12:13">
      <c r="L566" s="14"/>
      <c r="M566" s="14"/>
    </row>
    <row r="567" spans="12:13">
      <c r="L567" s="14"/>
      <c r="M567" s="14"/>
    </row>
    <row r="568" spans="12:13">
      <c r="L568" s="14"/>
      <c r="M568" s="14"/>
    </row>
    <row r="569" spans="12:13">
      <c r="L569" s="14"/>
      <c r="M569" s="14"/>
    </row>
    <row r="570" spans="12:13">
      <c r="L570" s="14"/>
      <c r="M570" s="14"/>
    </row>
    <row r="571" spans="12:13">
      <c r="L571" s="14"/>
      <c r="M571" s="14"/>
    </row>
    <row r="572" spans="12:13">
      <c r="L572" s="14"/>
      <c r="M572" s="14"/>
    </row>
    <row r="573" spans="12:13">
      <c r="L573" s="14"/>
      <c r="M573" s="14"/>
    </row>
    <row r="574" spans="12:13">
      <c r="L574" s="14"/>
      <c r="M574" s="14"/>
    </row>
    <row r="575" spans="12:13">
      <c r="L575" s="14"/>
      <c r="M575" s="14"/>
    </row>
    <row r="576" spans="12:13">
      <c r="L576" s="14"/>
      <c r="M576" s="14"/>
    </row>
    <row r="577" spans="12:13">
      <c r="L577" s="14"/>
      <c r="M577" s="14"/>
    </row>
    <row r="578" spans="12:13">
      <c r="L578" s="14"/>
      <c r="M578" s="14"/>
    </row>
    <row r="579" spans="12:13">
      <c r="L579" s="14"/>
      <c r="M579" s="14"/>
    </row>
    <row r="580" spans="12:13">
      <c r="L580" s="14"/>
      <c r="M580" s="14"/>
    </row>
    <row r="581" spans="12:13">
      <c r="L581" s="14"/>
      <c r="M581" s="14"/>
    </row>
    <row r="582" spans="12:13">
      <c r="L582" s="14"/>
      <c r="M582" s="14"/>
    </row>
    <row r="583" spans="12:13">
      <c r="L583" s="14"/>
      <c r="M583" s="14"/>
    </row>
    <row r="584" spans="12:13">
      <c r="L584" s="14"/>
      <c r="M584" s="14"/>
    </row>
    <row r="585" spans="12:13">
      <c r="L585" s="14"/>
      <c r="M585" s="14"/>
    </row>
    <row r="586" spans="12:13">
      <c r="L586" s="14"/>
      <c r="M586" s="14"/>
    </row>
    <row r="587" spans="12:13">
      <c r="L587" s="14"/>
      <c r="M587" s="14"/>
    </row>
    <row r="588" spans="12:13">
      <c r="L588" s="14"/>
      <c r="M588" s="14"/>
    </row>
    <row r="589" spans="12:13">
      <c r="L589" s="14"/>
      <c r="M589" s="14"/>
    </row>
    <row r="590" spans="12:13">
      <c r="L590" s="14"/>
      <c r="M590" s="14"/>
    </row>
    <row r="591" spans="12:13">
      <c r="L591" s="14"/>
      <c r="M591" s="14"/>
    </row>
    <row r="592" spans="12:13">
      <c r="L592" s="14"/>
      <c r="M592" s="14"/>
    </row>
    <row r="593" spans="12:13">
      <c r="L593" s="14"/>
      <c r="M593" s="14"/>
    </row>
    <row r="594" spans="12:13">
      <c r="L594" s="14"/>
      <c r="M594" s="14"/>
    </row>
    <row r="595" spans="12:13">
      <c r="L595" s="14"/>
      <c r="M595" s="14"/>
    </row>
    <row r="596" spans="12:13">
      <c r="L596" s="14"/>
      <c r="M596" s="14"/>
    </row>
    <row r="597" spans="12:13">
      <c r="L597" s="14"/>
      <c r="M597" s="14"/>
    </row>
    <row r="598" spans="12:13">
      <c r="L598" s="14"/>
      <c r="M598" s="14"/>
    </row>
    <row r="599" spans="12:13">
      <c r="L599" s="14"/>
      <c r="M599" s="14"/>
    </row>
    <row r="600" spans="12:13">
      <c r="L600" s="14"/>
      <c r="M600" s="14"/>
    </row>
    <row r="601" spans="12:13">
      <c r="L601" s="14"/>
      <c r="M601" s="14"/>
    </row>
    <row r="602" spans="12:13">
      <c r="L602" s="14"/>
      <c r="M602" s="14"/>
    </row>
    <row r="603" spans="12:13">
      <c r="L603" s="14"/>
      <c r="M603" s="14"/>
    </row>
    <row r="604" spans="12:13">
      <c r="L604" s="14"/>
      <c r="M604" s="14"/>
    </row>
    <row r="605" spans="12:13">
      <c r="L605" s="14"/>
      <c r="M605" s="14"/>
    </row>
    <row r="606" spans="12:13">
      <c r="L606" s="14"/>
      <c r="M606" s="14"/>
    </row>
    <row r="607" spans="12:13">
      <c r="L607" s="14"/>
      <c r="M607" s="14"/>
    </row>
    <row r="608" spans="12:13">
      <c r="L608" s="14"/>
      <c r="M608" s="14"/>
    </row>
    <row r="609" spans="12:13">
      <c r="L609" s="14"/>
      <c r="M609" s="14"/>
    </row>
    <row r="610" spans="12:13">
      <c r="L610" s="14"/>
      <c r="M610" s="14"/>
    </row>
    <row r="611" spans="12:13">
      <c r="L611" s="14"/>
      <c r="M611" s="14"/>
    </row>
    <row r="612" spans="12:13">
      <c r="L612" s="14"/>
      <c r="M612" s="14"/>
    </row>
    <row r="613" spans="12:13">
      <c r="L613" s="14"/>
      <c r="M613" s="14"/>
    </row>
    <row r="614" spans="12:13">
      <c r="L614" s="14"/>
      <c r="M614" s="14"/>
    </row>
    <row r="615" spans="12:13">
      <c r="L615" s="14"/>
      <c r="M615" s="14"/>
    </row>
    <row r="616" spans="12:13">
      <c r="L616" s="14"/>
      <c r="M616" s="14"/>
    </row>
    <row r="617" spans="12:13">
      <c r="L617" s="14"/>
      <c r="M617" s="14"/>
    </row>
    <row r="618" spans="12:13">
      <c r="L618" s="14"/>
      <c r="M618" s="14"/>
    </row>
    <row r="619" spans="12:13">
      <c r="L619" s="14"/>
      <c r="M619" s="14"/>
    </row>
    <row r="620" spans="12:13">
      <c r="L620" s="14"/>
      <c r="M620" s="14"/>
    </row>
    <row r="621" spans="12:13">
      <c r="L621" s="14"/>
      <c r="M621" s="14"/>
    </row>
    <row r="622" spans="12:13">
      <c r="L622" s="14"/>
      <c r="M622" s="14"/>
    </row>
    <row r="623" spans="12:13">
      <c r="L623" s="14"/>
      <c r="M623" s="14"/>
    </row>
    <row r="624" spans="12:13">
      <c r="L624" s="14"/>
      <c r="M624" s="14"/>
    </row>
    <row r="625" spans="12:13">
      <c r="L625" s="14"/>
      <c r="M625" s="14"/>
    </row>
    <row r="626" spans="12:13">
      <c r="L626" s="14"/>
      <c r="M626" s="14"/>
    </row>
    <row r="627" spans="12:13">
      <c r="L627" s="14"/>
      <c r="M627" s="14"/>
    </row>
    <row r="628" spans="12:13">
      <c r="L628" s="14"/>
      <c r="M628" s="14"/>
    </row>
    <row r="629" spans="12:13">
      <c r="L629" s="14"/>
      <c r="M629" s="14"/>
    </row>
    <row r="630" spans="12:13">
      <c r="L630" s="14"/>
      <c r="M630" s="14"/>
    </row>
    <row r="631" spans="12:13">
      <c r="L631" s="14"/>
      <c r="M631" s="14"/>
    </row>
    <row r="632" spans="12:13">
      <c r="L632" s="14"/>
      <c r="M632" s="14"/>
    </row>
    <row r="633" spans="12:13">
      <c r="L633" s="14"/>
      <c r="M633" s="14"/>
    </row>
    <row r="634" spans="12:13">
      <c r="L634" s="14"/>
      <c r="M634" s="14"/>
    </row>
    <row r="635" spans="12:13">
      <c r="L635" s="14"/>
      <c r="M635" s="14"/>
    </row>
    <row r="636" spans="12:13">
      <c r="L636" s="14"/>
      <c r="M636" s="14"/>
    </row>
    <row r="637" spans="12:13">
      <c r="L637" s="14"/>
      <c r="M637" s="14"/>
    </row>
    <row r="638" spans="12:13">
      <c r="L638" s="14"/>
      <c r="M638" s="14"/>
    </row>
    <row r="639" spans="12:13">
      <c r="L639" s="14"/>
      <c r="M639" s="14"/>
    </row>
    <row r="640" spans="12:13">
      <c r="L640" s="14"/>
      <c r="M640" s="14"/>
    </row>
    <row r="641" spans="12:13">
      <c r="L641" s="14"/>
      <c r="M641" s="14"/>
    </row>
    <row r="642" spans="12:13">
      <c r="L642" s="14"/>
      <c r="M642" s="14"/>
    </row>
    <row r="643" spans="12:13">
      <c r="L643" s="14"/>
      <c r="M643" s="14"/>
    </row>
    <row r="644" spans="12:13">
      <c r="L644" s="14"/>
      <c r="M644" s="14"/>
    </row>
  </sheetData>
  <phoneticPr fontId="3" type="noConversion"/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AL118"/>
  <sheetViews>
    <sheetView workbookViewId="0">
      <selection sqref="A1:AH1"/>
    </sheetView>
  </sheetViews>
  <sheetFormatPr defaultRowHeight="16.5"/>
  <cols>
    <col min="1" max="1" width="11.5" bestFit="1" customWidth="1"/>
    <col min="2" max="2" width="16" customWidth="1"/>
    <col min="3" max="3" width="6.25" hidden="1" customWidth="1"/>
    <col min="4" max="4" width="6.5" hidden="1" customWidth="1"/>
    <col min="5" max="5" width="8.5" hidden="1" customWidth="1"/>
    <col min="6" max="6" width="7.125" hidden="1" customWidth="1"/>
    <col min="7" max="7" width="6.875" hidden="1" customWidth="1"/>
    <col min="8" max="9" width="6.25" hidden="1" customWidth="1"/>
    <col min="10" max="10" width="6.5" hidden="1" customWidth="1"/>
    <col min="11" max="11" width="8.5" hidden="1" customWidth="1"/>
    <col min="12" max="12" width="7.125" hidden="1" customWidth="1"/>
    <col min="13" max="13" width="6.875" hidden="1" customWidth="1"/>
    <col min="14" max="14" width="6.25" hidden="1" customWidth="1"/>
    <col min="15" max="15" width="11.375" hidden="1" customWidth="1"/>
    <col min="16" max="19" width="12.625" customWidth="1"/>
    <col min="20" max="20" width="12.625" style="299" customWidth="1"/>
    <col min="21" max="21" width="12.625" style="311" customWidth="1"/>
    <col min="22" max="28" width="12.625" customWidth="1"/>
    <col min="29" max="29" width="13" customWidth="1"/>
    <col min="30" max="30" width="11.75" customWidth="1"/>
    <col min="31" max="31" width="12.625" customWidth="1"/>
    <col min="32" max="32" width="12.625" style="299" customWidth="1"/>
    <col min="33" max="33" width="13.75" customWidth="1"/>
    <col min="34" max="34" width="13.875" customWidth="1"/>
    <col min="38" max="38" width="11.125" customWidth="1"/>
  </cols>
  <sheetData>
    <row r="1" spans="1:34" ht="22.9" customHeight="1">
      <c r="A1" s="905" t="s">
        <v>17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  <c r="T1" s="906"/>
      <c r="U1" s="906"/>
      <c r="V1" s="906"/>
      <c r="W1" s="906"/>
      <c r="X1" s="906"/>
      <c r="Y1" s="906"/>
      <c r="Z1" s="906"/>
      <c r="AA1" s="906"/>
      <c r="AB1" s="906"/>
      <c r="AC1" s="906"/>
      <c r="AD1" s="906"/>
      <c r="AE1" s="906"/>
      <c r="AF1" s="906"/>
      <c r="AG1" s="906"/>
      <c r="AH1" s="906"/>
    </row>
    <row r="2" spans="1:34" ht="15" customHeight="1" thickBot="1">
      <c r="A2" s="169"/>
      <c r="B2" s="169"/>
      <c r="U2" s="310"/>
      <c r="AH2" s="61">
        <f ca="1">TODAY()</f>
        <v>45022</v>
      </c>
    </row>
    <row r="3" spans="1:34" ht="15" customHeight="1">
      <c r="A3" s="915">
        <v>2005</v>
      </c>
      <c r="B3" s="916" t="s">
        <v>16</v>
      </c>
      <c r="C3" s="910" t="s">
        <v>114</v>
      </c>
      <c r="D3" s="910"/>
      <c r="E3" s="911"/>
      <c r="F3" s="911"/>
      <c r="G3" s="911"/>
      <c r="H3" s="911"/>
      <c r="I3" s="911"/>
      <c r="J3" s="911"/>
      <c r="K3" s="911"/>
      <c r="L3" s="911"/>
      <c r="M3" s="911"/>
      <c r="N3" s="911"/>
      <c r="O3" s="911"/>
      <c r="P3" s="918" t="s">
        <v>115</v>
      </c>
      <c r="Q3" s="919"/>
      <c r="R3" s="919"/>
      <c r="S3" s="919"/>
      <c r="T3" s="919"/>
      <c r="U3" s="919"/>
      <c r="V3" s="919"/>
      <c r="W3" s="920"/>
      <c r="X3" s="920"/>
      <c r="Y3" s="920"/>
      <c r="Z3" s="920"/>
      <c r="AA3" s="920"/>
      <c r="AB3" s="920"/>
      <c r="AC3" s="920"/>
      <c r="AD3" s="920"/>
      <c r="AE3" s="920"/>
      <c r="AF3" s="921"/>
      <c r="AG3" s="912" t="s">
        <v>72</v>
      </c>
      <c r="AH3" s="912" t="s">
        <v>72</v>
      </c>
    </row>
    <row r="4" spans="1:34" ht="15" customHeight="1">
      <c r="A4" s="913"/>
      <c r="B4" s="917"/>
      <c r="C4" s="907" t="s">
        <v>73</v>
      </c>
      <c r="D4" s="907"/>
      <c r="E4" s="908"/>
      <c r="F4" s="908"/>
      <c r="G4" s="908"/>
      <c r="H4" s="908"/>
      <c r="I4" s="909" t="s">
        <v>74</v>
      </c>
      <c r="J4" s="907"/>
      <c r="K4" s="908"/>
      <c r="L4" s="908"/>
      <c r="M4" s="908"/>
      <c r="N4" s="908"/>
      <c r="O4" s="908"/>
      <c r="P4" s="922"/>
      <c r="Q4" s="923"/>
      <c r="R4" s="923"/>
      <c r="S4" s="923"/>
      <c r="T4" s="923"/>
      <c r="U4" s="923"/>
      <c r="V4" s="923"/>
      <c r="W4" s="923"/>
      <c r="X4" s="923"/>
      <c r="Y4" s="923"/>
      <c r="Z4" s="923"/>
      <c r="AA4" s="923"/>
      <c r="AB4" s="923"/>
      <c r="AC4" s="923"/>
      <c r="AD4" s="923"/>
      <c r="AE4" s="923"/>
      <c r="AF4" s="924"/>
      <c r="AG4" s="913"/>
      <c r="AH4" s="913"/>
    </row>
    <row r="5" spans="1:34" s="12" customFormat="1" ht="15" customHeight="1">
      <c r="A5" s="913"/>
      <c r="B5" s="227" t="s">
        <v>118</v>
      </c>
      <c r="C5" s="898" t="s">
        <v>147</v>
      </c>
      <c r="D5" s="904"/>
      <c r="E5" s="152" t="s">
        <v>119</v>
      </c>
      <c r="F5" s="156" t="s">
        <v>120</v>
      </c>
      <c r="G5" s="152" t="s">
        <v>121</v>
      </c>
      <c r="H5" s="185" t="s">
        <v>122</v>
      </c>
      <c r="I5" s="898" t="s">
        <v>147</v>
      </c>
      <c r="J5" s="899"/>
      <c r="K5" s="213" t="s">
        <v>119</v>
      </c>
      <c r="L5" s="156" t="s">
        <v>120</v>
      </c>
      <c r="M5" s="152" t="s">
        <v>121</v>
      </c>
      <c r="N5" s="152" t="s">
        <v>122</v>
      </c>
      <c r="O5" s="188" t="s">
        <v>123</v>
      </c>
      <c r="P5" s="898" t="s">
        <v>147</v>
      </c>
      <c r="Q5" s="904"/>
      <c r="R5" s="185" t="s">
        <v>148</v>
      </c>
      <c r="S5" s="902" t="s">
        <v>120</v>
      </c>
      <c r="T5" s="903"/>
      <c r="U5" s="900" t="s">
        <v>149</v>
      </c>
      <c r="V5" s="904"/>
      <c r="W5" s="900" t="s">
        <v>119</v>
      </c>
      <c r="X5" s="899"/>
      <c r="Y5" s="900" t="s">
        <v>151</v>
      </c>
      <c r="Z5" s="899"/>
      <c r="AA5" s="902" t="s">
        <v>150</v>
      </c>
      <c r="AB5" s="903"/>
      <c r="AC5" s="900" t="s">
        <v>121</v>
      </c>
      <c r="AD5" s="901"/>
      <c r="AE5" s="900" t="s">
        <v>122</v>
      </c>
      <c r="AF5" s="925"/>
      <c r="AG5" s="914"/>
      <c r="AH5" s="914"/>
    </row>
    <row r="6" spans="1:34" s="12" customFormat="1" ht="15" customHeight="1" thickBot="1">
      <c r="A6" s="228"/>
      <c r="B6" s="229" t="s">
        <v>9</v>
      </c>
      <c r="C6" s="225" t="s">
        <v>9</v>
      </c>
      <c r="D6" s="225" t="s">
        <v>117</v>
      </c>
      <c r="E6" s="225" t="s">
        <v>9</v>
      </c>
      <c r="F6" s="225" t="s">
        <v>9</v>
      </c>
      <c r="G6" s="225" t="s">
        <v>9</v>
      </c>
      <c r="H6" s="221" t="s">
        <v>9</v>
      </c>
      <c r="I6" s="226" t="s">
        <v>9</v>
      </c>
      <c r="J6" s="221" t="s">
        <v>117</v>
      </c>
      <c r="K6" s="223" t="s">
        <v>9</v>
      </c>
      <c r="L6" s="223" t="s">
        <v>9</v>
      </c>
      <c r="M6" s="223" t="s">
        <v>9</v>
      </c>
      <c r="N6" s="222" t="s">
        <v>9</v>
      </c>
      <c r="O6" s="224" t="s">
        <v>9</v>
      </c>
      <c r="P6" s="221" t="s">
        <v>124</v>
      </c>
      <c r="Q6" s="276" t="s">
        <v>117</v>
      </c>
      <c r="R6" s="222" t="s">
        <v>128</v>
      </c>
      <c r="S6" s="222" t="s">
        <v>9</v>
      </c>
      <c r="T6" s="282" t="s">
        <v>117</v>
      </c>
      <c r="U6" s="221" t="s">
        <v>9</v>
      </c>
      <c r="V6" s="276" t="s">
        <v>117</v>
      </c>
      <c r="W6" s="222" t="s">
        <v>124</v>
      </c>
      <c r="X6" s="282" t="s">
        <v>117</v>
      </c>
      <c r="Y6" s="222" t="s">
        <v>124</v>
      </c>
      <c r="Z6" s="282" t="s">
        <v>117</v>
      </c>
      <c r="AA6" s="222" t="s">
        <v>9</v>
      </c>
      <c r="AB6" s="282" t="s">
        <v>117</v>
      </c>
      <c r="AC6" s="222" t="s">
        <v>9</v>
      </c>
      <c r="AD6" s="276" t="s">
        <v>117</v>
      </c>
      <c r="AE6" s="221" t="s">
        <v>9</v>
      </c>
      <c r="AF6" s="298" t="s">
        <v>145</v>
      </c>
      <c r="AG6" s="224" t="s">
        <v>9</v>
      </c>
      <c r="AH6" s="236" t="s">
        <v>117</v>
      </c>
    </row>
    <row r="7" spans="1:34">
      <c r="A7" s="176" t="s">
        <v>101</v>
      </c>
      <c r="B7" s="173">
        <v>0</v>
      </c>
      <c r="C7" s="80">
        <v>0</v>
      </c>
      <c r="D7" s="80">
        <v>0</v>
      </c>
      <c r="E7" s="80">
        <v>0</v>
      </c>
      <c r="F7" s="82">
        <v>0</v>
      </c>
      <c r="G7" s="81">
        <v>0</v>
      </c>
      <c r="H7" s="82">
        <v>0</v>
      </c>
      <c r="I7" s="168">
        <v>0</v>
      </c>
      <c r="J7" s="82">
        <v>0</v>
      </c>
      <c r="K7" s="163">
        <v>0</v>
      </c>
      <c r="L7" s="81">
        <v>0</v>
      </c>
      <c r="M7" s="81">
        <v>0</v>
      </c>
      <c r="N7" s="81">
        <v>0</v>
      </c>
      <c r="O7" s="189">
        <v>0</v>
      </c>
      <c r="P7" s="82">
        <v>-13125</v>
      </c>
      <c r="Q7" s="277">
        <v>0</v>
      </c>
      <c r="R7" s="277">
        <v>-27187.5</v>
      </c>
      <c r="S7" s="81">
        <v>57968.75</v>
      </c>
      <c r="T7" s="277">
        <v>18000</v>
      </c>
      <c r="U7" s="81">
        <v>0</v>
      </c>
      <c r="V7" s="277">
        <v>0</v>
      </c>
      <c r="W7" s="81">
        <v>-33843.75</v>
      </c>
      <c r="X7" s="281">
        <v>-3625</v>
      </c>
      <c r="Y7" s="81">
        <v>0</v>
      </c>
      <c r="Z7" s="281">
        <v>0</v>
      </c>
      <c r="AA7" s="81"/>
      <c r="AB7" s="277"/>
      <c r="AC7" s="81">
        <v>-38031.25</v>
      </c>
      <c r="AD7" s="277">
        <v>-7175</v>
      </c>
      <c r="AE7" s="82">
        <v>6093.75</v>
      </c>
      <c r="AF7" s="300">
        <v>3500</v>
      </c>
      <c r="AG7" s="166">
        <f t="shared" ref="AG7:AG15" si="0">SUM(B7:AF7)-AH7</f>
        <v>-48125</v>
      </c>
      <c r="AH7" s="166">
        <f t="shared" ref="AH7:AH15" si="1">D7+J7+Q7+T7+V7+X7+AB7+AD7+AF7</f>
        <v>10700</v>
      </c>
    </row>
    <row r="8" spans="1:34">
      <c r="A8" s="176" t="s">
        <v>102</v>
      </c>
      <c r="B8" s="173">
        <v>0</v>
      </c>
      <c r="C8" s="80">
        <v>0</v>
      </c>
      <c r="D8" s="80">
        <v>0</v>
      </c>
      <c r="E8" s="80">
        <v>0</v>
      </c>
      <c r="F8" s="82">
        <v>0</v>
      </c>
      <c r="G8" s="81">
        <v>0</v>
      </c>
      <c r="H8" s="82">
        <v>0</v>
      </c>
      <c r="I8" s="168">
        <v>0</v>
      </c>
      <c r="J8" s="82">
        <v>0</v>
      </c>
      <c r="K8" s="163">
        <v>0</v>
      </c>
      <c r="L8" s="81">
        <v>0</v>
      </c>
      <c r="M8" s="81">
        <v>0</v>
      </c>
      <c r="N8" s="81">
        <v>0</v>
      </c>
      <c r="O8" s="189">
        <v>0</v>
      </c>
      <c r="P8" s="82">
        <v>2812.5</v>
      </c>
      <c r="Q8" s="277">
        <v>0</v>
      </c>
      <c r="R8" s="277">
        <v>18281.25</v>
      </c>
      <c r="S8" s="81">
        <v>55000</v>
      </c>
      <c r="T8" s="277">
        <v>1000</v>
      </c>
      <c r="U8" s="81">
        <v>0</v>
      </c>
      <c r="V8" s="277">
        <v>0</v>
      </c>
      <c r="W8" s="81">
        <v>-8593.75</v>
      </c>
      <c r="X8" s="281">
        <v>-4600</v>
      </c>
      <c r="Y8" s="81">
        <v>0</v>
      </c>
      <c r="Z8" s="281">
        <v>0</v>
      </c>
      <c r="AA8" s="81"/>
      <c r="AB8" s="277"/>
      <c r="AC8" s="81">
        <v>3593.75</v>
      </c>
      <c r="AD8" s="277">
        <v>-3450</v>
      </c>
      <c r="AE8" s="82">
        <v>6875</v>
      </c>
      <c r="AF8" s="300">
        <v>31400</v>
      </c>
      <c r="AG8" s="166">
        <f t="shared" si="0"/>
        <v>77968.75</v>
      </c>
      <c r="AH8" s="166">
        <f t="shared" si="1"/>
        <v>24350</v>
      </c>
    </row>
    <row r="9" spans="1:34">
      <c r="A9" s="176" t="s">
        <v>103</v>
      </c>
      <c r="B9" s="173">
        <v>0</v>
      </c>
      <c r="C9" s="80">
        <v>0</v>
      </c>
      <c r="D9" s="80">
        <v>0</v>
      </c>
      <c r="E9" s="80">
        <v>0</v>
      </c>
      <c r="F9" s="82">
        <v>0</v>
      </c>
      <c r="G9" s="81">
        <v>0</v>
      </c>
      <c r="H9" s="82">
        <v>0</v>
      </c>
      <c r="I9" s="168">
        <v>0</v>
      </c>
      <c r="J9" s="82">
        <v>0</v>
      </c>
      <c r="K9" s="163">
        <v>0</v>
      </c>
      <c r="L9" s="81">
        <v>0</v>
      </c>
      <c r="M9" s="81">
        <v>0</v>
      </c>
      <c r="N9" s="81">
        <v>0</v>
      </c>
      <c r="O9" s="189">
        <v>0</v>
      </c>
      <c r="P9" s="82">
        <v>-8843.75</v>
      </c>
      <c r="Q9" s="277">
        <v>0</v>
      </c>
      <c r="R9" s="277">
        <v>43906.25</v>
      </c>
      <c r="S9" s="81">
        <v>76093.75</v>
      </c>
      <c r="T9" s="277">
        <v>-20800</v>
      </c>
      <c r="U9" s="81">
        <v>0</v>
      </c>
      <c r="V9" s="277">
        <v>0</v>
      </c>
      <c r="W9" s="81">
        <v>-18123.75</v>
      </c>
      <c r="X9" s="281">
        <v>2060</v>
      </c>
      <c r="Y9" s="81">
        <v>0</v>
      </c>
      <c r="Z9" s="281">
        <v>0</v>
      </c>
      <c r="AA9" s="81"/>
      <c r="AB9" s="277"/>
      <c r="AC9" s="81">
        <v>21812.5</v>
      </c>
      <c r="AD9" s="277">
        <v>-3660</v>
      </c>
      <c r="AE9" s="82">
        <v>-4796.37</v>
      </c>
      <c r="AF9" s="300">
        <v>-2500</v>
      </c>
      <c r="AG9" s="166">
        <f t="shared" si="0"/>
        <v>110048.63</v>
      </c>
      <c r="AH9" s="166">
        <f t="shared" si="1"/>
        <v>-24900</v>
      </c>
    </row>
    <row r="10" spans="1:34">
      <c r="A10" s="176" t="s">
        <v>13</v>
      </c>
      <c r="B10" s="173">
        <v>0</v>
      </c>
      <c r="C10" s="80">
        <v>0</v>
      </c>
      <c r="D10" s="80">
        <v>0</v>
      </c>
      <c r="E10" s="80">
        <v>0</v>
      </c>
      <c r="F10" s="82">
        <v>0</v>
      </c>
      <c r="G10" s="81">
        <v>0</v>
      </c>
      <c r="H10" s="82">
        <v>0</v>
      </c>
      <c r="I10" s="168">
        <v>0</v>
      </c>
      <c r="J10" s="82">
        <v>0</v>
      </c>
      <c r="K10" s="163">
        <v>0</v>
      </c>
      <c r="L10" s="81">
        <v>0</v>
      </c>
      <c r="M10" s="81">
        <v>0</v>
      </c>
      <c r="N10" s="81">
        <v>0</v>
      </c>
      <c r="O10" s="189">
        <v>0</v>
      </c>
      <c r="P10" s="82">
        <v>-7794.5</v>
      </c>
      <c r="Q10" s="277">
        <v>0</v>
      </c>
      <c r="R10" s="277">
        <v>30000</v>
      </c>
      <c r="S10" s="81">
        <v>2343.75</v>
      </c>
      <c r="T10" s="277">
        <v>54000</v>
      </c>
      <c r="U10" s="81">
        <v>0</v>
      </c>
      <c r="V10" s="277">
        <v>0</v>
      </c>
      <c r="W10" s="81">
        <v>17218.75</v>
      </c>
      <c r="X10" s="281">
        <v>-5700</v>
      </c>
      <c r="Y10" s="81">
        <v>0</v>
      </c>
      <c r="Z10" s="281">
        <v>0</v>
      </c>
      <c r="AA10" s="81"/>
      <c r="AB10" s="277"/>
      <c r="AC10" s="81">
        <v>-8671.8799999999992</v>
      </c>
      <c r="AD10" s="277">
        <v>17685</v>
      </c>
      <c r="AE10" s="82">
        <v>8125</v>
      </c>
      <c r="AF10" s="300">
        <v>1900</v>
      </c>
      <c r="AG10" s="166">
        <f t="shared" si="0"/>
        <v>41221.119999999995</v>
      </c>
      <c r="AH10" s="166">
        <f t="shared" si="1"/>
        <v>67885</v>
      </c>
    </row>
    <row r="11" spans="1:34">
      <c r="A11" s="176" t="s">
        <v>14</v>
      </c>
      <c r="B11" s="173">
        <v>0</v>
      </c>
      <c r="C11" s="80">
        <v>0</v>
      </c>
      <c r="D11" s="80">
        <v>0</v>
      </c>
      <c r="E11" s="80">
        <v>0</v>
      </c>
      <c r="F11" s="82">
        <v>0</v>
      </c>
      <c r="G11" s="81">
        <v>0</v>
      </c>
      <c r="H11" s="82">
        <v>0</v>
      </c>
      <c r="I11" s="168">
        <v>0</v>
      </c>
      <c r="J11" s="82">
        <v>0</v>
      </c>
      <c r="K11" s="163">
        <v>0</v>
      </c>
      <c r="L11" s="81">
        <v>0</v>
      </c>
      <c r="M11" s="81">
        <v>0</v>
      </c>
      <c r="N11" s="81">
        <v>0</v>
      </c>
      <c r="O11" s="189">
        <v>0</v>
      </c>
      <c r="P11" s="82">
        <v>-22265.63</v>
      </c>
      <c r="Q11" s="277">
        <v>0</v>
      </c>
      <c r="R11" s="277"/>
      <c r="S11" s="81">
        <v>16093.75</v>
      </c>
      <c r="T11" s="277">
        <v>54600</v>
      </c>
      <c r="U11" s="81">
        <v>0</v>
      </c>
      <c r="V11" s="277">
        <v>0</v>
      </c>
      <c r="W11" s="81">
        <v>-42476.57</v>
      </c>
      <c r="X11" s="281">
        <v>-3900</v>
      </c>
      <c r="Y11" s="81">
        <v>0</v>
      </c>
      <c r="Z11" s="281">
        <v>0</v>
      </c>
      <c r="AA11" s="81"/>
      <c r="AB11" s="277"/>
      <c r="AC11" s="81">
        <v>18703.13</v>
      </c>
      <c r="AD11" s="277">
        <v>-4500</v>
      </c>
      <c r="AE11" s="82">
        <v>-57562.13</v>
      </c>
      <c r="AF11" s="300">
        <v>-5850</v>
      </c>
      <c r="AG11" s="166">
        <f t="shared" si="0"/>
        <v>-87507.45</v>
      </c>
      <c r="AH11" s="166">
        <f t="shared" si="1"/>
        <v>40350</v>
      </c>
    </row>
    <row r="12" spans="1:34">
      <c r="A12" s="176" t="s">
        <v>15</v>
      </c>
      <c r="B12" s="173">
        <v>0</v>
      </c>
      <c r="C12" s="80">
        <v>0</v>
      </c>
      <c r="D12" s="80">
        <v>0</v>
      </c>
      <c r="E12" s="80">
        <v>0</v>
      </c>
      <c r="F12" s="82">
        <v>0</v>
      </c>
      <c r="G12" s="81">
        <v>0</v>
      </c>
      <c r="H12" s="82">
        <v>0</v>
      </c>
      <c r="I12" s="168">
        <v>0</v>
      </c>
      <c r="J12" s="82">
        <v>0</v>
      </c>
      <c r="K12" s="163">
        <v>0</v>
      </c>
      <c r="L12" s="81">
        <v>0</v>
      </c>
      <c r="M12" s="81">
        <v>0</v>
      </c>
      <c r="N12" s="81">
        <v>0</v>
      </c>
      <c r="O12" s="189">
        <v>0</v>
      </c>
      <c r="P12" s="82">
        <v>-23750</v>
      </c>
      <c r="Q12" s="277">
        <v>0</v>
      </c>
      <c r="R12" s="277"/>
      <c r="S12" s="81">
        <v>28125</v>
      </c>
      <c r="T12" s="277">
        <v>0</v>
      </c>
      <c r="U12" s="81">
        <v>0</v>
      </c>
      <c r="V12" s="277">
        <v>0</v>
      </c>
      <c r="W12" s="81">
        <v>-8351.57</v>
      </c>
      <c r="X12" s="281">
        <v>20590</v>
      </c>
      <c r="Y12" s="81">
        <v>0</v>
      </c>
      <c r="Z12" s="281">
        <v>0</v>
      </c>
      <c r="AA12" s="81"/>
      <c r="AB12" s="277"/>
      <c r="AC12" s="81">
        <v>-3843.75</v>
      </c>
      <c r="AD12" s="277">
        <v>-2800</v>
      </c>
      <c r="AE12" s="82">
        <v>-18476.560000000001</v>
      </c>
      <c r="AF12" s="300">
        <v>10400</v>
      </c>
      <c r="AG12" s="166">
        <f t="shared" si="0"/>
        <v>-26296.880000000001</v>
      </c>
      <c r="AH12" s="166">
        <f t="shared" si="1"/>
        <v>28190</v>
      </c>
    </row>
    <row r="13" spans="1:34">
      <c r="A13" s="176" t="s">
        <v>104</v>
      </c>
      <c r="B13" s="173">
        <v>0</v>
      </c>
      <c r="C13" s="80">
        <v>0</v>
      </c>
      <c r="D13" s="80">
        <v>0</v>
      </c>
      <c r="E13" s="80">
        <v>0</v>
      </c>
      <c r="F13" s="82">
        <v>0</v>
      </c>
      <c r="G13" s="81">
        <v>0</v>
      </c>
      <c r="H13" s="82">
        <v>0</v>
      </c>
      <c r="I13" s="168">
        <v>0</v>
      </c>
      <c r="J13" s="82">
        <v>0</v>
      </c>
      <c r="K13" s="163">
        <v>0</v>
      </c>
      <c r="L13" s="81">
        <v>0</v>
      </c>
      <c r="M13" s="81">
        <v>0</v>
      </c>
      <c r="N13" s="81">
        <v>0</v>
      </c>
      <c r="O13" s="189">
        <v>0</v>
      </c>
      <c r="P13" s="82">
        <v>0</v>
      </c>
      <c r="Q13" s="277">
        <v>0</v>
      </c>
      <c r="R13" s="277"/>
      <c r="S13" s="81">
        <v>1562.5</v>
      </c>
      <c r="T13" s="277">
        <v>6200</v>
      </c>
      <c r="U13" s="81">
        <v>0</v>
      </c>
      <c r="V13" s="277">
        <v>0</v>
      </c>
      <c r="W13" s="81">
        <v>-2656.25</v>
      </c>
      <c r="X13" s="281">
        <v>0</v>
      </c>
      <c r="Y13" s="81">
        <v>0</v>
      </c>
      <c r="Z13" s="281">
        <v>0</v>
      </c>
      <c r="AA13" s="81"/>
      <c r="AB13" s="277"/>
      <c r="AC13" s="81">
        <v>45937.5</v>
      </c>
      <c r="AD13" s="277">
        <v>0</v>
      </c>
      <c r="AE13" s="82">
        <v>312.5</v>
      </c>
      <c r="AF13" s="300">
        <v>4700</v>
      </c>
      <c r="AG13" s="166">
        <v>45156.25</v>
      </c>
      <c r="AH13" s="166">
        <f t="shared" si="1"/>
        <v>10900</v>
      </c>
    </row>
    <row r="14" spans="1:34">
      <c r="A14" s="176" t="s">
        <v>105</v>
      </c>
      <c r="B14" s="173">
        <v>0</v>
      </c>
      <c r="C14" s="80">
        <v>0</v>
      </c>
      <c r="D14" s="80">
        <v>0</v>
      </c>
      <c r="E14" s="80">
        <v>0</v>
      </c>
      <c r="F14" s="82">
        <v>0</v>
      </c>
      <c r="G14" s="81">
        <v>0</v>
      </c>
      <c r="H14" s="82">
        <v>0</v>
      </c>
      <c r="I14" s="168">
        <v>0</v>
      </c>
      <c r="J14" s="82">
        <v>0</v>
      </c>
      <c r="K14" s="163">
        <v>0</v>
      </c>
      <c r="L14" s="81">
        <v>0</v>
      </c>
      <c r="M14" s="81">
        <v>0</v>
      </c>
      <c r="N14" s="81">
        <v>0</v>
      </c>
      <c r="O14" s="189">
        <v>0</v>
      </c>
      <c r="P14" s="82">
        <v>0</v>
      </c>
      <c r="Q14" s="277">
        <v>0</v>
      </c>
      <c r="R14" s="277">
        <v>0</v>
      </c>
      <c r="S14" s="81">
        <v>0</v>
      </c>
      <c r="T14" s="277">
        <v>-7000</v>
      </c>
      <c r="U14" s="81">
        <v>-2031.25</v>
      </c>
      <c r="V14" s="277">
        <v>0</v>
      </c>
      <c r="W14" s="81">
        <v>-1875</v>
      </c>
      <c r="X14" s="281">
        <v>0</v>
      </c>
      <c r="Y14" s="81">
        <v>0</v>
      </c>
      <c r="Z14" s="281">
        <v>0</v>
      </c>
      <c r="AA14" s="81">
        <v>0</v>
      </c>
      <c r="AB14" s="277">
        <v>0</v>
      </c>
      <c r="AC14" s="81">
        <v>-4218.75</v>
      </c>
      <c r="AD14" s="277">
        <v>0</v>
      </c>
      <c r="AE14" s="82">
        <v>-5156.25</v>
      </c>
      <c r="AF14" s="300">
        <v>0</v>
      </c>
      <c r="AG14" s="166">
        <f t="shared" si="0"/>
        <v>-13281.25</v>
      </c>
      <c r="AH14" s="166">
        <f t="shared" si="1"/>
        <v>-7000</v>
      </c>
    </row>
    <row r="15" spans="1:34">
      <c r="A15" s="176" t="s">
        <v>19</v>
      </c>
      <c r="B15" s="173">
        <v>0</v>
      </c>
      <c r="C15" s="80">
        <v>0</v>
      </c>
      <c r="D15" s="80">
        <v>0</v>
      </c>
      <c r="E15" s="80">
        <v>0</v>
      </c>
      <c r="F15" s="82">
        <v>0</v>
      </c>
      <c r="G15" s="81">
        <v>0</v>
      </c>
      <c r="H15" s="82">
        <v>0</v>
      </c>
      <c r="I15" s="168">
        <v>0</v>
      </c>
      <c r="J15" s="82">
        <v>0</v>
      </c>
      <c r="K15" s="163">
        <v>0</v>
      </c>
      <c r="L15" s="81">
        <v>0</v>
      </c>
      <c r="M15" s="81">
        <v>0</v>
      </c>
      <c r="N15" s="81">
        <v>0</v>
      </c>
      <c r="O15" s="189">
        <v>0</v>
      </c>
      <c r="P15" s="82">
        <v>-6250</v>
      </c>
      <c r="Q15" s="277">
        <v>0</v>
      </c>
      <c r="R15" s="277">
        <v>0</v>
      </c>
      <c r="S15" s="277">
        <v>0</v>
      </c>
      <c r="T15" s="277">
        <v>0</v>
      </c>
      <c r="U15" s="81">
        <v>-3828.12</v>
      </c>
      <c r="V15" s="277">
        <v>0</v>
      </c>
      <c r="W15" s="81">
        <v>-4843.75</v>
      </c>
      <c r="X15" s="281">
        <v>-3400</v>
      </c>
      <c r="Y15" s="81">
        <v>0</v>
      </c>
      <c r="Z15" s="281">
        <v>0</v>
      </c>
      <c r="AA15" s="81">
        <v>-6171.88</v>
      </c>
      <c r="AB15" s="277">
        <v>0</v>
      </c>
      <c r="AC15" s="81">
        <v>35468.75</v>
      </c>
      <c r="AD15" s="277">
        <v>3600</v>
      </c>
      <c r="AE15" s="82">
        <v>-3750</v>
      </c>
      <c r="AF15" s="300">
        <v>-2100</v>
      </c>
      <c r="AG15" s="166">
        <f t="shared" si="0"/>
        <v>10625</v>
      </c>
      <c r="AH15" s="166">
        <f t="shared" si="1"/>
        <v>-1900</v>
      </c>
    </row>
    <row r="16" spans="1:34">
      <c r="A16" s="176" t="s">
        <v>20</v>
      </c>
      <c r="B16" s="173">
        <v>0</v>
      </c>
      <c r="C16" s="80">
        <v>0</v>
      </c>
      <c r="D16" s="80">
        <v>0</v>
      </c>
      <c r="E16" s="80">
        <v>0</v>
      </c>
      <c r="F16" s="82">
        <v>0</v>
      </c>
      <c r="G16" s="81">
        <v>0</v>
      </c>
      <c r="H16" s="82">
        <v>0</v>
      </c>
      <c r="I16" s="168">
        <v>0</v>
      </c>
      <c r="J16" s="82">
        <v>0</v>
      </c>
      <c r="K16" s="163">
        <v>0</v>
      </c>
      <c r="L16" s="81">
        <v>0</v>
      </c>
      <c r="M16" s="81">
        <v>0</v>
      </c>
      <c r="N16" s="81">
        <v>0</v>
      </c>
      <c r="O16" s="189">
        <v>0</v>
      </c>
      <c r="P16" s="82">
        <v>-17187.5</v>
      </c>
      <c r="Q16" s="277">
        <v>0</v>
      </c>
      <c r="R16" s="277">
        <v>0</v>
      </c>
      <c r="S16" s="277">
        <v>0</v>
      </c>
      <c r="T16" s="277">
        <v>0</v>
      </c>
      <c r="U16" s="81">
        <v>14671.88</v>
      </c>
      <c r="V16" s="277">
        <v>0</v>
      </c>
      <c r="W16" s="81">
        <v>82500</v>
      </c>
      <c r="X16" s="281">
        <v>-1705</v>
      </c>
      <c r="Y16" s="81">
        <v>0</v>
      </c>
      <c r="Z16" s="281">
        <v>0</v>
      </c>
      <c r="AA16" s="81">
        <v>15468.75</v>
      </c>
      <c r="AB16" s="277">
        <v>0</v>
      </c>
      <c r="AC16" s="81">
        <v>-2140.62</v>
      </c>
      <c r="AD16" s="277">
        <v>0</v>
      </c>
      <c r="AE16" s="82">
        <v>-10468.75</v>
      </c>
      <c r="AF16" s="300">
        <v>-1700</v>
      </c>
      <c r="AG16" s="166">
        <v>82843.759999999995</v>
      </c>
      <c r="AH16" s="166">
        <v>-3405</v>
      </c>
    </row>
    <row r="17" spans="1:36">
      <c r="A17" s="176" t="s">
        <v>24</v>
      </c>
      <c r="B17" s="173">
        <v>0</v>
      </c>
      <c r="C17" s="80">
        <v>0</v>
      </c>
      <c r="D17" s="80">
        <v>0</v>
      </c>
      <c r="E17" s="80">
        <v>0</v>
      </c>
      <c r="F17" s="82">
        <v>0</v>
      </c>
      <c r="G17" s="81">
        <v>0</v>
      </c>
      <c r="H17" s="82">
        <v>0</v>
      </c>
      <c r="I17" s="168">
        <v>0</v>
      </c>
      <c r="J17" s="82">
        <v>0</v>
      </c>
      <c r="K17" s="163">
        <v>0</v>
      </c>
      <c r="L17" s="81">
        <v>0</v>
      </c>
      <c r="M17" s="81">
        <v>0</v>
      </c>
      <c r="N17" s="81">
        <v>0</v>
      </c>
      <c r="O17" s="189">
        <v>0</v>
      </c>
      <c r="P17" s="82">
        <v>0</v>
      </c>
      <c r="Q17" s="277">
        <v>0</v>
      </c>
      <c r="R17" s="277">
        <v>0</v>
      </c>
      <c r="S17" s="277">
        <v>0</v>
      </c>
      <c r="T17" s="277">
        <v>0</v>
      </c>
      <c r="U17" s="81">
        <v>-21939.75</v>
      </c>
      <c r="V17" s="277">
        <v>0</v>
      </c>
      <c r="W17" s="81">
        <v>0</v>
      </c>
      <c r="X17" s="281">
        <v>0</v>
      </c>
      <c r="Y17" s="81">
        <v>15156.25</v>
      </c>
      <c r="Z17" s="281">
        <v>0</v>
      </c>
      <c r="AA17" s="81">
        <v>0</v>
      </c>
      <c r="AB17" s="277">
        <v>0</v>
      </c>
      <c r="AC17" s="81">
        <v>25197.53</v>
      </c>
      <c r="AD17" s="277">
        <v>-2500</v>
      </c>
      <c r="AE17" s="82">
        <v>-39531.25</v>
      </c>
      <c r="AF17" s="300">
        <v>-11100</v>
      </c>
      <c r="AG17" s="166">
        <v>-21117.22</v>
      </c>
      <c r="AH17" s="166">
        <v>-13600</v>
      </c>
    </row>
    <row r="18" spans="1:36" ht="15" customHeight="1">
      <c r="A18" s="176" t="s">
        <v>153</v>
      </c>
      <c r="B18" s="173"/>
      <c r="C18" s="80"/>
      <c r="D18" s="80"/>
      <c r="E18" s="80"/>
      <c r="F18" s="82"/>
      <c r="G18" s="81"/>
      <c r="H18" s="82"/>
      <c r="I18" s="168"/>
      <c r="J18" s="82"/>
      <c r="K18" s="163"/>
      <c r="L18" s="81"/>
      <c r="M18" s="81"/>
      <c r="N18" s="81"/>
      <c r="O18" s="189"/>
      <c r="P18" s="82"/>
      <c r="Q18" s="277"/>
      <c r="R18" s="277"/>
      <c r="S18" s="277"/>
      <c r="T18" s="277"/>
      <c r="U18" s="81"/>
      <c r="V18" s="277"/>
      <c r="W18" s="81"/>
      <c r="X18" s="281"/>
      <c r="Y18" s="81"/>
      <c r="Z18" s="281"/>
      <c r="AA18" s="81"/>
      <c r="AB18" s="277"/>
      <c r="AC18" s="81"/>
      <c r="AD18" s="277"/>
      <c r="AE18" s="82"/>
      <c r="AF18" s="300"/>
      <c r="AG18" s="166" t="s">
        <v>23</v>
      </c>
      <c r="AH18" s="166" t="s">
        <v>23</v>
      </c>
    </row>
    <row r="19" spans="1:36" ht="12" customHeight="1">
      <c r="A19" s="177">
        <v>39417</v>
      </c>
      <c r="B19" s="173"/>
      <c r="C19" s="80"/>
      <c r="D19" s="80"/>
      <c r="E19" s="80"/>
      <c r="F19" s="82"/>
      <c r="G19" s="81"/>
      <c r="H19" s="82"/>
      <c r="I19" s="168"/>
      <c r="J19" s="82"/>
      <c r="K19" s="163"/>
      <c r="L19" s="81"/>
      <c r="M19" s="81"/>
      <c r="N19" s="81"/>
      <c r="O19" s="189"/>
      <c r="P19" s="82"/>
      <c r="Q19" s="277"/>
      <c r="R19" s="277"/>
      <c r="S19" s="277"/>
      <c r="T19" s="277"/>
      <c r="U19" s="81"/>
      <c r="V19" s="277"/>
      <c r="W19" s="81"/>
      <c r="X19" s="281"/>
      <c r="Y19" s="81"/>
      <c r="Z19" s="281"/>
      <c r="AA19" s="81"/>
      <c r="AB19" s="277"/>
      <c r="AC19" s="81"/>
      <c r="AD19" s="277"/>
      <c r="AE19" s="82"/>
      <c r="AF19" s="300"/>
      <c r="AG19" s="166">
        <f t="shared" ref="AG19:AG25" si="2">SUM(B19:AF19)-AH19</f>
        <v>0</v>
      </c>
      <c r="AH19" s="166">
        <f>D19+J19+Q19+T19+V19+X19+Z19+AB19+AD19+AF19</f>
        <v>0</v>
      </c>
      <c r="AJ19" s="12"/>
    </row>
    <row r="20" spans="1:36" ht="12" customHeight="1">
      <c r="A20" s="177">
        <v>39418</v>
      </c>
      <c r="B20" s="173"/>
      <c r="C20" s="80"/>
      <c r="D20" s="80"/>
      <c r="E20" s="80"/>
      <c r="F20" s="82"/>
      <c r="G20" s="81"/>
      <c r="H20" s="82"/>
      <c r="I20" s="168"/>
      <c r="J20" s="81"/>
      <c r="K20" s="169"/>
      <c r="L20" s="190"/>
      <c r="M20" s="190"/>
      <c r="N20" s="190"/>
      <c r="O20" s="189"/>
      <c r="P20" s="82"/>
      <c r="Q20" s="277"/>
      <c r="R20" s="277"/>
      <c r="S20" s="277"/>
      <c r="T20" s="277"/>
      <c r="U20" s="81"/>
      <c r="V20" s="277"/>
      <c r="W20" s="81"/>
      <c r="X20" s="281"/>
      <c r="Y20" s="81"/>
      <c r="Z20" s="281"/>
      <c r="AA20" s="81"/>
      <c r="AB20" s="277"/>
      <c r="AC20" s="81"/>
      <c r="AD20" s="277"/>
      <c r="AE20" s="82"/>
      <c r="AF20" s="300"/>
      <c r="AG20" s="166">
        <f>SUM(B20:AF20)-AH20</f>
        <v>0</v>
      </c>
      <c r="AH20" s="166">
        <f t="shared" ref="AH20:AH50" si="3">D20+J20+Q20+T20+V20+X20+Z20+AB20+AD20+AF20</f>
        <v>0</v>
      </c>
      <c r="AJ20" s="12"/>
    </row>
    <row r="21" spans="1:36" ht="12" customHeight="1">
      <c r="A21" s="177">
        <v>39419</v>
      </c>
      <c r="B21" s="173"/>
      <c r="C21" s="80"/>
      <c r="D21" s="80"/>
      <c r="E21" s="80"/>
      <c r="F21" s="82"/>
      <c r="G21" s="81"/>
      <c r="H21" s="82"/>
      <c r="I21" s="168"/>
      <c r="J21" s="82"/>
      <c r="K21" s="163"/>
      <c r="L21" s="81"/>
      <c r="M21" s="81"/>
      <c r="N21" s="81"/>
      <c r="O21" s="189"/>
      <c r="P21" s="82"/>
      <c r="Q21" s="277"/>
      <c r="R21" s="277"/>
      <c r="S21" s="277"/>
      <c r="T21" s="277"/>
      <c r="U21" s="81"/>
      <c r="V21" s="277"/>
      <c r="W21" s="81"/>
      <c r="X21" s="281"/>
      <c r="Y21" s="81"/>
      <c r="Z21" s="281"/>
      <c r="AA21" s="81"/>
      <c r="AB21" s="277"/>
      <c r="AC21" s="81"/>
      <c r="AD21" s="277"/>
      <c r="AE21" s="82"/>
      <c r="AF21" s="300"/>
      <c r="AG21" s="166">
        <f t="shared" si="2"/>
        <v>0</v>
      </c>
      <c r="AH21" s="166">
        <f t="shared" si="3"/>
        <v>0</v>
      </c>
      <c r="AJ21" s="12"/>
    </row>
    <row r="22" spans="1:36" ht="12" customHeight="1">
      <c r="A22" s="177">
        <v>39420</v>
      </c>
      <c r="B22" s="173"/>
      <c r="C22" s="80"/>
      <c r="D22" s="80"/>
      <c r="E22" s="80"/>
      <c r="F22" s="82"/>
      <c r="G22" s="81"/>
      <c r="H22" s="82"/>
      <c r="I22" s="168"/>
      <c r="J22" s="82"/>
      <c r="K22" s="163"/>
      <c r="L22" s="81"/>
      <c r="M22" s="81"/>
      <c r="N22" s="81"/>
      <c r="O22" s="189"/>
      <c r="P22" s="82"/>
      <c r="Q22" s="277"/>
      <c r="R22" s="277"/>
      <c r="S22" s="277"/>
      <c r="T22" s="277"/>
      <c r="U22" s="81"/>
      <c r="V22" s="277"/>
      <c r="W22" s="81"/>
      <c r="X22" s="281"/>
      <c r="Y22" s="81"/>
      <c r="Z22" s="281"/>
      <c r="AA22" s="81"/>
      <c r="AB22" s="277"/>
      <c r="AC22" s="81"/>
      <c r="AD22" s="277"/>
      <c r="AE22" s="82"/>
      <c r="AF22" s="300"/>
      <c r="AG22" s="166">
        <f t="shared" si="2"/>
        <v>0</v>
      </c>
      <c r="AH22" s="166">
        <f t="shared" si="3"/>
        <v>0</v>
      </c>
    </row>
    <row r="23" spans="1:36" ht="12" customHeight="1">
      <c r="A23" s="177">
        <v>39421</v>
      </c>
      <c r="B23" s="173"/>
      <c r="C23" s="80"/>
      <c r="D23" s="80"/>
      <c r="E23" s="80"/>
      <c r="F23" s="82"/>
      <c r="G23" s="81"/>
      <c r="H23" s="82"/>
      <c r="I23" s="168"/>
      <c r="J23" s="82"/>
      <c r="K23" s="163"/>
      <c r="L23" s="81"/>
      <c r="M23" s="81"/>
      <c r="N23" s="81"/>
      <c r="O23" s="189"/>
      <c r="P23" s="82"/>
      <c r="Q23" s="277"/>
      <c r="R23" s="277"/>
      <c r="S23" s="277"/>
      <c r="T23" s="277"/>
      <c r="U23" s="81">
        <v>2187.5</v>
      </c>
      <c r="V23" s="277"/>
      <c r="W23" s="81"/>
      <c r="X23" s="281"/>
      <c r="Y23" s="81"/>
      <c r="Z23" s="281"/>
      <c r="AA23" s="81"/>
      <c r="AB23" s="277"/>
      <c r="AC23" s="81"/>
      <c r="AD23" s="277"/>
      <c r="AE23" s="82"/>
      <c r="AF23" s="300"/>
      <c r="AG23" s="166">
        <f t="shared" si="2"/>
        <v>2187.5</v>
      </c>
      <c r="AH23" s="166">
        <f t="shared" si="3"/>
        <v>0</v>
      </c>
    </row>
    <row r="24" spans="1:36" ht="12" customHeight="1">
      <c r="A24" s="177">
        <v>39422</v>
      </c>
      <c r="B24" s="173"/>
      <c r="C24" s="80"/>
      <c r="D24" s="80"/>
      <c r="E24" s="80"/>
      <c r="F24" s="82"/>
      <c r="G24" s="81"/>
      <c r="H24" s="82"/>
      <c r="I24" s="168"/>
      <c r="J24" s="82"/>
      <c r="K24" s="163"/>
      <c r="L24" s="81"/>
      <c r="M24" s="81"/>
      <c r="N24" s="81"/>
      <c r="O24" s="189"/>
      <c r="P24" s="82"/>
      <c r="Q24" s="277"/>
      <c r="R24" s="277"/>
      <c r="S24" s="277"/>
      <c r="T24" s="277"/>
      <c r="U24" s="81"/>
      <c r="V24" s="277"/>
      <c r="W24" s="81"/>
      <c r="X24" s="281"/>
      <c r="Y24" s="81">
        <v>-32812.5</v>
      </c>
      <c r="Z24" s="281"/>
      <c r="AA24" s="81"/>
      <c r="AB24" s="277"/>
      <c r="AC24" s="81">
        <v>-3125</v>
      </c>
      <c r="AD24" s="277"/>
      <c r="AE24" s="82">
        <v>7187.5</v>
      </c>
      <c r="AF24" s="300"/>
      <c r="AG24" s="166">
        <f t="shared" si="2"/>
        <v>-28750</v>
      </c>
      <c r="AH24" s="166">
        <f t="shared" si="3"/>
        <v>0</v>
      </c>
    </row>
    <row r="25" spans="1:36" ht="12" customHeight="1">
      <c r="A25" s="177">
        <v>39423</v>
      </c>
      <c r="B25" s="173"/>
      <c r="C25" s="80"/>
      <c r="D25" s="80"/>
      <c r="E25" s="80"/>
      <c r="F25" s="82"/>
      <c r="G25" s="81"/>
      <c r="H25" s="82"/>
      <c r="I25" s="168"/>
      <c r="J25" s="82"/>
      <c r="K25" s="163"/>
      <c r="L25" s="81"/>
      <c r="M25" s="81"/>
      <c r="N25" s="81"/>
      <c r="O25" s="189"/>
      <c r="P25" s="82"/>
      <c r="Q25" s="277"/>
      <c r="R25" s="277"/>
      <c r="S25" s="277"/>
      <c r="T25" s="277"/>
      <c r="U25" s="81">
        <v>-468.75</v>
      </c>
      <c r="V25" s="277"/>
      <c r="W25" s="81"/>
      <c r="X25" s="281"/>
      <c r="Y25" s="81"/>
      <c r="Z25" s="281"/>
      <c r="AA25" s="81"/>
      <c r="AB25" s="277"/>
      <c r="AC25" s="81">
        <v>-12500</v>
      </c>
      <c r="AD25" s="277"/>
      <c r="AE25" s="82"/>
      <c r="AF25" s="300"/>
      <c r="AG25" s="166">
        <f t="shared" si="2"/>
        <v>-12968.75</v>
      </c>
      <c r="AH25" s="166">
        <f t="shared" si="3"/>
        <v>0</v>
      </c>
    </row>
    <row r="26" spans="1:36" ht="12" customHeight="1">
      <c r="A26" s="177">
        <v>39424</v>
      </c>
      <c r="B26" s="173"/>
      <c r="C26" s="80"/>
      <c r="D26" s="80"/>
      <c r="E26" s="80"/>
      <c r="F26" s="82"/>
      <c r="G26" s="81"/>
      <c r="H26" s="82"/>
      <c r="I26" s="168"/>
      <c r="J26" s="82"/>
      <c r="K26" s="163"/>
      <c r="L26" s="81"/>
      <c r="M26" s="81"/>
      <c r="N26" s="81"/>
      <c r="O26" s="189"/>
      <c r="P26" s="82"/>
      <c r="Q26" s="277"/>
      <c r="R26" s="277"/>
      <c r="S26" s="277"/>
      <c r="T26" s="277"/>
      <c r="U26" s="81"/>
      <c r="V26" s="277"/>
      <c r="W26" s="81"/>
      <c r="X26" s="281"/>
      <c r="Y26" s="81"/>
      <c r="Z26" s="281"/>
      <c r="AA26" s="81"/>
      <c r="AB26" s="277"/>
      <c r="AC26" s="81"/>
      <c r="AD26" s="277"/>
      <c r="AE26" s="82"/>
      <c r="AF26" s="300"/>
      <c r="AG26" s="166">
        <f t="shared" ref="AG26:AG39" si="4">SUM(B26:AF26)-AH26</f>
        <v>0</v>
      </c>
      <c r="AH26" s="166">
        <f t="shared" si="3"/>
        <v>0</v>
      </c>
    </row>
    <row r="27" spans="1:36" ht="12" customHeight="1">
      <c r="A27" s="177">
        <v>39425</v>
      </c>
      <c r="B27" s="173"/>
      <c r="C27" s="80"/>
      <c r="D27" s="80"/>
      <c r="E27" s="80"/>
      <c r="F27" s="82"/>
      <c r="G27" s="81"/>
      <c r="H27" s="82"/>
      <c r="I27" s="168"/>
      <c r="J27" s="82"/>
      <c r="K27" s="163"/>
      <c r="L27" s="81"/>
      <c r="M27" s="81"/>
      <c r="N27" s="81"/>
      <c r="O27" s="189"/>
      <c r="P27" s="82"/>
      <c r="Q27" s="277"/>
      <c r="R27" s="277"/>
      <c r="S27" s="277"/>
      <c r="T27" s="277"/>
      <c r="U27" s="81"/>
      <c r="V27" s="277"/>
      <c r="W27" s="81"/>
      <c r="X27" s="281"/>
      <c r="Y27" s="81"/>
      <c r="Z27" s="281"/>
      <c r="AA27" s="81"/>
      <c r="AB27" s="277"/>
      <c r="AC27" s="81"/>
      <c r="AD27" s="277"/>
      <c r="AE27" s="82"/>
      <c r="AF27" s="300"/>
      <c r="AG27" s="166">
        <f t="shared" si="4"/>
        <v>0</v>
      </c>
      <c r="AH27" s="166">
        <f t="shared" si="3"/>
        <v>0</v>
      </c>
    </row>
    <row r="28" spans="1:36" ht="12" customHeight="1">
      <c r="A28" s="177">
        <v>39426</v>
      </c>
      <c r="B28" s="173"/>
      <c r="C28" s="80"/>
      <c r="D28" s="80"/>
      <c r="E28" s="80"/>
      <c r="F28" s="82"/>
      <c r="G28" s="81"/>
      <c r="H28" s="82"/>
      <c r="I28" s="168"/>
      <c r="J28" s="82"/>
      <c r="K28" s="163"/>
      <c r="L28" s="81"/>
      <c r="M28" s="81"/>
      <c r="N28" s="81"/>
      <c r="O28" s="189"/>
      <c r="P28" s="82"/>
      <c r="Q28" s="277"/>
      <c r="R28" s="277"/>
      <c r="S28" s="277"/>
      <c r="T28" s="277"/>
      <c r="U28" s="81"/>
      <c r="V28" s="277"/>
      <c r="W28" s="81"/>
      <c r="X28" s="281"/>
      <c r="Y28" s="81"/>
      <c r="Z28" s="281"/>
      <c r="AA28" s="81"/>
      <c r="AB28" s="277"/>
      <c r="AC28" s="81"/>
      <c r="AD28" s="277"/>
      <c r="AE28" s="82">
        <v>12500</v>
      </c>
      <c r="AF28" s="300"/>
      <c r="AG28" s="166">
        <f t="shared" si="4"/>
        <v>12500</v>
      </c>
      <c r="AH28" s="166">
        <f t="shared" si="3"/>
        <v>0</v>
      </c>
    </row>
    <row r="29" spans="1:36" ht="12" customHeight="1">
      <c r="A29" s="177">
        <v>39427</v>
      </c>
      <c r="B29" s="173"/>
      <c r="C29" s="80"/>
      <c r="D29" s="80"/>
      <c r="E29" s="80"/>
      <c r="F29" s="82"/>
      <c r="G29" s="81"/>
      <c r="H29" s="82"/>
      <c r="I29" s="168"/>
      <c r="J29" s="82"/>
      <c r="K29" s="163"/>
      <c r="L29" s="81"/>
      <c r="M29" s="81"/>
      <c r="N29" s="81"/>
      <c r="O29" s="189"/>
      <c r="P29" s="82"/>
      <c r="Q29" s="277"/>
      <c r="R29" s="277"/>
      <c r="S29" s="277"/>
      <c r="T29" s="277"/>
      <c r="U29" s="81">
        <v>-2968.75</v>
      </c>
      <c r="V29" s="277"/>
      <c r="W29" s="81"/>
      <c r="X29" s="281"/>
      <c r="Y29" s="81"/>
      <c r="Z29" s="281"/>
      <c r="AA29" s="81"/>
      <c r="AB29" s="277"/>
      <c r="AC29" s="81"/>
      <c r="AD29" s="277"/>
      <c r="AE29" s="82"/>
      <c r="AF29" s="300">
        <v>-1600</v>
      </c>
      <c r="AG29" s="166">
        <f t="shared" si="4"/>
        <v>-2968.75</v>
      </c>
      <c r="AH29" s="166">
        <f t="shared" si="3"/>
        <v>-1600</v>
      </c>
    </row>
    <row r="30" spans="1:36" ht="12" customHeight="1">
      <c r="A30" s="177">
        <v>39428</v>
      </c>
      <c r="B30" s="173"/>
      <c r="C30" s="80"/>
      <c r="D30" s="80"/>
      <c r="E30" s="80"/>
      <c r="F30" s="82"/>
      <c r="G30" s="81"/>
      <c r="H30" s="82"/>
      <c r="I30" s="168"/>
      <c r="J30" s="82"/>
      <c r="K30" s="163"/>
      <c r="L30" s="81"/>
      <c r="M30" s="81"/>
      <c r="N30" s="81"/>
      <c r="O30" s="189"/>
      <c r="P30" s="82"/>
      <c r="Q30" s="277"/>
      <c r="R30" s="277"/>
      <c r="S30" s="277"/>
      <c r="T30" s="277"/>
      <c r="U30" s="81">
        <v>1562.5</v>
      </c>
      <c r="V30" s="277"/>
      <c r="W30" s="81"/>
      <c r="X30" s="281"/>
      <c r="Y30" s="81"/>
      <c r="Z30" s="281"/>
      <c r="AA30" s="81"/>
      <c r="AB30" s="277"/>
      <c r="AC30" s="81"/>
      <c r="AD30" s="277"/>
      <c r="AE30" s="82"/>
      <c r="AF30" s="300"/>
      <c r="AG30" s="166">
        <f t="shared" si="4"/>
        <v>1562.5</v>
      </c>
      <c r="AH30" s="166">
        <f t="shared" si="3"/>
        <v>0</v>
      </c>
    </row>
    <row r="31" spans="1:36" ht="12" customHeight="1">
      <c r="A31" s="177">
        <v>39429</v>
      </c>
      <c r="B31" s="173"/>
      <c r="C31" s="80"/>
      <c r="D31" s="80"/>
      <c r="E31" s="80"/>
      <c r="F31" s="82"/>
      <c r="G31" s="81"/>
      <c r="H31" s="82"/>
      <c r="I31" s="168"/>
      <c r="J31" s="82"/>
      <c r="K31" s="163"/>
      <c r="L31" s="81"/>
      <c r="M31" s="81"/>
      <c r="N31" s="81"/>
      <c r="O31" s="189"/>
      <c r="P31" s="82"/>
      <c r="Q31" s="277"/>
      <c r="R31" s="277"/>
      <c r="S31" s="277"/>
      <c r="T31" s="277"/>
      <c r="U31" s="81">
        <v>-7812.5</v>
      </c>
      <c r="V31" s="277"/>
      <c r="W31" s="81"/>
      <c r="X31" s="281"/>
      <c r="Y31" s="81">
        <v>-37500</v>
      </c>
      <c r="Z31" s="281"/>
      <c r="AA31" s="81"/>
      <c r="AB31" s="277"/>
      <c r="AC31" s="81">
        <v>-50546.879999999997</v>
      </c>
      <c r="AD31" s="277"/>
      <c r="AE31" s="82"/>
      <c r="AF31" s="300"/>
      <c r="AG31" s="166">
        <f t="shared" si="4"/>
        <v>-95859.38</v>
      </c>
      <c r="AH31" s="166">
        <f t="shared" si="3"/>
        <v>0</v>
      </c>
    </row>
    <row r="32" spans="1:36" ht="12.6" customHeight="1">
      <c r="A32" s="177">
        <v>39430</v>
      </c>
      <c r="B32" s="173"/>
      <c r="C32" s="80"/>
      <c r="D32" s="80"/>
      <c r="E32" s="80"/>
      <c r="F32" s="82"/>
      <c r="G32" s="81"/>
      <c r="H32" s="82"/>
      <c r="I32" s="168"/>
      <c r="J32" s="82"/>
      <c r="K32" s="163"/>
      <c r="L32" s="81"/>
      <c r="M32" s="81"/>
      <c r="N32" s="81"/>
      <c r="O32" s="189"/>
      <c r="P32" s="82"/>
      <c r="Q32" s="277"/>
      <c r="R32" s="277"/>
      <c r="S32" s="277"/>
      <c r="T32" s="277"/>
      <c r="U32" s="81"/>
      <c r="V32" s="277"/>
      <c r="W32" s="81"/>
      <c r="X32" s="281"/>
      <c r="Y32" s="81"/>
      <c r="Z32" s="281"/>
      <c r="AA32" s="81"/>
      <c r="AB32" s="277"/>
      <c r="AC32" s="81"/>
      <c r="AD32" s="277"/>
      <c r="AE32" s="82"/>
      <c r="AF32" s="300"/>
      <c r="AG32" s="166">
        <f t="shared" si="4"/>
        <v>0</v>
      </c>
      <c r="AH32" s="166">
        <f t="shared" si="3"/>
        <v>0</v>
      </c>
    </row>
    <row r="33" spans="1:38" ht="12" customHeight="1">
      <c r="A33" s="177">
        <v>39431</v>
      </c>
      <c r="B33" s="173"/>
      <c r="C33" s="80"/>
      <c r="D33" s="80"/>
      <c r="E33" s="80"/>
      <c r="F33" s="163"/>
      <c r="G33" s="81"/>
      <c r="H33" s="82"/>
      <c r="I33" s="168"/>
      <c r="J33" s="82"/>
      <c r="K33" s="163"/>
      <c r="L33" s="81"/>
      <c r="M33" s="81"/>
      <c r="N33" s="81"/>
      <c r="O33" s="189"/>
      <c r="P33" s="82"/>
      <c r="Q33" s="277"/>
      <c r="R33" s="277"/>
      <c r="S33" s="277"/>
      <c r="T33" s="277"/>
      <c r="U33" s="81"/>
      <c r="V33" s="277"/>
      <c r="W33" s="81"/>
      <c r="X33" s="281"/>
      <c r="Y33" s="81"/>
      <c r="Z33" s="281"/>
      <c r="AA33" s="81"/>
      <c r="AB33" s="277"/>
      <c r="AC33" s="81"/>
      <c r="AD33" s="277"/>
      <c r="AE33" s="82"/>
      <c r="AF33" s="300"/>
      <c r="AG33" s="166">
        <f t="shared" si="4"/>
        <v>0</v>
      </c>
      <c r="AH33" s="166">
        <f t="shared" si="3"/>
        <v>0</v>
      </c>
    </row>
    <row r="34" spans="1:38" ht="12" customHeight="1">
      <c r="A34" s="177">
        <v>39432</v>
      </c>
      <c r="B34" s="173"/>
      <c r="C34" s="80"/>
      <c r="D34" s="80"/>
      <c r="E34" s="80"/>
      <c r="F34" s="82"/>
      <c r="G34" s="81"/>
      <c r="H34" s="82"/>
      <c r="I34" s="168"/>
      <c r="J34" s="82"/>
      <c r="K34" s="163"/>
      <c r="L34" s="81"/>
      <c r="M34" s="81"/>
      <c r="N34" s="81"/>
      <c r="O34" s="189"/>
      <c r="P34" s="82"/>
      <c r="Q34" s="277"/>
      <c r="R34" s="277"/>
      <c r="S34" s="277"/>
      <c r="T34" s="277"/>
      <c r="U34" s="81"/>
      <c r="V34" s="277"/>
      <c r="W34" s="81"/>
      <c r="X34" s="281"/>
      <c r="Y34" s="81"/>
      <c r="Z34" s="281"/>
      <c r="AA34" s="81"/>
      <c r="AB34" s="277"/>
      <c r="AC34" s="81"/>
      <c r="AD34" s="277"/>
      <c r="AE34" s="82"/>
      <c r="AF34" s="300"/>
      <c r="AG34" s="166">
        <f t="shared" si="4"/>
        <v>0</v>
      </c>
      <c r="AH34" s="166">
        <f t="shared" si="3"/>
        <v>0</v>
      </c>
    </row>
    <row r="35" spans="1:38" ht="12" customHeight="1">
      <c r="A35" s="177">
        <v>39433</v>
      </c>
      <c r="B35" s="173"/>
      <c r="C35" s="80"/>
      <c r="D35" s="80"/>
      <c r="E35" s="81"/>
      <c r="F35" s="82"/>
      <c r="G35" s="81"/>
      <c r="H35" s="82"/>
      <c r="I35" s="168"/>
      <c r="J35" s="82"/>
      <c r="K35" s="163"/>
      <c r="L35" s="81"/>
      <c r="M35" s="81"/>
      <c r="N35" s="81"/>
      <c r="O35" s="189"/>
      <c r="P35" s="82"/>
      <c r="Q35" s="277"/>
      <c r="R35" s="277"/>
      <c r="S35" s="277"/>
      <c r="T35" s="277"/>
      <c r="U35" s="81"/>
      <c r="V35" s="277"/>
      <c r="W35" s="81"/>
      <c r="X35" s="281"/>
      <c r="Y35" s="81"/>
      <c r="Z35" s="281"/>
      <c r="AA35" s="81"/>
      <c r="AB35" s="277"/>
      <c r="AC35" s="81"/>
      <c r="AD35" s="277"/>
      <c r="AE35" s="82"/>
      <c r="AF35" s="300"/>
      <c r="AG35" s="166">
        <f t="shared" si="4"/>
        <v>0</v>
      </c>
      <c r="AH35" s="166">
        <f t="shared" si="3"/>
        <v>0</v>
      </c>
      <c r="AJ35" s="12"/>
    </row>
    <row r="36" spans="1:38" ht="12" customHeight="1">
      <c r="A36" s="177">
        <v>39434</v>
      </c>
      <c r="B36" s="173"/>
      <c r="C36" s="80"/>
      <c r="D36" s="80"/>
      <c r="E36" s="81"/>
      <c r="F36" s="82"/>
      <c r="G36" s="81"/>
      <c r="H36" s="82"/>
      <c r="I36" s="168"/>
      <c r="J36" s="82"/>
      <c r="K36" s="163"/>
      <c r="L36" s="81"/>
      <c r="M36" s="81"/>
      <c r="N36" s="81"/>
      <c r="O36" s="189"/>
      <c r="P36" s="82"/>
      <c r="Q36" s="277"/>
      <c r="R36" s="277"/>
      <c r="S36" s="277"/>
      <c r="T36" s="277"/>
      <c r="U36" s="81">
        <v>3437.5</v>
      </c>
      <c r="V36" s="277"/>
      <c r="W36" s="81"/>
      <c r="X36" s="281"/>
      <c r="Y36" s="81"/>
      <c r="Z36" s="281"/>
      <c r="AA36" s="81"/>
      <c r="AB36" s="277"/>
      <c r="AC36" s="81"/>
      <c r="AD36" s="277"/>
      <c r="AE36" s="82"/>
      <c r="AF36" s="300"/>
      <c r="AG36" s="166">
        <f t="shared" si="4"/>
        <v>3437.5</v>
      </c>
      <c r="AH36" s="166">
        <f t="shared" si="3"/>
        <v>0</v>
      </c>
      <c r="AJ36" s="12"/>
    </row>
    <row r="37" spans="1:38" ht="12" customHeight="1">
      <c r="A37" s="177">
        <v>39435</v>
      </c>
      <c r="B37" s="173"/>
      <c r="C37" s="80"/>
      <c r="D37" s="80"/>
      <c r="E37" s="80"/>
      <c r="F37" s="82"/>
      <c r="G37" s="81"/>
      <c r="H37" s="82"/>
      <c r="I37" s="168"/>
      <c r="J37" s="82"/>
      <c r="K37" s="163"/>
      <c r="L37" s="81"/>
      <c r="M37" s="81"/>
      <c r="N37" s="81"/>
      <c r="O37" s="189"/>
      <c r="P37" s="82"/>
      <c r="Q37" s="277"/>
      <c r="R37" s="277"/>
      <c r="S37" s="277"/>
      <c r="T37" s="277"/>
      <c r="U37" s="81"/>
      <c r="V37" s="277"/>
      <c r="W37" s="81"/>
      <c r="X37" s="281"/>
      <c r="Y37" s="81"/>
      <c r="Z37" s="281"/>
      <c r="AA37" s="81"/>
      <c r="AB37" s="277"/>
      <c r="AC37" s="81"/>
      <c r="AD37" s="277"/>
      <c r="AE37" s="82"/>
      <c r="AF37" s="300"/>
      <c r="AG37" s="166">
        <f t="shared" si="4"/>
        <v>0</v>
      </c>
      <c r="AH37" s="166">
        <f t="shared" si="3"/>
        <v>0</v>
      </c>
      <c r="AJ37" s="12"/>
    </row>
    <row r="38" spans="1:38" ht="12" customHeight="1">
      <c r="A38" s="177">
        <v>39436</v>
      </c>
      <c r="B38" s="173"/>
      <c r="C38" s="80"/>
      <c r="D38" s="80"/>
      <c r="E38" s="80"/>
      <c r="F38" s="82"/>
      <c r="G38" s="81"/>
      <c r="H38" s="82"/>
      <c r="I38" s="168"/>
      <c r="J38" s="82"/>
      <c r="K38" s="163"/>
      <c r="L38" s="81"/>
      <c r="M38" s="81"/>
      <c r="N38" s="81"/>
      <c r="O38" s="189"/>
      <c r="P38" s="82"/>
      <c r="Q38" s="277"/>
      <c r="R38" s="277"/>
      <c r="S38" s="277"/>
      <c r="T38" s="277"/>
      <c r="U38" s="81">
        <v>468.75</v>
      </c>
      <c r="V38" s="277"/>
      <c r="W38" s="81"/>
      <c r="X38" s="281"/>
      <c r="Y38" s="81">
        <v>31250</v>
      </c>
      <c r="Z38" s="281"/>
      <c r="AA38" s="81"/>
      <c r="AB38" s="277"/>
      <c r="AC38" s="81"/>
      <c r="AD38" s="277"/>
      <c r="AE38" s="82"/>
      <c r="AF38" s="300"/>
      <c r="AG38" s="166">
        <f t="shared" si="4"/>
        <v>31718.75</v>
      </c>
      <c r="AH38" s="166">
        <f t="shared" si="3"/>
        <v>0</v>
      </c>
      <c r="AJ38" s="12"/>
    </row>
    <row r="39" spans="1:38" ht="12" customHeight="1">
      <c r="A39" s="177">
        <v>39437</v>
      </c>
      <c r="B39" s="173"/>
      <c r="C39" s="80"/>
      <c r="D39" s="80"/>
      <c r="E39" s="80"/>
      <c r="F39" s="82"/>
      <c r="G39" s="81"/>
      <c r="H39" s="82"/>
      <c r="I39" s="168"/>
      <c r="J39" s="82"/>
      <c r="K39" s="163"/>
      <c r="L39" s="81"/>
      <c r="M39" s="81"/>
      <c r="N39" s="81"/>
      <c r="O39" s="189"/>
      <c r="P39" s="82"/>
      <c r="Q39" s="277"/>
      <c r="R39" s="277"/>
      <c r="S39" s="277"/>
      <c r="T39" s="277"/>
      <c r="U39" s="81"/>
      <c r="V39" s="277"/>
      <c r="W39" s="81"/>
      <c r="X39" s="281"/>
      <c r="Y39" s="81"/>
      <c r="Z39" s="281"/>
      <c r="AA39" s="81"/>
      <c r="AB39" s="277"/>
      <c r="AC39" s="81"/>
      <c r="AD39" s="277">
        <v>-4350</v>
      </c>
      <c r="AE39" s="82"/>
      <c r="AF39" s="300"/>
      <c r="AG39" s="166">
        <f t="shared" si="4"/>
        <v>0</v>
      </c>
      <c r="AH39" s="166">
        <f t="shared" si="3"/>
        <v>-4350</v>
      </c>
      <c r="AJ39" s="12"/>
    </row>
    <row r="40" spans="1:38" ht="12" customHeight="1">
      <c r="A40" s="177">
        <v>39438</v>
      </c>
      <c r="B40" s="173"/>
      <c r="C40" s="80"/>
      <c r="D40" s="80"/>
      <c r="E40" s="80"/>
      <c r="F40" s="82"/>
      <c r="G40" s="81"/>
      <c r="H40" s="82"/>
      <c r="I40" s="168"/>
      <c r="J40" s="82"/>
      <c r="K40" s="163"/>
      <c r="L40" s="81"/>
      <c r="M40" s="81"/>
      <c r="N40" s="81"/>
      <c r="O40" s="189"/>
      <c r="P40" s="82"/>
      <c r="Q40" s="277"/>
      <c r="R40" s="277"/>
      <c r="S40" s="277"/>
      <c r="T40" s="277"/>
      <c r="U40" s="81"/>
      <c r="V40" s="277"/>
      <c r="W40" s="81"/>
      <c r="X40" s="281"/>
      <c r="Y40" s="81"/>
      <c r="Z40" s="281"/>
      <c r="AA40" s="81"/>
      <c r="AB40" s="277"/>
      <c r="AC40" s="81"/>
      <c r="AD40" s="277"/>
      <c r="AE40" s="82"/>
      <c r="AF40" s="300"/>
      <c r="AG40" s="166">
        <f>SUM(B40:AF40)-AH40</f>
        <v>0</v>
      </c>
      <c r="AH40" s="166">
        <f t="shared" si="3"/>
        <v>0</v>
      </c>
      <c r="AJ40" s="12"/>
    </row>
    <row r="41" spans="1:38" ht="12" customHeight="1">
      <c r="A41" s="177">
        <v>39439</v>
      </c>
      <c r="B41" s="173"/>
      <c r="C41" s="80"/>
      <c r="D41" s="80"/>
      <c r="E41" s="80"/>
      <c r="F41" s="82"/>
      <c r="G41" s="81"/>
      <c r="H41" s="82"/>
      <c r="I41" s="168"/>
      <c r="J41" s="82"/>
      <c r="K41" s="163"/>
      <c r="L41" s="81"/>
      <c r="M41" s="81"/>
      <c r="N41" s="81"/>
      <c r="O41" s="189"/>
      <c r="P41" s="82"/>
      <c r="Q41" s="277"/>
      <c r="R41" s="277"/>
      <c r="S41" s="277"/>
      <c r="T41" s="277"/>
      <c r="U41" s="81"/>
      <c r="V41" s="277"/>
      <c r="W41" s="81"/>
      <c r="X41" s="281"/>
      <c r="Y41" s="81"/>
      <c r="Z41" s="281"/>
      <c r="AA41" s="81"/>
      <c r="AB41" s="277"/>
      <c r="AC41" s="81"/>
      <c r="AD41" s="277"/>
      <c r="AE41" s="82"/>
      <c r="AF41" s="300"/>
      <c r="AG41" s="166">
        <f t="shared" ref="AG41:AG50" si="5">SUM(B41:AF41)-AH41</f>
        <v>0</v>
      </c>
      <c r="AH41" s="166">
        <f t="shared" si="3"/>
        <v>0</v>
      </c>
      <c r="AJ41" s="12"/>
    </row>
    <row r="42" spans="1:38" ht="12" customHeight="1">
      <c r="A42" s="177">
        <v>39440</v>
      </c>
      <c r="B42" s="173"/>
      <c r="C42" s="83"/>
      <c r="D42" s="83"/>
      <c r="E42" s="80"/>
      <c r="F42" s="82"/>
      <c r="G42" s="81"/>
      <c r="H42" s="164"/>
      <c r="I42" s="168"/>
      <c r="J42" s="82"/>
      <c r="K42" s="163"/>
      <c r="L42" s="81"/>
      <c r="M42" s="81"/>
      <c r="N42" s="81"/>
      <c r="O42" s="189"/>
      <c r="P42" s="82"/>
      <c r="Q42" s="277"/>
      <c r="R42" s="277"/>
      <c r="S42" s="277"/>
      <c r="T42" s="277"/>
      <c r="U42" s="81"/>
      <c r="V42" s="277"/>
      <c r="W42" s="81"/>
      <c r="X42" s="281"/>
      <c r="Y42" s="81"/>
      <c r="Z42" s="281"/>
      <c r="AA42" s="81"/>
      <c r="AB42" s="277"/>
      <c r="AC42" s="81"/>
      <c r="AD42" s="277"/>
      <c r="AE42" s="82"/>
      <c r="AF42" s="300"/>
      <c r="AG42" s="166">
        <f t="shared" si="5"/>
        <v>0</v>
      </c>
      <c r="AH42" s="166">
        <f t="shared" si="3"/>
        <v>0</v>
      </c>
      <c r="AJ42" s="89" t="s">
        <v>106</v>
      </c>
      <c r="AK42" s="157" t="s">
        <v>107</v>
      </c>
      <c r="AL42" s="158" t="e">
        <f>#REF!-C53-E53-I53-K53-H53-O53</f>
        <v>#REF!</v>
      </c>
    </row>
    <row r="43" spans="1:38" s="93" customFormat="1" ht="12" customHeight="1">
      <c r="A43" s="177">
        <v>39441</v>
      </c>
      <c r="B43" s="174"/>
      <c r="C43" s="83"/>
      <c r="D43" s="83"/>
      <c r="E43" s="80"/>
      <c r="F43" s="82"/>
      <c r="G43" s="81"/>
      <c r="H43" s="164"/>
      <c r="I43" s="170"/>
      <c r="J43" s="164"/>
      <c r="K43" s="187"/>
      <c r="L43" s="95"/>
      <c r="M43" s="95"/>
      <c r="N43" s="95"/>
      <c r="O43" s="171"/>
      <c r="P43" s="164"/>
      <c r="Q43" s="278"/>
      <c r="R43" s="278"/>
      <c r="S43" s="278"/>
      <c r="T43" s="278"/>
      <c r="U43" s="95"/>
      <c r="V43" s="278"/>
      <c r="W43" s="95"/>
      <c r="X43" s="283"/>
      <c r="Y43" s="95"/>
      <c r="Z43" s="283"/>
      <c r="AA43" s="95"/>
      <c r="AB43" s="278"/>
      <c r="AC43" s="95"/>
      <c r="AD43" s="278"/>
      <c r="AE43" s="164"/>
      <c r="AF43" s="301"/>
      <c r="AG43" s="166">
        <f t="shared" si="5"/>
        <v>0</v>
      </c>
      <c r="AH43" s="166">
        <f t="shared" si="3"/>
        <v>0</v>
      </c>
      <c r="AJ43" s="79"/>
      <c r="AK43" s="157" t="s">
        <v>108</v>
      </c>
      <c r="AL43" s="159">
        <f>C53+I53</f>
        <v>0</v>
      </c>
    </row>
    <row r="44" spans="1:38" ht="12" customHeight="1">
      <c r="A44" s="177">
        <v>39442</v>
      </c>
      <c r="B44" s="173"/>
      <c r="C44" s="83"/>
      <c r="D44" s="83"/>
      <c r="E44" s="81"/>
      <c r="F44" s="82"/>
      <c r="G44" s="81"/>
      <c r="H44" s="82"/>
      <c r="I44" s="168"/>
      <c r="J44" s="82"/>
      <c r="K44" s="163"/>
      <c r="L44" s="81"/>
      <c r="M44" s="81"/>
      <c r="N44" s="81"/>
      <c r="O44" s="189"/>
      <c r="P44" s="82"/>
      <c r="Q44" s="277"/>
      <c r="R44" s="277"/>
      <c r="S44" s="277"/>
      <c r="T44" s="277"/>
      <c r="U44" s="81"/>
      <c r="V44" s="277"/>
      <c r="W44" s="81"/>
      <c r="X44" s="281"/>
      <c r="Y44" s="81"/>
      <c r="Z44" s="281"/>
      <c r="AA44" s="81"/>
      <c r="AB44" s="277"/>
      <c r="AC44" s="81"/>
      <c r="AD44" s="277"/>
      <c r="AE44" s="82"/>
      <c r="AF44" s="300"/>
      <c r="AG44" s="166">
        <f t="shared" si="5"/>
        <v>0</v>
      </c>
      <c r="AH44" s="166">
        <f t="shared" si="3"/>
        <v>0</v>
      </c>
      <c r="AJ44" s="79"/>
      <c r="AK44" s="157" t="s">
        <v>70</v>
      </c>
      <c r="AL44" s="159">
        <f>H53+O53</f>
        <v>0</v>
      </c>
    </row>
    <row r="45" spans="1:38" ht="12" customHeight="1">
      <c r="A45" s="177">
        <v>39443</v>
      </c>
      <c r="B45" s="173"/>
      <c r="C45" s="83"/>
      <c r="D45" s="83"/>
      <c r="E45" s="81"/>
      <c r="F45" s="82"/>
      <c r="G45" s="81"/>
      <c r="H45" s="82"/>
      <c r="I45" s="168"/>
      <c r="J45" s="82"/>
      <c r="K45" s="163"/>
      <c r="L45" s="81"/>
      <c r="M45" s="81"/>
      <c r="N45" s="81"/>
      <c r="O45" s="189"/>
      <c r="P45" s="82"/>
      <c r="Q45" s="277"/>
      <c r="R45" s="277"/>
      <c r="S45" s="277"/>
      <c r="T45" s="277"/>
      <c r="U45" s="81"/>
      <c r="V45" s="277"/>
      <c r="W45" s="81"/>
      <c r="X45" s="281"/>
      <c r="Y45" s="81"/>
      <c r="Z45" s="281"/>
      <c r="AA45" s="81"/>
      <c r="AB45" s="277"/>
      <c r="AC45" s="81"/>
      <c r="AD45" s="277"/>
      <c r="AE45" s="82"/>
      <c r="AF45" s="300"/>
      <c r="AG45" s="166">
        <f t="shared" si="5"/>
        <v>0</v>
      </c>
      <c r="AH45" s="166">
        <f t="shared" si="3"/>
        <v>0</v>
      </c>
      <c r="AJ45" s="12"/>
      <c r="AK45" s="160" t="s">
        <v>109</v>
      </c>
      <c r="AL45" s="161">
        <f>E53+K53</f>
        <v>0</v>
      </c>
    </row>
    <row r="46" spans="1:38" ht="12" customHeight="1">
      <c r="A46" s="177">
        <v>39444</v>
      </c>
      <c r="B46" s="173"/>
      <c r="C46" s="80"/>
      <c r="D46" s="80"/>
      <c r="E46" s="80"/>
      <c r="F46" s="82"/>
      <c r="G46" s="81"/>
      <c r="H46" s="82"/>
      <c r="I46" s="168"/>
      <c r="J46" s="82"/>
      <c r="K46" s="163"/>
      <c r="L46" s="81"/>
      <c r="M46" s="81"/>
      <c r="N46" s="81"/>
      <c r="O46" s="189"/>
      <c r="P46" s="82"/>
      <c r="Q46" s="277"/>
      <c r="R46" s="277"/>
      <c r="S46" s="277"/>
      <c r="T46" s="277"/>
      <c r="U46" s="81"/>
      <c r="V46" s="277"/>
      <c r="W46" s="81"/>
      <c r="X46" s="281"/>
      <c r="Y46" s="81"/>
      <c r="Z46" s="281"/>
      <c r="AA46" s="81"/>
      <c r="AB46" s="277"/>
      <c r="AC46" s="81"/>
      <c r="AD46" s="277"/>
      <c r="AE46" s="82"/>
      <c r="AF46" s="300"/>
      <c r="AG46" s="166">
        <f t="shared" si="5"/>
        <v>0</v>
      </c>
      <c r="AH46" s="166">
        <f t="shared" si="3"/>
        <v>0</v>
      </c>
      <c r="AJ46" s="12"/>
      <c r="AK46" s="157" t="s">
        <v>110</v>
      </c>
      <c r="AL46" s="162">
        <v>0</v>
      </c>
    </row>
    <row r="47" spans="1:38" ht="12" customHeight="1">
      <c r="A47" s="177">
        <v>39445</v>
      </c>
      <c r="B47" s="173"/>
      <c r="C47" s="80"/>
      <c r="D47" s="80"/>
      <c r="E47" s="80"/>
      <c r="F47" s="82"/>
      <c r="G47" s="81"/>
      <c r="H47" s="82"/>
      <c r="I47" s="168"/>
      <c r="J47" s="82"/>
      <c r="K47" s="163"/>
      <c r="L47" s="81"/>
      <c r="M47" s="81"/>
      <c r="N47" s="81"/>
      <c r="O47" s="189"/>
      <c r="P47" s="82"/>
      <c r="Q47" s="277"/>
      <c r="R47" s="277"/>
      <c r="S47" s="277"/>
      <c r="T47" s="277"/>
      <c r="U47" s="81"/>
      <c r="V47" s="277"/>
      <c r="W47" s="81"/>
      <c r="X47" s="281"/>
      <c r="Y47" s="81"/>
      <c r="Z47" s="281"/>
      <c r="AA47" s="81"/>
      <c r="AB47" s="277"/>
      <c r="AC47" s="81"/>
      <c r="AD47" s="277"/>
      <c r="AE47" s="82"/>
      <c r="AF47" s="300"/>
      <c r="AG47" s="166">
        <f t="shared" si="5"/>
        <v>0</v>
      </c>
      <c r="AH47" s="166">
        <f t="shared" si="3"/>
        <v>0</v>
      </c>
      <c r="AJ47" s="12"/>
      <c r="AK47" s="7"/>
      <c r="AL47" s="159" t="e">
        <f>SUM(AL42:AL46)-#REF!</f>
        <v>#REF!</v>
      </c>
    </row>
    <row r="48" spans="1:38" ht="12" customHeight="1">
      <c r="A48" s="177">
        <v>39446</v>
      </c>
      <c r="B48" s="173"/>
      <c r="C48" s="80"/>
      <c r="D48" s="80"/>
      <c r="E48" s="80"/>
      <c r="F48" s="82"/>
      <c r="G48" s="81"/>
      <c r="H48" s="82"/>
      <c r="I48" s="168"/>
      <c r="J48" s="81"/>
      <c r="K48" s="163"/>
      <c r="L48" s="81"/>
      <c r="M48" s="190"/>
      <c r="N48" s="190"/>
      <c r="O48" s="189"/>
      <c r="P48" s="82"/>
      <c r="Q48" s="277"/>
      <c r="R48" s="277"/>
      <c r="S48" s="277"/>
      <c r="T48" s="277"/>
      <c r="U48" s="81"/>
      <c r="V48" s="277"/>
      <c r="W48" s="81"/>
      <c r="X48" s="281"/>
      <c r="Y48" s="81"/>
      <c r="Z48" s="281"/>
      <c r="AA48" s="81"/>
      <c r="AB48" s="277"/>
      <c r="AC48" s="81"/>
      <c r="AD48" s="277"/>
      <c r="AE48" s="82"/>
      <c r="AF48" s="300"/>
      <c r="AG48" s="166">
        <f t="shared" si="5"/>
        <v>0</v>
      </c>
      <c r="AH48" s="166">
        <f t="shared" si="3"/>
        <v>0</v>
      </c>
    </row>
    <row r="49" spans="1:36" ht="12" customHeight="1">
      <c r="A49" s="177">
        <v>39447</v>
      </c>
      <c r="B49" s="173"/>
      <c r="C49" s="80"/>
      <c r="D49" s="80"/>
      <c r="E49" s="80"/>
      <c r="F49" s="82"/>
      <c r="G49" s="81"/>
      <c r="H49" s="82"/>
      <c r="I49" s="168"/>
      <c r="J49" s="82"/>
      <c r="K49" s="163"/>
      <c r="L49" s="81"/>
      <c r="M49" s="190"/>
      <c r="N49" s="190"/>
      <c r="O49" s="189"/>
      <c r="P49" s="82"/>
      <c r="Q49" s="277"/>
      <c r="R49" s="277"/>
      <c r="S49" s="277"/>
      <c r="T49" s="277"/>
      <c r="U49" s="81"/>
      <c r="V49" s="277"/>
      <c r="W49" s="81"/>
      <c r="X49" s="281"/>
      <c r="Y49" s="81"/>
      <c r="Z49" s="281"/>
      <c r="AA49" s="81"/>
      <c r="AB49" s="277"/>
      <c r="AC49" s="81"/>
      <c r="AD49" s="277"/>
      <c r="AE49" s="82"/>
      <c r="AF49" s="300"/>
      <c r="AG49" s="166">
        <f t="shared" si="5"/>
        <v>0</v>
      </c>
      <c r="AH49" s="166">
        <f t="shared" si="3"/>
        <v>0</v>
      </c>
    </row>
    <row r="50" spans="1:36" ht="12" customHeight="1">
      <c r="A50" s="177" t="s">
        <v>21</v>
      </c>
      <c r="B50" s="173"/>
      <c r="C50" s="80"/>
      <c r="D50" s="80"/>
      <c r="E50" s="80"/>
      <c r="F50" s="82"/>
      <c r="G50" s="81"/>
      <c r="H50" s="82"/>
      <c r="I50" s="168"/>
      <c r="J50" s="82"/>
      <c r="K50" s="163"/>
      <c r="L50" s="81"/>
      <c r="M50" s="190"/>
      <c r="N50" s="190"/>
      <c r="O50" s="189"/>
      <c r="P50" s="82"/>
      <c r="Q50" s="277"/>
      <c r="R50" s="277"/>
      <c r="S50" s="277"/>
      <c r="T50" s="277"/>
      <c r="U50" s="81"/>
      <c r="V50" s="277"/>
      <c r="W50" s="81"/>
      <c r="X50" s="281"/>
      <c r="Y50" s="81"/>
      <c r="Z50" s="281"/>
      <c r="AA50" s="81"/>
      <c r="AB50" s="277"/>
      <c r="AC50" s="81"/>
      <c r="AD50" s="277"/>
      <c r="AE50" s="82"/>
      <c r="AF50" s="300"/>
      <c r="AG50" s="166">
        <f t="shared" si="5"/>
        <v>0</v>
      </c>
      <c r="AH50" s="166">
        <f t="shared" si="3"/>
        <v>0</v>
      </c>
    </row>
    <row r="51" spans="1:36" ht="12" customHeight="1">
      <c r="A51" s="177" t="s">
        <v>21</v>
      </c>
      <c r="B51" s="173"/>
      <c r="C51" s="80"/>
      <c r="D51" s="80"/>
      <c r="E51" s="80"/>
      <c r="F51" s="82"/>
      <c r="G51" s="81"/>
      <c r="H51" s="82"/>
      <c r="I51" s="168"/>
      <c r="J51" s="82"/>
      <c r="K51" s="163"/>
      <c r="L51" s="81"/>
      <c r="M51" s="81"/>
      <c r="N51" s="81"/>
      <c r="O51" s="189"/>
      <c r="P51" s="82"/>
      <c r="Q51" s="277"/>
      <c r="R51" s="277"/>
      <c r="S51" s="277"/>
      <c r="T51" s="277"/>
      <c r="U51" s="81"/>
      <c r="V51" s="277"/>
      <c r="W51" s="81"/>
      <c r="X51" s="281"/>
      <c r="Y51" s="81"/>
      <c r="Z51" s="281"/>
      <c r="AA51" s="81"/>
      <c r="AB51" s="277"/>
      <c r="AC51" s="81"/>
      <c r="AD51" s="277"/>
      <c r="AE51" s="82"/>
      <c r="AF51" s="300"/>
      <c r="AG51" s="189"/>
      <c r="AH51" s="166" t="s">
        <v>21</v>
      </c>
      <c r="AJ51" s="12"/>
    </row>
    <row r="52" spans="1:36" ht="12" customHeight="1">
      <c r="A52" s="178" t="s">
        <v>111</v>
      </c>
      <c r="B52" s="175">
        <f t="shared" ref="B52:AH52" si="6">SUM(B19:B51)</f>
        <v>0</v>
      </c>
      <c r="C52" s="84">
        <f t="shared" si="6"/>
        <v>0</v>
      </c>
      <c r="D52" s="84">
        <f t="shared" si="6"/>
        <v>0</v>
      </c>
      <c r="E52" s="84">
        <f t="shared" si="6"/>
        <v>0</v>
      </c>
      <c r="F52" s="84">
        <f t="shared" si="6"/>
        <v>0</v>
      </c>
      <c r="G52" s="84">
        <f t="shared" si="6"/>
        <v>0</v>
      </c>
      <c r="H52" s="165">
        <f t="shared" si="6"/>
        <v>0</v>
      </c>
      <c r="I52" s="172">
        <f t="shared" si="6"/>
        <v>0</v>
      </c>
      <c r="J52" s="186">
        <f t="shared" si="6"/>
        <v>0</v>
      </c>
      <c r="K52" s="186">
        <f t="shared" si="6"/>
        <v>0</v>
      </c>
      <c r="L52" s="186">
        <f t="shared" si="6"/>
        <v>0</v>
      </c>
      <c r="M52" s="186">
        <f t="shared" si="6"/>
        <v>0</v>
      </c>
      <c r="N52" s="85">
        <f t="shared" si="6"/>
        <v>0</v>
      </c>
      <c r="O52" s="167">
        <f t="shared" si="6"/>
        <v>0</v>
      </c>
      <c r="P52" s="165">
        <f t="shared" si="6"/>
        <v>0</v>
      </c>
      <c r="Q52" s="279">
        <f t="shared" si="6"/>
        <v>0</v>
      </c>
      <c r="R52" s="85">
        <f>SUM(R19:R51)</f>
        <v>0</v>
      </c>
      <c r="S52" s="165">
        <f>SUM(S19:S51)</f>
        <v>0</v>
      </c>
      <c r="T52" s="279">
        <f>SUM(T19:T51)</f>
        <v>0</v>
      </c>
      <c r="U52" s="165">
        <f>SUM(U19:U51)</f>
        <v>-3593.75</v>
      </c>
      <c r="V52" s="279">
        <f>SUM(V19:V51)</f>
        <v>0</v>
      </c>
      <c r="W52" s="85">
        <f t="shared" si="6"/>
        <v>0</v>
      </c>
      <c r="X52" s="279">
        <f t="shared" si="6"/>
        <v>0</v>
      </c>
      <c r="Y52" s="85">
        <f>SUM(Y19:Y51)</f>
        <v>-39062.5</v>
      </c>
      <c r="Z52" s="279">
        <f>SUM(Z19:Z51)</f>
        <v>0</v>
      </c>
      <c r="AA52" s="85">
        <f t="shared" si="6"/>
        <v>0</v>
      </c>
      <c r="AB52" s="279">
        <f t="shared" si="6"/>
        <v>0</v>
      </c>
      <c r="AC52" s="85">
        <f t="shared" si="6"/>
        <v>-66171.88</v>
      </c>
      <c r="AD52" s="279">
        <f t="shared" si="6"/>
        <v>-4350</v>
      </c>
      <c r="AE52" s="165">
        <f t="shared" si="6"/>
        <v>19687.5</v>
      </c>
      <c r="AF52" s="302">
        <f>SUM(AF19:AF51)</f>
        <v>-1600</v>
      </c>
      <c r="AG52" s="167">
        <f t="shared" si="6"/>
        <v>-89140.63</v>
      </c>
      <c r="AH52" s="167">
        <f t="shared" si="6"/>
        <v>-5950</v>
      </c>
    </row>
    <row r="53" spans="1:36" ht="12" customHeight="1" thickBot="1">
      <c r="A53" s="179" t="s">
        <v>112</v>
      </c>
      <c r="B53" s="180">
        <f>B7+B8+B9+B10+B11+B12+B13+B14+B15+B16+B17+B52</f>
        <v>0</v>
      </c>
      <c r="C53" s="181">
        <f t="shared" ref="C53:AH53" si="7">SUM(C7:C17)+C52</f>
        <v>0</v>
      </c>
      <c r="D53" s="181">
        <f t="shared" si="7"/>
        <v>0</v>
      </c>
      <c r="E53" s="181">
        <f t="shared" si="7"/>
        <v>0</v>
      </c>
      <c r="F53" s="181">
        <f t="shared" si="7"/>
        <v>0</v>
      </c>
      <c r="G53" s="181">
        <f t="shared" si="7"/>
        <v>0</v>
      </c>
      <c r="H53" s="182">
        <f t="shared" si="7"/>
        <v>0</v>
      </c>
      <c r="I53" s="183">
        <f t="shared" si="7"/>
        <v>0</v>
      </c>
      <c r="J53" s="181">
        <f t="shared" si="7"/>
        <v>0</v>
      </c>
      <c r="K53" s="181">
        <f t="shared" si="7"/>
        <v>0</v>
      </c>
      <c r="L53" s="181">
        <f t="shared" si="7"/>
        <v>0</v>
      </c>
      <c r="M53" s="181">
        <f t="shared" si="7"/>
        <v>0</v>
      </c>
      <c r="N53" s="181">
        <f t="shared" si="7"/>
        <v>0</v>
      </c>
      <c r="O53" s="184">
        <f t="shared" si="7"/>
        <v>0</v>
      </c>
      <c r="P53" s="182">
        <f t="shared" si="7"/>
        <v>-96403.88</v>
      </c>
      <c r="Q53" s="280">
        <f t="shared" si="7"/>
        <v>0</v>
      </c>
      <c r="R53" s="212">
        <f>SUM(R7:R17)+R52</f>
        <v>65000</v>
      </c>
      <c r="S53" s="212">
        <f>SUM(S7:S17)+S52</f>
        <v>237187.5</v>
      </c>
      <c r="T53" s="280">
        <f>SUM(T7:T17)+T52</f>
        <v>106000</v>
      </c>
      <c r="U53" s="182">
        <f>SUM(U7:U17)+U52</f>
        <v>-16720.990000000002</v>
      </c>
      <c r="V53" s="280">
        <f>SUM(V7:V17)+V52</f>
        <v>0</v>
      </c>
      <c r="W53" s="212">
        <f t="shared" si="7"/>
        <v>-21045.640000000014</v>
      </c>
      <c r="X53" s="280">
        <f t="shared" si="7"/>
        <v>-280</v>
      </c>
      <c r="Y53" s="212">
        <f>SUM(Y7:Y17)+Y52</f>
        <v>-23906.25</v>
      </c>
      <c r="Z53" s="280">
        <f>SUM(Z7:Z17)+Z52</f>
        <v>0</v>
      </c>
      <c r="AA53" s="212">
        <f t="shared" si="7"/>
        <v>9296.869999999999</v>
      </c>
      <c r="AB53" s="280">
        <f t="shared" si="7"/>
        <v>0</v>
      </c>
      <c r="AC53" s="212">
        <f t="shared" si="7"/>
        <v>27635.03</v>
      </c>
      <c r="AD53" s="280">
        <f t="shared" si="7"/>
        <v>-7150</v>
      </c>
      <c r="AE53" s="182">
        <f>SUM(AE7:AE17)+AE52</f>
        <v>-98647.56</v>
      </c>
      <c r="AF53" s="280">
        <f>SUM(AF7:AF17)+AF52</f>
        <v>27050</v>
      </c>
      <c r="AG53" s="184">
        <f t="shared" si="7"/>
        <v>82395.079999999987</v>
      </c>
      <c r="AH53" s="184">
        <f t="shared" si="7"/>
        <v>125620</v>
      </c>
    </row>
    <row r="54" spans="1:36">
      <c r="A54" s="63"/>
      <c r="B54" s="86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  <c r="T54" s="281"/>
      <c r="U54" s="82"/>
      <c r="V54" s="82"/>
      <c r="W54" s="82"/>
      <c r="X54" s="82"/>
      <c r="Y54" s="82"/>
      <c r="Z54" s="82"/>
      <c r="AA54" s="82"/>
      <c r="AB54" s="82"/>
      <c r="AC54" s="82"/>
      <c r="AD54" s="82"/>
      <c r="AE54" s="82"/>
      <c r="AF54" s="281"/>
      <c r="AG54" s="82"/>
      <c r="AH54" s="82"/>
    </row>
    <row r="55" spans="1:36" s="51" customFormat="1">
      <c r="B55" s="75" t="s">
        <v>113</v>
      </c>
      <c r="C55" s="75"/>
      <c r="D55" s="75"/>
      <c r="E55" s="75"/>
      <c r="F55" s="75"/>
      <c r="G55" s="75"/>
      <c r="H55" s="75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303"/>
      <c r="U55" s="76"/>
      <c r="V55" s="76"/>
      <c r="W55" s="76"/>
      <c r="X55" s="76"/>
      <c r="Y55" s="76"/>
      <c r="Z55" s="76"/>
      <c r="AA55" s="76"/>
      <c r="AB55" s="76"/>
      <c r="AC55" s="76"/>
      <c r="AD55" s="76"/>
      <c r="AE55" s="76"/>
      <c r="AF55" s="303"/>
      <c r="AG55" s="76"/>
      <c r="AH55" s="76"/>
    </row>
    <row r="56" spans="1:36" s="77" customFormat="1" ht="15.75">
      <c r="B56" s="75" t="s">
        <v>98</v>
      </c>
      <c r="C56" s="75"/>
      <c r="D56" s="75"/>
      <c r="E56" s="75"/>
      <c r="F56" s="75"/>
      <c r="G56" s="75"/>
      <c r="H56" s="75"/>
      <c r="I56" s="76"/>
      <c r="J56" s="76"/>
      <c r="K56" s="76"/>
      <c r="L56" s="76"/>
      <c r="P56" s="76"/>
      <c r="Q56" s="76"/>
      <c r="R56" s="76"/>
      <c r="S56" s="76"/>
      <c r="T56" s="303"/>
      <c r="U56" s="76"/>
      <c r="V56" s="76"/>
      <c r="W56" s="230" t="s">
        <v>125</v>
      </c>
      <c r="X56" s="233" t="s">
        <v>16</v>
      </c>
      <c r="Y56" s="233"/>
      <c r="Z56" s="233"/>
      <c r="AA56" s="232" t="s">
        <v>127</v>
      </c>
      <c r="AB56" s="232"/>
      <c r="AC56" s="233" t="s">
        <v>126</v>
      </c>
      <c r="AD56" s="233"/>
      <c r="AE56" s="233" t="s">
        <v>22</v>
      </c>
      <c r="AF56" s="233"/>
      <c r="AG56" s="233"/>
      <c r="AH56" s="234" t="s">
        <v>6</v>
      </c>
    </row>
    <row r="57" spans="1:36" s="77" customFormat="1" ht="12" customHeight="1">
      <c r="B57" s="75" t="s">
        <v>97</v>
      </c>
      <c r="C57" s="75"/>
      <c r="D57" s="75"/>
      <c r="E57" s="75"/>
      <c r="F57" s="75"/>
      <c r="G57" s="75"/>
      <c r="H57" s="75"/>
      <c r="I57" s="76"/>
      <c r="J57" s="76"/>
      <c r="K57" s="76"/>
      <c r="L57" s="76"/>
      <c r="P57" s="76"/>
      <c r="Q57" s="76"/>
      <c r="R57" s="76"/>
      <c r="S57" s="76"/>
      <c r="T57" s="303"/>
      <c r="U57" s="76"/>
      <c r="V57" s="76"/>
      <c r="W57" s="76"/>
      <c r="X57" s="76"/>
      <c r="Y57" s="76"/>
      <c r="Z57" s="76"/>
      <c r="AA57" s="76"/>
      <c r="AB57" s="76"/>
      <c r="AC57" s="76"/>
      <c r="AD57" s="76"/>
      <c r="AE57" s="76"/>
      <c r="AF57" s="303"/>
      <c r="AG57" s="76"/>
      <c r="AH57" s="235"/>
    </row>
    <row r="58" spans="1:36" s="77" customFormat="1" ht="15.75">
      <c r="I58" s="231"/>
      <c r="J58" s="231"/>
      <c r="K58" s="231"/>
      <c r="L58" s="231"/>
      <c r="P58" s="231"/>
      <c r="Q58" s="231"/>
      <c r="R58" s="231"/>
      <c r="S58" s="231"/>
      <c r="T58" s="309"/>
      <c r="U58" s="231"/>
      <c r="V58" s="231"/>
      <c r="W58" s="246" t="s">
        <v>9</v>
      </c>
      <c r="X58" s="247">
        <f>B53</f>
        <v>0</v>
      </c>
      <c r="Y58" s="247"/>
      <c r="Z58" s="247"/>
      <c r="AA58" s="247">
        <f>SUM(C53:H53)-D53</f>
        <v>0</v>
      </c>
      <c r="AB58" s="247"/>
      <c r="AC58" s="247">
        <f>SUM(I53:O53)-J53</f>
        <v>0</v>
      </c>
      <c r="AD58" s="247"/>
      <c r="AE58" s="248">
        <f>SUM(P53:AE53)-Q53-X53</f>
        <v>181245.08000000002</v>
      </c>
      <c r="AF58" s="304"/>
      <c r="AG58" s="231"/>
      <c r="AH58" s="143">
        <f>SUM(X58:AE58)</f>
        <v>181245.08000000002</v>
      </c>
    </row>
    <row r="59" spans="1:36" s="77" customFormat="1" ht="15.75">
      <c r="B59" s="150" t="s">
        <v>71</v>
      </c>
      <c r="I59" s="231"/>
      <c r="J59" s="231"/>
      <c r="K59" s="231"/>
      <c r="L59" s="231"/>
      <c r="T59" s="305"/>
      <c r="W59" s="249" t="s">
        <v>117</v>
      </c>
      <c r="X59" s="250"/>
      <c r="Y59" s="250"/>
      <c r="Z59" s="250"/>
      <c r="AA59" s="251">
        <f>D53</f>
        <v>0</v>
      </c>
      <c r="AB59" s="251"/>
      <c r="AC59" s="251">
        <f>J53</f>
        <v>0</v>
      </c>
      <c r="AD59" s="251"/>
      <c r="AE59" s="252">
        <f>Q53+X53</f>
        <v>-280</v>
      </c>
      <c r="AF59" s="304"/>
      <c r="AG59" s="231"/>
      <c r="AH59" s="143">
        <f>SUM(X59:AE59)</f>
        <v>-280</v>
      </c>
    </row>
    <row r="60" spans="1:36" s="77" customFormat="1" ht="15.75">
      <c r="I60" s="231"/>
      <c r="J60" s="231"/>
      <c r="K60" s="231"/>
      <c r="L60" s="231"/>
      <c r="M60" s="231"/>
      <c r="N60" s="231"/>
      <c r="T60" s="305"/>
      <c r="AF60" s="305"/>
    </row>
    <row r="61" spans="1:36">
      <c r="B61" s="12"/>
      <c r="C61" s="78"/>
      <c r="D61" s="78"/>
      <c r="E61" s="78"/>
      <c r="F61" s="78"/>
      <c r="G61" s="78"/>
      <c r="H61" s="78"/>
      <c r="I61" s="79"/>
      <c r="J61" s="79"/>
      <c r="K61" s="79"/>
      <c r="L61" s="79"/>
      <c r="M61" s="79"/>
      <c r="N61" s="79"/>
    </row>
    <row r="62" spans="1:36"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W62" s="239" t="s">
        <v>129</v>
      </c>
      <c r="X62" s="191"/>
      <c r="Y62" s="191"/>
      <c r="Z62" s="191"/>
      <c r="AA62" s="240">
        <f>E53</f>
        <v>0</v>
      </c>
      <c r="AB62" s="240"/>
      <c r="AC62" s="240">
        <f>K53</f>
        <v>0</v>
      </c>
      <c r="AD62" s="240"/>
      <c r="AE62" s="241">
        <f>W53</f>
        <v>-21045.640000000014</v>
      </c>
      <c r="AF62" s="306"/>
    </row>
    <row r="63" spans="1:36"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W63" s="253" t="s">
        <v>117</v>
      </c>
      <c r="X63" s="254"/>
      <c r="Y63" s="254"/>
      <c r="Z63" s="254"/>
      <c r="AA63" s="254"/>
      <c r="AB63" s="254"/>
      <c r="AC63" s="254"/>
      <c r="AD63" s="254"/>
      <c r="AE63" s="255">
        <f>X53</f>
        <v>-280</v>
      </c>
      <c r="AF63" s="307"/>
    </row>
    <row r="64" spans="1:36"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W64" s="242" t="s">
        <v>75</v>
      </c>
      <c r="X64" s="243"/>
      <c r="Y64" s="243"/>
      <c r="Z64" s="243"/>
      <c r="AA64" s="244">
        <f>F53</f>
        <v>0</v>
      </c>
      <c r="AB64" s="244"/>
      <c r="AC64" s="244">
        <f>L53</f>
        <v>0</v>
      </c>
      <c r="AD64" s="244"/>
      <c r="AE64" s="245">
        <f>AA53</f>
        <v>9296.869999999999</v>
      </c>
      <c r="AF64" s="306"/>
    </row>
    <row r="65" spans="2:32"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W65" s="242" t="s">
        <v>76</v>
      </c>
      <c r="X65" s="243"/>
      <c r="Y65" s="243"/>
      <c r="Z65" s="243"/>
      <c r="AA65" s="244">
        <f>G53</f>
        <v>0</v>
      </c>
      <c r="AB65" s="244"/>
      <c r="AC65" s="244">
        <f>M53</f>
        <v>0</v>
      </c>
      <c r="AD65" s="244"/>
      <c r="AE65" s="245">
        <f>AC53</f>
        <v>27635.03</v>
      </c>
      <c r="AF65" s="306"/>
    </row>
    <row r="66" spans="2:32">
      <c r="W66" s="242" t="s">
        <v>77</v>
      </c>
      <c r="X66" s="243"/>
      <c r="Y66" s="243"/>
      <c r="Z66" s="243"/>
      <c r="AA66" s="244">
        <f>H53</f>
        <v>0</v>
      </c>
      <c r="AB66" s="244"/>
      <c r="AC66" s="244">
        <f>N53</f>
        <v>0</v>
      </c>
      <c r="AD66" s="244"/>
      <c r="AE66" s="245">
        <f>AE53</f>
        <v>-98647.56</v>
      </c>
      <c r="AF66" s="306"/>
    </row>
    <row r="67" spans="2:32">
      <c r="W67" s="239" t="s">
        <v>130</v>
      </c>
      <c r="X67" s="191"/>
      <c r="Y67" s="191"/>
      <c r="Z67" s="191"/>
      <c r="AA67" s="240">
        <f>B53+C53</f>
        <v>0</v>
      </c>
      <c r="AB67" s="240"/>
      <c r="AC67" s="240">
        <f>I53</f>
        <v>0</v>
      </c>
      <c r="AD67" s="240"/>
      <c r="AE67" s="241">
        <f>P53</f>
        <v>-96403.88</v>
      </c>
      <c r="AF67" s="306"/>
    </row>
    <row r="68" spans="2:32">
      <c r="W68" s="253" t="s">
        <v>117</v>
      </c>
      <c r="X68" s="254"/>
      <c r="Y68" s="254"/>
      <c r="Z68" s="254"/>
      <c r="AA68" s="256">
        <f>D53</f>
        <v>0</v>
      </c>
      <c r="AB68" s="256"/>
      <c r="AC68" s="256">
        <f>J53</f>
        <v>0</v>
      </c>
      <c r="AD68" s="256"/>
      <c r="AE68" s="255">
        <f>Q53</f>
        <v>0</v>
      </c>
      <c r="AF68" s="307"/>
    </row>
    <row r="69" spans="2:32">
      <c r="W69" s="238" t="s">
        <v>23</v>
      </c>
    </row>
    <row r="72" spans="2:32" ht="12" customHeight="1"/>
    <row r="73" spans="2:32" ht="12" customHeight="1"/>
    <row r="74" spans="2:32" ht="12" customHeight="1"/>
    <row r="75" spans="2:32" ht="12" customHeight="1"/>
    <row r="76" spans="2:32" ht="12" customHeight="1"/>
    <row r="77" spans="2:32" ht="12" customHeight="1"/>
    <row r="78" spans="2:32" ht="12" customHeight="1"/>
    <row r="79" spans="2:32" ht="12" customHeight="1"/>
    <row r="80" spans="2:32" ht="12" customHeight="1"/>
    <row r="81" ht="12" customHeight="1"/>
    <row r="82" ht="12" customHeight="1"/>
    <row r="83" ht="12" customHeight="1"/>
    <row r="84" ht="12" customHeight="1"/>
    <row r="85" ht="12" customHeight="1"/>
    <row r="86" ht="12" customHeight="1"/>
    <row r="87" ht="12" customHeight="1"/>
    <row r="88" ht="12" customHeight="1"/>
    <row r="89" ht="12" customHeight="1"/>
    <row r="90" ht="12" customHeight="1"/>
    <row r="91" ht="12" customHeight="1"/>
    <row r="92" ht="12" customHeight="1"/>
    <row r="93" ht="12" customHeight="1"/>
    <row r="94" ht="12" customHeight="1"/>
    <row r="95" ht="12" customHeight="1"/>
    <row r="96" ht="12" customHeight="1"/>
    <row r="9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  <row r="108" ht="12" customHeight="1"/>
    <row r="109" ht="12" customHeight="1"/>
    <row r="110" ht="12" customHeight="1"/>
    <row r="111" ht="12" customHeight="1"/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</sheetData>
  <mergeCells count="19">
    <mergeCell ref="A1:AH1"/>
    <mergeCell ref="C4:H4"/>
    <mergeCell ref="I4:O4"/>
    <mergeCell ref="C3:O3"/>
    <mergeCell ref="AH3:AH5"/>
    <mergeCell ref="A3:A5"/>
    <mergeCell ref="B3:B4"/>
    <mergeCell ref="AG3:AG5"/>
    <mergeCell ref="P5:Q5"/>
    <mergeCell ref="P3:AF4"/>
    <mergeCell ref="AE5:AF5"/>
    <mergeCell ref="C5:D5"/>
    <mergeCell ref="W5:X5"/>
    <mergeCell ref="I5:J5"/>
    <mergeCell ref="AC5:AD5"/>
    <mergeCell ref="AA5:AB5"/>
    <mergeCell ref="U5:V5"/>
    <mergeCell ref="S5:T5"/>
    <mergeCell ref="Y5:Z5"/>
  </mergeCells>
  <phoneticPr fontId="3" type="noConversion"/>
  <printOptions horizontalCentered="1"/>
  <pageMargins left="0.39370078740157483" right="0.39370078740157483" top="0.39370078740157483" bottom="0.39370078740157483" header="0.39370078740157483" footer="0.39370078740157483"/>
  <pageSetup paperSize="9" scale="73" fitToWidth="2" orientation="landscape" r:id="rId1"/>
  <headerFooter alignWithMargins="0"/>
  <rowBreaks count="1" manualBreakCount="1">
    <brk id="57" max="16383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778"/>
  <sheetViews>
    <sheetView workbookViewId="0">
      <selection activeCell="O31" sqref="O31"/>
    </sheetView>
  </sheetViews>
  <sheetFormatPr defaultRowHeight="16.5"/>
  <cols>
    <col min="1" max="1" width="24.25" customWidth="1"/>
    <col min="2" max="2" width="12.375" hidden="1" customWidth="1"/>
    <col min="3" max="3" width="9" style="14" hidden="1" customWidth="1"/>
    <col min="4" max="4" width="13.625" style="14" customWidth="1"/>
    <col min="5" max="5" width="12.875" style="2" customWidth="1"/>
    <col min="6" max="6" width="14.75" hidden="1" customWidth="1"/>
    <col min="7" max="7" width="11.375" style="14" customWidth="1"/>
    <col min="8" max="8" width="6.875" hidden="1" customWidth="1"/>
    <col min="9" max="9" width="12" bestFit="1" customWidth="1"/>
    <col min="10" max="10" width="11.875" customWidth="1"/>
    <col min="11" max="11" width="11.5" bestFit="1" customWidth="1"/>
    <col min="12" max="12" width="28.875" hidden="1" customWidth="1"/>
    <col min="13" max="13" width="15.375" style="20" hidden="1" customWidth="1"/>
    <col min="14" max="14" width="16.125" bestFit="1" customWidth="1"/>
    <col min="15" max="15" width="13.75" bestFit="1" customWidth="1"/>
    <col min="16" max="16" width="10.5" style="134" customWidth="1"/>
  </cols>
  <sheetData>
    <row r="1" spans="1:16" ht="32.25">
      <c r="A1" s="49" t="s">
        <v>25</v>
      </c>
      <c r="B1" s="11">
        <f ca="1">TODAY()</f>
        <v>45022</v>
      </c>
      <c r="C1" s="11">
        <f ca="1">TODAY()</f>
        <v>45022</v>
      </c>
      <c r="D1" s="11">
        <f ca="1">TODAY()</f>
        <v>45022</v>
      </c>
      <c r="E1" s="42" t="s">
        <v>26</v>
      </c>
      <c r="K1" s="3"/>
    </row>
    <row r="2" spans="1:16" ht="18.75" customHeight="1">
      <c r="A2" s="49"/>
      <c r="B2" s="11"/>
      <c r="E2" s="42"/>
      <c r="K2" s="3"/>
    </row>
    <row r="3" spans="1:16">
      <c r="A3" s="1"/>
      <c r="K3" s="4" t="s">
        <v>132</v>
      </c>
      <c r="N3" s="257">
        <v>32.442999999999998</v>
      </c>
      <c r="O3" s="91" t="s">
        <v>27</v>
      </c>
    </row>
    <row r="4" spans="1:16">
      <c r="A4" s="1"/>
      <c r="K4" s="12" t="s">
        <v>133</v>
      </c>
      <c r="M4"/>
      <c r="N4" s="257">
        <v>1.4710000000000001</v>
      </c>
      <c r="O4" s="133">
        <v>5.3574999999999999</v>
      </c>
    </row>
    <row r="5" spans="1:16">
      <c r="A5" s="1" t="s">
        <v>28</v>
      </c>
      <c r="D5" s="13" t="s">
        <v>29</v>
      </c>
      <c r="E5" s="50">
        <f>SUM(E7:E18)</f>
        <v>0</v>
      </c>
      <c r="M5"/>
    </row>
    <row r="6" spans="1:16">
      <c r="A6" s="21" t="s">
        <v>31</v>
      </c>
      <c r="B6" s="21" t="s">
        <v>32</v>
      </c>
      <c r="C6" s="22" t="s">
        <v>33</v>
      </c>
      <c r="D6" s="22" t="s">
        <v>138</v>
      </c>
      <c r="E6" s="23" t="s">
        <v>35</v>
      </c>
      <c r="F6" s="21" t="s">
        <v>36</v>
      </c>
      <c r="G6" s="24" t="s">
        <v>37</v>
      </c>
      <c r="H6" s="21" t="s">
        <v>38</v>
      </c>
      <c r="I6" s="21" t="s">
        <v>39</v>
      </c>
      <c r="J6" s="21" t="s">
        <v>40</v>
      </c>
      <c r="K6" s="25" t="s">
        <v>139</v>
      </c>
      <c r="L6" s="24" t="s">
        <v>41</v>
      </c>
      <c r="M6" s="45" t="s">
        <v>42</v>
      </c>
    </row>
    <row r="7" spans="1:16">
      <c r="A7" s="21" t="s">
        <v>43</v>
      </c>
      <c r="B7" s="65"/>
      <c r="C7" s="66"/>
      <c r="D7" s="68">
        <v>38901</v>
      </c>
      <c r="E7" s="23">
        <v>0</v>
      </c>
      <c r="F7" s="21"/>
      <c r="G7" s="29">
        <v>42505</v>
      </c>
      <c r="H7" s="21"/>
      <c r="I7" s="21"/>
      <c r="J7" s="21">
        <v>5.125</v>
      </c>
      <c r="K7" s="127">
        <f>O4+0.1</f>
        <v>5.4574999999999996</v>
      </c>
      <c r="L7" s="36"/>
      <c r="M7" s="67"/>
      <c r="N7" s="60">
        <f>(J7-K7)*E7/36000</f>
        <v>0</v>
      </c>
      <c r="P7" s="63"/>
    </row>
    <row r="8" spans="1:16">
      <c r="A8" s="21" t="s">
        <v>44</v>
      </c>
      <c r="B8" s="65"/>
      <c r="C8" s="66"/>
      <c r="D8" s="68" t="s">
        <v>136</v>
      </c>
      <c r="E8" s="23">
        <v>0</v>
      </c>
      <c r="F8" s="21"/>
      <c r="G8" s="29">
        <v>42019</v>
      </c>
      <c r="H8" s="21"/>
      <c r="I8" s="21">
        <v>4.5</v>
      </c>
      <c r="J8" s="21">
        <v>4.5</v>
      </c>
      <c r="K8" s="130">
        <f>$K$7</f>
        <v>5.4574999999999996</v>
      </c>
      <c r="L8" s="36"/>
      <c r="M8" s="67"/>
      <c r="N8" s="60">
        <f>(J8-K8)*E8/36000</f>
        <v>0</v>
      </c>
      <c r="P8" s="63"/>
    </row>
    <row r="9" spans="1:16">
      <c r="A9" s="21"/>
      <c r="B9" s="65"/>
      <c r="C9" s="66"/>
      <c r="D9" s="68"/>
      <c r="E9" s="23"/>
      <c r="F9" s="21"/>
      <c r="G9" s="29"/>
      <c r="H9" s="21"/>
      <c r="I9" s="21"/>
      <c r="J9" s="21"/>
      <c r="K9" s="130"/>
      <c r="L9" s="36"/>
      <c r="M9" s="67"/>
      <c r="N9" s="237"/>
      <c r="O9" s="135" t="s">
        <v>45</v>
      </c>
      <c r="P9" s="63"/>
    </row>
    <row r="10" spans="1:16">
      <c r="A10" s="71"/>
      <c r="B10" s="65"/>
      <c r="C10" s="66"/>
      <c r="D10" s="139"/>
      <c r="E10" s="140"/>
      <c r="F10" s="71"/>
      <c r="G10" s="141"/>
      <c r="H10" s="71"/>
      <c r="I10" s="71"/>
      <c r="J10" s="71"/>
      <c r="K10" s="142"/>
      <c r="L10" s="36"/>
      <c r="M10" s="67"/>
      <c r="N10" s="136" t="s">
        <v>30</v>
      </c>
      <c r="O10" s="193"/>
    </row>
    <row r="11" spans="1:16">
      <c r="A11" s="21" t="s">
        <v>143</v>
      </c>
      <c r="B11" s="65"/>
      <c r="C11" s="66"/>
      <c r="D11" s="68" t="s">
        <v>80</v>
      </c>
      <c r="E11" s="23">
        <v>0</v>
      </c>
      <c r="F11" s="21"/>
      <c r="G11" s="29">
        <v>42231</v>
      </c>
      <c r="H11" s="21"/>
      <c r="I11" s="21"/>
      <c r="J11" s="21">
        <v>4.25</v>
      </c>
      <c r="K11" s="127">
        <f>K7</f>
        <v>5.4574999999999996</v>
      </c>
      <c r="L11" s="36"/>
      <c r="M11" s="67"/>
      <c r="N11" s="237">
        <f>(J11-K11)*E11/36000</f>
        <v>0</v>
      </c>
      <c r="O11" s="135" t="s">
        <v>46</v>
      </c>
    </row>
    <row r="12" spans="1:16">
      <c r="L12" s="36"/>
      <c r="M12" s="67"/>
      <c r="N12" s="60"/>
      <c r="O12" s="193"/>
    </row>
    <row r="13" spans="1:16">
      <c r="A13" s="21" t="s">
        <v>142</v>
      </c>
      <c r="B13" s="65"/>
      <c r="C13" s="66"/>
      <c r="D13" s="68" t="s">
        <v>136</v>
      </c>
      <c r="E13" s="23">
        <v>0</v>
      </c>
      <c r="F13" s="21"/>
      <c r="G13" s="29">
        <v>42505</v>
      </c>
      <c r="H13" s="21"/>
      <c r="I13" s="21" t="s">
        <v>23</v>
      </c>
      <c r="J13" s="21">
        <v>5.125</v>
      </c>
      <c r="K13" s="127">
        <f>K7</f>
        <v>5.4574999999999996</v>
      </c>
      <c r="L13" s="39"/>
      <c r="M13" s="48"/>
      <c r="N13" s="237">
        <f>(J13-K13)*E13/36000</f>
        <v>0</v>
      </c>
      <c r="O13" s="135" t="s">
        <v>82</v>
      </c>
    </row>
    <row r="14" spans="1:16">
      <c r="L14" s="36"/>
      <c r="M14" s="67"/>
      <c r="N14" s="119" t="s">
        <v>23</v>
      </c>
      <c r="O14" s="193"/>
    </row>
    <row r="15" spans="1:16">
      <c r="A15" s="21" t="s">
        <v>141</v>
      </c>
      <c r="B15" s="65"/>
      <c r="C15" s="66"/>
      <c r="D15" s="68">
        <v>38901</v>
      </c>
      <c r="E15" s="23">
        <v>0</v>
      </c>
      <c r="F15" s="21"/>
      <c r="G15" s="29">
        <v>42505</v>
      </c>
      <c r="H15" s="21"/>
      <c r="I15" s="21"/>
      <c r="J15" s="21">
        <v>5.125</v>
      </c>
      <c r="K15" s="127">
        <f>O4+0.1</f>
        <v>5.4574999999999996</v>
      </c>
      <c r="L15" s="36"/>
      <c r="M15" s="67"/>
      <c r="N15" s="237">
        <f>(J15-K15)*E15/36000</f>
        <v>0</v>
      </c>
      <c r="O15" s="193"/>
    </row>
    <row r="16" spans="1:16">
      <c r="A16" s="262" t="s">
        <v>140</v>
      </c>
      <c r="B16" s="263"/>
      <c r="C16" s="264"/>
      <c r="D16" s="265" t="s">
        <v>136</v>
      </c>
      <c r="E16" s="266">
        <v>0</v>
      </c>
      <c r="F16" s="262"/>
      <c r="G16" s="272">
        <v>39568</v>
      </c>
      <c r="H16" s="262"/>
      <c r="I16" s="262"/>
      <c r="J16" s="262">
        <v>4.875</v>
      </c>
      <c r="K16" s="273">
        <f>K7</f>
        <v>5.4574999999999996</v>
      </c>
      <c r="L16" s="39"/>
      <c r="M16" s="48"/>
      <c r="N16" s="237">
        <f>(J16-K16)*E16/36000</f>
        <v>0</v>
      </c>
      <c r="O16" s="135" t="s">
        <v>83</v>
      </c>
    </row>
    <row r="17" spans="1:16">
      <c r="L17" s="36"/>
      <c r="M17" s="67"/>
      <c r="N17" s="60"/>
      <c r="O17" s="193"/>
    </row>
    <row r="18" spans="1:16">
      <c r="A18" s="21" t="s">
        <v>81</v>
      </c>
      <c r="B18" s="65"/>
      <c r="C18" s="66"/>
      <c r="D18" s="68" t="s">
        <v>79</v>
      </c>
      <c r="E18" s="23">
        <v>0</v>
      </c>
      <c r="F18" s="21"/>
      <c r="G18" s="29">
        <v>42231</v>
      </c>
      <c r="H18" s="21"/>
      <c r="I18" s="21"/>
      <c r="J18" s="21">
        <v>4.25</v>
      </c>
      <c r="K18" s="127">
        <f>K7</f>
        <v>5.4574999999999996</v>
      </c>
      <c r="L18" s="39"/>
      <c r="M18" s="48"/>
      <c r="N18" s="154"/>
      <c r="O18" s="135" t="s">
        <v>84</v>
      </c>
    </row>
    <row r="19" spans="1:16">
      <c r="A19" s="65"/>
      <c r="B19" s="65"/>
      <c r="C19" s="66"/>
      <c r="D19" s="69"/>
      <c r="E19" s="70"/>
      <c r="F19" s="65"/>
      <c r="G19" s="17"/>
      <c r="H19" s="65"/>
      <c r="I19" s="65"/>
      <c r="J19" s="65"/>
      <c r="K19" s="153"/>
      <c r="L19" s="39"/>
      <c r="M19" s="48"/>
      <c r="O19" s="93"/>
      <c r="P19" s="62"/>
    </row>
    <row r="20" spans="1:16">
      <c r="A20" s="32"/>
      <c r="B20" s="33"/>
      <c r="C20" s="34"/>
      <c r="D20" s="17"/>
      <c r="E20" s="35"/>
      <c r="F20" s="36"/>
      <c r="G20" s="17"/>
      <c r="H20" s="47"/>
      <c r="I20" s="38"/>
      <c r="J20" s="57"/>
      <c r="K20" s="105"/>
      <c r="L20" s="39"/>
      <c r="M20" s="48"/>
      <c r="N20" s="128"/>
    </row>
    <row r="21" spans="1:16" hidden="1">
      <c r="A21" s="32"/>
      <c r="B21" s="33"/>
      <c r="C21" s="34"/>
      <c r="D21" s="17"/>
      <c r="E21" s="35"/>
      <c r="F21" s="36"/>
      <c r="G21" s="17"/>
      <c r="H21" s="37"/>
      <c r="I21" s="38"/>
      <c r="J21" s="57"/>
      <c r="K21" s="34"/>
      <c r="L21" s="34"/>
      <c r="M21" s="34"/>
      <c r="N21" s="60"/>
      <c r="P21" s="137"/>
    </row>
    <row r="22" spans="1:16" hidden="1">
      <c r="A22" s="40" t="s">
        <v>47</v>
      </c>
      <c r="B22" s="10"/>
      <c r="C22" s="6"/>
      <c r="D22" s="19" t="s">
        <v>29</v>
      </c>
      <c r="E22" s="15">
        <f>SUM(E24:E28)</f>
        <v>0</v>
      </c>
      <c r="F22" s="5"/>
      <c r="G22" s="16"/>
      <c r="H22" s="7"/>
      <c r="I22" s="9"/>
      <c r="J22" s="58"/>
      <c r="K22" s="6"/>
      <c r="L22" s="6"/>
      <c r="M22" s="6"/>
      <c r="N22" s="126"/>
    </row>
    <row r="23" spans="1:16" hidden="1">
      <c r="A23" s="21" t="s">
        <v>31</v>
      </c>
      <c r="B23" s="21" t="s">
        <v>32</v>
      </c>
      <c r="C23" s="22" t="s">
        <v>33</v>
      </c>
      <c r="D23" s="22" t="s">
        <v>34</v>
      </c>
      <c r="E23" s="23" t="s">
        <v>48</v>
      </c>
      <c r="F23" s="21" t="s">
        <v>36</v>
      </c>
      <c r="G23" s="24" t="s">
        <v>37</v>
      </c>
      <c r="H23" s="21" t="s">
        <v>49</v>
      </c>
      <c r="I23" s="21" t="s">
        <v>50</v>
      </c>
      <c r="J23" s="59"/>
      <c r="K23" s="25" t="s">
        <v>51</v>
      </c>
      <c r="L23" s="24" t="s">
        <v>41</v>
      </c>
      <c r="M23" s="46" t="s">
        <v>52</v>
      </c>
    </row>
    <row r="24" spans="1:16" hidden="1">
      <c r="A24" s="26" t="s">
        <v>53</v>
      </c>
      <c r="B24" s="27"/>
      <c r="C24" s="24" t="s">
        <v>54</v>
      </c>
      <c r="D24" s="29">
        <v>37533</v>
      </c>
      <c r="E24" s="28">
        <v>0</v>
      </c>
      <c r="F24" s="24"/>
      <c r="G24" s="29">
        <v>38551</v>
      </c>
      <c r="H24" s="43">
        <f ca="1">(G24-$B$1)/365</f>
        <v>-17.728767123287671</v>
      </c>
      <c r="I24" s="30">
        <v>1.4E-2</v>
      </c>
      <c r="J24" s="56">
        <v>4.0599999999999996</v>
      </c>
      <c r="K24" s="53">
        <f>$K$7</f>
        <v>5.4574999999999996</v>
      </c>
      <c r="L24" s="31" t="s">
        <v>55</v>
      </c>
      <c r="M24" s="46" t="s">
        <v>56</v>
      </c>
      <c r="N24" s="60">
        <f>(J24-K24)*E24/36000</f>
        <v>0</v>
      </c>
      <c r="O24" s="64">
        <v>38460</v>
      </c>
    </row>
    <row r="25" spans="1:16" ht="25.5" hidden="1">
      <c r="A25" s="26" t="s">
        <v>57</v>
      </c>
      <c r="B25" s="27"/>
      <c r="C25" s="24" t="s">
        <v>58</v>
      </c>
      <c r="D25" s="29">
        <v>37421</v>
      </c>
      <c r="E25" s="28">
        <v>0</v>
      </c>
      <c r="F25" s="24"/>
      <c r="G25" s="155">
        <v>38530</v>
      </c>
      <c r="H25" s="43">
        <f ca="1">(G25-$B$1)/365</f>
        <v>-17.786301369863015</v>
      </c>
      <c r="I25" s="30">
        <v>1.7500000000000002E-2</v>
      </c>
      <c r="J25" s="56">
        <v>4.84</v>
      </c>
      <c r="K25" s="53">
        <f>$K$7</f>
        <v>5.4574999999999996</v>
      </c>
      <c r="L25" s="31" t="s">
        <v>59</v>
      </c>
      <c r="M25" s="46" t="s">
        <v>60</v>
      </c>
      <c r="N25" s="60">
        <f>(J25-K25)*E25/36000</f>
        <v>0</v>
      </c>
      <c r="O25" s="64"/>
    </row>
    <row r="26" spans="1:16" ht="21" hidden="1" customHeight="1">
      <c r="A26" s="26" t="s">
        <v>61</v>
      </c>
      <c r="B26" s="27"/>
      <c r="C26" s="24" t="s">
        <v>62</v>
      </c>
      <c r="D26" s="29">
        <v>37432</v>
      </c>
      <c r="E26" s="28">
        <v>0</v>
      </c>
      <c r="F26" s="24"/>
      <c r="G26" s="155">
        <v>38545</v>
      </c>
      <c r="H26" s="43">
        <f ca="1">(G26-$B$1)/365</f>
        <v>-17.745205479452054</v>
      </c>
      <c r="I26" s="30">
        <v>0.02</v>
      </c>
      <c r="J26" s="56">
        <v>4.62</v>
      </c>
      <c r="K26" s="53">
        <f>$K$7</f>
        <v>5.4574999999999996</v>
      </c>
      <c r="L26" s="31" t="s">
        <v>63</v>
      </c>
      <c r="M26" s="46" t="s">
        <v>64</v>
      </c>
      <c r="N26" s="60">
        <f>(J26-K26)*E26/36000</f>
        <v>0</v>
      </c>
      <c r="O26" s="64">
        <v>38454</v>
      </c>
    </row>
    <row r="27" spans="1:16" hidden="1">
      <c r="A27" s="26" t="s">
        <v>65</v>
      </c>
      <c r="B27" s="27"/>
      <c r="C27" s="24" t="s">
        <v>66</v>
      </c>
      <c r="D27" s="29">
        <v>37454</v>
      </c>
      <c r="E27" s="28">
        <v>0</v>
      </c>
      <c r="F27" s="24"/>
      <c r="G27" s="29">
        <v>38564</v>
      </c>
      <c r="H27" s="43">
        <f ca="1">(G27-$B$1)/365</f>
        <v>-17.693150684931506</v>
      </c>
      <c r="I27" s="30">
        <v>1.7000000000000001E-2</v>
      </c>
      <c r="J27" s="56">
        <v>4.43</v>
      </c>
      <c r="K27" s="53">
        <f>$K$7</f>
        <v>5.4574999999999996</v>
      </c>
      <c r="L27" s="31" t="s">
        <v>67</v>
      </c>
      <c r="M27" s="46" t="s">
        <v>68</v>
      </c>
      <c r="N27" s="60">
        <f>(J27-K27)*E27/36000</f>
        <v>0</v>
      </c>
      <c r="O27" s="64">
        <v>38472</v>
      </c>
    </row>
    <row r="28" spans="1:16" hidden="1">
      <c r="A28" s="18"/>
      <c r="B28" s="7"/>
      <c r="C28" s="5"/>
      <c r="D28" s="5"/>
      <c r="E28" s="8"/>
      <c r="F28" s="5"/>
      <c r="G28" s="16"/>
      <c r="H28" s="41" t="e">
        <f ca="1">SUMPRODUCT(E24:E27,H24:H27)/SUM(E24:E27)</f>
        <v>#DIV/0!</v>
      </c>
      <c r="I28" s="9" t="e">
        <f>SUMPRODUCT(E24:E27,I24:I27)/SUM(E24:E27)</f>
        <v>#DIV/0!</v>
      </c>
      <c r="J28" s="58"/>
      <c r="K28" s="6"/>
      <c r="L28" s="14"/>
      <c r="M28" s="14"/>
    </row>
    <row r="29" spans="1:16" hidden="1">
      <c r="A29" s="5"/>
      <c r="B29" s="7"/>
      <c r="C29" s="5"/>
      <c r="D29" s="5"/>
      <c r="E29" s="8"/>
      <c r="F29" s="5"/>
      <c r="G29" s="16"/>
      <c r="H29" s="7"/>
      <c r="I29" s="9"/>
      <c r="J29" s="54"/>
      <c r="K29" s="6"/>
      <c r="L29" s="14"/>
      <c r="M29" s="14"/>
      <c r="N29" s="60">
        <f>SUM(N24:N28)</f>
        <v>0</v>
      </c>
    </row>
    <row r="30" spans="1:16" hidden="1">
      <c r="A30" s="14"/>
      <c r="F30" s="14"/>
      <c r="J30" s="55"/>
      <c r="K30" s="14"/>
      <c r="L30" s="14"/>
      <c r="M30" s="14"/>
      <c r="O30" s="138">
        <f>N29*N4</f>
        <v>0</v>
      </c>
      <c r="P30" s="135" t="s">
        <v>46</v>
      </c>
    </row>
    <row r="31" spans="1:16">
      <c r="A31" s="18"/>
      <c r="D31" s="94"/>
      <c r="E31" s="90" t="s">
        <v>69</v>
      </c>
      <c r="F31" s="14"/>
      <c r="J31" s="55"/>
      <c r="K31" s="14"/>
      <c r="L31" s="14"/>
      <c r="M31" s="14"/>
    </row>
    <row r="32" spans="1:16" s="93" customFormat="1">
      <c r="A32" s="144"/>
      <c r="C32" s="97"/>
      <c r="D32" s="97"/>
      <c r="E32" s="145"/>
      <c r="F32" s="97"/>
      <c r="G32" s="97"/>
      <c r="J32" s="146"/>
      <c r="K32" s="97"/>
      <c r="L32" s="97"/>
      <c r="M32" s="97"/>
      <c r="N32" s="119"/>
      <c r="P32" s="132"/>
    </row>
    <row r="33" spans="1:16" s="93" customFormat="1">
      <c r="A33" s="147"/>
      <c r="C33" s="97"/>
      <c r="D33" s="97"/>
      <c r="E33" s="109"/>
      <c r="F33" s="97"/>
      <c r="G33" s="97"/>
      <c r="I33" s="97"/>
      <c r="J33" s="148"/>
      <c r="K33" s="97"/>
      <c r="L33" s="97"/>
      <c r="M33" s="97"/>
      <c r="P33" s="132"/>
    </row>
    <row r="34" spans="1:16" s="93" customFormat="1">
      <c r="A34" s="147"/>
      <c r="C34" s="97"/>
      <c r="D34" s="97"/>
      <c r="E34" s="109"/>
      <c r="F34" s="97"/>
      <c r="G34" s="97"/>
      <c r="I34" s="149" t="s">
        <v>23</v>
      </c>
      <c r="J34" s="148"/>
      <c r="K34" s="97"/>
      <c r="L34" s="97"/>
      <c r="M34" s="97"/>
      <c r="P34" s="132"/>
    </row>
    <row r="35" spans="1:16" s="93" customFormat="1">
      <c r="A35" s="147"/>
      <c r="C35" s="97"/>
      <c r="D35" s="97"/>
      <c r="E35" s="109"/>
      <c r="F35" s="97"/>
      <c r="G35" s="97"/>
      <c r="I35" s="97"/>
      <c r="J35" s="148"/>
      <c r="K35" s="97"/>
      <c r="L35" s="97"/>
      <c r="M35" s="97"/>
      <c r="P35" s="132"/>
    </row>
    <row r="36" spans="1:16">
      <c r="F36" s="14"/>
      <c r="J36" s="55"/>
      <c r="K36" s="14"/>
      <c r="L36" s="14"/>
      <c r="M36" s="14"/>
      <c r="N36" s="55"/>
    </row>
    <row r="37" spans="1:16">
      <c r="F37" s="14"/>
      <c r="J37" s="55"/>
      <c r="K37" s="14"/>
      <c r="L37" s="14"/>
      <c r="M37" s="14"/>
    </row>
    <row r="38" spans="1:16">
      <c r="F38" s="14"/>
      <c r="J38" s="55"/>
      <c r="K38" s="14"/>
      <c r="L38" s="14"/>
      <c r="M38" s="14"/>
    </row>
    <row r="39" spans="1:16">
      <c r="F39" s="14"/>
      <c r="J39" s="55"/>
      <c r="K39" s="14"/>
      <c r="L39" s="14"/>
      <c r="M39" s="14"/>
    </row>
    <row r="40" spans="1:16">
      <c r="F40" s="14"/>
      <c r="J40" s="55"/>
      <c r="K40" s="14"/>
      <c r="L40" s="14"/>
      <c r="M40" s="14"/>
    </row>
    <row r="41" spans="1:16">
      <c r="F41" s="14"/>
      <c r="J41" s="55"/>
      <c r="K41" s="14"/>
      <c r="L41" s="14"/>
      <c r="M41" s="14"/>
    </row>
    <row r="42" spans="1:16">
      <c r="F42" s="14"/>
      <c r="J42" s="55"/>
      <c r="K42" s="14"/>
      <c r="L42" s="14"/>
      <c r="M42" s="14"/>
    </row>
    <row r="43" spans="1:16">
      <c r="F43" s="14"/>
      <c r="J43" s="55"/>
      <c r="K43" s="14"/>
      <c r="L43" s="14"/>
      <c r="M43" s="14"/>
    </row>
    <row r="44" spans="1:16">
      <c r="F44" s="14"/>
      <c r="J44" s="55"/>
      <c r="K44" s="14"/>
      <c r="L44" s="14"/>
      <c r="M44" s="14"/>
    </row>
    <row r="45" spans="1:16">
      <c r="F45" s="14"/>
      <c r="J45" s="55"/>
      <c r="K45" s="14"/>
      <c r="L45" s="14"/>
      <c r="M45" s="14"/>
    </row>
    <row r="46" spans="1:16">
      <c r="F46" s="14"/>
      <c r="J46" s="55"/>
      <c r="K46" s="14"/>
      <c r="L46" s="14"/>
      <c r="M46" s="14"/>
    </row>
    <row r="47" spans="1:16">
      <c r="F47" s="14"/>
      <c r="J47" s="55"/>
      <c r="K47" s="14"/>
      <c r="L47" s="14"/>
      <c r="M47" s="14"/>
    </row>
    <row r="48" spans="1:16">
      <c r="F48" s="14"/>
      <c r="J48" s="55"/>
      <c r="K48" s="14"/>
      <c r="L48" s="14"/>
      <c r="M48" s="14"/>
    </row>
    <row r="49" spans="6:13">
      <c r="F49" s="14"/>
      <c r="J49" s="55"/>
      <c r="K49" s="14"/>
      <c r="L49" s="14"/>
      <c r="M49" s="14"/>
    </row>
    <row r="50" spans="6:13">
      <c r="F50" s="14"/>
      <c r="J50" s="55"/>
      <c r="K50" s="14"/>
      <c r="L50" s="14"/>
      <c r="M50" s="14"/>
    </row>
    <row r="51" spans="6:13">
      <c r="F51" s="14"/>
      <c r="J51" s="55"/>
      <c r="K51" s="14"/>
      <c r="L51" s="14"/>
      <c r="M51" s="14"/>
    </row>
    <row r="52" spans="6:13">
      <c r="F52" s="14"/>
      <c r="J52" s="55"/>
      <c r="K52" s="14"/>
      <c r="L52" s="14"/>
      <c r="M52" s="14"/>
    </row>
    <row r="53" spans="6:13">
      <c r="F53" s="14"/>
      <c r="J53" s="55"/>
      <c r="K53" s="14"/>
      <c r="L53" s="14"/>
      <c r="M53" s="14"/>
    </row>
    <row r="54" spans="6:13">
      <c r="F54" s="14"/>
      <c r="J54" s="55"/>
      <c r="K54" s="14"/>
      <c r="L54" s="14"/>
      <c r="M54" s="14"/>
    </row>
    <row r="55" spans="6:13">
      <c r="F55" s="14"/>
      <c r="J55" s="55"/>
      <c r="K55" s="14"/>
      <c r="L55" s="14"/>
      <c r="M55" s="14"/>
    </row>
    <row r="56" spans="6:13">
      <c r="F56" s="14"/>
      <c r="J56" s="55"/>
      <c r="K56" s="14"/>
      <c r="L56" s="14"/>
      <c r="M56" s="14"/>
    </row>
    <row r="57" spans="6:13">
      <c r="F57" s="14"/>
      <c r="J57" s="55"/>
      <c r="K57" s="14"/>
      <c r="L57" s="14"/>
      <c r="M57" s="14"/>
    </row>
    <row r="58" spans="6:13">
      <c r="F58" s="14"/>
      <c r="J58" s="55"/>
      <c r="K58" s="14"/>
      <c r="L58" s="14"/>
      <c r="M58" s="14"/>
    </row>
    <row r="59" spans="6:13">
      <c r="F59" s="14"/>
      <c r="J59" s="55"/>
      <c r="K59" s="14"/>
      <c r="L59" s="14"/>
      <c r="M59" s="14"/>
    </row>
    <row r="60" spans="6:13">
      <c r="F60" s="14"/>
      <c r="J60" s="55"/>
      <c r="K60" s="14"/>
      <c r="L60" s="14"/>
      <c r="M60" s="14"/>
    </row>
    <row r="61" spans="6:13">
      <c r="F61" s="14"/>
      <c r="J61" s="55"/>
      <c r="K61" s="14"/>
      <c r="L61" s="14"/>
      <c r="M61" s="14"/>
    </row>
    <row r="62" spans="6:13">
      <c r="F62" s="14"/>
      <c r="J62" s="55"/>
      <c r="K62" s="14"/>
      <c r="L62" s="14"/>
      <c r="M62" s="14"/>
    </row>
    <row r="63" spans="6:13">
      <c r="F63" s="14"/>
      <c r="J63" s="55"/>
      <c r="K63" s="14"/>
      <c r="L63" s="14"/>
      <c r="M63" s="14"/>
    </row>
    <row r="64" spans="6:13">
      <c r="F64" s="14"/>
      <c r="J64" s="55"/>
      <c r="K64" s="14"/>
      <c r="L64" s="14"/>
      <c r="M64" s="14"/>
    </row>
    <row r="65" spans="6:13">
      <c r="F65" s="14"/>
      <c r="J65" s="55"/>
      <c r="K65" s="14"/>
      <c r="L65" s="14"/>
      <c r="M65" s="14"/>
    </row>
    <row r="66" spans="6:13">
      <c r="F66" s="14"/>
      <c r="J66" s="55"/>
      <c r="K66" s="14"/>
      <c r="L66" s="14"/>
      <c r="M66" s="14"/>
    </row>
    <row r="67" spans="6:13">
      <c r="F67" s="14"/>
      <c r="J67" s="55"/>
      <c r="K67" s="14"/>
      <c r="L67" s="14"/>
      <c r="M67" s="14"/>
    </row>
    <row r="68" spans="6:13">
      <c r="F68" s="14"/>
      <c r="J68" s="55"/>
      <c r="K68" s="14"/>
      <c r="L68" s="14"/>
      <c r="M68" s="14"/>
    </row>
    <row r="69" spans="6:13">
      <c r="F69" s="14"/>
      <c r="J69" s="55"/>
      <c r="K69" s="14"/>
      <c r="L69" s="14"/>
      <c r="M69" s="14"/>
    </row>
    <row r="70" spans="6:13">
      <c r="F70" s="14"/>
      <c r="J70" s="55"/>
      <c r="K70" s="14"/>
      <c r="L70" s="14"/>
      <c r="M70" s="14"/>
    </row>
    <row r="71" spans="6:13">
      <c r="F71" s="14"/>
      <c r="J71" s="55"/>
      <c r="K71" s="14"/>
      <c r="L71" s="14"/>
      <c r="M71" s="14"/>
    </row>
    <row r="72" spans="6:13">
      <c r="F72" s="14"/>
      <c r="J72" s="55"/>
      <c r="K72" s="14"/>
      <c r="L72" s="14"/>
      <c r="M72" s="14"/>
    </row>
    <row r="73" spans="6:13">
      <c r="F73" s="14"/>
      <c r="J73" s="55"/>
      <c r="K73" s="14"/>
      <c r="L73" s="14"/>
      <c r="M73" s="14"/>
    </row>
    <row r="74" spans="6:13">
      <c r="F74" s="14"/>
      <c r="J74" s="55"/>
      <c r="K74" s="14"/>
      <c r="L74" s="14"/>
      <c r="M74" s="14"/>
    </row>
    <row r="75" spans="6:13">
      <c r="F75" s="14"/>
      <c r="J75" s="55"/>
      <c r="K75" s="14"/>
      <c r="L75" s="14"/>
      <c r="M75" s="14"/>
    </row>
    <row r="76" spans="6:13">
      <c r="F76" s="14"/>
      <c r="J76" s="55"/>
      <c r="K76" s="14"/>
      <c r="L76" s="14"/>
      <c r="M76" s="14"/>
    </row>
    <row r="77" spans="6:13">
      <c r="F77" s="14"/>
      <c r="J77" s="55"/>
      <c r="K77" s="14"/>
      <c r="L77" s="14"/>
      <c r="M77" s="14"/>
    </row>
    <row r="78" spans="6:13">
      <c r="F78" s="14"/>
      <c r="J78" s="55"/>
      <c r="K78" s="14"/>
      <c r="L78" s="14"/>
      <c r="M78" s="14"/>
    </row>
    <row r="79" spans="6:13">
      <c r="F79" s="14"/>
      <c r="J79" s="55"/>
      <c r="K79" s="14"/>
      <c r="L79" s="14"/>
      <c r="M79" s="14"/>
    </row>
    <row r="80" spans="6:13">
      <c r="F80" s="14"/>
      <c r="J80" s="55"/>
      <c r="K80" s="14"/>
      <c r="L80" s="14"/>
      <c r="M80" s="14"/>
    </row>
    <row r="81" spans="6:13">
      <c r="F81" s="14"/>
      <c r="J81" s="55"/>
      <c r="K81" s="14"/>
      <c r="L81" s="14"/>
      <c r="M81" s="14"/>
    </row>
    <row r="82" spans="6:13">
      <c r="F82" s="14"/>
      <c r="J82" s="55"/>
      <c r="K82" s="14"/>
      <c r="L82" s="14"/>
      <c r="M82" s="14"/>
    </row>
    <row r="83" spans="6:13">
      <c r="F83" s="14"/>
      <c r="J83" s="55"/>
      <c r="K83" s="14"/>
      <c r="L83" s="14"/>
      <c r="M83" s="14"/>
    </row>
    <row r="84" spans="6:13">
      <c r="F84" s="14"/>
      <c r="J84" s="55"/>
      <c r="K84" s="14"/>
      <c r="L84" s="14"/>
      <c r="M84" s="14"/>
    </row>
    <row r="85" spans="6:13">
      <c r="F85" s="14"/>
      <c r="J85" s="55"/>
      <c r="K85" s="14"/>
      <c r="L85" s="14"/>
      <c r="M85" s="14"/>
    </row>
    <row r="86" spans="6:13">
      <c r="F86" s="14"/>
      <c r="J86" s="55"/>
      <c r="K86" s="14"/>
      <c r="L86" s="14"/>
      <c r="M86" s="14"/>
    </row>
    <row r="87" spans="6:13">
      <c r="F87" s="14"/>
      <c r="J87" s="55"/>
      <c r="K87" s="14"/>
      <c r="L87" s="14"/>
      <c r="M87" s="14"/>
    </row>
    <row r="88" spans="6:13">
      <c r="F88" s="14"/>
      <c r="J88" s="55"/>
      <c r="K88" s="14"/>
      <c r="L88" s="14"/>
      <c r="M88" s="14"/>
    </row>
    <row r="89" spans="6:13">
      <c r="F89" s="14"/>
      <c r="J89" s="55"/>
      <c r="K89" s="14"/>
      <c r="L89" s="14"/>
      <c r="M89" s="14"/>
    </row>
    <row r="90" spans="6:13">
      <c r="F90" s="14"/>
      <c r="J90" s="55"/>
      <c r="K90" s="14"/>
      <c r="L90" s="14"/>
      <c r="M90" s="14"/>
    </row>
    <row r="91" spans="6:13">
      <c r="F91" s="14"/>
      <c r="J91" s="55"/>
      <c r="K91" s="14"/>
      <c r="L91" s="14"/>
      <c r="M91" s="14"/>
    </row>
    <row r="92" spans="6:13">
      <c r="F92" s="14"/>
      <c r="J92" s="55"/>
      <c r="K92" s="14"/>
      <c r="L92" s="14"/>
      <c r="M92" s="14"/>
    </row>
    <row r="93" spans="6:13">
      <c r="F93" s="14"/>
      <c r="J93" s="55"/>
      <c r="K93" s="14"/>
      <c r="L93" s="14"/>
      <c r="M93" s="14"/>
    </row>
    <row r="94" spans="6:13">
      <c r="F94" s="14"/>
      <c r="J94" s="55"/>
      <c r="K94" s="14"/>
      <c r="L94" s="14"/>
      <c r="M94" s="14"/>
    </row>
    <row r="95" spans="6:13">
      <c r="F95" s="14"/>
      <c r="J95" s="55"/>
      <c r="K95" s="14"/>
      <c r="L95" s="14"/>
      <c r="M95" s="14"/>
    </row>
    <row r="96" spans="6:13">
      <c r="F96" s="14"/>
      <c r="J96" s="55"/>
      <c r="K96" s="14"/>
      <c r="L96" s="14"/>
      <c r="M96" s="14"/>
    </row>
    <row r="97" spans="6:13">
      <c r="F97" s="14"/>
      <c r="J97" s="55"/>
      <c r="K97" s="14"/>
      <c r="L97" s="14"/>
      <c r="M97" s="14"/>
    </row>
    <row r="98" spans="6:13">
      <c r="F98" s="14"/>
      <c r="J98" s="55"/>
      <c r="K98" s="14"/>
      <c r="L98" s="14"/>
      <c r="M98" s="14"/>
    </row>
    <row r="99" spans="6:13">
      <c r="F99" s="14"/>
      <c r="J99" s="55"/>
      <c r="K99" s="14"/>
      <c r="L99" s="14"/>
      <c r="M99" s="14"/>
    </row>
    <row r="100" spans="6:13">
      <c r="F100" s="14"/>
      <c r="J100" s="55"/>
      <c r="K100" s="14"/>
      <c r="L100" s="14"/>
      <c r="M100" s="14"/>
    </row>
    <row r="101" spans="6:13">
      <c r="F101" s="14"/>
      <c r="J101" s="55"/>
      <c r="K101" s="14"/>
      <c r="L101" s="14"/>
      <c r="M101" s="14"/>
    </row>
    <row r="102" spans="6:13">
      <c r="F102" s="14"/>
      <c r="J102" s="55"/>
      <c r="K102" s="14"/>
      <c r="L102" s="14"/>
      <c r="M102" s="14"/>
    </row>
    <row r="103" spans="6:13">
      <c r="F103" s="14"/>
      <c r="J103" s="55"/>
      <c r="K103" s="14"/>
      <c r="L103" s="14"/>
      <c r="M103" s="14"/>
    </row>
    <row r="104" spans="6:13">
      <c r="F104" s="14"/>
      <c r="J104" s="55"/>
      <c r="K104" s="14"/>
      <c r="L104" s="14"/>
      <c r="M104" s="14"/>
    </row>
    <row r="105" spans="6:13">
      <c r="F105" s="14"/>
      <c r="J105" s="55"/>
      <c r="K105" s="14"/>
      <c r="L105" s="14"/>
      <c r="M105" s="14"/>
    </row>
    <row r="106" spans="6:13">
      <c r="F106" s="14"/>
      <c r="J106" s="55"/>
      <c r="K106" s="14"/>
      <c r="L106" s="14"/>
      <c r="M106" s="14"/>
    </row>
    <row r="107" spans="6:13">
      <c r="F107" s="14"/>
      <c r="J107" s="55"/>
      <c r="K107" s="14"/>
      <c r="L107" s="14"/>
      <c r="M107" s="14"/>
    </row>
    <row r="108" spans="6:13">
      <c r="F108" s="14"/>
      <c r="J108" s="55"/>
      <c r="K108" s="14"/>
      <c r="L108" s="14"/>
      <c r="M108" s="14"/>
    </row>
    <row r="109" spans="6:13">
      <c r="F109" s="14"/>
      <c r="J109" s="55"/>
      <c r="K109" s="14"/>
      <c r="L109" s="14"/>
      <c r="M109" s="14"/>
    </row>
    <row r="110" spans="6:13">
      <c r="F110" s="14"/>
      <c r="J110" s="55"/>
      <c r="K110" s="14"/>
      <c r="L110" s="14"/>
      <c r="M110" s="14"/>
    </row>
    <row r="111" spans="6:13">
      <c r="F111" s="14"/>
      <c r="J111" s="55"/>
      <c r="K111" s="14"/>
      <c r="L111" s="14"/>
      <c r="M111" s="14"/>
    </row>
    <row r="112" spans="6:13">
      <c r="F112" s="14"/>
      <c r="J112" s="55"/>
      <c r="K112" s="14"/>
      <c r="L112" s="14"/>
      <c r="M112" s="14"/>
    </row>
    <row r="113" spans="6:13">
      <c r="F113" s="14"/>
      <c r="J113" s="55"/>
      <c r="K113" s="14"/>
      <c r="L113" s="14"/>
      <c r="M113" s="14"/>
    </row>
    <row r="114" spans="6:13">
      <c r="F114" s="14"/>
      <c r="J114" s="55"/>
      <c r="K114" s="14"/>
      <c r="L114" s="14"/>
      <c r="M114" s="14"/>
    </row>
    <row r="115" spans="6:13">
      <c r="F115" s="14"/>
      <c r="J115" s="55"/>
      <c r="K115" s="14"/>
      <c r="L115" s="14"/>
      <c r="M115" s="14"/>
    </row>
    <row r="116" spans="6:13">
      <c r="F116" s="14"/>
      <c r="J116" s="55"/>
      <c r="K116" s="14"/>
      <c r="L116" s="14"/>
      <c r="M116" s="14"/>
    </row>
    <row r="117" spans="6:13">
      <c r="F117" s="14"/>
      <c r="J117" s="55"/>
      <c r="K117" s="14"/>
      <c r="L117" s="14"/>
      <c r="M117" s="14"/>
    </row>
    <row r="118" spans="6:13">
      <c r="F118" s="14"/>
      <c r="J118" s="55"/>
      <c r="K118" s="14"/>
      <c r="L118" s="14"/>
      <c r="M118" s="14"/>
    </row>
    <row r="119" spans="6:13">
      <c r="F119" s="14"/>
      <c r="J119" s="55"/>
      <c r="K119" s="14"/>
      <c r="L119" s="14"/>
      <c r="M119" s="14"/>
    </row>
    <row r="120" spans="6:13">
      <c r="F120" s="14"/>
      <c r="J120" s="55"/>
      <c r="K120" s="14"/>
      <c r="L120" s="14"/>
      <c r="M120" s="14"/>
    </row>
    <row r="121" spans="6:13">
      <c r="F121" s="14"/>
      <c r="J121" s="55"/>
      <c r="K121" s="14"/>
      <c r="L121" s="14"/>
      <c r="M121" s="14"/>
    </row>
    <row r="122" spans="6:13">
      <c r="F122" s="14"/>
      <c r="J122" s="55"/>
      <c r="K122" s="14"/>
      <c r="L122" s="14"/>
      <c r="M122" s="14"/>
    </row>
    <row r="123" spans="6:13">
      <c r="F123" s="14"/>
      <c r="J123" s="55"/>
      <c r="K123" s="14"/>
      <c r="L123" s="14"/>
      <c r="M123" s="14"/>
    </row>
    <row r="124" spans="6:13">
      <c r="F124" s="14"/>
      <c r="J124" s="55"/>
      <c r="K124" s="14"/>
      <c r="L124" s="14"/>
      <c r="M124" s="14"/>
    </row>
    <row r="125" spans="6:13">
      <c r="F125" s="14"/>
      <c r="J125" s="55"/>
      <c r="K125" s="14"/>
      <c r="L125" s="14"/>
      <c r="M125" s="14"/>
    </row>
    <row r="126" spans="6:13">
      <c r="F126" s="14"/>
      <c r="J126" s="55"/>
      <c r="K126" s="14"/>
      <c r="L126" s="14"/>
      <c r="M126" s="14"/>
    </row>
    <row r="127" spans="6:13">
      <c r="F127" s="14"/>
      <c r="J127" s="55"/>
      <c r="K127" s="14"/>
      <c r="L127" s="14"/>
      <c r="M127" s="14"/>
    </row>
    <row r="128" spans="6:13">
      <c r="F128" s="14"/>
      <c r="J128" s="55"/>
      <c r="K128" s="14"/>
      <c r="L128" s="14"/>
      <c r="M128" s="14"/>
    </row>
    <row r="129" spans="6:13">
      <c r="F129" s="14"/>
      <c r="J129" s="55"/>
      <c r="K129" s="14"/>
      <c r="L129" s="14"/>
      <c r="M129" s="14"/>
    </row>
    <row r="130" spans="6:13">
      <c r="F130" s="14"/>
      <c r="J130" s="55"/>
      <c r="K130" s="14"/>
      <c r="L130" s="14"/>
      <c r="M130" s="14"/>
    </row>
    <row r="131" spans="6:13">
      <c r="F131" s="14"/>
      <c r="J131" s="55"/>
      <c r="K131" s="14"/>
      <c r="L131" s="14"/>
      <c r="M131" s="14"/>
    </row>
    <row r="132" spans="6:13">
      <c r="F132" s="14"/>
      <c r="J132" s="55"/>
      <c r="K132" s="14"/>
      <c r="L132" s="14"/>
      <c r="M132" s="14"/>
    </row>
    <row r="133" spans="6:13">
      <c r="F133" s="14"/>
      <c r="J133" s="55"/>
      <c r="K133" s="14"/>
      <c r="L133" s="14"/>
      <c r="M133" s="14"/>
    </row>
    <row r="134" spans="6:13">
      <c r="F134" s="14"/>
      <c r="J134" s="55"/>
      <c r="K134" s="14"/>
      <c r="L134" s="14"/>
      <c r="M134" s="14"/>
    </row>
    <row r="135" spans="6:13">
      <c r="F135" s="14"/>
      <c r="J135" s="55"/>
      <c r="K135" s="14"/>
      <c r="L135" s="14"/>
      <c r="M135" s="14"/>
    </row>
    <row r="136" spans="6:13">
      <c r="F136" s="14"/>
      <c r="J136" s="55"/>
      <c r="K136" s="14"/>
      <c r="L136" s="14"/>
      <c r="M136" s="14"/>
    </row>
    <row r="137" spans="6:13">
      <c r="F137" s="14"/>
      <c r="J137" s="55"/>
      <c r="K137" s="14"/>
      <c r="L137" s="14"/>
      <c r="M137" s="14"/>
    </row>
    <row r="138" spans="6:13">
      <c r="F138" s="14"/>
      <c r="J138" s="55"/>
      <c r="K138" s="14"/>
      <c r="L138" s="14"/>
      <c r="M138" s="14"/>
    </row>
    <row r="139" spans="6:13">
      <c r="F139" s="14"/>
      <c r="J139" s="55"/>
      <c r="K139" s="14"/>
      <c r="L139" s="14"/>
      <c r="M139" s="14"/>
    </row>
    <row r="140" spans="6:13">
      <c r="F140" s="14"/>
      <c r="J140" s="55"/>
      <c r="K140" s="14"/>
      <c r="L140" s="14"/>
      <c r="M140" s="14"/>
    </row>
    <row r="141" spans="6:13">
      <c r="F141" s="14"/>
      <c r="J141" s="55"/>
      <c r="K141" s="14"/>
      <c r="L141" s="14"/>
      <c r="M141" s="14"/>
    </row>
    <row r="142" spans="6:13">
      <c r="F142" s="14"/>
      <c r="J142" s="55"/>
      <c r="K142" s="14"/>
      <c r="L142" s="14"/>
      <c r="M142" s="14"/>
    </row>
    <row r="143" spans="6:13">
      <c r="F143" s="14"/>
      <c r="J143" s="55"/>
      <c r="K143" s="14"/>
      <c r="L143" s="14"/>
      <c r="M143" s="14"/>
    </row>
    <row r="144" spans="6:13">
      <c r="F144" s="14"/>
      <c r="J144" s="55"/>
      <c r="K144" s="14"/>
      <c r="L144" s="14"/>
      <c r="M144" s="14"/>
    </row>
    <row r="145" spans="6:13">
      <c r="F145" s="14"/>
      <c r="J145" s="55"/>
      <c r="K145" s="14"/>
      <c r="L145" s="14"/>
      <c r="M145" s="14"/>
    </row>
    <row r="146" spans="6:13">
      <c r="F146" s="14"/>
      <c r="J146" s="55"/>
      <c r="K146" s="14"/>
      <c r="L146" s="14"/>
      <c r="M146" s="14"/>
    </row>
    <row r="147" spans="6:13">
      <c r="F147" s="14"/>
      <c r="K147" s="14"/>
      <c r="L147" s="14"/>
      <c r="M147" s="14"/>
    </row>
    <row r="148" spans="6:13">
      <c r="F148" s="14"/>
      <c r="K148" s="14"/>
      <c r="L148" s="14"/>
      <c r="M148" s="14"/>
    </row>
    <row r="149" spans="6:13">
      <c r="F149" s="14"/>
      <c r="K149" s="14"/>
      <c r="L149" s="14"/>
      <c r="M149" s="14"/>
    </row>
    <row r="150" spans="6:13">
      <c r="F150" s="14"/>
      <c r="K150" s="14"/>
      <c r="L150" s="14"/>
      <c r="M150" s="14"/>
    </row>
    <row r="151" spans="6:13">
      <c r="F151" s="14"/>
      <c r="K151" s="14"/>
      <c r="L151" s="14"/>
      <c r="M151" s="14"/>
    </row>
    <row r="152" spans="6:13">
      <c r="F152" s="14"/>
      <c r="K152" s="14"/>
      <c r="L152" s="14"/>
      <c r="M152" s="14"/>
    </row>
    <row r="153" spans="6:13">
      <c r="F153" s="14"/>
      <c r="K153" s="14"/>
      <c r="L153" s="14"/>
      <c r="M153" s="14"/>
    </row>
    <row r="154" spans="6:13">
      <c r="F154" s="14"/>
      <c r="K154" s="14"/>
      <c r="L154" s="14"/>
      <c r="M154" s="14"/>
    </row>
    <row r="155" spans="6:13">
      <c r="F155" s="14"/>
      <c r="K155" s="14"/>
      <c r="L155" s="14"/>
      <c r="M155" s="14"/>
    </row>
    <row r="156" spans="6:13">
      <c r="F156" s="14"/>
      <c r="K156" s="14"/>
      <c r="L156" s="14"/>
      <c r="M156" s="14"/>
    </row>
    <row r="157" spans="6:13">
      <c r="F157" s="14"/>
      <c r="K157" s="14"/>
      <c r="L157" s="14"/>
      <c r="M157" s="14"/>
    </row>
    <row r="158" spans="6:13">
      <c r="F158" s="14"/>
      <c r="K158" s="14"/>
      <c r="L158" s="14"/>
      <c r="M158" s="14"/>
    </row>
    <row r="159" spans="6:13">
      <c r="K159" s="14"/>
      <c r="L159" s="14"/>
      <c r="M159" s="14"/>
    </row>
    <row r="160" spans="6:13">
      <c r="K160" s="14"/>
      <c r="L160" s="14"/>
      <c r="M160" s="14"/>
    </row>
    <row r="161" spans="11:13">
      <c r="K161" s="14"/>
      <c r="L161" s="14"/>
      <c r="M161" s="14"/>
    </row>
    <row r="162" spans="11:13">
      <c r="K162" s="14"/>
      <c r="L162" s="14"/>
      <c r="M162" s="14"/>
    </row>
    <row r="163" spans="11:13">
      <c r="K163" s="14"/>
      <c r="L163" s="14"/>
      <c r="M163" s="14"/>
    </row>
    <row r="164" spans="11:13">
      <c r="K164" s="14"/>
      <c r="L164" s="14"/>
      <c r="M164" s="14"/>
    </row>
    <row r="165" spans="11:13">
      <c r="K165" s="14"/>
      <c r="L165" s="14"/>
      <c r="M165" s="14"/>
    </row>
    <row r="166" spans="11:13">
      <c r="K166" s="14"/>
      <c r="L166" s="14"/>
      <c r="M166" s="14"/>
    </row>
    <row r="167" spans="11:13">
      <c r="K167" s="14"/>
      <c r="L167" s="14"/>
      <c r="M167" s="14"/>
    </row>
    <row r="168" spans="11:13">
      <c r="K168" s="14"/>
      <c r="L168" s="14"/>
      <c r="M168" s="14"/>
    </row>
    <row r="169" spans="11:13">
      <c r="K169" s="14"/>
      <c r="L169" s="14"/>
      <c r="M169" s="14"/>
    </row>
    <row r="170" spans="11:13">
      <c r="K170" s="14"/>
      <c r="L170" s="14"/>
      <c r="M170" s="14"/>
    </row>
    <row r="171" spans="11:13">
      <c r="K171" s="14"/>
      <c r="L171" s="14"/>
      <c r="M171" s="14"/>
    </row>
    <row r="172" spans="11:13">
      <c r="K172" s="14"/>
      <c r="L172" s="14"/>
      <c r="M172" s="14"/>
    </row>
    <row r="173" spans="11:13">
      <c r="K173" s="14"/>
      <c r="L173" s="14"/>
      <c r="M173" s="14"/>
    </row>
    <row r="174" spans="11:13">
      <c r="K174" s="14"/>
      <c r="L174" s="14"/>
      <c r="M174" s="14"/>
    </row>
    <row r="175" spans="11:13">
      <c r="K175" s="14"/>
      <c r="L175" s="14"/>
      <c r="M175" s="14"/>
    </row>
    <row r="176" spans="11:13">
      <c r="K176" s="14"/>
      <c r="L176" s="14"/>
      <c r="M176" s="14"/>
    </row>
    <row r="177" spans="11:13">
      <c r="K177" s="14"/>
      <c r="L177" s="14"/>
      <c r="M177" s="14"/>
    </row>
    <row r="178" spans="11:13">
      <c r="K178" s="14"/>
      <c r="L178" s="14"/>
      <c r="M178" s="14"/>
    </row>
    <row r="179" spans="11:13">
      <c r="K179" s="14"/>
      <c r="L179" s="14"/>
      <c r="M179" s="14"/>
    </row>
    <row r="180" spans="11:13">
      <c r="K180" s="14"/>
      <c r="L180" s="14"/>
      <c r="M180" s="14"/>
    </row>
    <row r="181" spans="11:13">
      <c r="K181" s="14"/>
      <c r="L181" s="14"/>
      <c r="M181" s="14"/>
    </row>
    <row r="182" spans="11:13">
      <c r="K182" s="14"/>
      <c r="L182" s="14"/>
      <c r="M182" s="14"/>
    </row>
    <row r="183" spans="11:13">
      <c r="K183" s="14"/>
      <c r="L183" s="14"/>
      <c r="M183" s="14"/>
    </row>
    <row r="184" spans="11:13">
      <c r="K184" s="14"/>
      <c r="L184" s="14"/>
      <c r="M184" s="14"/>
    </row>
    <row r="185" spans="11:13">
      <c r="K185" s="14"/>
      <c r="L185" s="14"/>
      <c r="M185" s="14"/>
    </row>
    <row r="186" spans="11:13">
      <c r="K186" s="14"/>
      <c r="L186" s="14"/>
      <c r="M186" s="14"/>
    </row>
    <row r="187" spans="11:13">
      <c r="K187" s="14"/>
      <c r="L187" s="14"/>
      <c r="M187" s="14"/>
    </row>
    <row r="188" spans="11:13">
      <c r="K188" s="14"/>
      <c r="L188" s="14"/>
      <c r="M188" s="14"/>
    </row>
    <row r="189" spans="11:13">
      <c r="K189" s="14"/>
      <c r="L189" s="14"/>
      <c r="M189" s="14"/>
    </row>
    <row r="190" spans="11:13">
      <c r="K190" s="14"/>
      <c r="L190" s="14"/>
      <c r="M190" s="14"/>
    </row>
    <row r="191" spans="11:13">
      <c r="K191" s="14"/>
      <c r="L191" s="14"/>
      <c r="M191" s="14"/>
    </row>
    <row r="192" spans="11:13">
      <c r="K192" s="14"/>
      <c r="L192" s="14"/>
      <c r="M192" s="14"/>
    </row>
    <row r="193" spans="11:13">
      <c r="K193" s="14"/>
      <c r="L193" s="14"/>
      <c r="M193" s="14"/>
    </row>
    <row r="194" spans="11:13">
      <c r="K194" s="14"/>
      <c r="L194" s="14"/>
      <c r="M194" s="14"/>
    </row>
    <row r="195" spans="11:13">
      <c r="K195" s="14"/>
      <c r="L195" s="14"/>
      <c r="M195" s="14"/>
    </row>
    <row r="196" spans="11:13">
      <c r="K196" s="14"/>
      <c r="L196" s="14"/>
      <c r="M196" s="14"/>
    </row>
    <row r="197" spans="11:13">
      <c r="K197" s="14"/>
      <c r="L197" s="14"/>
      <c r="M197" s="14"/>
    </row>
    <row r="198" spans="11:13">
      <c r="K198" s="14"/>
      <c r="L198" s="14"/>
    </row>
    <row r="199" spans="11:13">
      <c r="K199" s="14"/>
      <c r="L199" s="14"/>
    </row>
    <row r="200" spans="11:13">
      <c r="K200" s="14"/>
      <c r="L200" s="14"/>
    </row>
    <row r="201" spans="11:13">
      <c r="K201" s="14"/>
      <c r="L201" s="14"/>
    </row>
    <row r="202" spans="11:13">
      <c r="K202" s="14"/>
      <c r="L202" s="14"/>
    </row>
    <row r="203" spans="11:13">
      <c r="K203" s="14"/>
      <c r="L203" s="14"/>
    </row>
    <row r="204" spans="11:13">
      <c r="K204" s="14"/>
      <c r="L204" s="14"/>
    </row>
    <row r="205" spans="11:13">
      <c r="K205" s="14"/>
      <c r="L205" s="14"/>
    </row>
    <row r="206" spans="11:13">
      <c r="K206" s="14"/>
      <c r="L206" s="14"/>
    </row>
    <row r="207" spans="11:13">
      <c r="K207" s="14"/>
      <c r="L207" s="14"/>
    </row>
    <row r="208" spans="11:13">
      <c r="K208" s="14"/>
      <c r="L208" s="14"/>
    </row>
    <row r="209" spans="11:12">
      <c r="K209" s="14"/>
      <c r="L209" s="14"/>
    </row>
    <row r="210" spans="11:12">
      <c r="K210" s="14"/>
      <c r="L210" s="14"/>
    </row>
    <row r="211" spans="11:12">
      <c r="K211" s="14"/>
      <c r="L211" s="14"/>
    </row>
    <row r="212" spans="11:12">
      <c r="K212" s="14"/>
      <c r="L212" s="14"/>
    </row>
    <row r="213" spans="11:12">
      <c r="K213" s="14"/>
      <c r="L213" s="14"/>
    </row>
    <row r="214" spans="11:12">
      <c r="K214" s="14"/>
      <c r="L214" s="14"/>
    </row>
    <row r="215" spans="11:12">
      <c r="K215" s="14"/>
      <c r="L215" s="14"/>
    </row>
    <row r="216" spans="11:12">
      <c r="K216" s="14"/>
      <c r="L216" s="14"/>
    </row>
    <row r="217" spans="11:12">
      <c r="K217" s="14"/>
      <c r="L217" s="14"/>
    </row>
    <row r="218" spans="11:12">
      <c r="K218" s="14"/>
      <c r="L218" s="14"/>
    </row>
    <row r="219" spans="11:12">
      <c r="K219" s="14"/>
      <c r="L219" s="14"/>
    </row>
    <row r="220" spans="11:12">
      <c r="K220" s="14"/>
      <c r="L220" s="14"/>
    </row>
    <row r="221" spans="11:12">
      <c r="K221" s="14"/>
      <c r="L221" s="14"/>
    </row>
    <row r="222" spans="11:12">
      <c r="K222" s="14"/>
      <c r="L222" s="14"/>
    </row>
    <row r="223" spans="11:12">
      <c r="K223" s="14"/>
      <c r="L223" s="14"/>
    </row>
    <row r="224" spans="11:12">
      <c r="K224" s="14"/>
      <c r="L224" s="14"/>
    </row>
    <row r="225" spans="11:12">
      <c r="K225" s="14"/>
      <c r="L225" s="14"/>
    </row>
    <row r="226" spans="11:12">
      <c r="K226" s="14"/>
      <c r="L226" s="14"/>
    </row>
    <row r="227" spans="11:12">
      <c r="K227" s="14"/>
      <c r="L227" s="14"/>
    </row>
    <row r="228" spans="11:12">
      <c r="K228" s="14"/>
      <c r="L228" s="14"/>
    </row>
    <row r="229" spans="11:12">
      <c r="K229" s="14"/>
      <c r="L229" s="14"/>
    </row>
    <row r="230" spans="11:12">
      <c r="K230" s="14"/>
      <c r="L230" s="14"/>
    </row>
    <row r="231" spans="11:12">
      <c r="K231" s="14"/>
      <c r="L231" s="14"/>
    </row>
    <row r="232" spans="11:12">
      <c r="K232" s="14"/>
      <c r="L232" s="14"/>
    </row>
    <row r="233" spans="11:12">
      <c r="K233" s="14"/>
      <c r="L233" s="14"/>
    </row>
    <row r="234" spans="11:12">
      <c r="K234" s="14"/>
      <c r="L234" s="14"/>
    </row>
    <row r="235" spans="11:12">
      <c r="K235" s="14"/>
      <c r="L235" s="14"/>
    </row>
    <row r="236" spans="11:12">
      <c r="K236" s="14"/>
      <c r="L236" s="14"/>
    </row>
    <row r="237" spans="11:12">
      <c r="K237" s="14"/>
      <c r="L237" s="14"/>
    </row>
    <row r="238" spans="11:12">
      <c r="K238" s="14"/>
      <c r="L238" s="14"/>
    </row>
    <row r="239" spans="11:12">
      <c r="K239" s="14"/>
      <c r="L239" s="14"/>
    </row>
    <row r="240" spans="11:12">
      <c r="K240" s="14"/>
      <c r="L240" s="14"/>
    </row>
    <row r="241" spans="11:12">
      <c r="K241" s="14"/>
      <c r="L241" s="14"/>
    </row>
    <row r="242" spans="11:12">
      <c r="K242" s="14"/>
      <c r="L242" s="14"/>
    </row>
    <row r="243" spans="11:12">
      <c r="K243" s="14"/>
      <c r="L243" s="14"/>
    </row>
    <row r="244" spans="11:12">
      <c r="K244" s="14"/>
      <c r="L244" s="14"/>
    </row>
    <row r="245" spans="11:12">
      <c r="K245" s="14"/>
      <c r="L245" s="14"/>
    </row>
    <row r="246" spans="11:12">
      <c r="K246" s="14"/>
      <c r="L246" s="14"/>
    </row>
    <row r="247" spans="11:12">
      <c r="K247" s="14"/>
      <c r="L247" s="14"/>
    </row>
    <row r="248" spans="11:12">
      <c r="K248" s="14"/>
      <c r="L248" s="14"/>
    </row>
    <row r="249" spans="11:12">
      <c r="K249" s="14"/>
      <c r="L249" s="14"/>
    </row>
    <row r="250" spans="11:12">
      <c r="K250" s="14"/>
      <c r="L250" s="14"/>
    </row>
    <row r="251" spans="11:12">
      <c r="K251" s="14"/>
      <c r="L251" s="14"/>
    </row>
    <row r="252" spans="11:12">
      <c r="K252" s="14"/>
      <c r="L252" s="14"/>
    </row>
    <row r="253" spans="11:12">
      <c r="K253" s="14"/>
      <c r="L253" s="14"/>
    </row>
    <row r="254" spans="11:12">
      <c r="K254" s="14"/>
      <c r="L254" s="14"/>
    </row>
    <row r="255" spans="11:12">
      <c r="K255" s="14"/>
      <c r="L255" s="14"/>
    </row>
    <row r="256" spans="11:12">
      <c r="K256" s="14"/>
      <c r="L256" s="14"/>
    </row>
    <row r="257" spans="11:12">
      <c r="K257" s="14"/>
      <c r="L257" s="14"/>
    </row>
    <row r="258" spans="11:12">
      <c r="K258" s="14"/>
      <c r="L258" s="14"/>
    </row>
    <row r="259" spans="11:12">
      <c r="K259" s="14"/>
      <c r="L259" s="14"/>
    </row>
    <row r="260" spans="11:12">
      <c r="K260" s="14"/>
      <c r="L260" s="14"/>
    </row>
    <row r="261" spans="11:12">
      <c r="K261" s="14"/>
      <c r="L261" s="14"/>
    </row>
    <row r="262" spans="11:12">
      <c r="K262" s="14"/>
      <c r="L262" s="14"/>
    </row>
    <row r="263" spans="11:12">
      <c r="K263" s="14"/>
      <c r="L263" s="14"/>
    </row>
    <row r="264" spans="11:12">
      <c r="K264" s="14"/>
      <c r="L264" s="14"/>
    </row>
    <row r="265" spans="11:12">
      <c r="K265" s="14"/>
      <c r="L265" s="14"/>
    </row>
    <row r="266" spans="11:12">
      <c r="K266" s="14"/>
      <c r="L266" s="14"/>
    </row>
    <row r="267" spans="11:12">
      <c r="K267" s="14"/>
      <c r="L267" s="14"/>
    </row>
    <row r="268" spans="11:12">
      <c r="K268" s="14"/>
      <c r="L268" s="14"/>
    </row>
    <row r="269" spans="11:12">
      <c r="K269" s="14"/>
      <c r="L269" s="14"/>
    </row>
    <row r="270" spans="11:12">
      <c r="K270" s="14"/>
      <c r="L270" s="14"/>
    </row>
    <row r="271" spans="11:12">
      <c r="K271" s="14"/>
      <c r="L271" s="14"/>
    </row>
    <row r="272" spans="11:12">
      <c r="K272" s="14"/>
      <c r="L272" s="14"/>
    </row>
    <row r="273" spans="11:12">
      <c r="K273" s="14"/>
      <c r="L273" s="14"/>
    </row>
    <row r="274" spans="11:12">
      <c r="K274" s="14"/>
      <c r="L274" s="14"/>
    </row>
    <row r="275" spans="11:12">
      <c r="K275" s="14"/>
      <c r="L275" s="14"/>
    </row>
    <row r="276" spans="11:12">
      <c r="K276" s="14"/>
      <c r="L276" s="14"/>
    </row>
    <row r="277" spans="11:12">
      <c r="K277" s="14"/>
      <c r="L277" s="14"/>
    </row>
    <row r="278" spans="11:12">
      <c r="K278" s="14"/>
      <c r="L278" s="14"/>
    </row>
    <row r="279" spans="11:12">
      <c r="K279" s="14"/>
      <c r="L279" s="14"/>
    </row>
    <row r="280" spans="11:12">
      <c r="K280" s="14"/>
      <c r="L280" s="14"/>
    </row>
    <row r="281" spans="11:12">
      <c r="K281" s="14"/>
      <c r="L281" s="14"/>
    </row>
    <row r="282" spans="11:12">
      <c r="K282" s="14"/>
      <c r="L282" s="14"/>
    </row>
    <row r="283" spans="11:12">
      <c r="K283" s="14"/>
      <c r="L283" s="14"/>
    </row>
    <row r="284" spans="11:12">
      <c r="K284" s="14"/>
      <c r="L284" s="14"/>
    </row>
    <row r="285" spans="11:12">
      <c r="K285" s="14"/>
      <c r="L285" s="14"/>
    </row>
    <row r="286" spans="11:12">
      <c r="K286" s="14"/>
      <c r="L286" s="14"/>
    </row>
    <row r="287" spans="11:12">
      <c r="K287" s="14"/>
      <c r="L287" s="14"/>
    </row>
    <row r="288" spans="11:12">
      <c r="K288" s="14"/>
      <c r="L288" s="14"/>
    </row>
    <row r="289" spans="11:12">
      <c r="K289" s="14"/>
      <c r="L289" s="14"/>
    </row>
    <row r="290" spans="11:12">
      <c r="K290" s="14"/>
      <c r="L290" s="14"/>
    </row>
    <row r="291" spans="11:12">
      <c r="K291" s="14"/>
      <c r="L291" s="14"/>
    </row>
    <row r="292" spans="11:12">
      <c r="K292" s="14"/>
      <c r="L292" s="14"/>
    </row>
    <row r="293" spans="11:12">
      <c r="K293" s="14"/>
      <c r="L293" s="14"/>
    </row>
    <row r="294" spans="11:12">
      <c r="K294" s="14"/>
      <c r="L294" s="14"/>
    </row>
    <row r="295" spans="11:12">
      <c r="K295" s="14"/>
      <c r="L295" s="14"/>
    </row>
    <row r="296" spans="11:12">
      <c r="K296" s="14"/>
      <c r="L296" s="14"/>
    </row>
    <row r="297" spans="11:12">
      <c r="K297" s="14"/>
      <c r="L297" s="14"/>
    </row>
    <row r="298" spans="11:12">
      <c r="K298" s="14"/>
      <c r="L298" s="14"/>
    </row>
    <row r="299" spans="11:12">
      <c r="K299" s="14"/>
      <c r="L299" s="14"/>
    </row>
    <row r="300" spans="11:12">
      <c r="K300" s="14"/>
      <c r="L300" s="14"/>
    </row>
    <row r="301" spans="11:12">
      <c r="K301" s="14"/>
      <c r="L301" s="14"/>
    </row>
    <row r="302" spans="11:12">
      <c r="K302" s="14"/>
      <c r="L302" s="14"/>
    </row>
    <row r="303" spans="11:12">
      <c r="K303" s="14"/>
      <c r="L303" s="14"/>
    </row>
    <row r="304" spans="11:12">
      <c r="K304" s="14"/>
      <c r="L304" s="14"/>
    </row>
    <row r="305" spans="11:12">
      <c r="K305" s="14"/>
      <c r="L305" s="14"/>
    </row>
    <row r="306" spans="11:12">
      <c r="K306" s="14"/>
      <c r="L306" s="14"/>
    </row>
    <row r="307" spans="11:12">
      <c r="K307" s="14"/>
      <c r="L307" s="14"/>
    </row>
    <row r="308" spans="11:12">
      <c r="K308" s="14"/>
      <c r="L308" s="14"/>
    </row>
    <row r="309" spans="11:12">
      <c r="K309" s="14"/>
      <c r="L309" s="14"/>
    </row>
    <row r="310" spans="11:12">
      <c r="K310" s="14"/>
      <c r="L310" s="14"/>
    </row>
    <row r="311" spans="11:12">
      <c r="K311" s="14"/>
      <c r="L311" s="14"/>
    </row>
    <row r="312" spans="11:12">
      <c r="K312" s="14"/>
      <c r="L312" s="14"/>
    </row>
    <row r="313" spans="11:12">
      <c r="K313" s="14"/>
      <c r="L313" s="14"/>
    </row>
    <row r="314" spans="11:12">
      <c r="K314" s="14"/>
      <c r="L314" s="14"/>
    </row>
    <row r="315" spans="11:12">
      <c r="K315" s="14"/>
      <c r="L315" s="14"/>
    </row>
    <row r="316" spans="11:12">
      <c r="K316" s="14"/>
      <c r="L316" s="14"/>
    </row>
    <row r="317" spans="11:12">
      <c r="K317" s="14"/>
      <c r="L317" s="14"/>
    </row>
    <row r="318" spans="11:12">
      <c r="K318" s="14"/>
      <c r="L318" s="14"/>
    </row>
    <row r="319" spans="11:12">
      <c r="K319" s="14"/>
      <c r="L319" s="14"/>
    </row>
    <row r="320" spans="11:12">
      <c r="K320" s="14"/>
      <c r="L320" s="14"/>
    </row>
    <row r="321" spans="11:12">
      <c r="K321" s="14"/>
      <c r="L321" s="14"/>
    </row>
    <row r="322" spans="11:12">
      <c r="K322" s="14"/>
      <c r="L322" s="14"/>
    </row>
    <row r="323" spans="11:12">
      <c r="K323" s="14"/>
      <c r="L323" s="14"/>
    </row>
    <row r="324" spans="11:12">
      <c r="K324" s="14"/>
      <c r="L324" s="14"/>
    </row>
    <row r="325" spans="11:12">
      <c r="K325" s="14"/>
      <c r="L325" s="14"/>
    </row>
    <row r="326" spans="11:12">
      <c r="K326" s="14"/>
      <c r="L326" s="14"/>
    </row>
    <row r="327" spans="11:12">
      <c r="K327" s="14"/>
      <c r="L327" s="14"/>
    </row>
    <row r="328" spans="11:12">
      <c r="K328" s="14"/>
      <c r="L328" s="14"/>
    </row>
    <row r="329" spans="11:12">
      <c r="K329" s="14"/>
      <c r="L329" s="14"/>
    </row>
    <row r="330" spans="11:12">
      <c r="K330" s="14"/>
      <c r="L330" s="14"/>
    </row>
    <row r="331" spans="11:12">
      <c r="K331" s="14"/>
      <c r="L331" s="14"/>
    </row>
    <row r="332" spans="11:12">
      <c r="K332" s="14"/>
      <c r="L332" s="14"/>
    </row>
    <row r="333" spans="11:12">
      <c r="K333" s="14"/>
      <c r="L333" s="14"/>
    </row>
    <row r="334" spans="11:12">
      <c r="K334" s="14"/>
      <c r="L334" s="14"/>
    </row>
    <row r="335" spans="11:12">
      <c r="K335" s="14"/>
      <c r="L335" s="14"/>
    </row>
    <row r="336" spans="11:12">
      <c r="K336" s="14"/>
      <c r="L336" s="14"/>
    </row>
    <row r="337" spans="11:12">
      <c r="K337" s="14"/>
      <c r="L337" s="14"/>
    </row>
    <row r="338" spans="11:12">
      <c r="K338" s="14"/>
      <c r="L338" s="14"/>
    </row>
    <row r="339" spans="11:12">
      <c r="K339" s="14"/>
      <c r="L339" s="14"/>
    </row>
    <row r="340" spans="11:12">
      <c r="K340" s="14"/>
      <c r="L340" s="14"/>
    </row>
    <row r="341" spans="11:12">
      <c r="K341" s="14"/>
      <c r="L341" s="14"/>
    </row>
    <row r="342" spans="11:12">
      <c r="K342" s="14"/>
      <c r="L342" s="14"/>
    </row>
    <row r="343" spans="11:12">
      <c r="K343" s="14"/>
      <c r="L343" s="14"/>
    </row>
    <row r="344" spans="11:12">
      <c r="K344" s="14"/>
      <c r="L344" s="14"/>
    </row>
    <row r="345" spans="11:12">
      <c r="K345" s="14"/>
      <c r="L345" s="14"/>
    </row>
    <row r="346" spans="11:12">
      <c r="K346" s="14"/>
      <c r="L346" s="14"/>
    </row>
    <row r="347" spans="11:12">
      <c r="K347" s="14"/>
      <c r="L347" s="14"/>
    </row>
    <row r="348" spans="11:12">
      <c r="K348" s="14"/>
      <c r="L348" s="14"/>
    </row>
    <row r="349" spans="11:12">
      <c r="K349" s="14"/>
      <c r="L349" s="14"/>
    </row>
    <row r="350" spans="11:12">
      <c r="K350" s="14"/>
      <c r="L350" s="14"/>
    </row>
    <row r="351" spans="11:12">
      <c r="K351" s="14"/>
      <c r="L351" s="14"/>
    </row>
    <row r="352" spans="11:12">
      <c r="K352" s="14"/>
      <c r="L352" s="14"/>
    </row>
    <row r="353" spans="11:12">
      <c r="K353" s="14"/>
      <c r="L353" s="14"/>
    </row>
    <row r="354" spans="11:12">
      <c r="K354" s="14"/>
      <c r="L354" s="14"/>
    </row>
    <row r="355" spans="11:12">
      <c r="K355" s="14"/>
      <c r="L355" s="14"/>
    </row>
    <row r="356" spans="11:12">
      <c r="K356" s="14"/>
      <c r="L356" s="14"/>
    </row>
    <row r="357" spans="11:12">
      <c r="K357" s="14"/>
      <c r="L357" s="14"/>
    </row>
    <row r="358" spans="11:12">
      <c r="K358" s="14"/>
      <c r="L358" s="14"/>
    </row>
    <row r="359" spans="11:12">
      <c r="K359" s="14"/>
      <c r="L359" s="14"/>
    </row>
    <row r="360" spans="11:12">
      <c r="K360" s="14"/>
      <c r="L360" s="14"/>
    </row>
    <row r="361" spans="11:12">
      <c r="K361" s="14"/>
      <c r="L361" s="14"/>
    </row>
    <row r="362" spans="11:12">
      <c r="K362" s="14"/>
      <c r="L362" s="14"/>
    </row>
    <row r="363" spans="11:12">
      <c r="K363" s="14"/>
      <c r="L363" s="14"/>
    </row>
    <row r="364" spans="11:12">
      <c r="K364" s="14"/>
      <c r="L364" s="14"/>
    </row>
    <row r="365" spans="11:12">
      <c r="K365" s="14"/>
      <c r="L365" s="14"/>
    </row>
    <row r="366" spans="11:12">
      <c r="K366" s="14"/>
      <c r="L366" s="14"/>
    </row>
    <row r="367" spans="11:12">
      <c r="K367" s="14"/>
      <c r="L367" s="14"/>
    </row>
    <row r="368" spans="11:12">
      <c r="K368" s="14"/>
      <c r="L368" s="14"/>
    </row>
    <row r="369" spans="11:12">
      <c r="K369" s="14"/>
      <c r="L369" s="14"/>
    </row>
    <row r="370" spans="11:12">
      <c r="K370" s="14"/>
      <c r="L370" s="14"/>
    </row>
    <row r="371" spans="11:12">
      <c r="K371" s="14"/>
      <c r="L371" s="14"/>
    </row>
    <row r="372" spans="11:12">
      <c r="K372" s="14"/>
      <c r="L372" s="14"/>
    </row>
    <row r="373" spans="11:12">
      <c r="K373" s="14"/>
      <c r="L373" s="14"/>
    </row>
    <row r="374" spans="11:12">
      <c r="K374" s="14"/>
      <c r="L374" s="14"/>
    </row>
    <row r="375" spans="11:12">
      <c r="K375" s="14"/>
      <c r="L375" s="14"/>
    </row>
    <row r="376" spans="11:12">
      <c r="K376" s="14"/>
      <c r="L376" s="14"/>
    </row>
    <row r="377" spans="11:12">
      <c r="K377" s="14"/>
      <c r="L377" s="14"/>
    </row>
    <row r="378" spans="11:12">
      <c r="K378" s="14"/>
      <c r="L378" s="14"/>
    </row>
    <row r="379" spans="11:12">
      <c r="K379" s="14"/>
      <c r="L379" s="14"/>
    </row>
    <row r="380" spans="11:12">
      <c r="K380" s="14"/>
      <c r="L380" s="14"/>
    </row>
    <row r="381" spans="11:12">
      <c r="K381" s="14"/>
      <c r="L381" s="14"/>
    </row>
    <row r="382" spans="11:12">
      <c r="K382" s="14"/>
      <c r="L382" s="14"/>
    </row>
    <row r="383" spans="11:12">
      <c r="K383" s="14"/>
      <c r="L383" s="14"/>
    </row>
    <row r="384" spans="11:12">
      <c r="K384" s="14"/>
      <c r="L384" s="14"/>
    </row>
    <row r="385" spans="11:12">
      <c r="K385" s="14"/>
      <c r="L385" s="14"/>
    </row>
    <row r="386" spans="11:12">
      <c r="K386" s="14"/>
      <c r="L386" s="14"/>
    </row>
    <row r="387" spans="11:12">
      <c r="K387" s="14"/>
      <c r="L387" s="14"/>
    </row>
    <row r="388" spans="11:12">
      <c r="K388" s="14"/>
      <c r="L388" s="14"/>
    </row>
    <row r="389" spans="11:12">
      <c r="K389" s="14"/>
      <c r="L389" s="14"/>
    </row>
    <row r="390" spans="11:12">
      <c r="K390" s="14"/>
      <c r="L390" s="14"/>
    </row>
    <row r="391" spans="11:12">
      <c r="K391" s="14"/>
      <c r="L391" s="14"/>
    </row>
    <row r="392" spans="11:12">
      <c r="K392" s="14"/>
      <c r="L392" s="14"/>
    </row>
    <row r="393" spans="11:12">
      <c r="K393" s="14"/>
      <c r="L393" s="14"/>
    </row>
    <row r="394" spans="11:12">
      <c r="K394" s="14"/>
      <c r="L394" s="14"/>
    </row>
    <row r="395" spans="11:12">
      <c r="K395" s="14"/>
      <c r="L395" s="14"/>
    </row>
    <row r="396" spans="11:12">
      <c r="K396" s="14"/>
      <c r="L396" s="14"/>
    </row>
    <row r="397" spans="11:12">
      <c r="K397" s="14"/>
      <c r="L397" s="14"/>
    </row>
    <row r="398" spans="11:12">
      <c r="K398" s="14"/>
      <c r="L398" s="14"/>
    </row>
    <row r="399" spans="11:12">
      <c r="K399" s="14"/>
      <c r="L399" s="14"/>
    </row>
    <row r="400" spans="11:12">
      <c r="K400" s="14"/>
      <c r="L400" s="14"/>
    </row>
    <row r="401" spans="11:12">
      <c r="K401" s="14"/>
      <c r="L401" s="14"/>
    </row>
    <row r="402" spans="11:12">
      <c r="K402" s="14"/>
      <c r="L402" s="14"/>
    </row>
    <row r="403" spans="11:12">
      <c r="K403" s="14"/>
      <c r="L403" s="14"/>
    </row>
    <row r="404" spans="11:12">
      <c r="K404" s="14"/>
      <c r="L404" s="14"/>
    </row>
    <row r="405" spans="11:12">
      <c r="K405" s="14"/>
      <c r="L405" s="14"/>
    </row>
    <row r="406" spans="11:12">
      <c r="K406" s="14"/>
      <c r="L406" s="14"/>
    </row>
    <row r="407" spans="11:12">
      <c r="K407" s="14"/>
      <c r="L407" s="14"/>
    </row>
    <row r="408" spans="11:12">
      <c r="K408" s="14"/>
      <c r="L408" s="14"/>
    </row>
    <row r="409" spans="11:12">
      <c r="K409" s="14"/>
      <c r="L409" s="14"/>
    </row>
    <row r="410" spans="11:12">
      <c r="K410" s="14"/>
      <c r="L410" s="14"/>
    </row>
    <row r="411" spans="11:12">
      <c r="K411" s="14"/>
      <c r="L411" s="14"/>
    </row>
    <row r="412" spans="11:12">
      <c r="K412" s="14"/>
      <c r="L412" s="14"/>
    </row>
    <row r="413" spans="11:12">
      <c r="K413" s="14"/>
      <c r="L413" s="14"/>
    </row>
    <row r="414" spans="11:12">
      <c r="K414" s="14"/>
      <c r="L414" s="14"/>
    </row>
    <row r="415" spans="11:12">
      <c r="K415" s="14"/>
      <c r="L415" s="14"/>
    </row>
    <row r="416" spans="11:12">
      <c r="K416" s="14"/>
      <c r="L416" s="14"/>
    </row>
    <row r="417" spans="11:12">
      <c r="K417" s="14"/>
      <c r="L417" s="14"/>
    </row>
    <row r="418" spans="11:12">
      <c r="K418" s="14"/>
      <c r="L418" s="14"/>
    </row>
    <row r="419" spans="11:12">
      <c r="K419" s="14"/>
      <c r="L419" s="14"/>
    </row>
    <row r="420" spans="11:12">
      <c r="K420" s="14"/>
      <c r="L420" s="14"/>
    </row>
    <row r="421" spans="11:12">
      <c r="K421" s="14"/>
      <c r="L421" s="14"/>
    </row>
    <row r="422" spans="11:12">
      <c r="K422" s="14"/>
      <c r="L422" s="14"/>
    </row>
    <row r="423" spans="11:12">
      <c r="K423" s="14"/>
      <c r="L423" s="14"/>
    </row>
    <row r="424" spans="11:12">
      <c r="K424" s="14"/>
      <c r="L424" s="14"/>
    </row>
    <row r="425" spans="11:12">
      <c r="K425" s="14"/>
      <c r="L425" s="14"/>
    </row>
    <row r="426" spans="11:12">
      <c r="K426" s="14"/>
      <c r="L426" s="14"/>
    </row>
    <row r="427" spans="11:12">
      <c r="K427" s="14"/>
      <c r="L427" s="14"/>
    </row>
    <row r="428" spans="11:12">
      <c r="K428" s="14"/>
      <c r="L428" s="14"/>
    </row>
    <row r="429" spans="11:12">
      <c r="K429" s="14"/>
      <c r="L429" s="14"/>
    </row>
    <row r="430" spans="11:12">
      <c r="K430" s="14"/>
      <c r="L430" s="14"/>
    </row>
    <row r="431" spans="11:12">
      <c r="K431" s="14"/>
      <c r="L431" s="14"/>
    </row>
    <row r="432" spans="11:12">
      <c r="K432" s="14"/>
      <c r="L432" s="14"/>
    </row>
    <row r="433" spans="11:12">
      <c r="K433" s="14"/>
      <c r="L433" s="14"/>
    </row>
    <row r="434" spans="11:12">
      <c r="K434" s="14"/>
      <c r="L434" s="14"/>
    </row>
    <row r="435" spans="11:12">
      <c r="K435" s="14"/>
      <c r="L435" s="14"/>
    </row>
    <row r="436" spans="11:12">
      <c r="K436" s="14"/>
      <c r="L436" s="14"/>
    </row>
    <row r="437" spans="11:12">
      <c r="K437" s="14"/>
      <c r="L437" s="14"/>
    </row>
    <row r="438" spans="11:12">
      <c r="K438" s="14"/>
      <c r="L438" s="14"/>
    </row>
    <row r="439" spans="11:12">
      <c r="K439" s="14"/>
      <c r="L439" s="14"/>
    </row>
    <row r="440" spans="11:12">
      <c r="K440" s="14"/>
      <c r="L440" s="14"/>
    </row>
    <row r="441" spans="11:12">
      <c r="K441" s="14"/>
      <c r="L441" s="14"/>
    </row>
    <row r="442" spans="11:12">
      <c r="K442" s="14"/>
      <c r="L442" s="14"/>
    </row>
    <row r="443" spans="11:12">
      <c r="K443" s="14"/>
      <c r="L443" s="14"/>
    </row>
    <row r="444" spans="11:12">
      <c r="K444" s="14"/>
      <c r="L444" s="14"/>
    </row>
    <row r="445" spans="11:12">
      <c r="K445" s="14"/>
      <c r="L445" s="14"/>
    </row>
    <row r="446" spans="11:12">
      <c r="K446" s="14"/>
      <c r="L446" s="14"/>
    </row>
    <row r="447" spans="11:12">
      <c r="K447" s="14"/>
      <c r="L447" s="14"/>
    </row>
    <row r="448" spans="11:12">
      <c r="K448" s="14"/>
      <c r="L448" s="14"/>
    </row>
    <row r="449" spans="11:12">
      <c r="K449" s="14"/>
      <c r="L449" s="14"/>
    </row>
    <row r="450" spans="11:12">
      <c r="K450" s="14"/>
      <c r="L450" s="14"/>
    </row>
    <row r="451" spans="11:12">
      <c r="K451" s="14"/>
      <c r="L451" s="14"/>
    </row>
    <row r="452" spans="11:12">
      <c r="K452" s="14"/>
      <c r="L452" s="14"/>
    </row>
    <row r="453" spans="11:12">
      <c r="K453" s="14"/>
      <c r="L453" s="14"/>
    </row>
    <row r="454" spans="11:12">
      <c r="K454" s="14"/>
      <c r="L454" s="14"/>
    </row>
    <row r="455" spans="11:12">
      <c r="K455" s="14"/>
      <c r="L455" s="14"/>
    </row>
    <row r="456" spans="11:12">
      <c r="K456" s="14"/>
      <c r="L456" s="14"/>
    </row>
    <row r="457" spans="11:12">
      <c r="K457" s="14"/>
      <c r="L457" s="14"/>
    </row>
    <row r="458" spans="11:12">
      <c r="K458" s="14"/>
      <c r="L458" s="14"/>
    </row>
    <row r="459" spans="11:12">
      <c r="K459" s="14"/>
      <c r="L459" s="14"/>
    </row>
    <row r="460" spans="11:12">
      <c r="K460" s="14"/>
      <c r="L460" s="14"/>
    </row>
    <row r="461" spans="11:12">
      <c r="K461" s="14"/>
      <c r="L461" s="14"/>
    </row>
    <row r="462" spans="11:12">
      <c r="K462" s="14"/>
      <c r="L462" s="14"/>
    </row>
    <row r="463" spans="11:12">
      <c r="K463" s="14"/>
      <c r="L463" s="14"/>
    </row>
    <row r="464" spans="11:12">
      <c r="K464" s="14"/>
      <c r="L464" s="14"/>
    </row>
    <row r="465" spans="11:12">
      <c r="K465" s="14"/>
      <c r="L465" s="14"/>
    </row>
    <row r="466" spans="11:12">
      <c r="K466" s="14"/>
      <c r="L466" s="14"/>
    </row>
    <row r="467" spans="11:12">
      <c r="K467" s="14"/>
      <c r="L467" s="14"/>
    </row>
    <row r="468" spans="11:12">
      <c r="K468" s="14"/>
      <c r="L468" s="14"/>
    </row>
    <row r="469" spans="11:12">
      <c r="K469" s="14"/>
      <c r="L469" s="14"/>
    </row>
    <row r="470" spans="11:12">
      <c r="K470" s="14"/>
      <c r="L470" s="14"/>
    </row>
    <row r="471" spans="11:12">
      <c r="K471" s="14"/>
      <c r="L471" s="14"/>
    </row>
    <row r="472" spans="11:12">
      <c r="K472" s="14"/>
      <c r="L472" s="14"/>
    </row>
    <row r="473" spans="11:12">
      <c r="K473" s="14"/>
      <c r="L473" s="14"/>
    </row>
    <row r="474" spans="11:12">
      <c r="K474" s="14"/>
      <c r="L474" s="14"/>
    </row>
    <row r="475" spans="11:12">
      <c r="K475" s="14"/>
      <c r="L475" s="14"/>
    </row>
    <row r="476" spans="11:12">
      <c r="K476" s="14"/>
      <c r="L476" s="14"/>
    </row>
    <row r="477" spans="11:12">
      <c r="K477" s="14"/>
      <c r="L477" s="14"/>
    </row>
    <row r="478" spans="11:12">
      <c r="K478" s="14"/>
      <c r="L478" s="14"/>
    </row>
    <row r="479" spans="11:12">
      <c r="K479" s="14"/>
      <c r="L479" s="14"/>
    </row>
    <row r="480" spans="11:12">
      <c r="K480" s="14"/>
      <c r="L480" s="14"/>
    </row>
    <row r="481" spans="11:12">
      <c r="K481" s="14"/>
      <c r="L481" s="14"/>
    </row>
    <row r="482" spans="11:12">
      <c r="K482" s="14"/>
      <c r="L482" s="14"/>
    </row>
    <row r="483" spans="11:12">
      <c r="K483" s="14"/>
      <c r="L483" s="14"/>
    </row>
    <row r="484" spans="11:12">
      <c r="K484" s="14"/>
      <c r="L484" s="14"/>
    </row>
    <row r="485" spans="11:12">
      <c r="K485" s="14"/>
      <c r="L485" s="14"/>
    </row>
    <row r="486" spans="11:12">
      <c r="K486" s="14"/>
      <c r="L486" s="14"/>
    </row>
    <row r="487" spans="11:12">
      <c r="K487" s="14"/>
      <c r="L487" s="14"/>
    </row>
    <row r="488" spans="11:12">
      <c r="K488" s="14"/>
      <c r="L488" s="14"/>
    </row>
    <row r="489" spans="11:12">
      <c r="K489" s="14"/>
      <c r="L489" s="14"/>
    </row>
    <row r="490" spans="11:12">
      <c r="K490" s="14"/>
      <c r="L490" s="14"/>
    </row>
    <row r="491" spans="11:12">
      <c r="K491" s="14"/>
      <c r="L491" s="14"/>
    </row>
    <row r="492" spans="11:12">
      <c r="K492" s="14"/>
      <c r="L492" s="14"/>
    </row>
    <row r="493" spans="11:12">
      <c r="K493" s="14"/>
      <c r="L493" s="14"/>
    </row>
    <row r="494" spans="11:12">
      <c r="K494" s="14"/>
      <c r="L494" s="14"/>
    </row>
    <row r="495" spans="11:12">
      <c r="K495" s="14"/>
      <c r="L495" s="14"/>
    </row>
    <row r="496" spans="11:12">
      <c r="K496" s="14"/>
      <c r="L496" s="14"/>
    </row>
    <row r="497" spans="11:12">
      <c r="K497" s="14"/>
      <c r="L497" s="14"/>
    </row>
    <row r="498" spans="11:12">
      <c r="K498" s="14"/>
      <c r="L498" s="14"/>
    </row>
    <row r="499" spans="11:12">
      <c r="K499" s="14"/>
      <c r="L499" s="14"/>
    </row>
    <row r="500" spans="11:12">
      <c r="K500" s="14"/>
      <c r="L500" s="14"/>
    </row>
    <row r="501" spans="11:12">
      <c r="K501" s="14"/>
      <c r="L501" s="14"/>
    </row>
    <row r="502" spans="11:12">
      <c r="K502" s="14"/>
      <c r="L502" s="14"/>
    </row>
    <row r="503" spans="11:12">
      <c r="K503" s="14"/>
      <c r="L503" s="14"/>
    </row>
    <row r="504" spans="11:12">
      <c r="K504" s="14"/>
      <c r="L504" s="14"/>
    </row>
    <row r="505" spans="11:12">
      <c r="K505" s="14"/>
      <c r="L505" s="14"/>
    </row>
    <row r="506" spans="11:12">
      <c r="K506" s="14"/>
      <c r="L506" s="14"/>
    </row>
    <row r="507" spans="11:12">
      <c r="K507" s="14"/>
      <c r="L507" s="14"/>
    </row>
    <row r="508" spans="11:12">
      <c r="K508" s="14"/>
      <c r="L508" s="14"/>
    </row>
    <row r="509" spans="11:12">
      <c r="K509" s="14"/>
      <c r="L509" s="14"/>
    </row>
    <row r="510" spans="11:12">
      <c r="K510" s="14"/>
      <c r="L510" s="14"/>
    </row>
    <row r="511" spans="11:12">
      <c r="K511" s="14"/>
      <c r="L511" s="14"/>
    </row>
    <row r="512" spans="11:12">
      <c r="K512" s="14"/>
      <c r="L512" s="14"/>
    </row>
    <row r="513" spans="11:12">
      <c r="K513" s="14"/>
      <c r="L513" s="14"/>
    </row>
    <row r="514" spans="11:12">
      <c r="K514" s="14"/>
      <c r="L514" s="14"/>
    </row>
    <row r="515" spans="11:12">
      <c r="K515" s="14"/>
      <c r="L515" s="14"/>
    </row>
    <row r="516" spans="11:12">
      <c r="K516" s="14"/>
      <c r="L516" s="14"/>
    </row>
    <row r="517" spans="11:12">
      <c r="K517" s="14"/>
      <c r="L517" s="14"/>
    </row>
    <row r="518" spans="11:12">
      <c r="K518" s="14"/>
      <c r="L518" s="14"/>
    </row>
    <row r="519" spans="11:12">
      <c r="K519" s="14"/>
      <c r="L519" s="14"/>
    </row>
    <row r="520" spans="11:12">
      <c r="K520" s="14"/>
      <c r="L520" s="14"/>
    </row>
    <row r="521" spans="11:12">
      <c r="K521" s="14"/>
      <c r="L521" s="14"/>
    </row>
    <row r="522" spans="11:12">
      <c r="K522" s="14"/>
      <c r="L522" s="14"/>
    </row>
    <row r="523" spans="11:12">
      <c r="K523" s="14"/>
      <c r="L523" s="14"/>
    </row>
    <row r="524" spans="11:12">
      <c r="K524" s="14"/>
      <c r="L524" s="14"/>
    </row>
    <row r="525" spans="11:12">
      <c r="K525" s="14"/>
      <c r="L525" s="14"/>
    </row>
    <row r="526" spans="11:12">
      <c r="K526" s="14"/>
      <c r="L526" s="14"/>
    </row>
    <row r="527" spans="11:12">
      <c r="K527" s="14"/>
      <c r="L527" s="14"/>
    </row>
    <row r="528" spans="11:12">
      <c r="K528" s="14"/>
      <c r="L528" s="14"/>
    </row>
    <row r="529" spans="11:12">
      <c r="K529" s="14"/>
      <c r="L529" s="14"/>
    </row>
    <row r="530" spans="11:12">
      <c r="K530" s="14"/>
      <c r="L530" s="14"/>
    </row>
    <row r="531" spans="11:12">
      <c r="K531" s="14"/>
      <c r="L531" s="14"/>
    </row>
    <row r="532" spans="11:12">
      <c r="K532" s="14"/>
      <c r="L532" s="14"/>
    </row>
    <row r="533" spans="11:12">
      <c r="K533" s="14"/>
      <c r="L533" s="14"/>
    </row>
    <row r="534" spans="11:12">
      <c r="K534" s="14"/>
      <c r="L534" s="14"/>
    </row>
    <row r="535" spans="11:12">
      <c r="K535" s="14"/>
      <c r="L535" s="14"/>
    </row>
    <row r="536" spans="11:12">
      <c r="K536" s="14"/>
      <c r="L536" s="14"/>
    </row>
    <row r="537" spans="11:12">
      <c r="K537" s="14"/>
      <c r="L537" s="14"/>
    </row>
    <row r="538" spans="11:12">
      <c r="K538" s="14"/>
      <c r="L538" s="14"/>
    </row>
    <row r="539" spans="11:12">
      <c r="K539" s="14"/>
      <c r="L539" s="14"/>
    </row>
    <row r="540" spans="11:12">
      <c r="K540" s="14"/>
      <c r="L540" s="14"/>
    </row>
    <row r="541" spans="11:12">
      <c r="K541" s="14"/>
      <c r="L541" s="14"/>
    </row>
    <row r="542" spans="11:12">
      <c r="K542" s="14"/>
      <c r="L542" s="14"/>
    </row>
    <row r="543" spans="11:12">
      <c r="K543" s="14"/>
      <c r="L543" s="14"/>
    </row>
    <row r="544" spans="11:12">
      <c r="K544" s="14"/>
      <c r="L544" s="14"/>
    </row>
    <row r="545" spans="11:12">
      <c r="K545" s="14"/>
      <c r="L545" s="14"/>
    </row>
    <row r="546" spans="11:12">
      <c r="K546" s="14"/>
      <c r="L546" s="14"/>
    </row>
    <row r="547" spans="11:12">
      <c r="K547" s="14"/>
      <c r="L547" s="14"/>
    </row>
    <row r="548" spans="11:12">
      <c r="K548" s="14"/>
      <c r="L548" s="14"/>
    </row>
    <row r="549" spans="11:12">
      <c r="K549" s="14"/>
      <c r="L549" s="14"/>
    </row>
    <row r="550" spans="11:12">
      <c r="K550" s="14"/>
      <c r="L550" s="14"/>
    </row>
    <row r="551" spans="11:12">
      <c r="K551" s="14"/>
      <c r="L551" s="14"/>
    </row>
    <row r="552" spans="11:12">
      <c r="K552" s="14"/>
      <c r="L552" s="14"/>
    </row>
    <row r="553" spans="11:12">
      <c r="K553" s="14"/>
      <c r="L553" s="14"/>
    </row>
    <row r="554" spans="11:12">
      <c r="K554" s="14"/>
      <c r="L554" s="14"/>
    </row>
    <row r="555" spans="11:12">
      <c r="K555" s="14"/>
      <c r="L555" s="14"/>
    </row>
    <row r="556" spans="11:12">
      <c r="K556" s="14"/>
      <c r="L556" s="14"/>
    </row>
    <row r="557" spans="11:12">
      <c r="K557" s="14"/>
      <c r="L557" s="14"/>
    </row>
    <row r="558" spans="11:12">
      <c r="K558" s="14"/>
      <c r="L558" s="14"/>
    </row>
    <row r="559" spans="11:12">
      <c r="K559" s="14"/>
      <c r="L559" s="14"/>
    </row>
    <row r="560" spans="11:12">
      <c r="K560" s="14"/>
      <c r="L560" s="14"/>
    </row>
    <row r="561" spans="11:12">
      <c r="K561" s="14"/>
      <c r="L561" s="14"/>
    </row>
    <row r="562" spans="11:12">
      <c r="K562" s="14"/>
      <c r="L562" s="14"/>
    </row>
    <row r="563" spans="11:12">
      <c r="K563" s="14"/>
      <c r="L563" s="14"/>
    </row>
    <row r="564" spans="11:12">
      <c r="K564" s="14"/>
      <c r="L564" s="14"/>
    </row>
    <row r="565" spans="11:12">
      <c r="K565" s="14"/>
      <c r="L565" s="14"/>
    </row>
    <row r="566" spans="11:12">
      <c r="K566" s="14"/>
      <c r="L566" s="14"/>
    </row>
    <row r="567" spans="11:12">
      <c r="K567" s="14"/>
      <c r="L567" s="14"/>
    </row>
    <row r="568" spans="11:12">
      <c r="K568" s="14"/>
      <c r="L568" s="14"/>
    </row>
    <row r="569" spans="11:12">
      <c r="K569" s="14"/>
      <c r="L569" s="14"/>
    </row>
    <row r="570" spans="11:12">
      <c r="K570" s="14"/>
      <c r="L570" s="14"/>
    </row>
    <row r="571" spans="11:12">
      <c r="K571" s="14"/>
      <c r="L571" s="14"/>
    </row>
    <row r="572" spans="11:12">
      <c r="K572" s="14"/>
      <c r="L572" s="14"/>
    </row>
    <row r="573" spans="11:12">
      <c r="K573" s="14"/>
      <c r="L573" s="14"/>
    </row>
    <row r="574" spans="11:12">
      <c r="K574" s="14"/>
      <c r="L574" s="14"/>
    </row>
    <row r="575" spans="11:12">
      <c r="K575" s="14"/>
      <c r="L575" s="14"/>
    </row>
    <row r="576" spans="11:12">
      <c r="K576" s="14"/>
      <c r="L576" s="14"/>
    </row>
    <row r="577" spans="11:12">
      <c r="K577" s="14"/>
      <c r="L577" s="14"/>
    </row>
    <row r="578" spans="11:12">
      <c r="K578" s="14"/>
      <c r="L578" s="14"/>
    </row>
    <row r="579" spans="11:12">
      <c r="K579" s="14"/>
      <c r="L579" s="14"/>
    </row>
    <row r="580" spans="11:12">
      <c r="K580" s="14"/>
      <c r="L580" s="14"/>
    </row>
    <row r="581" spans="11:12">
      <c r="K581" s="14"/>
      <c r="L581" s="14"/>
    </row>
    <row r="582" spans="11:12">
      <c r="K582" s="14"/>
      <c r="L582" s="14"/>
    </row>
    <row r="583" spans="11:12">
      <c r="K583" s="14"/>
      <c r="L583" s="14"/>
    </row>
    <row r="584" spans="11:12">
      <c r="K584" s="14"/>
      <c r="L584" s="14"/>
    </row>
    <row r="585" spans="11:12">
      <c r="K585" s="14"/>
      <c r="L585" s="14"/>
    </row>
    <row r="586" spans="11:12">
      <c r="K586" s="14"/>
      <c r="L586" s="14"/>
    </row>
    <row r="587" spans="11:12">
      <c r="K587" s="14"/>
      <c r="L587" s="14"/>
    </row>
    <row r="588" spans="11:12">
      <c r="K588" s="14"/>
      <c r="L588" s="14"/>
    </row>
    <row r="589" spans="11:12">
      <c r="K589" s="14"/>
      <c r="L589" s="14"/>
    </row>
    <row r="590" spans="11:12">
      <c r="K590" s="14"/>
      <c r="L590" s="14"/>
    </row>
    <row r="591" spans="11:12">
      <c r="K591" s="14"/>
      <c r="L591" s="14"/>
    </row>
    <row r="592" spans="11:12">
      <c r="K592" s="14"/>
      <c r="L592" s="14"/>
    </row>
    <row r="593" spans="11:12">
      <c r="K593" s="14"/>
      <c r="L593" s="14"/>
    </row>
    <row r="594" spans="11:12">
      <c r="K594" s="14"/>
      <c r="L594" s="14"/>
    </row>
    <row r="595" spans="11:12">
      <c r="K595" s="14"/>
      <c r="L595" s="14"/>
    </row>
    <row r="596" spans="11:12">
      <c r="K596" s="14"/>
      <c r="L596" s="14"/>
    </row>
    <row r="597" spans="11:12">
      <c r="K597" s="14"/>
      <c r="L597" s="14"/>
    </row>
    <row r="598" spans="11:12">
      <c r="K598" s="14"/>
      <c r="L598" s="14"/>
    </row>
    <row r="599" spans="11:12">
      <c r="K599" s="14"/>
      <c r="L599" s="14"/>
    </row>
    <row r="600" spans="11:12">
      <c r="K600" s="14"/>
      <c r="L600" s="14"/>
    </row>
    <row r="601" spans="11:12">
      <c r="K601" s="14"/>
      <c r="L601" s="14"/>
    </row>
    <row r="602" spans="11:12">
      <c r="K602" s="14"/>
      <c r="L602" s="14"/>
    </row>
    <row r="603" spans="11:12">
      <c r="K603" s="14"/>
      <c r="L603" s="14"/>
    </row>
    <row r="604" spans="11:12">
      <c r="K604" s="14"/>
      <c r="L604" s="14"/>
    </row>
    <row r="605" spans="11:12">
      <c r="K605" s="14"/>
      <c r="L605" s="14"/>
    </row>
    <row r="606" spans="11:12">
      <c r="K606" s="14"/>
      <c r="L606" s="14"/>
    </row>
    <row r="607" spans="11:12">
      <c r="K607" s="14"/>
      <c r="L607" s="14"/>
    </row>
    <row r="608" spans="11:12">
      <c r="K608" s="14"/>
      <c r="L608" s="14"/>
    </row>
    <row r="609" spans="11:12">
      <c r="K609" s="14"/>
      <c r="L609" s="14"/>
    </row>
    <row r="610" spans="11:12">
      <c r="K610" s="14"/>
      <c r="L610" s="14"/>
    </row>
    <row r="611" spans="11:12">
      <c r="K611" s="14"/>
      <c r="L611" s="14"/>
    </row>
    <row r="612" spans="11:12">
      <c r="K612" s="14"/>
      <c r="L612" s="14"/>
    </row>
    <row r="613" spans="11:12">
      <c r="K613" s="14"/>
      <c r="L613" s="14"/>
    </row>
    <row r="614" spans="11:12">
      <c r="K614" s="14"/>
      <c r="L614" s="14"/>
    </row>
    <row r="615" spans="11:12">
      <c r="K615" s="14"/>
      <c r="L615" s="14"/>
    </row>
    <row r="616" spans="11:12">
      <c r="K616" s="14"/>
      <c r="L616" s="14"/>
    </row>
    <row r="617" spans="11:12">
      <c r="K617" s="14"/>
      <c r="L617" s="14"/>
    </row>
    <row r="618" spans="11:12">
      <c r="K618" s="14"/>
      <c r="L618" s="14"/>
    </row>
    <row r="619" spans="11:12">
      <c r="K619" s="14"/>
      <c r="L619" s="14"/>
    </row>
    <row r="620" spans="11:12">
      <c r="K620" s="14"/>
      <c r="L620" s="14"/>
    </row>
    <row r="621" spans="11:12">
      <c r="K621" s="14"/>
      <c r="L621" s="14"/>
    </row>
    <row r="622" spans="11:12">
      <c r="K622" s="14"/>
      <c r="L622" s="14"/>
    </row>
    <row r="623" spans="11:12">
      <c r="K623" s="14"/>
      <c r="L623" s="14"/>
    </row>
    <row r="624" spans="11:12">
      <c r="K624" s="14"/>
      <c r="L624" s="14"/>
    </row>
    <row r="625" spans="11:12">
      <c r="K625" s="14"/>
      <c r="L625" s="14"/>
    </row>
    <row r="626" spans="11:12">
      <c r="K626" s="14"/>
      <c r="L626" s="14"/>
    </row>
    <row r="627" spans="11:12">
      <c r="K627" s="14"/>
      <c r="L627" s="14"/>
    </row>
    <row r="628" spans="11:12">
      <c r="K628" s="14"/>
      <c r="L628" s="14"/>
    </row>
    <row r="629" spans="11:12">
      <c r="K629" s="14"/>
      <c r="L629" s="14"/>
    </row>
    <row r="630" spans="11:12">
      <c r="K630" s="14"/>
      <c r="L630" s="14"/>
    </row>
    <row r="631" spans="11:12">
      <c r="K631" s="14"/>
      <c r="L631" s="14"/>
    </row>
    <row r="632" spans="11:12">
      <c r="K632" s="14"/>
      <c r="L632" s="14"/>
    </row>
    <row r="633" spans="11:12">
      <c r="K633" s="14"/>
      <c r="L633" s="14"/>
    </row>
    <row r="634" spans="11:12">
      <c r="K634" s="14"/>
      <c r="L634" s="14"/>
    </row>
    <row r="635" spans="11:12">
      <c r="K635" s="14"/>
      <c r="L635" s="14"/>
    </row>
    <row r="636" spans="11:12">
      <c r="K636" s="14"/>
      <c r="L636" s="14"/>
    </row>
    <row r="637" spans="11:12">
      <c r="K637" s="14"/>
      <c r="L637" s="14"/>
    </row>
    <row r="638" spans="11:12">
      <c r="K638" s="14"/>
      <c r="L638" s="14"/>
    </row>
    <row r="639" spans="11:12">
      <c r="K639" s="14"/>
      <c r="L639" s="14"/>
    </row>
    <row r="640" spans="11:12">
      <c r="K640" s="14"/>
      <c r="L640" s="14"/>
    </row>
    <row r="641" spans="11:12">
      <c r="K641" s="14"/>
      <c r="L641" s="14"/>
    </row>
    <row r="642" spans="11:12">
      <c r="K642" s="14"/>
      <c r="L642" s="14"/>
    </row>
    <row r="643" spans="11:12">
      <c r="K643" s="14"/>
      <c r="L643" s="14"/>
    </row>
    <row r="644" spans="11:12">
      <c r="K644" s="14"/>
      <c r="L644" s="14"/>
    </row>
    <row r="645" spans="11:12">
      <c r="K645" s="14"/>
      <c r="L645" s="14"/>
    </row>
    <row r="646" spans="11:12">
      <c r="K646" s="14"/>
      <c r="L646" s="14"/>
    </row>
    <row r="647" spans="11:12">
      <c r="K647" s="14"/>
      <c r="L647" s="14"/>
    </row>
    <row r="648" spans="11:12">
      <c r="K648" s="14"/>
      <c r="L648" s="14"/>
    </row>
    <row r="649" spans="11:12">
      <c r="K649" s="14"/>
      <c r="L649" s="14"/>
    </row>
    <row r="650" spans="11:12">
      <c r="K650" s="14"/>
      <c r="L650" s="14"/>
    </row>
    <row r="651" spans="11:12">
      <c r="K651" s="14"/>
      <c r="L651" s="14"/>
    </row>
    <row r="652" spans="11:12">
      <c r="K652" s="14"/>
      <c r="L652" s="14"/>
    </row>
    <row r="653" spans="11:12">
      <c r="K653" s="14"/>
      <c r="L653" s="14"/>
    </row>
    <row r="654" spans="11:12">
      <c r="K654" s="14"/>
      <c r="L654" s="14"/>
    </row>
    <row r="655" spans="11:12">
      <c r="K655" s="14"/>
      <c r="L655" s="14"/>
    </row>
    <row r="656" spans="11:12">
      <c r="K656" s="14"/>
      <c r="L656" s="14"/>
    </row>
    <row r="657" spans="11:12">
      <c r="K657" s="14"/>
      <c r="L657" s="14"/>
    </row>
    <row r="658" spans="11:12">
      <c r="K658" s="14"/>
      <c r="L658" s="14"/>
    </row>
    <row r="659" spans="11:12">
      <c r="K659" s="14"/>
      <c r="L659" s="14"/>
    </row>
    <row r="660" spans="11:12">
      <c r="K660" s="14"/>
      <c r="L660" s="14"/>
    </row>
    <row r="661" spans="11:12">
      <c r="K661" s="14"/>
      <c r="L661" s="14"/>
    </row>
    <row r="662" spans="11:12">
      <c r="K662" s="14"/>
      <c r="L662" s="14"/>
    </row>
    <row r="663" spans="11:12">
      <c r="K663" s="14"/>
      <c r="L663" s="14"/>
    </row>
    <row r="664" spans="11:12">
      <c r="K664" s="14"/>
      <c r="L664" s="14"/>
    </row>
    <row r="665" spans="11:12">
      <c r="K665" s="14"/>
      <c r="L665" s="14"/>
    </row>
    <row r="666" spans="11:12">
      <c r="K666" s="14"/>
      <c r="L666" s="14"/>
    </row>
    <row r="667" spans="11:12">
      <c r="K667" s="14"/>
      <c r="L667" s="14"/>
    </row>
    <row r="668" spans="11:12">
      <c r="K668" s="14"/>
      <c r="L668" s="14"/>
    </row>
    <row r="669" spans="11:12">
      <c r="K669" s="14"/>
      <c r="L669" s="14"/>
    </row>
    <row r="670" spans="11:12">
      <c r="K670" s="14"/>
      <c r="L670" s="14"/>
    </row>
    <row r="671" spans="11:12">
      <c r="K671" s="14"/>
      <c r="L671" s="14"/>
    </row>
    <row r="672" spans="11:12">
      <c r="K672" s="14"/>
      <c r="L672" s="14"/>
    </row>
    <row r="673" spans="11:12">
      <c r="K673" s="14"/>
      <c r="L673" s="14"/>
    </row>
    <row r="674" spans="11:12">
      <c r="K674" s="14"/>
      <c r="L674" s="14"/>
    </row>
    <row r="675" spans="11:12">
      <c r="K675" s="14"/>
      <c r="L675" s="14"/>
    </row>
    <row r="676" spans="11:12">
      <c r="K676" s="14"/>
      <c r="L676" s="14"/>
    </row>
    <row r="677" spans="11:12">
      <c r="K677" s="14"/>
      <c r="L677" s="14"/>
    </row>
    <row r="678" spans="11:12">
      <c r="K678" s="14"/>
      <c r="L678" s="14"/>
    </row>
    <row r="679" spans="11:12">
      <c r="K679" s="14"/>
      <c r="L679" s="14"/>
    </row>
    <row r="680" spans="11:12">
      <c r="K680" s="14"/>
      <c r="L680" s="14"/>
    </row>
    <row r="681" spans="11:12">
      <c r="K681" s="14"/>
      <c r="L681" s="14"/>
    </row>
    <row r="682" spans="11:12">
      <c r="K682" s="14"/>
      <c r="L682" s="14"/>
    </row>
    <row r="683" spans="11:12">
      <c r="K683" s="14"/>
      <c r="L683" s="14"/>
    </row>
    <row r="684" spans="11:12">
      <c r="K684" s="14"/>
      <c r="L684" s="14"/>
    </row>
    <row r="685" spans="11:12">
      <c r="K685" s="14"/>
      <c r="L685" s="14"/>
    </row>
    <row r="686" spans="11:12">
      <c r="K686" s="14"/>
      <c r="L686" s="14"/>
    </row>
    <row r="687" spans="11:12">
      <c r="K687" s="14"/>
      <c r="L687" s="14"/>
    </row>
    <row r="688" spans="11:12">
      <c r="K688" s="14"/>
      <c r="L688" s="14"/>
    </row>
    <row r="689" spans="11:12">
      <c r="K689" s="14"/>
      <c r="L689" s="14"/>
    </row>
    <row r="690" spans="11:12">
      <c r="K690" s="14"/>
      <c r="L690" s="14"/>
    </row>
    <row r="691" spans="11:12">
      <c r="K691" s="14"/>
      <c r="L691" s="14"/>
    </row>
    <row r="692" spans="11:12">
      <c r="K692" s="14"/>
      <c r="L692" s="14"/>
    </row>
    <row r="693" spans="11:12">
      <c r="K693" s="14"/>
      <c r="L693" s="14"/>
    </row>
    <row r="694" spans="11:12">
      <c r="K694" s="14"/>
      <c r="L694" s="14"/>
    </row>
    <row r="695" spans="11:12">
      <c r="K695" s="14"/>
      <c r="L695" s="14"/>
    </row>
    <row r="696" spans="11:12">
      <c r="K696" s="14"/>
      <c r="L696" s="14"/>
    </row>
    <row r="697" spans="11:12">
      <c r="K697" s="14"/>
      <c r="L697" s="14"/>
    </row>
    <row r="698" spans="11:12">
      <c r="K698" s="14"/>
      <c r="L698" s="14"/>
    </row>
    <row r="699" spans="11:12">
      <c r="K699" s="14"/>
      <c r="L699" s="14"/>
    </row>
    <row r="700" spans="11:12">
      <c r="K700" s="14"/>
      <c r="L700" s="14"/>
    </row>
    <row r="701" spans="11:12">
      <c r="K701" s="14"/>
      <c r="L701" s="14"/>
    </row>
    <row r="702" spans="11:12">
      <c r="K702" s="14"/>
      <c r="L702" s="14"/>
    </row>
    <row r="703" spans="11:12">
      <c r="K703" s="14"/>
      <c r="L703" s="14"/>
    </row>
    <row r="704" spans="11:12">
      <c r="K704" s="14"/>
      <c r="L704" s="14"/>
    </row>
    <row r="705" spans="11:12">
      <c r="K705" s="14"/>
      <c r="L705" s="14"/>
    </row>
    <row r="706" spans="11:12">
      <c r="K706" s="14"/>
      <c r="L706" s="14"/>
    </row>
    <row r="707" spans="11:12">
      <c r="K707" s="14"/>
      <c r="L707" s="14"/>
    </row>
    <row r="708" spans="11:12">
      <c r="K708" s="14"/>
      <c r="L708" s="14"/>
    </row>
    <row r="709" spans="11:12">
      <c r="K709" s="14"/>
      <c r="L709" s="14"/>
    </row>
    <row r="710" spans="11:12">
      <c r="K710" s="14"/>
      <c r="L710" s="14"/>
    </row>
    <row r="711" spans="11:12">
      <c r="K711" s="14"/>
      <c r="L711" s="14"/>
    </row>
    <row r="712" spans="11:12">
      <c r="K712" s="14"/>
      <c r="L712" s="14"/>
    </row>
    <row r="713" spans="11:12">
      <c r="K713" s="14"/>
      <c r="L713" s="14"/>
    </row>
    <row r="714" spans="11:12">
      <c r="K714" s="14"/>
      <c r="L714" s="14"/>
    </row>
    <row r="715" spans="11:12">
      <c r="K715" s="14"/>
      <c r="L715" s="14"/>
    </row>
    <row r="716" spans="11:12">
      <c r="K716" s="14"/>
      <c r="L716" s="14"/>
    </row>
    <row r="717" spans="11:12">
      <c r="K717" s="14"/>
      <c r="L717" s="14"/>
    </row>
    <row r="718" spans="11:12">
      <c r="K718" s="14"/>
      <c r="L718" s="14"/>
    </row>
    <row r="719" spans="11:12">
      <c r="K719" s="14"/>
      <c r="L719" s="14"/>
    </row>
    <row r="720" spans="11:12">
      <c r="K720" s="14"/>
      <c r="L720" s="14"/>
    </row>
    <row r="721" spans="11:12">
      <c r="K721" s="14"/>
      <c r="L721" s="14"/>
    </row>
    <row r="722" spans="11:12">
      <c r="K722" s="14"/>
      <c r="L722" s="14"/>
    </row>
    <row r="723" spans="11:12">
      <c r="K723" s="14"/>
      <c r="L723" s="14"/>
    </row>
    <row r="724" spans="11:12">
      <c r="K724" s="14"/>
      <c r="L724" s="14"/>
    </row>
    <row r="725" spans="11:12">
      <c r="K725" s="14"/>
      <c r="L725" s="14"/>
    </row>
    <row r="726" spans="11:12">
      <c r="K726" s="14"/>
      <c r="L726" s="14"/>
    </row>
    <row r="727" spans="11:12">
      <c r="K727" s="14"/>
      <c r="L727" s="14"/>
    </row>
    <row r="728" spans="11:12">
      <c r="K728" s="14"/>
      <c r="L728" s="14"/>
    </row>
    <row r="729" spans="11:12">
      <c r="K729" s="14"/>
      <c r="L729" s="14"/>
    </row>
    <row r="730" spans="11:12">
      <c r="K730" s="14"/>
      <c r="L730" s="14"/>
    </row>
    <row r="731" spans="11:12">
      <c r="K731" s="14"/>
      <c r="L731" s="14"/>
    </row>
    <row r="732" spans="11:12">
      <c r="K732" s="14"/>
      <c r="L732" s="14"/>
    </row>
    <row r="733" spans="11:12">
      <c r="K733" s="14"/>
      <c r="L733" s="14"/>
    </row>
    <row r="734" spans="11:12">
      <c r="K734" s="14"/>
      <c r="L734" s="14"/>
    </row>
    <row r="735" spans="11:12">
      <c r="K735" s="14"/>
      <c r="L735" s="14"/>
    </row>
    <row r="736" spans="11:12">
      <c r="K736" s="14"/>
      <c r="L736" s="14"/>
    </row>
    <row r="737" spans="11:12">
      <c r="K737" s="14"/>
      <c r="L737" s="14"/>
    </row>
    <row r="738" spans="11:12">
      <c r="K738" s="14"/>
      <c r="L738" s="14"/>
    </row>
    <row r="739" spans="11:12">
      <c r="K739" s="14"/>
      <c r="L739" s="14"/>
    </row>
    <row r="740" spans="11:12">
      <c r="K740" s="14"/>
      <c r="L740" s="14"/>
    </row>
    <row r="741" spans="11:12">
      <c r="K741" s="14"/>
      <c r="L741" s="14"/>
    </row>
    <row r="742" spans="11:12">
      <c r="K742" s="14"/>
      <c r="L742" s="14"/>
    </row>
    <row r="743" spans="11:12">
      <c r="K743" s="14"/>
      <c r="L743" s="14"/>
    </row>
    <row r="744" spans="11:12">
      <c r="K744" s="14"/>
      <c r="L744" s="14"/>
    </row>
    <row r="745" spans="11:12">
      <c r="K745" s="14"/>
      <c r="L745" s="14"/>
    </row>
    <row r="746" spans="11:12">
      <c r="K746" s="14"/>
      <c r="L746" s="14"/>
    </row>
    <row r="747" spans="11:12">
      <c r="K747" s="14"/>
      <c r="L747" s="14"/>
    </row>
    <row r="748" spans="11:12">
      <c r="K748" s="14"/>
      <c r="L748" s="14"/>
    </row>
    <row r="749" spans="11:12">
      <c r="K749" s="14"/>
      <c r="L749" s="14"/>
    </row>
    <row r="750" spans="11:12">
      <c r="K750" s="14"/>
      <c r="L750" s="14"/>
    </row>
    <row r="751" spans="11:12">
      <c r="K751" s="14"/>
      <c r="L751" s="14"/>
    </row>
    <row r="752" spans="11:12">
      <c r="K752" s="14"/>
      <c r="L752" s="14"/>
    </row>
    <row r="753" spans="11:12">
      <c r="K753" s="14"/>
      <c r="L753" s="14"/>
    </row>
    <row r="754" spans="11:12">
      <c r="K754" s="14"/>
      <c r="L754" s="14"/>
    </row>
    <row r="755" spans="11:12">
      <c r="K755" s="14"/>
      <c r="L755" s="14"/>
    </row>
    <row r="756" spans="11:12">
      <c r="K756" s="14"/>
      <c r="L756" s="14"/>
    </row>
    <row r="757" spans="11:12">
      <c r="K757" s="14"/>
      <c r="L757" s="14"/>
    </row>
    <row r="758" spans="11:12">
      <c r="K758" s="14"/>
      <c r="L758" s="14"/>
    </row>
    <row r="759" spans="11:12">
      <c r="K759" s="14"/>
      <c r="L759" s="14"/>
    </row>
    <row r="760" spans="11:12">
      <c r="K760" s="14"/>
      <c r="L760" s="14"/>
    </row>
    <row r="761" spans="11:12">
      <c r="K761" s="14"/>
      <c r="L761" s="14"/>
    </row>
    <row r="762" spans="11:12">
      <c r="K762" s="14"/>
      <c r="L762" s="14"/>
    </row>
    <row r="763" spans="11:12">
      <c r="K763" s="14"/>
      <c r="L763" s="14"/>
    </row>
    <row r="764" spans="11:12">
      <c r="K764" s="14"/>
      <c r="L764" s="14"/>
    </row>
    <row r="765" spans="11:12">
      <c r="K765" s="14"/>
      <c r="L765" s="14"/>
    </row>
    <row r="766" spans="11:12">
      <c r="K766" s="14"/>
      <c r="L766" s="14"/>
    </row>
    <row r="767" spans="11:12">
      <c r="K767" s="14"/>
      <c r="L767" s="14"/>
    </row>
    <row r="768" spans="11:12">
      <c r="K768" s="14"/>
      <c r="L768" s="14"/>
    </row>
    <row r="769" spans="11:12">
      <c r="K769" s="14"/>
      <c r="L769" s="14"/>
    </row>
    <row r="770" spans="11:12">
      <c r="K770" s="14"/>
      <c r="L770" s="14"/>
    </row>
    <row r="771" spans="11:12">
      <c r="K771" s="14"/>
      <c r="L771" s="14"/>
    </row>
    <row r="772" spans="11:12">
      <c r="K772" s="14"/>
      <c r="L772" s="14"/>
    </row>
    <row r="773" spans="11:12">
      <c r="K773" s="14"/>
      <c r="L773" s="14"/>
    </row>
    <row r="774" spans="11:12">
      <c r="K774" s="14"/>
      <c r="L774" s="14"/>
    </row>
    <row r="775" spans="11:12">
      <c r="K775" s="14"/>
      <c r="L775" s="14"/>
    </row>
    <row r="776" spans="11:12">
      <c r="K776" s="14"/>
      <c r="L776" s="14"/>
    </row>
    <row r="777" spans="11:12">
      <c r="K777" s="14"/>
      <c r="L777" s="14"/>
    </row>
    <row r="778" spans="11:12">
      <c r="K778" s="14"/>
      <c r="L778" s="14"/>
    </row>
  </sheetData>
  <phoneticPr fontId="3" type="noConversion"/>
  <pageMargins left="0.75" right="0.75" top="1" bottom="1" header="0.5" footer="0.5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29</vt:i4>
      </vt:variant>
      <vt:variant>
        <vt:lpstr>已命名的範圍</vt:lpstr>
      </vt:variant>
      <vt:variant>
        <vt:i4>21</vt:i4>
      </vt:variant>
    </vt:vector>
  </HeadingPairs>
  <TitlesOfParts>
    <vt:vector size="50" baseType="lpstr">
      <vt:lpstr>Report in NTD</vt:lpstr>
      <vt:lpstr>Report-USD</vt:lpstr>
      <vt:lpstr>Report-EUR</vt:lpstr>
      <vt:lpstr>Report-CNY</vt:lpstr>
      <vt:lpstr>market px</vt:lpstr>
      <vt:lpstr>對帳</vt:lpstr>
      <vt:lpstr>total carry-USD</vt:lpstr>
      <vt:lpstr>Jesse-UR</vt:lpstr>
      <vt:lpstr>Jesse-Real</vt:lpstr>
      <vt:lpstr>Aaron-UR</vt:lpstr>
      <vt:lpstr>Aaron-Real</vt:lpstr>
      <vt:lpstr>Mark1-UR</vt:lpstr>
      <vt:lpstr>Mark1-Real</vt:lpstr>
      <vt:lpstr>Gary-UR</vt:lpstr>
      <vt:lpstr>Gary-Real</vt:lpstr>
      <vt:lpstr>Peggy-UR</vt:lpstr>
      <vt:lpstr>Peggy-Real</vt:lpstr>
      <vt:lpstr>Pete-UR</vt:lpstr>
      <vt:lpstr>Pete-Real</vt:lpstr>
      <vt:lpstr>Roger-UR</vt:lpstr>
      <vt:lpstr>Roger-Real</vt:lpstr>
      <vt:lpstr>Cindy-UR</vt:lpstr>
      <vt:lpstr>Cindy-Real</vt:lpstr>
      <vt:lpstr>Ryan-UR</vt:lpstr>
      <vt:lpstr>Ryan-Real</vt:lpstr>
      <vt:lpstr>John-UR</vt:lpstr>
      <vt:lpstr>John-Real</vt:lpstr>
      <vt:lpstr>Realized in USD</vt:lpstr>
      <vt:lpstr>Accrued</vt:lpstr>
      <vt:lpstr>對帳!_MailOriginal</vt:lpstr>
      <vt:lpstr>Carry</vt:lpstr>
      <vt:lpstr>CCCell</vt:lpstr>
      <vt:lpstr>EmailCell</vt:lpstr>
      <vt:lpstr>EUR_YTD</vt:lpstr>
      <vt:lpstr>LastReportDate</vt:lpstr>
      <vt:lpstr>NTD_YTD</vt:lpstr>
      <vt:lpstr>'Realized in USD'!Print_Area</vt:lpstr>
      <vt:lpstr>'Report in NTD'!Print_Area</vt:lpstr>
      <vt:lpstr>'Report-CNY'!Print_Area</vt:lpstr>
      <vt:lpstr>'Report-USD'!Print_Area</vt:lpstr>
      <vt:lpstr>'Roger-UR'!Print_Area</vt:lpstr>
      <vt:lpstr>RngStep1</vt:lpstr>
      <vt:lpstr>RngStep2</vt:lpstr>
      <vt:lpstr>RngStep3</vt:lpstr>
      <vt:lpstr>RngStep4</vt:lpstr>
      <vt:lpstr>RngStep5</vt:lpstr>
      <vt:lpstr>SendCell</vt:lpstr>
      <vt:lpstr>TodayDate</vt:lpstr>
      <vt:lpstr>'Report-CNY'!USD_YTD</vt:lpstr>
      <vt:lpstr>USD_YTD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大安銀行</dc:creator>
  <cp:lastModifiedBy>王珮倫</cp:lastModifiedBy>
  <cp:lastPrinted>2017-06-16T09:39:17Z</cp:lastPrinted>
  <dcterms:created xsi:type="dcterms:W3CDTF">2003-08-06T10:18:41Z</dcterms:created>
  <dcterms:modified xsi:type="dcterms:W3CDTF">2023-04-06T09:38:26Z</dcterms:modified>
</cp:coreProperties>
</file>